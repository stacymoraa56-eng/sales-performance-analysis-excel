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6"/>
  </bookViews>
  <sheets>
    <sheet name="Brief" sheetId="2" r:id="rId1"/>
    <sheet name="READ ME" sheetId="8" r:id="rId2"/>
    <sheet name="Data" sheetId="1" r:id="rId3"/>
    <sheet name="Staging Data" sheetId="3" r:id="rId4"/>
    <sheet name="Cohort Analysis" sheetId="5" r:id="rId5"/>
    <sheet name="Scenario Modelling" sheetId="6" r:id="rId6"/>
    <sheet name="Pivot Charts" sheetId="10" r:id="rId7"/>
    <sheet name="DASHBOARD" sheetId="9" r:id="rId8"/>
  </sheets>
  <definedNames>
    <definedName name="Slicer_Category_Groups">#N/A</definedName>
    <definedName name="Slicer_MMM_YYY">#N/A</definedName>
    <definedName name="Slicer_Sales_person">#N/A</definedName>
    <definedName name="Slicer_Channel">#N/A</definedName>
    <definedName name="Slicer_Country">#N/A</definedName>
    <definedName name="_xlnm._FilterDatabase" localSheetId="3" hidden="1">'Staging Data'!$A$1:$AH$632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<sst xmlns="http://schemas.openxmlformats.org/spreadsheetml/2006/main" count="13737" uniqueCount="1652">
  <si>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</si>
  <si>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</si>
  <si>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</si>
  <si>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</si>
  <si>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</si>
  <si>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</si>
  <si>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</si>
  <si>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</si>
  <si>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</si>
  <si>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</si>
  <si>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</si>
  <si>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</si>
  <si>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</si>
  <si>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</si>
  <si>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</si>
  <si>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</si>
  <si>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</si>
  <si>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</si>
  <si>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</si>
  <si>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</si>
  <si>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</si>
  <si>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</si>
  <si>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</si>
  <si>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</si>
  <si>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</si>
  <si>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</si>
  <si>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</si>
  <si>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</si>
  <si>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</si>
  <si>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</si>
  <si>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</si>
  <si>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</si>
  <si>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</si>
  <si>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</si>
  <si>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</si>
  <si>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</si>
  <si>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</si>
  <si>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</si>
  <si>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</si>
  <si>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</si>
  <si>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</si>
  <si>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</si>
  <si>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</si>
  <si>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</si>
  <si>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</si>
  <si>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</si>
  <si>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</si>
  <si>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</si>
  <si>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</si>
  <si>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</si>
  <si>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</si>
  <si>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</si>
  <si>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</si>
  <si>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</si>
  <si>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</si>
  <si>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</si>
  <si>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</si>
  <si>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</si>
  <si>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READ ME : SALES ANALYSIS PROJECT</t>
  </si>
  <si>
    <t>Project Overview</t>
  </si>
  <si>
    <t>This project analyzes transactional sales data from a multi-regional electronics distributor. The dataset contains 632 rows and 15 columns, with intentional data quality issues.</t>
  </si>
  <si>
    <t>The objective was to:</t>
  </si>
  <si>
    <t>Clean and prepare the dataset</t>
  </si>
  <si>
    <t>Perform analytical tasks to generate business insights</t>
  </si>
  <si>
    <t>Build a scenario model to simulate business decisions</t>
  </si>
  <si>
    <t>Present findings in a structured and interpretable format</t>
  </si>
  <si>
    <t xml:space="preserve">Data issues identified </t>
  </si>
  <si>
    <t>The dataset contained several inconsistencies and quality issues:</t>
  </si>
  <si>
    <t>Duplicate records within the dataset</t>
  </si>
  <si>
    <r>
      <rPr>
        <sz val="11"/>
        <color theme="1"/>
        <rFont val="Calibri"/>
        <charset val="134"/>
        <scheme val="minor"/>
      </rPr>
      <t xml:space="preserve">Missing values in </t>
    </r>
    <r>
      <rPr>
        <b/>
        <sz val="11"/>
        <color theme="1"/>
        <rFont val="Calibri"/>
        <charset val="134"/>
        <scheme val="minor"/>
      </rPr>
      <t>City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Salesperson</t>
    </r>
    <r>
      <rPr>
        <sz val="11"/>
        <color theme="1"/>
        <rFont val="Calibri"/>
        <charset val="134"/>
        <scheme val="minor"/>
      </rPr>
      <t xml:space="preserve">, and </t>
    </r>
    <r>
      <rPr>
        <b/>
        <sz val="11"/>
        <color theme="1"/>
        <rFont val="Calibri"/>
        <charset val="134"/>
        <scheme val="minor"/>
      </rPr>
      <t>Channel</t>
    </r>
    <r>
      <rPr>
        <sz val="11"/>
        <color theme="1"/>
        <rFont val="Calibri"/>
        <charset val="134"/>
        <scheme val="minor"/>
      </rPr>
      <t xml:space="preserve"> fields</t>
    </r>
  </si>
  <si>
    <t>Incorrect data types (dates stored as text, numeric fields improperly formatted)</t>
  </si>
  <si>
    <r>
      <rPr>
        <sz val="11"/>
        <color theme="1"/>
        <rFont val="Calibri"/>
        <charset val="134"/>
        <scheme val="minor"/>
      </rPr>
      <t xml:space="preserve">Negative </t>
    </r>
    <r>
      <rPr>
        <b/>
        <sz val="11"/>
        <color theme="1"/>
        <rFont val="Calibri"/>
        <charset val="134"/>
        <scheme val="minor"/>
      </rPr>
      <t>UnitPrice</t>
    </r>
    <r>
      <rPr>
        <sz val="11"/>
        <color theme="1"/>
        <rFont val="Calibri"/>
        <charset val="134"/>
        <scheme val="minor"/>
      </rPr>
      <t xml:space="preserve"> values</t>
    </r>
  </si>
  <si>
    <r>
      <rPr>
        <sz val="11"/>
        <color theme="1"/>
        <rFont val="Calibri"/>
        <charset val="134"/>
        <scheme val="minor"/>
      </rPr>
      <t xml:space="preserve">Excessive </t>
    </r>
    <r>
      <rPr>
        <b/>
        <sz val="11"/>
        <color theme="1"/>
        <rFont val="Calibri"/>
        <charset val="134"/>
        <scheme val="minor"/>
      </rPr>
      <t>DiscountPct</t>
    </r>
    <r>
      <rPr>
        <sz val="11"/>
        <color theme="1"/>
        <rFont val="Calibri"/>
        <charset val="134"/>
        <scheme val="minor"/>
      </rPr>
      <t xml:space="preserve"> values (above acceptable business thresholds)</t>
    </r>
  </si>
  <si>
    <t>Invalid date relationships (RequiredDate earlier than OrderDate)</t>
  </si>
  <si>
    <t xml:space="preserve">Data Cleaning and Preparation </t>
  </si>
  <si>
    <t>The following steps were taken to prepare the dataset:</t>
  </si>
  <si>
    <t xml:space="preserve">1. Duplicate Removal : </t>
  </si>
  <si>
    <t>Exact duplicate rows were removed based on all columns to ensure data integrity</t>
  </si>
  <si>
    <t xml:space="preserve">2. Data Type standardization: </t>
  </si>
  <si>
    <t>Date columns were converted to proper date formats</t>
  </si>
  <si>
    <t>Numeric fields (Revenue, UnitPrice, Quantity, DiscountPct) were standardized</t>
  </si>
  <si>
    <t xml:space="preserve">3. Handling Missing values </t>
  </si>
  <si>
    <r>
      <rPr>
        <sz val="11"/>
        <color theme="1"/>
        <rFont val="Calibri"/>
        <charset val="134"/>
        <scheme val="minor"/>
      </rPr>
      <t xml:space="preserve">Missing </t>
    </r>
    <r>
      <rPr>
        <b/>
        <sz val="11"/>
        <color theme="1"/>
        <rFont val="Calibri"/>
        <charset val="134"/>
        <scheme val="minor"/>
      </rPr>
      <t>City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Salesperson</t>
    </r>
    <r>
      <rPr>
        <sz val="11"/>
        <color theme="1"/>
        <rFont val="Calibri"/>
        <charset val="134"/>
        <scheme val="minor"/>
      </rPr>
      <t xml:space="preserve">, and </t>
    </r>
    <r>
      <rPr>
        <b/>
        <sz val="11"/>
        <color theme="1"/>
        <rFont val="Calibri"/>
        <charset val="134"/>
        <scheme val="minor"/>
      </rPr>
      <t>Channel</t>
    </r>
    <r>
      <rPr>
        <sz val="11"/>
        <color theme="1"/>
        <rFont val="Calibri"/>
        <charset val="134"/>
        <scheme val="minor"/>
      </rPr>
      <t xml:space="preserve"> values were handled using logical assumptions and consistency checks within related fields</t>
    </r>
  </si>
  <si>
    <t xml:space="preserve">4. Price and Discount Regulations </t>
  </si>
  <si>
    <t>Negative UnitPrice values were converted to positive values</t>
  </si>
  <si>
    <t>Discounts above 30% were flagged and controlled during scenario modeling</t>
  </si>
  <si>
    <t xml:space="preserve">5. Date Validation </t>
  </si>
  <si>
    <r>
      <rPr>
        <sz val="11"/>
        <color theme="1"/>
        <rFont val="Calibri"/>
        <charset val="134"/>
        <scheme val="minor"/>
      </rPr>
      <t xml:space="preserve">Ensured that </t>
    </r>
    <r>
      <rPr>
        <b/>
        <sz val="11"/>
        <color theme="1"/>
        <rFont val="Calibri"/>
        <charset val="134"/>
        <scheme val="minor"/>
      </rPr>
      <t>RequiredDate ≥ OrderDate</t>
    </r>
  </si>
  <si>
    <t>Invalid dates were corrected using logical imputation</t>
  </si>
  <si>
    <t xml:space="preserve">7. Feature Engineering </t>
  </si>
  <si>
    <t>New columns were created to enhance analysis:</t>
  </si>
  <si>
    <r>
      <rPr>
        <b/>
        <sz val="11"/>
        <color theme="1"/>
        <rFont val="Calibri"/>
        <charset val="134"/>
        <scheme val="minor"/>
      </rPr>
      <t>LeadTimeDays</t>
    </r>
    <r>
      <rPr>
        <sz val="11"/>
        <color theme="1"/>
        <rFont val="Calibri"/>
        <charset val="134"/>
        <scheme val="minor"/>
      </rPr>
      <t xml:space="preserve"> = RequiredDate – OrderDate</t>
    </r>
  </si>
  <si>
    <r>
      <rPr>
        <b/>
        <sz val="11"/>
        <color theme="1"/>
        <rFont val="Calibri"/>
        <charset val="134"/>
        <scheme val="minor"/>
      </rPr>
      <t>Month</t>
    </r>
    <r>
      <rPr>
        <sz val="11"/>
        <color theme="1"/>
        <rFont val="Calibri"/>
        <charset val="134"/>
        <scheme val="minor"/>
      </rPr>
      <t xml:space="preserve"> (MMM-YYYY format)</t>
    </r>
  </si>
  <si>
    <r>
      <rPr>
        <b/>
        <sz val="11"/>
        <color theme="1"/>
        <rFont val="Calibri"/>
        <charset val="134"/>
        <scheme val="minor"/>
      </rPr>
      <t>Quarter</t>
    </r>
    <r>
      <rPr>
        <sz val="11"/>
        <color theme="1"/>
        <rFont val="Calibri"/>
        <charset val="134"/>
        <scheme val="minor"/>
      </rPr>
      <t xml:space="preserve"> (Q1, Q2, etc.)</t>
    </r>
  </si>
  <si>
    <r>
      <rPr>
        <b/>
        <sz val="11"/>
        <color theme="1"/>
        <rFont val="Calibri"/>
        <charset val="134"/>
        <scheme val="minor"/>
      </rPr>
      <t>PriceBand</t>
    </r>
    <r>
      <rPr>
        <sz val="11"/>
        <color theme="1"/>
        <rFont val="Calibri"/>
        <charset val="134"/>
        <scheme val="minor"/>
      </rPr>
      <t xml:space="preserve"> (Low / Medium / High based on quantiles)</t>
    </r>
  </si>
  <si>
    <t xml:space="preserve">Analysis performed </t>
  </si>
  <si>
    <t>The following analytical  tasks were completed</t>
  </si>
  <si>
    <t xml:space="preserve">1. Cohort analysis </t>
  </si>
  <si>
    <t>Identified the first month each country made a sale</t>
  </si>
  <si>
    <t>Tracked revenue performance over time from the first transaction</t>
  </si>
  <si>
    <t xml:space="preserve">2. ABC Analysis </t>
  </si>
  <si>
    <t>SKUs were classified into:</t>
  </si>
  <si>
    <r>
      <rPr>
        <b/>
        <sz val="11"/>
        <color theme="1"/>
        <rFont val="Calibri"/>
        <charset val="134"/>
        <scheme val="minor"/>
      </rPr>
      <t>A</t>
    </r>
    <r>
      <rPr>
        <sz val="11"/>
        <color theme="1"/>
        <rFont val="Calibri"/>
        <charset val="134"/>
        <scheme val="minor"/>
      </rPr>
      <t>: Top 80% of revenue</t>
    </r>
  </si>
  <si>
    <r>
      <rPr>
        <b/>
        <sz val="11"/>
        <color theme="1"/>
        <rFont val="Calibri"/>
        <charset val="134"/>
        <scheme val="minor"/>
      </rPr>
      <t>B</t>
    </r>
    <r>
      <rPr>
        <sz val="11"/>
        <color theme="1"/>
        <rFont val="Calibri"/>
        <charset val="134"/>
        <scheme val="minor"/>
      </rPr>
      <t>: Next 15%</t>
    </r>
  </si>
  <si>
    <r>
      <rPr>
        <b/>
        <sz val="11"/>
        <color theme="1"/>
        <rFont val="Calibri"/>
        <charset val="134"/>
        <scheme val="minor"/>
      </rPr>
      <t>C</t>
    </r>
    <r>
      <rPr>
        <sz val="11"/>
        <color theme="1"/>
        <rFont val="Calibri"/>
        <charset val="134"/>
        <scheme val="minor"/>
      </rPr>
      <t>: Remaining 5%</t>
    </r>
  </si>
  <si>
    <t>Analysis was performed within each ProductCategory</t>
  </si>
  <si>
    <t xml:space="preserve">3. Salesperson Productivity </t>
  </si>
  <si>
    <t xml:space="preserve">The following metrics were computed </t>
  </si>
  <si>
    <t>Revenue per Order</t>
  </si>
  <si>
    <t>Orders per Month</t>
  </si>
  <si>
    <t>Gross Profit per Order</t>
  </si>
  <si>
    <t xml:space="preserve">Top and bottom 3 performers were identified </t>
  </si>
  <si>
    <t>4. Channel Mix Analysis</t>
  </si>
  <si>
    <r>
      <rPr>
        <sz val="11"/>
        <color theme="1"/>
        <rFont val="Calibri"/>
        <charset val="134"/>
        <scheme val="minor"/>
      </rPr>
      <t xml:space="preserve">Compared revenue contributions across </t>
    </r>
    <r>
      <rPr>
        <b/>
        <sz val="11"/>
        <color theme="1"/>
        <rFont val="Calibri"/>
        <charset val="134"/>
        <scheme val="minor"/>
      </rPr>
      <t>Online vs Retail channels</t>
    </r>
  </si>
  <si>
    <t>Identified potential cannibalization trends</t>
  </si>
  <si>
    <t>5. Service Level Analysis</t>
  </si>
  <si>
    <r>
      <rPr>
        <sz val="11"/>
        <color theme="1"/>
        <rFont val="Calibri"/>
        <charset val="134"/>
        <scheme val="minor"/>
      </rPr>
      <t xml:space="preserve">Measured % of orders meeting a </t>
    </r>
    <r>
      <rPr>
        <b/>
        <sz val="11"/>
        <color theme="1"/>
        <rFont val="Calibri"/>
        <charset val="134"/>
        <scheme val="minor"/>
      </rPr>
      <t>7-day delivery target</t>
    </r>
  </si>
  <si>
    <t>Analyzed across Country and ProductCategory</t>
  </si>
  <si>
    <t>6. Price Compliance</t>
  </si>
  <si>
    <r>
      <rPr>
        <sz val="11"/>
        <color theme="1"/>
        <rFont val="Calibri"/>
        <charset val="134"/>
        <scheme val="minor"/>
      </rPr>
      <t xml:space="preserve">Identified transactions with </t>
    </r>
    <r>
      <rPr>
        <b/>
        <sz val="11"/>
        <color theme="1"/>
        <rFont val="Calibri"/>
        <charset val="134"/>
        <scheme val="minor"/>
      </rPr>
      <t>DiscountPct &gt; 20%</t>
    </r>
  </si>
  <si>
    <t>Highlighted outliers by Region and Salesperson</t>
  </si>
  <si>
    <t>Scenario Modeling</t>
  </si>
  <si>
    <t>A What-If model was developed to simulate business conditions.</t>
  </si>
  <si>
    <t xml:space="preserve">Inputs : </t>
  </si>
  <si>
    <r>
      <rPr>
        <b/>
        <sz val="11"/>
        <color theme="1"/>
        <rFont val="Calibri"/>
        <charset val="134"/>
        <scheme val="minor"/>
      </rPr>
      <t>Discount Cap</t>
    </r>
    <r>
      <rPr>
        <sz val="11"/>
        <color theme="1"/>
        <rFont val="Calibri"/>
        <charset val="134"/>
        <scheme val="minor"/>
      </rPr>
      <t xml:space="preserve"> (0%–25%)</t>
    </r>
  </si>
  <si>
    <r>
      <rPr>
        <b/>
        <sz val="11"/>
        <color theme="1"/>
        <rFont val="Calibri"/>
        <charset val="134"/>
        <scheme val="minor"/>
      </rPr>
      <t>Cost Inflation</t>
    </r>
    <r>
      <rPr>
        <sz val="11"/>
        <color theme="1"/>
        <rFont val="Calibri"/>
        <charset val="134"/>
        <scheme val="minor"/>
      </rPr>
      <t xml:space="preserve"> (0%–15%)</t>
    </r>
  </si>
  <si>
    <r>
      <rPr>
        <b/>
        <sz val="11"/>
        <color theme="1"/>
        <rFont val="Calibri"/>
        <charset val="134"/>
        <scheme val="minor"/>
      </rPr>
      <t>Quantity Uplift</t>
    </r>
    <r>
      <rPr>
        <sz val="11"/>
        <color theme="1"/>
        <rFont val="Calibri"/>
        <charset val="134"/>
        <scheme val="minor"/>
      </rPr>
      <t xml:space="preserve"> (0%–20%)</t>
    </r>
  </si>
  <si>
    <t xml:space="preserve">Adjustments made: </t>
  </si>
  <si>
    <t>Discounts capped using MIN function</t>
  </si>
  <si>
    <t>Unit costs adjusted for inflation</t>
  </si>
  <si>
    <t>Quantities increased based on uplift factor</t>
  </si>
  <si>
    <t xml:space="preserve">Recalculated metrics </t>
  </si>
  <si>
    <t>What-if Revenue</t>
  </si>
  <si>
    <t xml:space="preserve">What-if Profit </t>
  </si>
  <si>
    <t>Key Insights :</t>
  </si>
  <si>
    <t>High discounts combined with increased costs can result in negative profit margins, highlighting the sensitivity of profitability to pricing strategy.</t>
  </si>
  <si>
    <t>- Revenue is highest in Asia, indicating strong regional demand.</t>
  </si>
  <si>
    <t>- Online channels dominate revenue contribution, suggesting digital preference.</t>
  </si>
  <si>
    <t>- A small number of SKUs generate the majority of revenue.</t>
  </si>
  <si>
    <t>- Only 27% of orders meet the 7-day delivery target.</t>
  </si>
  <si>
    <t>- Discounting behavior is inconsistent, with several high-discount outliers.</t>
  </si>
  <si>
    <t>Assumptions</t>
  </si>
  <si>
    <t>Discount cap applied uniformly across all transactions</t>
  </si>
  <si>
    <t>Cost inflation affects all products equally</t>
  </si>
  <si>
    <t>Quantity uplift is evenly distributed across all regions and categories</t>
  </si>
  <si>
    <t>Missing categorical values were inferred based on available contextual data</t>
  </si>
  <si>
    <t>Limitations</t>
  </si>
  <si>
    <t>Some imputations were based on assumptions due to missing data</t>
  </si>
  <si>
    <t>Scenario model assumes linear relationships between variables</t>
  </si>
  <si>
    <t>Dashboard</t>
  </si>
  <si>
    <t>A dashboard was created to visualize:</t>
  </si>
  <si>
    <t xml:space="preserve"> Revenue trends</t>
  </si>
  <si>
    <t>Profit Distribution</t>
  </si>
  <si>
    <t>Product performance</t>
  </si>
  <si>
    <t>Scenario comparisons</t>
  </si>
  <si>
    <t>Conclusion</t>
  </si>
  <si>
    <t>The project demonstrates:</t>
  </si>
  <si>
    <t>Data cleaning and preparation skills</t>
  </si>
  <si>
    <t>Analytical thinking and business insight generation</t>
  </si>
  <si>
    <t>Ability to build scenario-based models</t>
  </si>
  <si>
    <t>Capability to present findings in a structured format</t>
  </si>
  <si>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</si>
  <si>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</si>
  <si>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</si>
  <si>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</si>
  <si>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</si>
  <si>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</si>
  <si>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</si>
  <si>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</si>
  <si>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</si>
  <si>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</si>
  <si>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</si>
  <si>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</si>
  <si>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</si>
  <si>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</si>
  <si>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</si>
  <si>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</si>
  <si>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Africa</t>
  </si>
  <si>
    <t>Kenya</t>
  </si>
  <si>
    <t>Kisumu</t>
  </si>
  <si>
    <t>Corporate</t>
  </si>
  <si>
    <t>Retail</t>
  </si>
  <si>
    <t>C. Otieno</t>
  </si>
  <si>
    <t>Components</t>
  </si>
  <si>
    <t>CMP-8270</t>
  </si>
  <si>
    <t>ORD-2024-358795</t>
  </si>
  <si>
    <t>Nigeria</t>
  </si>
  <si>
    <t>Port Harcourt</t>
  </si>
  <si>
    <t>Education</t>
  </si>
  <si>
    <t>Online</t>
  </si>
  <si>
    <t>J. Njeri</t>
  </si>
  <si>
    <t>Printers</t>
  </si>
  <si>
    <t>PRN-9322</t>
  </si>
  <si>
    <t>ORD-2023-373538</t>
  </si>
  <si>
    <t>Nairobi</t>
  </si>
  <si>
    <t>I. Johnson</t>
  </si>
  <si>
    <t>Networking</t>
  </si>
  <si>
    <t>NET-9666</t>
  </si>
  <si>
    <t>ORD-2025-168148</t>
  </si>
  <si>
    <t>Lagos</t>
  </si>
  <si>
    <t>Non-Profit</t>
  </si>
  <si>
    <t>Marketplace</t>
  </si>
  <si>
    <t>G. Dubois</t>
  </si>
  <si>
    <t>Phones</t>
  </si>
  <si>
    <t>PHN-4556</t>
  </si>
  <si>
    <t>ORD-2023-824839</t>
  </si>
  <si>
    <t>Asia</t>
  </si>
  <si>
    <t>Japan</t>
  </si>
  <si>
    <t>Osaka</t>
  </si>
  <si>
    <t>Consumer</t>
  </si>
  <si>
    <t>L. Okafor</t>
  </si>
  <si>
    <t>PRN-8041</t>
  </si>
  <si>
    <t>ORD-2023-723587</t>
  </si>
  <si>
    <t>Americas</t>
  </si>
  <si>
    <t>Canada</t>
  </si>
  <si>
    <t>Toronto</t>
  </si>
  <si>
    <t>Distributor</t>
  </si>
  <si>
    <t>B. Chen</t>
  </si>
  <si>
    <t>Laptops</t>
  </si>
  <si>
    <t>LAP-8555</t>
  </si>
  <si>
    <t>ORD-2024-336584</t>
  </si>
  <si>
    <t>India</t>
  </si>
  <si>
    <t>Bengaluru</t>
  </si>
  <si>
    <t>Small Business</t>
  </si>
  <si>
    <t>E. Garcia</t>
  </si>
  <si>
    <t>Monitors</t>
  </si>
  <si>
    <t>MON-8629</t>
  </si>
  <si>
    <t>ORD-2023-112666</t>
  </si>
  <si>
    <t>Abuja</t>
  </si>
  <si>
    <t>O. Wang</t>
  </si>
  <si>
    <t>PRN-6276</t>
  </si>
  <si>
    <t>ORD-2024-589570</t>
  </si>
  <si>
    <t>MON-6892</t>
  </si>
  <si>
    <t>ORD-2025-997421</t>
  </si>
  <si>
    <t>Brazil</t>
  </si>
  <si>
    <t>São Paulo</t>
  </si>
  <si>
    <t>A. Patel</t>
  </si>
  <si>
    <t>CMP-3731</t>
  </si>
  <si>
    <t>ORD-2024-210687</t>
  </si>
  <si>
    <t>Europe</t>
  </si>
  <si>
    <t>Germany</t>
  </si>
  <si>
    <t>Berlin</t>
  </si>
  <si>
    <t>Accessories</t>
  </si>
  <si>
    <t>ACC-7938</t>
  </si>
  <si>
    <t>ORD-2025-515515</t>
  </si>
  <si>
    <t>F. Müller</t>
  </si>
  <si>
    <t>PHN-7019</t>
  </si>
  <si>
    <t>ORD-2025-487261</t>
  </si>
  <si>
    <t>Brasília</t>
  </si>
  <si>
    <t>CMP-3693</t>
  </si>
  <si>
    <t>ORD-2024-890180</t>
  </si>
  <si>
    <t>France</t>
  </si>
  <si>
    <t>Marseille</t>
  </si>
  <si>
    <t>H. Kim</t>
  </si>
  <si>
    <t>PRN-8392</t>
  </si>
  <si>
    <t>ORD-2025-840976</t>
  </si>
  <si>
    <t>K. Singh</t>
  </si>
  <si>
    <t>ACC-1663</t>
  </si>
  <si>
    <t>ORD-2023-937291</t>
  </si>
  <si>
    <t>Direct</t>
  </si>
  <si>
    <t>LAP-1698</t>
  </si>
  <si>
    <t>ORD-2024-206081</t>
  </si>
  <si>
    <t>PRN-6791</t>
  </si>
  <si>
    <t>ORD-2025-233883</t>
  </si>
  <si>
    <t>PHN-1197</t>
  </si>
  <si>
    <t>ORD-2025-843974</t>
  </si>
  <si>
    <t>Enterprise</t>
  </si>
  <si>
    <t>ACC-8098</t>
  </si>
  <si>
    <t>ORD-2025-745263</t>
  </si>
  <si>
    <t>United Kingdom</t>
  </si>
  <si>
    <t>Birmingham</t>
  </si>
  <si>
    <t>M. Rossi</t>
  </si>
  <si>
    <t>LAP-3385</t>
  </si>
  <si>
    <t>ORD-2024-798002</t>
  </si>
  <si>
    <t>Mombasa</t>
  </si>
  <si>
    <t>LAP-9815</t>
  </si>
  <si>
    <t>ORD-2023-867836</t>
  </si>
  <si>
    <t>China</t>
  </si>
  <si>
    <t>Shenzhen</t>
  </si>
  <si>
    <t>NET-3255</t>
  </si>
  <si>
    <t>ORD-2025-580047</t>
  </si>
  <si>
    <t>ACC-3961</t>
  </si>
  <si>
    <t>ORD-2024-500109</t>
  </si>
  <si>
    <t>USA</t>
  </si>
  <si>
    <t>Chicago</t>
  </si>
  <si>
    <t>LAP-4987</t>
  </si>
  <si>
    <t>ORD-2023-271836</t>
  </si>
  <si>
    <t>N. Brown</t>
  </si>
  <si>
    <t>CMP-2693</t>
  </si>
  <si>
    <t>ORD-2024-215294</t>
  </si>
  <si>
    <t>ACC-8683</t>
  </si>
  <si>
    <t>ORD-2024-788105</t>
  </si>
  <si>
    <t>PRN-4170</t>
  </si>
  <si>
    <t>ORD-2024-855073</t>
  </si>
  <si>
    <t>PHN-6854</t>
  </si>
  <si>
    <t>ORD-2023-897079</t>
  </si>
  <si>
    <t>Nakuru</t>
  </si>
  <si>
    <t>PHN-1784</t>
  </si>
  <si>
    <t>ORD-2025-548982</t>
  </si>
  <si>
    <t>Lyon</t>
  </si>
  <si>
    <t>NET-9716</t>
  </si>
  <si>
    <t>ORD-2024-170313</t>
  </si>
  <si>
    <t>Delhi</t>
  </si>
  <si>
    <t>CMP-6919</t>
  </si>
  <si>
    <t>ORD-2023-562894</t>
  </si>
  <si>
    <t>Montreal</t>
  </si>
  <si>
    <t>D. Smith</t>
  </si>
  <si>
    <t>PHN-4854</t>
  </si>
  <si>
    <t>ORD-2025-474710</t>
  </si>
  <si>
    <t>South Africa</t>
  </si>
  <si>
    <t>Johannesburg</t>
  </si>
  <si>
    <t>NET-7966</t>
  </si>
  <si>
    <t>ORD-2024-629525</t>
  </si>
  <si>
    <t>London</t>
  </si>
  <si>
    <t>LAP-9932</t>
  </si>
  <si>
    <t>ORD-2024-167215</t>
  </si>
  <si>
    <t>CMP-1559</t>
  </si>
  <si>
    <t>ORD-2023-864121</t>
  </si>
  <si>
    <t>PRN-4506</t>
  </si>
  <si>
    <t>ORD-2024-692673</t>
  </si>
  <si>
    <t>Munich</t>
  </si>
  <si>
    <t>CMP-7617</t>
  </si>
  <si>
    <t>ORD-2025-718992</t>
  </si>
  <si>
    <t>Shanghai</t>
  </si>
  <si>
    <t>CMP-8390</t>
  </si>
  <si>
    <t>ORD-2024-599522</t>
  </si>
  <si>
    <t>PRN-7303</t>
  </si>
  <si>
    <t>ORD-2023-651638</t>
  </si>
  <si>
    <t>San Francisco</t>
  </si>
  <si>
    <t>PRN-6536</t>
  </si>
  <si>
    <t>ORD-2024-635626</t>
  </si>
  <si>
    <t>MON-9967</t>
  </si>
  <si>
    <t>ORD-2024-296582</t>
  </si>
  <si>
    <t>Durban</t>
  </si>
  <si>
    <t>NET-1412</t>
  </si>
  <si>
    <t>ORD-2024-998320</t>
  </si>
  <si>
    <t>PRN-3143</t>
  </si>
  <si>
    <t>ORD-2025-820255</t>
  </si>
  <si>
    <t>PRN-9787</t>
  </si>
  <si>
    <t>ORD-2024-389336</t>
  </si>
  <si>
    <t>Vancouver</t>
  </si>
  <si>
    <t>CMP-5946</t>
  </si>
  <si>
    <t>ORD-2023-308124</t>
  </si>
  <si>
    <t>NET-2062</t>
  </si>
  <si>
    <t>ORD-2023-128295</t>
  </si>
  <si>
    <t>PRN-2542</t>
  </si>
  <si>
    <t>ORD-2024-548345</t>
  </si>
  <si>
    <t>NET-2365</t>
  </si>
  <si>
    <t>ORD-2024-966651</t>
  </si>
  <si>
    <t>NET-5268</t>
  </si>
  <si>
    <t>ORD-2023-292714</t>
  </si>
  <si>
    <t>PRN-1504</t>
  </si>
  <si>
    <t>ORD-2024-468501</t>
  </si>
  <si>
    <t>ACC-6348</t>
  </si>
  <si>
    <t>ORD-2024-260775</t>
  </si>
  <si>
    <t>MON-4330</t>
  </si>
  <si>
    <t>ORD-2023-419187</t>
  </si>
  <si>
    <t>LAP-7819</t>
  </si>
  <si>
    <t>ORD-2025-578007</t>
  </si>
  <si>
    <t>LAP-3779</t>
  </si>
  <si>
    <t>ORD-2023-235230</t>
  </si>
  <si>
    <t>NET-9989</t>
  </si>
  <si>
    <t>ORD-2025-765220</t>
  </si>
  <si>
    <t>MON-4925</t>
  </si>
  <si>
    <t>ORD-2025-931538</t>
  </si>
  <si>
    <t>LAP-6989</t>
  </si>
  <si>
    <t>ORD-2024-289089</t>
  </si>
  <si>
    <t>ACC-5780</t>
  </si>
  <si>
    <t>ORD-2025-639542</t>
  </si>
  <si>
    <t>ACC-1770</t>
  </si>
  <si>
    <t>ORD-2025-762301</t>
  </si>
  <si>
    <t>ACC-2252</t>
  </si>
  <si>
    <t>ORD-2024-906395</t>
  </si>
  <si>
    <t>CMP-8002</t>
  </si>
  <si>
    <t>ORD-2025-779574</t>
  </si>
  <si>
    <t>Tokyo</t>
  </si>
  <si>
    <t>CMP-6971</t>
  </si>
  <si>
    <t>ORD-2025-526650</t>
  </si>
  <si>
    <t>Paris</t>
  </si>
  <si>
    <t>PHN-8350</t>
  </si>
  <si>
    <t>ORD-2024-247979</t>
  </si>
  <si>
    <t>Mumbai</t>
  </si>
  <si>
    <t>MON-5188</t>
  </si>
  <si>
    <t>ORD-2023-480975</t>
  </si>
  <si>
    <t>LAP-3393</t>
  </si>
  <si>
    <t>ORD-2023-239789</t>
  </si>
  <si>
    <t>Rio de Janeiro</t>
  </si>
  <si>
    <t>PHN-4644</t>
  </si>
  <si>
    <t>ORD-2023-548874</t>
  </si>
  <si>
    <t>Manchester</t>
  </si>
  <si>
    <t>ACC-9150</t>
  </si>
  <si>
    <t>ORD-2024-347736</t>
  </si>
  <si>
    <t>Nagoya</t>
  </si>
  <si>
    <t>MON-6870</t>
  </si>
  <si>
    <t>ORD-2023-749324</t>
  </si>
  <si>
    <t>MON-2296</t>
  </si>
  <si>
    <t>ORD-2023-809913</t>
  </si>
  <si>
    <t>CMP-7371</t>
  </si>
  <si>
    <t>ORD-2024-287210</t>
  </si>
  <si>
    <t>ACC-2761</t>
  </si>
  <si>
    <t>ORD-2025-640677</t>
  </si>
  <si>
    <t>LAP-4517</t>
  </si>
  <si>
    <t>ORD-2024-939873</t>
  </si>
  <si>
    <t>LAP-8489</t>
  </si>
  <si>
    <t>ORD-2024-800947</t>
  </si>
  <si>
    <t>NET-1846</t>
  </si>
  <si>
    <t>ORD-2023-382272</t>
  </si>
  <si>
    <t>CMP-5208</t>
  </si>
  <si>
    <t>ORD-2023-722117</t>
  </si>
  <si>
    <t>CMP-1009</t>
  </si>
  <si>
    <t>ORD-2024-446699</t>
  </si>
  <si>
    <t>ACC-4490</t>
  </si>
  <si>
    <t>ORD-2024-451005</t>
  </si>
  <si>
    <t>ACC-9162</t>
  </si>
  <si>
    <t>ORD-2023-290279</t>
  </si>
  <si>
    <t>CMP-5820</t>
  </si>
  <si>
    <t>ORD-2024-192263</t>
  </si>
  <si>
    <t>MON-7943</t>
  </si>
  <si>
    <t>ORD-2023-159379</t>
  </si>
  <si>
    <t>Cape Town</t>
  </si>
  <si>
    <t>NET-5018</t>
  </si>
  <si>
    <t>ORD-2023-343322</t>
  </si>
  <si>
    <t>PRN-9669</t>
  </si>
  <si>
    <t>ORD-2025-114382</t>
  </si>
  <si>
    <t>CMP-2865</t>
  </si>
  <si>
    <t>ORD-2025-488349</t>
  </si>
  <si>
    <t>MON-3371</t>
  </si>
  <si>
    <t>ORD-2025-330203</t>
  </si>
  <si>
    <t>NET-7166</t>
  </si>
  <si>
    <t>ORD-2023-841426</t>
  </si>
  <si>
    <t>CMP-4531</t>
  </si>
  <si>
    <t>ORD-2024-594592</t>
  </si>
  <si>
    <t>CMP-8196</t>
  </si>
  <si>
    <t>ORD-2025-863978</t>
  </si>
  <si>
    <t>CMP-2854</t>
  </si>
  <si>
    <t>ORD-2024-604471</t>
  </si>
  <si>
    <t>MON-8973</t>
  </si>
  <si>
    <t>ORD-2023-258768</t>
  </si>
  <si>
    <t>MON-2990</t>
  </si>
  <si>
    <t>ORD-2025-626047</t>
  </si>
  <si>
    <t>NET-1966</t>
  </si>
  <si>
    <t>ORD-2025-526752</t>
  </si>
  <si>
    <t>Hyderabad</t>
  </si>
  <si>
    <t>PHN-3482</t>
  </si>
  <si>
    <t>ORD-2023-374486</t>
  </si>
  <si>
    <t>PRN-6490</t>
  </si>
  <si>
    <t>ORD-2024-997336</t>
  </si>
  <si>
    <t>ACC-9038</t>
  </si>
  <si>
    <t>ORD-2025-725646</t>
  </si>
  <si>
    <t>PHN-6954</t>
  </si>
  <si>
    <t>ORD-2023-868734</t>
  </si>
  <si>
    <t>PRN-8970</t>
  </si>
  <si>
    <t>ORD-2025-262491</t>
  </si>
  <si>
    <t>MON-1822</t>
  </si>
  <si>
    <t>ORD-2024-638884</t>
  </si>
  <si>
    <t>ACC-5177</t>
  </si>
  <si>
    <t>ORD-2025-541501</t>
  </si>
  <si>
    <t>NET-1804</t>
  </si>
  <si>
    <t>ORD-2023-422918</t>
  </si>
  <si>
    <t>LAP-3679</t>
  </si>
  <si>
    <t>ORD-2025-328504</t>
  </si>
  <si>
    <t>PHN-8368</t>
  </si>
  <si>
    <t>ORD-2024-851883</t>
  </si>
  <si>
    <t>CMP-8141</t>
  </si>
  <si>
    <t>ORD-2025-662997</t>
  </si>
  <si>
    <t>LAP-7136</t>
  </si>
  <si>
    <t>ORD-2024-478165</t>
  </si>
  <si>
    <t>ACC-2386</t>
  </si>
  <si>
    <t>ORD-2024-771210</t>
  </si>
  <si>
    <t>LAP-5150</t>
  </si>
  <si>
    <t>ORD-2024-155337</t>
  </si>
  <si>
    <t>CMP-8101</t>
  </si>
  <si>
    <t>ORD-2023-251563</t>
  </si>
  <si>
    <t>PHN-8970</t>
  </si>
  <si>
    <t>ORD-2024-286833</t>
  </si>
  <si>
    <t>PHN-2341</t>
  </si>
  <si>
    <t>ORD-2024-792558</t>
  </si>
  <si>
    <t>NET-6387</t>
  </si>
  <si>
    <t>ORD-2024-166150</t>
  </si>
  <si>
    <t>ACC-9820</t>
  </si>
  <si>
    <t>ORD-2024-909942</t>
  </si>
  <si>
    <t>CMP-6392</t>
  </si>
  <si>
    <t>ORD-2024-223618</t>
  </si>
  <si>
    <t>LAP-9230</t>
  </si>
  <si>
    <t>ORD-2024-919471</t>
  </si>
  <si>
    <t>NET-4241</t>
  </si>
  <si>
    <t>ORD-2025-649239</t>
  </si>
  <si>
    <t>Austin</t>
  </si>
  <si>
    <t>ACC-4511</t>
  </si>
  <si>
    <t>ORD-2023-975863</t>
  </si>
  <si>
    <t>NET-3033</t>
  </si>
  <si>
    <t>ORD-2023-869884</t>
  </si>
  <si>
    <t>MON-2828</t>
  </si>
  <si>
    <t>ORD-2025-698069</t>
  </si>
  <si>
    <t>PRN-6429</t>
  </si>
  <si>
    <t>ORD-2024-474999</t>
  </si>
  <si>
    <t>Frankfurt</t>
  </si>
  <si>
    <t>LAP-8214</t>
  </si>
  <si>
    <t>ORD-2023-427304</t>
  </si>
  <si>
    <t>Beijing</t>
  </si>
  <si>
    <t>MON-9194</t>
  </si>
  <si>
    <t>ORD-2025-956101</t>
  </si>
  <si>
    <t>LAP-2218</t>
  </si>
  <si>
    <t>ORD-2025-184082</t>
  </si>
  <si>
    <t>NET-6370</t>
  </si>
  <si>
    <t>ORD-2023-576840</t>
  </si>
  <si>
    <t>MON-3745</t>
  </si>
  <si>
    <t>ORD-2023-178249</t>
  </si>
  <si>
    <t>PHN-7924</t>
  </si>
  <si>
    <t>ORD-2024-588972</t>
  </si>
  <si>
    <t>NET-8561</t>
  </si>
  <si>
    <t>ORD-2023-603238</t>
  </si>
  <si>
    <t>CMP-2136</t>
  </si>
  <si>
    <t>ORD-2023-883066</t>
  </si>
  <si>
    <t>CMP-6352</t>
  </si>
  <si>
    <t>ORD-2024-584090</t>
  </si>
  <si>
    <t>CMP-2040</t>
  </si>
  <si>
    <t>ORD-2025-537785</t>
  </si>
  <si>
    <t>CMP-6346</t>
  </si>
  <si>
    <t>ORD-2024-605518</t>
  </si>
  <si>
    <t>PHN-4356</t>
  </si>
  <si>
    <t>ORD-2023-521818</t>
  </si>
  <si>
    <t>NET-4155</t>
  </si>
  <si>
    <t>ORD-2025-650719</t>
  </si>
  <si>
    <t>MON-5179</t>
  </si>
  <si>
    <t>ORD-2025-501927</t>
  </si>
  <si>
    <t>ACC-4056</t>
  </si>
  <si>
    <t>ORD-2023-430904</t>
  </si>
  <si>
    <t>LAP-9782</t>
  </si>
  <si>
    <t>ORD-2025-354346</t>
  </si>
  <si>
    <t>PHN-2875</t>
  </si>
  <si>
    <t>ORD-2024-164288</t>
  </si>
  <si>
    <t>PRN-4788</t>
  </si>
  <si>
    <t>ORD-2023-867285</t>
  </si>
  <si>
    <t>MON-3043</t>
  </si>
  <si>
    <t>ORD-2024-836421</t>
  </si>
  <si>
    <t>CMP-3720</t>
  </si>
  <si>
    <t>ORD-2023-613287</t>
  </si>
  <si>
    <t>PHN-8014</t>
  </si>
  <si>
    <t>ORD-2024-783321</t>
  </si>
  <si>
    <t>PRN-4911</t>
  </si>
  <si>
    <t>ORD-2024-232632</t>
  </si>
  <si>
    <t>ACC-1021</t>
  </si>
  <si>
    <t>ORD-2023-906481</t>
  </si>
  <si>
    <t>MON-2266</t>
  </si>
  <si>
    <t>ORD-2024-902741</t>
  </si>
  <si>
    <t>PHN-8057</t>
  </si>
  <si>
    <t>ORD-2023-912395</t>
  </si>
  <si>
    <t>New York</t>
  </si>
  <si>
    <t>ACC-7078</t>
  </si>
  <si>
    <t>ORD-2024-389102</t>
  </si>
  <si>
    <t>PRN-4453</t>
  </si>
  <si>
    <t>ORD-2023-309373</t>
  </si>
  <si>
    <t>NET-2394</t>
  </si>
  <si>
    <t>ORD-2023-825495</t>
  </si>
  <si>
    <t>LAP-1525</t>
  </si>
  <si>
    <t>ORD-2025-244832</t>
  </si>
  <si>
    <t>LAP-3278</t>
  </si>
  <si>
    <t>ORD-2024-211453</t>
  </si>
  <si>
    <t>ACC-6543</t>
  </si>
  <si>
    <t>ORD-2023-192324</t>
  </si>
  <si>
    <t>PRN-4432</t>
  </si>
  <si>
    <t>ORD-2024-438404</t>
  </si>
  <si>
    <t>PHN-4568</t>
  </si>
  <si>
    <t>ORD-2025-246470</t>
  </si>
  <si>
    <t>PRN-6178</t>
  </si>
  <si>
    <t>ORD-2023-497686</t>
  </si>
  <si>
    <t>LAP-6342</t>
  </si>
  <si>
    <t>ORD-2023-596758</t>
  </si>
  <si>
    <t>PRN-8175</t>
  </si>
  <si>
    <t>ORD-2024-201376</t>
  </si>
  <si>
    <t>PRN-7089</t>
  </si>
  <si>
    <t>ORD-2023-842488</t>
  </si>
  <si>
    <t>ACC-4124</t>
  </si>
  <si>
    <t>ORD-2024-136321</t>
  </si>
  <si>
    <t>NET-7924</t>
  </si>
  <si>
    <t>ORD-2024-764468</t>
  </si>
  <si>
    <t>NET-8761</t>
  </si>
  <si>
    <t>ORD-2024-553449</t>
  </si>
  <si>
    <t>CMP-3875</t>
  </si>
  <si>
    <t>ORD-2025-766923</t>
  </si>
  <si>
    <t>ACC-3989</t>
  </si>
  <si>
    <t>ORD-2025-418232</t>
  </si>
  <si>
    <t>PHN-9234</t>
  </si>
  <si>
    <t>ORD-2023-848013</t>
  </si>
  <si>
    <t>MON-9906</t>
  </si>
  <si>
    <t>ORD-2024-357368</t>
  </si>
  <si>
    <t>CMP-4610</t>
  </si>
  <si>
    <t>ORD-2024-219735</t>
  </si>
  <si>
    <t>PHN-5445</t>
  </si>
  <si>
    <t>ORD-2023-240507</t>
  </si>
  <si>
    <t>MON-9227</t>
  </si>
  <si>
    <t>ORD-2024-134084</t>
  </si>
  <si>
    <t>PRN-4097</t>
  </si>
  <si>
    <t>ORD-2023-884625</t>
  </si>
  <si>
    <t>MON-6699</t>
  </si>
  <si>
    <t>ORD-2023-157993</t>
  </si>
  <si>
    <t>LAP-1482</t>
  </si>
  <si>
    <t>ORD-2024-329104</t>
  </si>
  <si>
    <t>MON-2100</t>
  </si>
  <si>
    <t>ORD-2023-304451</t>
  </si>
  <si>
    <t>MON-7602</t>
  </si>
  <si>
    <t>ORD-2024-942981</t>
  </si>
  <si>
    <t>CMP-1072</t>
  </si>
  <si>
    <t>ORD-2024-605629</t>
  </si>
  <si>
    <t>ACC-2735</t>
  </si>
  <si>
    <t>ORD-2023-450877</t>
  </si>
  <si>
    <t>CMP-5211</t>
  </si>
  <si>
    <t>ORD-2023-286994</t>
  </si>
  <si>
    <t>CMP-1632</t>
  </si>
  <si>
    <t>ORD-2025-700847</t>
  </si>
  <si>
    <t>LAP-7099</t>
  </si>
  <si>
    <t>ORD-2024-970848</t>
  </si>
  <si>
    <t>PRN-3785</t>
  </si>
  <si>
    <t>ORD-2025-845715</t>
  </si>
  <si>
    <t>MON-6962</t>
  </si>
  <si>
    <t>ORD-2023-664749</t>
  </si>
  <si>
    <t>PRN-5107</t>
  </si>
  <si>
    <t>ORD-2024-960952</t>
  </si>
  <si>
    <t>CMP-9264</t>
  </si>
  <si>
    <t>ORD-2023-987700</t>
  </si>
  <si>
    <t>MON-5259</t>
  </si>
  <si>
    <t>ORD-2025-652467</t>
  </si>
  <si>
    <t>PRN-8137</t>
  </si>
  <si>
    <t>ORD-2025-667201</t>
  </si>
  <si>
    <t>ACC-6777</t>
  </si>
  <si>
    <t>ORD-2024-237478</t>
  </si>
  <si>
    <t>PHN-7488</t>
  </si>
  <si>
    <t>ORD-2025-898843</t>
  </si>
  <si>
    <t>ACC-9591</t>
  </si>
  <si>
    <t>ORD-2023-334213</t>
  </si>
  <si>
    <t>MON-5517</t>
  </si>
  <si>
    <t>ORD-2024-640340</t>
  </si>
  <si>
    <t>MON-8758</t>
  </si>
  <si>
    <t>ORD-2023-399631</t>
  </si>
  <si>
    <t>ACC-3385</t>
  </si>
  <si>
    <t>ORD-2025-542939</t>
  </si>
  <si>
    <t>MON-1593</t>
  </si>
  <si>
    <t>ACC-4631</t>
  </si>
  <si>
    <t>ORD-2023-825836</t>
  </si>
  <si>
    <t>MON-7869</t>
  </si>
  <si>
    <t>ORD-2024-503082</t>
  </si>
  <si>
    <t>MON-4271</t>
  </si>
  <si>
    <t>ORD-2024-760799</t>
  </si>
  <si>
    <t>LAP-5531</t>
  </si>
  <si>
    <t>ORD-2023-197661</t>
  </si>
  <si>
    <t>MON-7511</t>
  </si>
  <si>
    <t>ORD-2024-212990</t>
  </si>
  <si>
    <t>LAP-7979</t>
  </si>
  <si>
    <t>ORD-2023-925146</t>
  </si>
  <si>
    <t>PRN-4983</t>
  </si>
  <si>
    <t>ORD-2023-177794</t>
  </si>
  <si>
    <t>NET-5941</t>
  </si>
  <si>
    <t>ORD-2024-444710</t>
  </si>
  <si>
    <t>MON-6341</t>
  </si>
  <si>
    <t>ORD-2024-668926</t>
  </si>
  <si>
    <t>PHN-9789</t>
  </si>
  <si>
    <t>ORD-2024-968374</t>
  </si>
  <si>
    <t>PHN-5082</t>
  </si>
  <si>
    <t>ORD-2023-575584</t>
  </si>
  <si>
    <t>NET-3460</t>
  </si>
  <si>
    <t>ORD-2023-701153</t>
  </si>
  <si>
    <t>PRN-7019</t>
  </si>
  <si>
    <t>ORD-2023-382017</t>
  </si>
  <si>
    <t>PHN-3159</t>
  </si>
  <si>
    <t>ORD-2024-999607</t>
  </si>
  <si>
    <t>PRN-8604</t>
  </si>
  <si>
    <t>ORD-2023-133848</t>
  </si>
  <si>
    <t>PHN-2013</t>
  </si>
  <si>
    <t>ORD-2023-586275</t>
  </si>
  <si>
    <t>NET-6036</t>
  </si>
  <si>
    <t>ORD-2025-964661</t>
  </si>
  <si>
    <t>MON-4959</t>
  </si>
  <si>
    <t>ORD-2023-390998</t>
  </si>
  <si>
    <t>MON-1663</t>
  </si>
  <si>
    <t>ORD-2023-920483</t>
  </si>
  <si>
    <t>CMP-7256</t>
  </si>
  <si>
    <t>ORD-2025-146850</t>
  </si>
  <si>
    <t>ACC-1659</t>
  </si>
  <si>
    <t>ORD-2024-687100</t>
  </si>
  <si>
    <t>PRN-6068</t>
  </si>
  <si>
    <t>ORD-2025-629393</t>
  </si>
  <si>
    <t>ACC-8999</t>
  </si>
  <si>
    <t>ORD-2024-686712</t>
  </si>
  <si>
    <t>CMP-3978</t>
  </si>
  <si>
    <t>ORD-2025-586799</t>
  </si>
  <si>
    <t>MON-7868</t>
  </si>
  <si>
    <t>ORD-2024-988736</t>
  </si>
  <si>
    <t>PRN-3014</t>
  </si>
  <si>
    <t>ORD-2025-564184</t>
  </si>
  <si>
    <t>PHN-1671</t>
  </si>
  <si>
    <t>ORD-2023-653343</t>
  </si>
  <si>
    <t>ACC-5260</t>
  </si>
  <si>
    <t>ORD-2024-197852</t>
  </si>
  <si>
    <t>NET-7588</t>
  </si>
  <si>
    <t>ORD-2023-431328</t>
  </si>
  <si>
    <t>MON-1572</t>
  </si>
  <si>
    <t>ORD-2023-613317</t>
  </si>
  <si>
    <t>MON-2537</t>
  </si>
  <si>
    <t>ORD-2024-720756</t>
  </si>
  <si>
    <t>PRN-5666</t>
  </si>
  <si>
    <t>ORD-2024-777623</t>
  </si>
  <si>
    <t>PRN-2749</t>
  </si>
  <si>
    <t>ORD-2025-762212</t>
  </si>
  <si>
    <t>CMP-4970</t>
  </si>
  <si>
    <t>ORD-2023-271918</t>
  </si>
  <si>
    <t>ACC-3551</t>
  </si>
  <si>
    <t>ORD-2023-713375</t>
  </si>
  <si>
    <t>CMP-7063</t>
  </si>
  <si>
    <t>ORD-2025-678688</t>
  </si>
  <si>
    <t>NET-1612</t>
  </si>
  <si>
    <t>ORD-2023-501220</t>
  </si>
  <si>
    <t>LAP-9766</t>
  </si>
  <si>
    <t>ORD-2023-195665</t>
  </si>
  <si>
    <t>PHN-7274</t>
  </si>
  <si>
    <t>ORD-2023-290237</t>
  </si>
  <si>
    <t>NET-1645</t>
  </si>
  <si>
    <t>ORD-2023-302041</t>
  </si>
  <si>
    <t>ACC-5079</t>
  </si>
  <si>
    <t>ORD-2025-289139</t>
  </si>
  <si>
    <t>PRN-2098</t>
  </si>
  <si>
    <t>ORD-2023-949710</t>
  </si>
  <si>
    <t>PRN-7049</t>
  </si>
  <si>
    <t>ORD-2023-603650</t>
  </si>
  <si>
    <t>CMP-6925</t>
  </si>
  <si>
    <t>ORD-2025-757957</t>
  </si>
  <si>
    <t>PHN-2787</t>
  </si>
  <si>
    <t>ORD-2024-423853</t>
  </si>
  <si>
    <t>PRN-1141</t>
  </si>
  <si>
    <t>ORD-2024-569164</t>
  </si>
  <si>
    <t>MON-5249</t>
  </si>
  <si>
    <t>ORD-2023-946143</t>
  </si>
  <si>
    <t>CMP-8230</t>
  </si>
  <si>
    <t>ORD-2024-281211</t>
  </si>
  <si>
    <t>PRN-7816</t>
  </si>
  <si>
    <t>ORD-2024-805860</t>
  </si>
  <si>
    <t>PHN-8804</t>
  </si>
  <si>
    <t>ORD-2025-132174</t>
  </si>
  <si>
    <t>CMP-8851</t>
  </si>
  <si>
    <t>ORD-2023-964434</t>
  </si>
  <si>
    <t>PHN-2447</t>
  </si>
  <si>
    <t>ORD-2024-897622</t>
  </si>
  <si>
    <t>LAP-2846</t>
  </si>
  <si>
    <t>ORD-2023-517216</t>
  </si>
  <si>
    <t>PRN-5005</t>
  </si>
  <si>
    <t>ORD-2025-509940</t>
  </si>
  <si>
    <t>PHN-3800</t>
  </si>
  <si>
    <t>ORD-2025-646342</t>
  </si>
  <si>
    <t>LAP-4828</t>
  </si>
  <si>
    <t>ORD-2024-866535</t>
  </si>
  <si>
    <t>PRN-5492</t>
  </si>
  <si>
    <t>ORD-2023-747341</t>
  </si>
  <si>
    <t>PHN-7132</t>
  </si>
  <si>
    <t>ORD-2024-853298</t>
  </si>
  <si>
    <t>PHN-4741</t>
  </si>
  <si>
    <t>ORD-2024-544865</t>
  </si>
  <si>
    <t>LAP-2774</t>
  </si>
  <si>
    <t>ORD-2025-946490</t>
  </si>
  <si>
    <t>MON-2842</t>
  </si>
  <si>
    <t>ORD-2024-320972</t>
  </si>
  <si>
    <t>NET-2628</t>
  </si>
  <si>
    <t>ORD-2025-248586</t>
  </si>
  <si>
    <t>MON-2998</t>
  </si>
  <si>
    <t>ORD-2024-664046</t>
  </si>
  <si>
    <t>CMP-7563</t>
  </si>
  <si>
    <t>ORD-2023-276806</t>
  </si>
  <si>
    <t>LAP-6160</t>
  </si>
  <si>
    <t>ORD-2024-220234</t>
  </si>
  <si>
    <t>MON-4361</t>
  </si>
  <si>
    <t>ORD-2024-301260</t>
  </si>
  <si>
    <t>PRN-2829</t>
  </si>
  <si>
    <t>ORD-2024-350100</t>
  </si>
  <si>
    <t>MON-8939</t>
  </si>
  <si>
    <t>ORD-2024-855600</t>
  </si>
  <si>
    <t>LAP-5009</t>
  </si>
  <si>
    <t>ORD-2023-474313</t>
  </si>
  <si>
    <t>CMP-4807</t>
  </si>
  <si>
    <t>ORD-2023-256951</t>
  </si>
  <si>
    <t>NET-2439</t>
  </si>
  <si>
    <t>ORD-2025-184754</t>
  </si>
  <si>
    <t>MON-7626</t>
  </si>
  <si>
    <t>ORD-2023-888140</t>
  </si>
  <si>
    <t>ACC-3567</t>
  </si>
  <si>
    <t>ORD-2023-638181</t>
  </si>
  <si>
    <t>CMP-4630</t>
  </si>
  <si>
    <t>ORD-2023-521280</t>
  </si>
  <si>
    <t>ACC-1882</t>
  </si>
  <si>
    <t>ORD-2023-630430</t>
  </si>
  <si>
    <t>NET-9125</t>
  </si>
  <si>
    <t>ORD-2025-908258</t>
  </si>
  <si>
    <t>PHN-3819</t>
  </si>
  <si>
    <t>ORD-2025-440093</t>
  </si>
  <si>
    <t>LAP-3490</t>
  </si>
  <si>
    <t>ORD-2025-898022</t>
  </si>
  <si>
    <t>PRN-1276</t>
  </si>
  <si>
    <t>ORD-2024-500511</t>
  </si>
  <si>
    <t>MON-9733</t>
  </si>
  <si>
    <t>ORD-2023-632893</t>
  </si>
  <si>
    <t>CMP-9392</t>
  </si>
  <si>
    <t>ORD-2023-967239</t>
  </si>
  <si>
    <t>PHN-3014</t>
  </si>
  <si>
    <t>ORD-2024-885858</t>
  </si>
  <si>
    <t>PRN-6776</t>
  </si>
  <si>
    <t>ORD-2023-253245</t>
  </si>
  <si>
    <t>ACC-3951</t>
  </si>
  <si>
    <t>ORD-2025-484073</t>
  </si>
  <si>
    <t>MON-1436</t>
  </si>
  <si>
    <t>ORD-2024-745822</t>
  </si>
  <si>
    <t>MON-8651</t>
  </si>
  <si>
    <t>ORD-2023-369160</t>
  </si>
  <si>
    <t>MON-3307</t>
  </si>
  <si>
    <t>ORD-2024-834983</t>
  </si>
  <si>
    <t>PRN-8758</t>
  </si>
  <si>
    <t>ORD-2024-499009</t>
  </si>
  <si>
    <t>LAP-7056</t>
  </si>
  <si>
    <t>ORD-2024-948800</t>
  </si>
  <si>
    <t>NET-5523</t>
  </si>
  <si>
    <t>ORD-2025-678328</t>
  </si>
  <si>
    <t>ACC-8094</t>
  </si>
  <si>
    <t>ORD-2024-580808</t>
  </si>
  <si>
    <t>PHN-6832</t>
  </si>
  <si>
    <t>ORD-2023-211715</t>
  </si>
  <si>
    <t>LAP-2378</t>
  </si>
  <si>
    <t>ORD-2023-715175</t>
  </si>
  <si>
    <t>MON-5424</t>
  </si>
  <si>
    <t>ORD-2025-685236</t>
  </si>
  <si>
    <t>NET-8430</t>
  </si>
  <si>
    <t>ORD-2023-274037</t>
  </si>
  <si>
    <t>PHN-1234</t>
  </si>
  <si>
    <t>ORD-2025-983096</t>
  </si>
  <si>
    <t>LAP-9016</t>
  </si>
  <si>
    <t>ORD-2024-366010</t>
  </si>
  <si>
    <t>LAP-9931</t>
  </si>
  <si>
    <t>ORD-2023-610470</t>
  </si>
  <si>
    <t>PHN-6818</t>
  </si>
  <si>
    <t>ORD-2025-541048</t>
  </si>
  <si>
    <t>PHN-3803</t>
  </si>
  <si>
    <t>ORD-2024-862371</t>
  </si>
  <si>
    <t>NET-9835</t>
  </si>
  <si>
    <t>ORD-2024-277241</t>
  </si>
  <si>
    <t>ACC-6223</t>
  </si>
  <si>
    <t>ORD-2023-369150</t>
  </si>
  <si>
    <t>CMP-8659</t>
  </si>
  <si>
    <t>ORD-2025-922513</t>
  </si>
  <si>
    <t>ACC-4483</t>
  </si>
  <si>
    <t>ORD-2025-752845</t>
  </si>
  <si>
    <t>PRN-8763</t>
  </si>
  <si>
    <t>ORD-2023-667815</t>
  </si>
  <si>
    <t>ACC-8557</t>
  </si>
  <si>
    <t>ORD-2023-375011</t>
  </si>
  <si>
    <t>ACC-1492</t>
  </si>
  <si>
    <t>ORD-2025-487025</t>
  </si>
  <si>
    <t>CMP-3743</t>
  </si>
  <si>
    <t>ORD-2025-398335</t>
  </si>
  <si>
    <t>LAP-1619</t>
  </si>
  <si>
    <t>ORD-2024-792137</t>
  </si>
  <si>
    <t>PRN-7976</t>
  </si>
  <si>
    <t>ORD-2023-602648</t>
  </si>
  <si>
    <t>MON-4326</t>
  </si>
  <si>
    <t>ORD-2024-207096</t>
  </si>
  <si>
    <t>MON-5444</t>
  </si>
  <si>
    <t>ORD-2025-939953</t>
  </si>
  <si>
    <t>ACC-5422</t>
  </si>
  <si>
    <t>ORD-2025-191328</t>
  </si>
  <si>
    <t>CMP-9307</t>
  </si>
  <si>
    <t>ORD-2023-166668</t>
  </si>
  <si>
    <t>PRN-6520</t>
  </si>
  <si>
    <t>ORD-2023-594700</t>
  </si>
  <si>
    <t>NET-1699</t>
  </si>
  <si>
    <t>ORD-2025-278048</t>
  </si>
  <si>
    <t>PHN-5316</t>
  </si>
  <si>
    <t>ORD-2024-878493</t>
  </si>
  <si>
    <t>LAP-4607</t>
  </si>
  <si>
    <t>ORD-2025-138578</t>
  </si>
  <si>
    <t>MON-5276</t>
  </si>
  <si>
    <t>ORD-2025-944081</t>
  </si>
  <si>
    <t>ACC-9533</t>
  </si>
  <si>
    <t>ORD-2025-364852</t>
  </si>
  <si>
    <t>NET-3749</t>
  </si>
  <si>
    <t>ORD-2025-415018</t>
  </si>
  <si>
    <t>PRN-2991</t>
  </si>
  <si>
    <t>ORD-2023-884192</t>
  </si>
  <si>
    <t>LAP-4551</t>
  </si>
  <si>
    <t>ORD-2024-165942</t>
  </si>
  <si>
    <t>MON-6310</t>
  </si>
  <si>
    <t>ORD-2024-403664</t>
  </si>
  <si>
    <t>NET-1166</t>
  </si>
  <si>
    <t>ORD-2023-890605</t>
  </si>
  <si>
    <t>ACC-2903</t>
  </si>
  <si>
    <t>ORD-2024-925626</t>
  </si>
  <si>
    <t>PRN-2293</t>
  </si>
  <si>
    <t>ORD-2024-427031</t>
  </si>
  <si>
    <t>MON-1389</t>
  </si>
  <si>
    <t>ORD-2025-231184</t>
  </si>
  <si>
    <t>CMP-4093</t>
  </si>
  <si>
    <t>ORD-2023-363031</t>
  </si>
  <si>
    <t>PHN-6131</t>
  </si>
  <si>
    <t>ORD-2023-619570</t>
  </si>
  <si>
    <t>NET-4104</t>
  </si>
  <si>
    <t>ORD-2025-861401</t>
  </si>
  <si>
    <t>MON-9319</t>
  </si>
  <si>
    <t>ORD-2023-835010</t>
  </si>
  <si>
    <t>ACC-2988</t>
  </si>
  <si>
    <t>ORD-2024-819979</t>
  </si>
  <si>
    <t>PHN-9399</t>
  </si>
  <si>
    <t>ORD-2024-719055</t>
  </si>
  <si>
    <t>NET-4554</t>
  </si>
  <si>
    <t>ORD-2023-888245</t>
  </si>
  <si>
    <t>NET-5195</t>
  </si>
  <si>
    <t>ORD-2024-206121</t>
  </si>
  <si>
    <t>CMP-9801</t>
  </si>
  <si>
    <t>ORD-2024-500890</t>
  </si>
  <si>
    <t>CMP-3093</t>
  </si>
  <si>
    <t>ORD-2023-144816</t>
  </si>
  <si>
    <t>ACC-2364</t>
  </si>
  <si>
    <t>ORD-2024-153053</t>
  </si>
  <si>
    <t>CMP-5138</t>
  </si>
  <si>
    <t>ORD-2023-536542</t>
  </si>
  <si>
    <t>PHN-2337</t>
  </si>
  <si>
    <t>ORD-2025-779530</t>
  </si>
  <si>
    <t>MON-2993</t>
  </si>
  <si>
    <t>ORD-2023-163610</t>
  </si>
  <si>
    <t>LAP-9024</t>
  </si>
  <si>
    <t>ORD-2025-653781</t>
  </si>
  <si>
    <t>PHN-6307</t>
  </si>
  <si>
    <t>ORD-2025-737787</t>
  </si>
  <si>
    <t>NET-9003</t>
  </si>
  <si>
    <t>ORD-2023-944052</t>
  </si>
  <si>
    <t>ACC-3068</t>
  </si>
  <si>
    <t>ORD-2023-181257</t>
  </si>
  <si>
    <t>ACC-1060</t>
  </si>
  <si>
    <t>ORD-2025-323492</t>
  </si>
  <si>
    <t>PHN-3854</t>
  </si>
  <si>
    <t>ORD-2024-332076</t>
  </si>
  <si>
    <t>PRN-1086</t>
  </si>
  <si>
    <t>ORD-2024-571797</t>
  </si>
  <si>
    <t>PHN-7815</t>
  </si>
  <si>
    <t>ORD-2024-129345</t>
  </si>
  <si>
    <t>PRN-5384</t>
  </si>
  <si>
    <t>ORD-2023-660608</t>
  </si>
  <si>
    <t>ACC-8178</t>
  </si>
  <si>
    <t>ORD-2023-825084</t>
  </si>
  <si>
    <t>MON-1018</t>
  </si>
  <si>
    <t>ORD-2023-261081</t>
  </si>
  <si>
    <t>ACC-1238</t>
  </si>
  <si>
    <t>ORD-2023-766015</t>
  </si>
  <si>
    <t>NET-1816</t>
  </si>
  <si>
    <t>ORD-2024-333192</t>
  </si>
  <si>
    <t>PRN-4893</t>
  </si>
  <si>
    <t>ORD-2024-647473</t>
  </si>
  <si>
    <t>PHN-1717</t>
  </si>
  <si>
    <t>ORD-2024-892908</t>
  </si>
  <si>
    <t>NET-9575</t>
  </si>
  <si>
    <t>ORD-2023-573146</t>
  </si>
  <si>
    <t>LAP-3604</t>
  </si>
  <si>
    <t>ORD-2024-901115</t>
  </si>
  <si>
    <t>ACC-6626</t>
  </si>
  <si>
    <t>ORD-2023-898009</t>
  </si>
  <si>
    <t>PHN-1670</t>
  </si>
  <si>
    <t>ORD-2023-208944</t>
  </si>
  <si>
    <t>CMP-4792</t>
  </si>
  <si>
    <t>ORD-2025-480172</t>
  </si>
  <si>
    <t>LAP-1990</t>
  </si>
  <si>
    <t>ORD-2023-735274</t>
  </si>
  <si>
    <t>PRN-7410</t>
  </si>
  <si>
    <t>ORD-2023-212701</t>
  </si>
  <si>
    <t>MON-4278</t>
  </si>
  <si>
    <t>ORD-2023-479747</t>
  </si>
  <si>
    <t>ACC-5334</t>
  </si>
  <si>
    <t>ORD-2024-915495</t>
  </si>
  <si>
    <t>NET-8957</t>
  </si>
  <si>
    <t>ORD-2024-225829</t>
  </si>
  <si>
    <t>PRN-9960</t>
  </si>
  <si>
    <t>ORD-2024-921935</t>
  </si>
  <si>
    <t>ACC-3103</t>
  </si>
  <si>
    <t>ORD-2025-949776</t>
  </si>
  <si>
    <t>PRN-9490</t>
  </si>
  <si>
    <t>ORD-2024-510591</t>
  </si>
  <si>
    <t>NET-3850</t>
  </si>
  <si>
    <t>ORD-2024-961756</t>
  </si>
  <si>
    <t>ACC-7047</t>
  </si>
  <si>
    <t>ORD-2024-892173</t>
  </si>
  <si>
    <t>PRN-6660</t>
  </si>
  <si>
    <t>ORD-2024-704056</t>
  </si>
  <si>
    <t>ACC-7838</t>
  </si>
  <si>
    <t>ORD-2025-591006</t>
  </si>
  <si>
    <t>PHN-5383</t>
  </si>
  <si>
    <t>ORD-2023-159821</t>
  </si>
  <si>
    <t>LAP-3904</t>
  </si>
  <si>
    <t>ORD-2024-343877</t>
  </si>
  <si>
    <t>MON-5749</t>
  </si>
  <si>
    <t>ORD-2023-386663</t>
  </si>
  <si>
    <t>PRN-3690</t>
  </si>
  <si>
    <t>ORD-2025-125517</t>
  </si>
  <si>
    <t>CMP-7055</t>
  </si>
  <si>
    <t>ORD-2024-819778</t>
  </si>
  <si>
    <t>PHN-6866</t>
  </si>
  <si>
    <t>ORD-2025-624006</t>
  </si>
  <si>
    <t>CMP-3259</t>
  </si>
  <si>
    <t>ORD-2023-132101</t>
  </si>
  <si>
    <t>LAP-6750</t>
  </si>
  <si>
    <t>ORD-2025-306903</t>
  </si>
  <si>
    <t>PRN-3775</t>
  </si>
  <si>
    <t>ORD-2023-813340</t>
  </si>
  <si>
    <t>LAP-2942</t>
  </si>
  <si>
    <t>ORD-2023-855675</t>
  </si>
  <si>
    <t>PHN-2036</t>
  </si>
  <si>
    <t>ORD-2023-545150</t>
  </si>
  <si>
    <t>MON-4373</t>
  </si>
  <si>
    <t>ORD-2025-269934</t>
  </si>
  <si>
    <t>PRN-8657</t>
  </si>
  <si>
    <t>ORD-2024-690270</t>
  </si>
  <si>
    <t>PHN-7974</t>
  </si>
  <si>
    <t>ORD-2024-868223</t>
  </si>
  <si>
    <t>PHN-4915</t>
  </si>
  <si>
    <t>ORD-2025-188059</t>
  </si>
  <si>
    <t>NET-3535</t>
  </si>
  <si>
    <t>ORD-2023-281890</t>
  </si>
  <si>
    <t>CMP-2574</t>
  </si>
  <si>
    <t>ORD-2025-636162</t>
  </si>
  <si>
    <t>NET-7901</t>
  </si>
  <si>
    <t>ORD-2025-915869</t>
  </si>
  <si>
    <t>NET-5482</t>
  </si>
  <si>
    <t>ORD-2025-192876</t>
  </si>
  <si>
    <t>ORD-2025-822030</t>
  </si>
  <si>
    <t>NET-1336</t>
  </si>
  <si>
    <t>ORD-2025-789245</t>
  </si>
  <si>
    <t>PRN-5876</t>
  </si>
  <si>
    <t>ORD-2023-594955</t>
  </si>
  <si>
    <t>NET-3828</t>
  </si>
  <si>
    <t>ORD-2024-398783</t>
  </si>
  <si>
    <t>MON-7622</t>
  </si>
  <si>
    <t>ORD-2023-676553</t>
  </si>
  <si>
    <t>LAP-2806</t>
  </si>
  <si>
    <t>ORD-2025-866565</t>
  </si>
  <si>
    <t>PRN-8850</t>
  </si>
  <si>
    <t>ORD-2024-527858</t>
  </si>
  <si>
    <t>LAP-9100</t>
  </si>
  <si>
    <t>ORD-2023-619385</t>
  </si>
  <si>
    <t>LAP-5763</t>
  </si>
  <si>
    <t>ORD-2023-835226</t>
  </si>
  <si>
    <t>LAP-7320</t>
  </si>
  <si>
    <t>ORD-2025-485946</t>
  </si>
  <si>
    <t>MON-5891</t>
  </si>
  <si>
    <t>ORD-2024-307849</t>
  </si>
  <si>
    <t>PRN-1183</t>
  </si>
  <si>
    <t>ORD-2023-368449</t>
  </si>
  <si>
    <t>CMP-2096</t>
  </si>
  <si>
    <t>ORD-2024-251426</t>
  </si>
  <si>
    <t>PHN-3398</t>
  </si>
  <si>
    <t>ORD-2023-927385</t>
  </si>
  <si>
    <t>CMP-8545</t>
  </si>
  <si>
    <t>ORD-2025-486350</t>
  </si>
  <si>
    <t>ACC-1249</t>
  </si>
  <si>
    <t>ORD-2025-677880</t>
  </si>
  <si>
    <t>MON-9662</t>
  </si>
  <si>
    <t>ORD-2024-102866</t>
  </si>
  <si>
    <t>LAP-8347</t>
  </si>
  <si>
    <t>ORD-2025-588029</t>
  </si>
  <si>
    <t>CMP-6898</t>
  </si>
  <si>
    <t>ORD-2024-972999</t>
  </si>
  <si>
    <t>MON-3504</t>
  </si>
  <si>
    <t>ORD-2025-608069</t>
  </si>
  <si>
    <t>NET-3432</t>
  </si>
  <si>
    <t>ORD-2024-626750</t>
  </si>
  <si>
    <t>PRN-5591</t>
  </si>
  <si>
    <t>ORD-2024-170021</t>
  </si>
  <si>
    <t>CMP-2015</t>
  </si>
  <si>
    <t>ORD-2024-678110</t>
  </si>
  <si>
    <t>LAP-9901</t>
  </si>
  <si>
    <t>ORD-2025-909340</t>
  </si>
  <si>
    <t>CMP-8658</t>
  </si>
  <si>
    <t>ORD-2023-854471</t>
  </si>
  <si>
    <t>MON-2073</t>
  </si>
  <si>
    <t>ORD-2024-390951</t>
  </si>
  <si>
    <t>PRN-9378</t>
  </si>
  <si>
    <t>ORD-2025-881624</t>
  </si>
  <si>
    <t>PHN-5887</t>
  </si>
  <si>
    <t>ORD-2025-512310</t>
  </si>
  <si>
    <t>LAP-8119</t>
  </si>
  <si>
    <t>ORD-2023-674887</t>
  </si>
  <si>
    <t>ACC-9644</t>
  </si>
  <si>
    <t>ORD-2024-542244</t>
  </si>
  <si>
    <t>LAP-7009</t>
  </si>
  <si>
    <t>ORD-2024-375848</t>
  </si>
  <si>
    <t>PRN-1725</t>
  </si>
  <si>
    <t>ORD-2023-933238</t>
  </si>
  <si>
    <t>PHN-8483</t>
  </si>
  <si>
    <t>ORD-2023-732585</t>
  </si>
  <si>
    <t>PHN-3971</t>
  </si>
  <si>
    <t>ORD-2024-465898</t>
  </si>
  <si>
    <t>NET-6578</t>
  </si>
  <si>
    <t>ORD-2023-987081</t>
  </si>
  <si>
    <t>PRN-9975</t>
  </si>
  <si>
    <t>ORD-2024-655710</t>
  </si>
  <si>
    <t>ACC-1075</t>
  </si>
  <si>
    <t>ORD-2025-411385</t>
  </si>
  <si>
    <t>ACC-2902</t>
  </si>
  <si>
    <t>ORD-2025-222035</t>
  </si>
  <si>
    <t>PRN-5815</t>
  </si>
  <si>
    <t>ORD-2024-749242</t>
  </si>
  <si>
    <t>MON-4195</t>
  </si>
  <si>
    <t>ORD-2023-623293</t>
  </si>
  <si>
    <t>PHN-8478</t>
  </si>
  <si>
    <t>ORD-2025-276968</t>
  </si>
  <si>
    <t>PHN-1044</t>
  </si>
  <si>
    <t>ORD-2025-650841</t>
  </si>
  <si>
    <t>LAP-8910</t>
  </si>
  <si>
    <t>ORD-2025-831576</t>
  </si>
  <si>
    <t>PHN-2859</t>
  </si>
  <si>
    <t>ORD-2024-468655</t>
  </si>
  <si>
    <t>PRN-6308</t>
  </si>
  <si>
    <t>ORD-2024-515105</t>
  </si>
  <si>
    <t>LAP-8469</t>
  </si>
  <si>
    <t>ORD-2025-803803</t>
  </si>
  <si>
    <t>LAP-7553</t>
  </si>
  <si>
    <t>ORD-2024-993481</t>
  </si>
  <si>
    <t>PHN-3077</t>
  </si>
  <si>
    <t>ORD-2024-811752</t>
  </si>
  <si>
    <t>MON-3350</t>
  </si>
  <si>
    <t>ORD-2025-673091</t>
  </si>
  <si>
    <t>PHN-5683</t>
  </si>
  <si>
    <t>ORD-2024-381197</t>
  </si>
  <si>
    <t>PRN-2409</t>
  </si>
  <si>
    <t>ORD-2024-651852</t>
  </si>
  <si>
    <t>LAP-8825</t>
  </si>
  <si>
    <t>ORD-2023-659070</t>
  </si>
  <si>
    <t>MON-8697</t>
  </si>
  <si>
    <t>ORD-2024-837651</t>
  </si>
  <si>
    <t>MON-4789</t>
  </si>
  <si>
    <t>ORD-2024-581530</t>
  </si>
  <si>
    <t>NET-7998</t>
  </si>
  <si>
    <t>ORD-2023-378104</t>
  </si>
  <si>
    <t>PHN-8891</t>
  </si>
  <si>
    <t>ORD-2024-972318</t>
  </si>
  <si>
    <t>NET-9832</t>
  </si>
  <si>
    <t>ORD-2023-752962</t>
  </si>
  <si>
    <t>CMP-8604</t>
  </si>
  <si>
    <t>ORD-2023-808024</t>
  </si>
  <si>
    <t>ACC-6594</t>
  </si>
  <si>
    <t>ORD-2023-156396</t>
  </si>
  <si>
    <t>NET-2499</t>
  </si>
  <si>
    <t>ORD-2023-184577</t>
  </si>
  <si>
    <t>PRN-1923</t>
  </si>
  <si>
    <t>ORD-2024-446030</t>
  </si>
  <si>
    <t>PHN-4346</t>
  </si>
  <si>
    <t>ORD-2023-842820</t>
  </si>
  <si>
    <t>ACC-1375</t>
  </si>
  <si>
    <t>ORD-2024-745424</t>
  </si>
  <si>
    <t>PRN-4892</t>
  </si>
  <si>
    <t>ORD-2024-510520</t>
  </si>
  <si>
    <t>PRN-9557</t>
  </si>
  <si>
    <t>ORD-2023-769774</t>
  </si>
  <si>
    <t>PRN-8008</t>
  </si>
  <si>
    <t>ORD-2023-580751</t>
  </si>
  <si>
    <t>LAP-1946</t>
  </si>
  <si>
    <t>ORD-2025-473192</t>
  </si>
  <si>
    <t>MON-7106</t>
  </si>
  <si>
    <t>ORD-2024-886939</t>
  </si>
  <si>
    <t>MON-5386</t>
  </si>
  <si>
    <t>ORD-2024-566589</t>
  </si>
  <si>
    <t>PHN-2436</t>
  </si>
  <si>
    <t>ORD-2023-109927</t>
  </si>
  <si>
    <t>PRN-2301</t>
  </si>
  <si>
    <t>ORD-2023-780206</t>
  </si>
  <si>
    <t>ACC-3645</t>
  </si>
  <si>
    <t>ORD-2024-851993</t>
  </si>
  <si>
    <t>CMP-6811</t>
  </si>
  <si>
    <t>ORD-2025-417942</t>
  </si>
  <si>
    <t>PHN-5675</t>
  </si>
  <si>
    <t>ORD-2023-172095</t>
  </si>
  <si>
    <t>MON-6882</t>
  </si>
  <si>
    <t>ORD-2024-257550</t>
  </si>
  <si>
    <t>ACC-8620</t>
  </si>
  <si>
    <t>ORD-2023-581799</t>
  </si>
  <si>
    <t>PHN-6506</t>
  </si>
  <si>
    <t>ORD-2023-880296</t>
  </si>
  <si>
    <t>MON-5086</t>
  </si>
  <si>
    <t>ORD-2023-191563</t>
  </si>
  <si>
    <t>LAP-4899</t>
  </si>
  <si>
    <t>ORD-2024-202166</t>
  </si>
  <si>
    <t>CMP-3313</t>
  </si>
  <si>
    <t>ORD-2023-539967</t>
  </si>
  <si>
    <t>CMP-6649</t>
  </si>
  <si>
    <t>ORD-2023-704111</t>
  </si>
  <si>
    <t>ACC-5206</t>
  </si>
  <si>
    <t>ORD-2024-356812</t>
  </si>
  <si>
    <t>PRN-6911</t>
  </si>
  <si>
    <t>ORD-2025-306251</t>
  </si>
  <si>
    <t>NET-5270</t>
  </si>
  <si>
    <t>ORD-2025-496178</t>
  </si>
  <si>
    <t>CMP-5658</t>
  </si>
  <si>
    <t>ORD-2024-508213</t>
  </si>
  <si>
    <t>CMP-3938</t>
  </si>
  <si>
    <t>ORD-2024-787018</t>
  </si>
  <si>
    <t>ACC-7671</t>
  </si>
  <si>
    <t>ORD-2023-728177</t>
  </si>
  <si>
    <t>NET-6014</t>
  </si>
  <si>
    <t>ORD-2025-795385</t>
  </si>
  <si>
    <t>CMP-4159</t>
  </si>
  <si>
    <t>ORD-2025-947929</t>
  </si>
  <si>
    <t>PRN-3159</t>
  </si>
  <si>
    <t>ORD-2023-931633</t>
  </si>
  <si>
    <t>PRN-9488</t>
  </si>
  <si>
    <t>ORD-2023-243704</t>
  </si>
  <si>
    <t>PRN-7079</t>
  </si>
  <si>
    <t>ORD-2025-779659</t>
  </si>
  <si>
    <t>CMP-1220</t>
  </si>
  <si>
    <t>ORD-2024-647571</t>
  </si>
  <si>
    <t>MON-2462</t>
  </si>
  <si>
    <t>ORD-2025-683043</t>
  </si>
  <si>
    <t>PHN-9465</t>
  </si>
  <si>
    <t>ORD-2023-588455</t>
  </si>
  <si>
    <t>PRN-1271</t>
  </si>
  <si>
    <t>ORD-2024-641220</t>
  </si>
  <si>
    <t>LAP-1066</t>
  </si>
  <si>
    <t>ORD-2023-799597</t>
  </si>
  <si>
    <t>CMP-8675</t>
  </si>
  <si>
    <t>ORD-2023-569862</t>
  </si>
  <si>
    <t>LAP-1178</t>
  </si>
  <si>
    <t>ORD-2023-609394</t>
  </si>
  <si>
    <t>ACC-1731</t>
  </si>
  <si>
    <t>ORD-2024-105586</t>
  </si>
  <si>
    <t>NET-1893</t>
  </si>
  <si>
    <t>ORD-2024-207792</t>
  </si>
  <si>
    <t>PRN-3917</t>
  </si>
  <si>
    <t>ORD-2025-417336</t>
  </si>
  <si>
    <t>LAP-3220</t>
  </si>
  <si>
    <t>ORD-2025-252117</t>
  </si>
  <si>
    <t>PHN-2462</t>
  </si>
  <si>
    <t>ORD-2023-867175</t>
  </si>
  <si>
    <t>NET-2894</t>
  </si>
  <si>
    <t>ORD-2024-382152</t>
  </si>
  <si>
    <t>CMP-2335</t>
  </si>
  <si>
    <t>ORD-2023-597666</t>
  </si>
  <si>
    <t>PHN-5938</t>
  </si>
  <si>
    <t>ORD-2024-371409</t>
  </si>
  <si>
    <t>PRN-1371</t>
  </si>
  <si>
    <t>ORD-2024-973420</t>
  </si>
  <si>
    <t>PRN-5813</t>
  </si>
  <si>
    <t>ORD-2025-254721</t>
  </si>
  <si>
    <t>PHN-6480</t>
  </si>
  <si>
    <t>ORD-2024-247032</t>
  </si>
  <si>
    <t>ACC-2990</t>
  </si>
  <si>
    <t>ORD-2024-792353</t>
  </si>
  <si>
    <t>CMP-5435</t>
  </si>
  <si>
    <t>ORD-2025-703623</t>
  </si>
  <si>
    <t>ACC-1596</t>
  </si>
  <si>
    <t>ORD-2024-516704</t>
  </si>
  <si>
    <t>PHN-7852</t>
  </si>
  <si>
    <t>ORD-2024-578646</t>
  </si>
  <si>
    <t>ACC-7240</t>
  </si>
  <si>
    <t>ORD-2024-433936</t>
  </si>
  <si>
    <t>MON-8867</t>
  </si>
  <si>
    <t>ORD-2023-434071</t>
  </si>
  <si>
    <t>NET-1228</t>
  </si>
  <si>
    <t>ORD-2024-728474</t>
  </si>
  <si>
    <t>NET-1145</t>
  </si>
  <si>
    <t>ORD-2023-406606</t>
  </si>
  <si>
    <t>ACC-2867</t>
  </si>
  <si>
    <t>ORD-2025-823055</t>
  </si>
  <si>
    <t>MON-9274</t>
  </si>
  <si>
    <t>ORD-2023-573656</t>
  </si>
  <si>
    <t>MON-4830</t>
  </si>
  <si>
    <t>ORD-2024-567435</t>
  </si>
  <si>
    <t>PHN-9107</t>
  </si>
  <si>
    <t>ORD-2023-744942</t>
  </si>
  <si>
    <t>PRN-1060</t>
  </si>
  <si>
    <t>ORD-2025-331237</t>
  </si>
  <si>
    <t>NET-8329</t>
  </si>
  <si>
    <t>ORD-2025-680118</t>
  </si>
  <si>
    <t>NET-6269</t>
  </si>
  <si>
    <t>ORD-2024-310809</t>
  </si>
  <si>
    <t>CMP-6529</t>
  </si>
  <si>
    <t>ORD-2025-474368</t>
  </si>
  <si>
    <t>PHN-8776</t>
  </si>
  <si>
    <t>ORD-2024-732543</t>
  </si>
  <si>
    <t>NET-3728</t>
  </si>
  <si>
    <t>ORD-2023-867166</t>
  </si>
  <si>
    <t>LAP-3565</t>
  </si>
  <si>
    <t>ORD-2024-776337</t>
  </si>
  <si>
    <t>LAP-5078</t>
  </si>
  <si>
    <t>ORD-2023-913592</t>
  </si>
  <si>
    <t>MON-2465</t>
  </si>
  <si>
    <t>ORD-2024-961501</t>
  </si>
  <si>
    <t>CMP-3223</t>
  </si>
  <si>
    <t>ORD-2024-964950</t>
  </si>
  <si>
    <t>CMP-8127</t>
  </si>
  <si>
    <t>ORD-2023-349264</t>
  </si>
  <si>
    <t>PHN-1924</t>
  </si>
  <si>
    <t>ORD-2025-137394</t>
  </si>
  <si>
    <t>CMP-1156</t>
  </si>
  <si>
    <t>ORD-2025-635337</t>
  </si>
  <si>
    <t>LAP-3905</t>
  </si>
  <si>
    <t>ORD-2023-568013</t>
  </si>
  <si>
    <t>PRN-1786</t>
  </si>
  <si>
    <t>ORD-2025-828263</t>
  </si>
  <si>
    <t>ACC-3349</t>
  </si>
  <si>
    <t>ORD-2024-402240</t>
  </si>
  <si>
    <t>NET-4228</t>
  </si>
  <si>
    <t>ORD-2023-125739</t>
  </si>
  <si>
    <t>CMP-5633</t>
  </si>
  <si>
    <t>ORD-2024-892879</t>
  </si>
  <si>
    <t>CMP-5825</t>
  </si>
  <si>
    <t>ORD-2023-472050</t>
  </si>
  <si>
    <t>LAP-6499</t>
  </si>
  <si>
    <t>ORD-2024-468615</t>
  </si>
  <si>
    <t>ACC-3721</t>
  </si>
  <si>
    <t>ORD-2024-833375</t>
  </si>
  <si>
    <t>MON-6190</t>
  </si>
  <si>
    <t>ORD-2024-206311</t>
  </si>
  <si>
    <t>CMP-2410</t>
  </si>
  <si>
    <t>ORD-2024-364080</t>
  </si>
  <si>
    <t>PRN-2641</t>
  </si>
  <si>
    <t>ORD-2025-460466</t>
  </si>
  <si>
    <t>PRN-1882</t>
  </si>
  <si>
    <t>ORD-2023-700699</t>
  </si>
  <si>
    <t>PRN-1641</t>
  </si>
  <si>
    <t>ORD-2024-713332</t>
  </si>
  <si>
    <t>LAP-1739</t>
  </si>
  <si>
    <t>ORD-2023-640022</t>
  </si>
  <si>
    <t>PRN-4732</t>
  </si>
  <si>
    <t>ORD-2024-532184</t>
  </si>
  <si>
    <t>NET-9569</t>
  </si>
  <si>
    <t>ORD-2025-926547</t>
  </si>
  <si>
    <t>PHN-3007</t>
  </si>
  <si>
    <t>ORD-2025-778145</t>
  </si>
  <si>
    <t>MON-9216</t>
  </si>
  <si>
    <t>ORD-2023-525643</t>
  </si>
  <si>
    <t>PHN-8072</t>
  </si>
  <si>
    <t>ORD-2025-312803</t>
  </si>
  <si>
    <t>LAP-1308</t>
  </si>
  <si>
    <t>ORD-2025-149156</t>
  </si>
  <si>
    <t>LAP-7353</t>
  </si>
  <si>
    <t>ORD-2023-215819</t>
  </si>
  <si>
    <t>NET-6533</t>
  </si>
  <si>
    <t>ORD-2024-353078</t>
  </si>
  <si>
    <t>ORD-2023-621393</t>
  </si>
  <si>
    <t>ACC-9445</t>
  </si>
  <si>
    <t>ORD-2023-974506</t>
  </si>
  <si>
    <t>PRN-1654</t>
  </si>
  <si>
    <t>ORD-2023-811823</t>
  </si>
  <si>
    <t>NET-8787</t>
  </si>
  <si>
    <t>ORD-2023-286720</t>
  </si>
  <si>
    <t>LAP-1989</t>
  </si>
  <si>
    <t>ORD-2024-626925</t>
  </si>
  <si>
    <t>MON-8688</t>
  </si>
  <si>
    <t>ORD-2023-960380</t>
  </si>
  <si>
    <t>ACC-8242</t>
  </si>
  <si>
    <t>ORD-2023-453699</t>
  </si>
  <si>
    <t>LAP-4666</t>
  </si>
  <si>
    <t>ORD-2025-960931</t>
  </si>
  <si>
    <t>NET-5196</t>
  </si>
  <si>
    <t>ORD-2024-419248</t>
  </si>
  <si>
    <t>MON-8422</t>
  </si>
  <si>
    <t>ORD-2023-488227</t>
  </si>
  <si>
    <t>ACC-3415</t>
  </si>
  <si>
    <t>ORD-2023-472078</t>
  </si>
  <si>
    <t>PRN-9624</t>
  </si>
  <si>
    <t>ORD-2024-202877</t>
  </si>
  <si>
    <t>MON-6287</t>
  </si>
  <si>
    <t>ORD-2024-140633</t>
  </si>
  <si>
    <t>NET-4491</t>
  </si>
  <si>
    <t>ORD-2025-419532</t>
  </si>
  <si>
    <t>MON-4317</t>
  </si>
  <si>
    <t>ORD-2023-139236</t>
  </si>
  <si>
    <t>NET-7349</t>
  </si>
  <si>
    <t>ORD-2025-337268</t>
  </si>
  <si>
    <t>ACC-5150</t>
  </si>
  <si>
    <t>ORD-2025-332931</t>
  </si>
  <si>
    <t>ACC-5144</t>
  </si>
  <si>
    <t>ORD-2024-536442</t>
  </si>
  <si>
    <t>PHN-6111</t>
  </si>
  <si>
    <t>ORD-2023-957692</t>
  </si>
  <si>
    <t>ACC-9283</t>
  </si>
  <si>
    <t>ORD-2025-874124</t>
  </si>
  <si>
    <t>PRN-2407</t>
  </si>
  <si>
    <t>ORD-2024-687073</t>
  </si>
  <si>
    <t>MON-7099</t>
  </si>
  <si>
    <t>ORD-2024-555229</t>
  </si>
  <si>
    <t>ACC-7354</t>
  </si>
  <si>
    <t>ORD-2024-872291</t>
  </si>
  <si>
    <t>PRN-6585</t>
  </si>
  <si>
    <t>ORD-2024-250862</t>
  </si>
  <si>
    <t>CMP-9498</t>
  </si>
  <si>
    <t>ORD-2024-331226</t>
  </si>
  <si>
    <t>PHN-1919</t>
  </si>
  <si>
    <t>ORD-2023-356427</t>
  </si>
  <si>
    <t>MON-6053</t>
  </si>
  <si>
    <t>ORD-2025-659650</t>
  </si>
  <si>
    <t>NET-2502</t>
  </si>
  <si>
    <t>ORD-2024-207669</t>
  </si>
  <si>
    <t>LAP-5689</t>
  </si>
  <si>
    <t>ORD-2024-979401</t>
  </si>
  <si>
    <t>CMP-5911</t>
  </si>
  <si>
    <t>ORD-2025-929414</t>
  </si>
  <si>
    <t>LAP-7523</t>
  </si>
  <si>
    <t>ORD-2024-766980</t>
  </si>
  <si>
    <t>MON-1118</t>
  </si>
  <si>
    <t>ORD-2024-437164</t>
  </si>
  <si>
    <t>NET-9177</t>
  </si>
  <si>
    <t>ORD-2025-169093</t>
  </si>
  <si>
    <t>CMP-6495</t>
  </si>
  <si>
    <t>ORD-2023-868460</t>
  </si>
  <si>
    <t>ACC-4587</t>
  </si>
  <si>
    <t>ORD-2025-177994</t>
  </si>
  <si>
    <t>PHN-4395</t>
  </si>
  <si>
    <t>ORD-2024-355095</t>
  </si>
  <si>
    <t>LAP-3581</t>
  </si>
  <si>
    <t>ORD-2023-126505</t>
  </si>
  <si>
    <t>MON-6065</t>
  </si>
  <si>
    <t>ORD-2023-340056</t>
  </si>
  <si>
    <t>CMP-4945</t>
  </si>
  <si>
    <t>ORD-2025-281413</t>
  </si>
  <si>
    <t>NET-3785</t>
  </si>
  <si>
    <t>ORD-2023-713614</t>
  </si>
  <si>
    <t>NET-3689</t>
  </si>
  <si>
    <t>ORD-2023-173313</t>
  </si>
  <si>
    <t>ACC-3833</t>
  </si>
  <si>
    <t>ORD-2024-496601</t>
  </si>
  <si>
    <t>NET-2932</t>
  </si>
  <si>
    <t>ORD-2025-155182</t>
  </si>
  <si>
    <t>PHN-7636</t>
  </si>
  <si>
    <t>ORD-2023-244375</t>
  </si>
  <si>
    <t>CMP-1223</t>
  </si>
  <si>
    <t>ORD-2023-856322</t>
  </si>
  <si>
    <t>MON-7207</t>
  </si>
  <si>
    <t>ORD-2024-594527</t>
  </si>
  <si>
    <t>LAP-4483</t>
  </si>
  <si>
    <t>ORD-2024-689872</t>
  </si>
  <si>
    <t>LAP-1969</t>
  </si>
  <si>
    <t>ORD-2025-246692</t>
  </si>
  <si>
    <t>PHN-4566</t>
  </si>
  <si>
    <t>ORD-2023-378676</t>
  </si>
  <si>
    <t>PHN-5366</t>
  </si>
  <si>
    <t>ORD-2024-243988</t>
  </si>
  <si>
    <t>CMP-9001</t>
  </si>
  <si>
    <t>ORD-2024-572312</t>
  </si>
  <si>
    <t>PHN-9677</t>
  </si>
  <si>
    <t>ORD-2025-281062</t>
  </si>
  <si>
    <t>ACC-1604</t>
  </si>
  <si>
    <t>ORD-2023-727290</t>
  </si>
  <si>
    <t>ACC-4815</t>
  </si>
  <si>
    <t>ORD-2025-993993</t>
  </si>
  <si>
    <t>CMP-5311</t>
  </si>
  <si>
    <t>ORD-2023-619493</t>
  </si>
  <si>
    <t>NET-1282</t>
  </si>
  <si>
    <t>ORD-2024-947056</t>
  </si>
  <si>
    <t>MON-1564</t>
  </si>
  <si>
    <t>ORD-2025-856556</t>
  </si>
  <si>
    <t>ACC-7906</t>
  </si>
  <si>
    <t>ORD-2024-442776</t>
  </si>
  <si>
    <t>LAP-6577</t>
  </si>
  <si>
    <t>ORD-2025-705398</t>
  </si>
  <si>
    <t>CMP-5065</t>
  </si>
  <si>
    <t>ORD-2023-689428</t>
  </si>
  <si>
    <t>PRN-4787</t>
  </si>
  <si>
    <t>ORD-2025-683247</t>
  </si>
  <si>
    <t>PRN-9867</t>
  </si>
  <si>
    <t>ORD-2024-585443</t>
  </si>
  <si>
    <t>MON-2849</t>
  </si>
  <si>
    <t>ORD-2024-907733</t>
  </si>
  <si>
    <t>LAP-8633</t>
  </si>
  <si>
    <t>ORD-2024-550400</t>
  </si>
  <si>
    <t>PRN-9793</t>
  </si>
  <si>
    <t>ORD-2025-189846</t>
  </si>
  <si>
    <t>NET-6218</t>
  </si>
  <si>
    <t>ORD-2025-752192</t>
  </si>
  <si>
    <t>PRN-6131</t>
  </si>
  <si>
    <t>ORD-2023-294716</t>
  </si>
  <si>
    <t>PRN-5067</t>
  </si>
  <si>
    <t>ORD-2023-552115</t>
  </si>
  <si>
    <t>LAP-4932</t>
  </si>
  <si>
    <t>ORD-2023-107265</t>
  </si>
  <si>
    <t>ACC-7713</t>
  </si>
  <si>
    <t>ORD-2025-262434</t>
  </si>
  <si>
    <t>PHN-7379</t>
  </si>
  <si>
    <t>ORD-2024-266562</t>
  </si>
  <si>
    <t>PRN-5569</t>
  </si>
  <si>
    <t>ORD-2024-838925</t>
  </si>
  <si>
    <t>CMP-1470</t>
  </si>
  <si>
    <t>ORD-2023-664790</t>
  </si>
  <si>
    <t>PRN-9249</t>
  </si>
  <si>
    <t>ORD-2024-331408</t>
  </si>
  <si>
    <t>PRN-4906</t>
  </si>
  <si>
    <t>ORD-2024-741404</t>
  </si>
  <si>
    <t>MON-8129</t>
  </si>
  <si>
    <t>ORD-2024-341535</t>
  </si>
  <si>
    <t>NET-5987</t>
  </si>
  <si>
    <t>ORD-2023-451931</t>
  </si>
  <si>
    <t>NET-5423</t>
  </si>
  <si>
    <t>ORD-2025-532859</t>
  </si>
  <si>
    <t>PRN-5264</t>
  </si>
  <si>
    <t>ORD-2023-502205</t>
  </si>
  <si>
    <t>NET-8856</t>
  </si>
  <si>
    <t>ORD-2024-930679</t>
  </si>
  <si>
    <t>MON-4215</t>
  </si>
  <si>
    <t>ORD-2025-150713</t>
  </si>
  <si>
    <t>PRN-5753</t>
  </si>
  <si>
    <t>ORD-2024-756884</t>
  </si>
  <si>
    <t>CMP-5006</t>
  </si>
  <si>
    <t>ORD-2023-755337</t>
  </si>
  <si>
    <t>ACC-4766</t>
  </si>
  <si>
    <t>ORD-2025-907040</t>
  </si>
  <si>
    <t>NET-8610</t>
  </si>
  <si>
    <t>ORD-2024-817997</t>
  </si>
  <si>
    <t>NET-4675</t>
  </si>
  <si>
    <t>ORD-2025-649633</t>
  </si>
  <si>
    <t>ACC-1028</t>
  </si>
  <si>
    <t>ORD-2023-885216</t>
  </si>
  <si>
    <t>NET-4735</t>
  </si>
  <si>
    <t>ORD-2023-561823</t>
  </si>
  <si>
    <t>NET-2460</t>
  </si>
  <si>
    <t>ORD-2023-249805</t>
  </si>
  <si>
    <t>CMP-1555</t>
  </si>
  <si>
    <t>ORD-2023-548934</t>
  </si>
  <si>
    <t>MON-3773</t>
  </si>
  <si>
    <t>ORD-2023-921939</t>
  </si>
  <si>
    <t>PHN-4677</t>
  </si>
  <si>
    <t>ORD-2023-961864</t>
  </si>
  <si>
    <t>CMP-1940</t>
  </si>
  <si>
    <t>ORD-2023-455933</t>
  </si>
  <si>
    <t>PHN-9184</t>
  </si>
  <si>
    <t>ORD-2025-728935</t>
  </si>
  <si>
    <t>LAP-3017</t>
  </si>
  <si>
    <t>Order ID</t>
  </si>
  <si>
    <t xml:space="preserve">Order Date </t>
  </si>
  <si>
    <t>Required Date</t>
  </si>
  <si>
    <t>Customer Segment</t>
  </si>
  <si>
    <t>Sales person</t>
  </si>
  <si>
    <t>Product Category</t>
  </si>
  <si>
    <t>Unit Price</t>
  </si>
  <si>
    <t>Discount %</t>
  </si>
  <si>
    <t xml:space="preserve">Negative prices </t>
  </si>
  <si>
    <t>Clean Unit Prices</t>
  </si>
  <si>
    <t>Discounts &gt;30%</t>
  </si>
  <si>
    <t xml:space="preserve">Clean discounts </t>
  </si>
  <si>
    <t xml:space="preserve">Date Diff </t>
  </si>
  <si>
    <t>Validated Required date</t>
  </si>
  <si>
    <t xml:space="preserve">Lead Time days </t>
  </si>
  <si>
    <t xml:space="preserve">Gross Revenue </t>
  </si>
  <si>
    <t xml:space="preserve">Cost of Goods </t>
  </si>
  <si>
    <t>Gross Profit</t>
  </si>
  <si>
    <t>Margin %</t>
  </si>
  <si>
    <t>MMM-YYY</t>
  </si>
  <si>
    <t>Quarters</t>
  </si>
  <si>
    <t xml:space="preserve">Region Hierarchy </t>
  </si>
  <si>
    <t xml:space="preserve">Category Groups </t>
  </si>
  <si>
    <t xml:space="preserve">Price Band </t>
  </si>
  <si>
    <t>Clean country</t>
  </si>
  <si>
    <t xml:space="preserve">Country start Date </t>
  </si>
  <si>
    <t>Country Start Month</t>
  </si>
  <si>
    <t xml:space="preserve">Order Month date </t>
  </si>
  <si>
    <t>On Time Flag</t>
  </si>
  <si>
    <t>Flagged Discount %</t>
  </si>
  <si>
    <t xml:space="preserve">What-if  Discount </t>
  </si>
  <si>
    <t xml:space="preserve">What if Cost </t>
  </si>
  <si>
    <t>What If Quantity</t>
  </si>
  <si>
    <t xml:space="preserve">What if Revenue </t>
  </si>
  <si>
    <t xml:space="preserve">What if Profit </t>
  </si>
  <si>
    <t>Mar-2024</t>
  </si>
  <si>
    <t>Oct-2024</t>
  </si>
  <si>
    <t>Feb-2023</t>
  </si>
  <si>
    <t>Mar-2025</t>
  </si>
  <si>
    <t>Jan-2023</t>
  </si>
  <si>
    <t>Dec-2024</t>
  </si>
  <si>
    <t>May-2024</t>
  </si>
  <si>
    <t>May-2025</t>
  </si>
  <si>
    <t>Jan-2024</t>
  </si>
  <si>
    <t>Jan-2025</t>
  </si>
  <si>
    <t>Sep-2025</t>
  </si>
  <si>
    <t>Apr-2023</t>
  </si>
  <si>
    <t>Jul-2025</t>
  </si>
  <si>
    <t>Jul-2024</t>
  </si>
  <si>
    <t>May-2023</t>
  </si>
  <si>
    <t>Jun-2025</t>
  </si>
  <si>
    <t>Jun-2024</t>
  </si>
  <si>
    <t>Nov-2024</t>
  </si>
  <si>
    <t>Apr-2025</t>
  </si>
  <si>
    <t xml:space="preserve">Unknown Channel </t>
  </si>
  <si>
    <t>Apr-2024</t>
  </si>
  <si>
    <t>Aug-2024</t>
  </si>
  <si>
    <t>Mar-2023</t>
  </si>
  <si>
    <t>Jun-2023</t>
  </si>
  <si>
    <t>Jul-2023</t>
  </si>
  <si>
    <t>Aug-2023</t>
  </si>
  <si>
    <t>Feb-2025</t>
  </si>
  <si>
    <t>Dec-2023</t>
  </si>
  <si>
    <t>Sep-2023</t>
  </si>
  <si>
    <t xml:space="preserve">Unidentified sales person </t>
  </si>
  <si>
    <t>Aug-2025</t>
  </si>
  <si>
    <t xml:space="preserve">Unknown City </t>
  </si>
  <si>
    <t>Sep-2024</t>
  </si>
  <si>
    <t>Nov-2023</t>
  </si>
  <si>
    <t>Feb-2024</t>
  </si>
  <si>
    <t>Oct-2023</t>
  </si>
  <si>
    <t xml:space="preserve">First Sales per Country </t>
  </si>
  <si>
    <t>Min of OrderDate</t>
  </si>
  <si>
    <t>First Month</t>
  </si>
  <si>
    <t>Grand Total</t>
  </si>
  <si>
    <t xml:space="preserve">Country Performance per Month </t>
  </si>
  <si>
    <t>(All)</t>
  </si>
  <si>
    <t xml:space="preserve">Sum of Gross Revenue </t>
  </si>
  <si>
    <t xml:space="preserve">ABC ANALYSIS: Devices </t>
  </si>
  <si>
    <t xml:space="preserve">ABC Analysis :Support </t>
  </si>
  <si>
    <t>Devices</t>
  </si>
  <si>
    <t xml:space="preserve">ABC Analysis: Peripheral </t>
  </si>
  <si>
    <t>Support</t>
  </si>
  <si>
    <t>Peripherals</t>
  </si>
  <si>
    <t xml:space="preserve">Cumulative Revenue </t>
  </si>
  <si>
    <t xml:space="preserve">Cumulative % </t>
  </si>
  <si>
    <t xml:space="preserve">ABC Analysis </t>
  </si>
  <si>
    <t>Cumulative %</t>
  </si>
  <si>
    <t xml:space="preserve">PRICE COMPLIANCE </t>
  </si>
  <si>
    <t xml:space="preserve">SALES PERSON PRODUCTIVITY </t>
  </si>
  <si>
    <t>Sum of Flagged Discount %</t>
  </si>
  <si>
    <t>Count of OrderID</t>
  </si>
  <si>
    <t xml:space="preserve">High Discounts % </t>
  </si>
  <si>
    <t>Sum of Gross Profit</t>
  </si>
  <si>
    <t xml:space="preserve">Revenue Per order </t>
  </si>
  <si>
    <t xml:space="preserve">Gross Profit per order </t>
  </si>
  <si>
    <t xml:space="preserve">Orders per month </t>
  </si>
  <si>
    <t>Africa Total</t>
  </si>
  <si>
    <t>Americas Total</t>
  </si>
  <si>
    <t xml:space="preserve">CHANNEL MIXING &amp; CANNIBALIZATION </t>
  </si>
  <si>
    <t>Asia Total</t>
  </si>
  <si>
    <t xml:space="preserve">SERVICE LEVER PER COUNTRY, PER CATEGORY </t>
  </si>
  <si>
    <t>Sum of On Time Flag</t>
  </si>
  <si>
    <t xml:space="preserve"> Service Level %</t>
  </si>
  <si>
    <t>Nigeria Total</t>
  </si>
  <si>
    <t>Brazil Total</t>
  </si>
  <si>
    <t>Europe Total</t>
  </si>
  <si>
    <t>USA Total</t>
  </si>
  <si>
    <t>Kenya Total</t>
  </si>
  <si>
    <t>South Africa Total</t>
  </si>
  <si>
    <t>United Kingdom Total</t>
  </si>
  <si>
    <t>Japan Total</t>
  </si>
  <si>
    <t>France Total</t>
  </si>
  <si>
    <t>Germany Total</t>
  </si>
  <si>
    <t>India Total</t>
  </si>
  <si>
    <t>China Total</t>
  </si>
  <si>
    <t>Canada Total</t>
  </si>
  <si>
    <t xml:space="preserve">Input </t>
  </si>
  <si>
    <t xml:space="preserve">Value </t>
  </si>
  <si>
    <t xml:space="preserve">Discount cap </t>
  </si>
  <si>
    <t xml:space="preserve">Cost Inflation </t>
  </si>
  <si>
    <t xml:space="preserve">Quality Uplift </t>
  </si>
  <si>
    <t>REVENUE</t>
  </si>
  <si>
    <t xml:space="preserve">Profit </t>
  </si>
  <si>
    <t>Count of Order ID</t>
  </si>
  <si>
    <t xml:space="preserve">Avg Order Value </t>
  </si>
  <si>
    <t xml:space="preserve">% of on time orders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</si>
</sst>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KES]\ #,##0.00_);[Red]\([$KES]\ #,##0.00\)"/>
    <numFmt numFmtId="179" formatCode="[$Ksh-441]\ #,##0.00"/>
    <numFmt numFmtId="180" formatCode="0.0"/>
    <numFmt numFmtId="181" formatCode="yyyy\-mm\-dd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242424"/>
      <name val="Aptos Narrow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78" fontId="1" fillId="0" borderId="0" xfId="0" applyNumberFormat="1" applyFont="1"/>
    <xf numFmtId="9" fontId="1" fillId="0" borderId="0" xfId="3" applyFont="1" applyAlignment="1"/>
    <xf numFmtId="49" fontId="0" fillId="0" borderId="0" xfId="0" applyNumberFormat="1"/>
    <xf numFmtId="9" fontId="0" fillId="0" borderId="0" xfId="0" applyNumberFormat="1"/>
    <xf numFmtId="58" fontId="0" fillId="0" borderId="0" xfId="0" applyNumberFormat="1"/>
    <xf numFmtId="0" fontId="0" fillId="0" borderId="0" xfId="0" applyFont="1"/>
    <xf numFmtId="17" fontId="0" fillId="0" borderId="0" xfId="0" applyNumberFormat="1"/>
    <xf numFmtId="179" fontId="0" fillId="0" borderId="0" xfId="0" applyNumberFormat="1"/>
    <xf numFmtId="0" fontId="2" fillId="0" borderId="0" xfId="0" applyNumberFormat="1" applyFont="1"/>
    <xf numFmtId="9" fontId="0" fillId="0" borderId="0" xfId="0" applyNumberFormat="1" applyFont="1"/>
    <xf numFmtId="0" fontId="0" fillId="0" borderId="0" xfId="0" applyNumberFormat="1"/>
    <xf numFmtId="2" fontId="0" fillId="0" borderId="0" xfId="0" applyNumberFormat="1"/>
    <xf numFmtId="180" fontId="0" fillId="0" borderId="0" xfId="0" applyNumberFormat="1"/>
    <xf numFmtId="9" fontId="2" fillId="0" borderId="0" xfId="0" applyNumberFormat="1" applyFont="1"/>
    <xf numFmtId="10" fontId="0" fillId="0" borderId="0" xfId="0" applyNumberFormat="1"/>
    <xf numFmtId="9" fontId="3" fillId="0" borderId="0" xfId="0" applyNumberFormat="1" applyFont="1"/>
    <xf numFmtId="2" fontId="0" fillId="0" borderId="0" xfId="0" applyNumberFormat="1" applyFont="1"/>
    <xf numFmtId="0" fontId="2" fillId="0" borderId="1" xfId="0" applyFont="1" applyBorder="1" applyAlignment="1">
      <alignment horizontal="center" vertical="top"/>
    </xf>
    <xf numFmtId="58" fontId="2" fillId="0" borderId="1" xfId="0" applyNumberFormat="1" applyFont="1" applyBorder="1" applyAlignment="1">
      <alignment horizontal="center" vertical="top"/>
    </xf>
    <xf numFmtId="179" fontId="2" fillId="0" borderId="1" xfId="0" applyNumberFormat="1" applyFont="1" applyBorder="1" applyAlignment="1">
      <alignment horizontal="center" vertical="top"/>
    </xf>
    <xf numFmtId="10" fontId="2" fillId="0" borderId="1" xfId="0" applyNumberFormat="1" applyFont="1" applyBorder="1" applyAlignment="1">
      <alignment horizontal="center" vertical="top"/>
    </xf>
    <xf numFmtId="179" fontId="2" fillId="0" borderId="0" xfId="0" applyNumberFormat="1" applyFont="1"/>
    <xf numFmtId="10" fontId="2" fillId="0" borderId="0" xfId="0" applyNumberFormat="1" applyFont="1"/>
    <xf numFmtId="58" fontId="0" fillId="0" borderId="0" xfId="0" applyNumberFormat="1" applyFont="1"/>
    <xf numFmtId="10" fontId="0" fillId="0" borderId="0" xfId="0" applyNumberFormat="1" applyFont="1"/>
    <xf numFmtId="179" fontId="0" fillId="0" borderId="0" xfId="0" applyNumberFormat="1" applyFont="1"/>
    <xf numFmtId="18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font>
        <sz val="14"/>
      </font>
    </dxf>
    <dxf>
      <font>
        <b val="1"/>
      </font>
    </dxf>
    <dxf>
      <font>
        <sz val="14"/>
      </font>
    </dxf>
    <dxf>
      <font>
        <b val="1"/>
      </font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  <dxf>
      <font>
        <b val="1"/>
        <color theme="4" tint="-0.499984740745262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4" tint="-0.499984740745262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</border>
    </dxf>
    <dxf>
      <font>
        <color theme="4" tint="-0.499984740745262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</border>
    </dxf>
  </dxfs>
  <tableStyles count="2" defaultTableStyle="TableStyleMedium9" defaultPivotStyle="PivotStyleLight16">
    <tableStyle name="PivotStylePreset3_Accent1" table="0" count="10" xr9:uid="{596B0756-EA77-4524-A990-578CE70DFEA9}">
      <tableStyleElement type="wholeTable" dxfId="18"/>
      <tableStyleElement type="headerRow" dxfId="17"/>
      <tableStyleElement type="totalRow" dxfId="16"/>
      <tableStyleElement type="secondRowStripe" dxfId="15"/>
      <tableStyleElement type="secondColumnStripe" dxfId="14"/>
      <tableStyleElement type="first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  <tableStyle name="PivotStylePreset4_Accent1" table="0" count="10" xr9:uid="{104E50B9-DFA3-438A-9E46-56171CCFB77F}">
      <tableStyleElement type="wholeTable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  <tableStyleElement type="firstSubtotalColumn" dxfId="22"/>
      <tableStyleElement type="firstSubtotalRow" dxfId="21"/>
      <tableStyleElement type="secondSubtotalRow" dxfId="20"/>
      <tableStyleElement type="pageFieldLabel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5.xml"/><Relationship Id="rId17" Type="http://schemas.microsoft.com/office/2007/relationships/slicerCache" Target="slicerCaches/slicerCache4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PROJECT .xlsx]Pivot Charts!PivotTable6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Charts'!$P$3:$P$4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Charts'!$P$5:$P$9</c:f>
              <c:numCache>
                <c:formatCode>General</c:formatCode>
                <c:ptCount val="4"/>
                <c:pt idx="0">
                  <c:v>51639175.1737</c:v>
                </c:pt>
                <c:pt idx="1">
                  <c:v>83993930.48591</c:v>
                </c:pt>
                <c:pt idx="2">
                  <c:v>72282992.55636</c:v>
                </c:pt>
                <c:pt idx="3">
                  <c:v>96491540.55204</c:v>
                </c:pt>
              </c:numCache>
            </c:numRef>
          </c:val>
        </c:ser>
        <c:ser>
          <c:idx val="1"/>
          <c:order val="1"/>
          <c:tx>
            <c:strRef>
              <c:f>'Pivot Charts'!$Q$3:$Q$4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Charts'!$Q$5:$Q$9</c:f>
              <c:numCache>
                <c:formatCode>General</c:formatCode>
                <c:ptCount val="4"/>
                <c:pt idx="0">
                  <c:v>71652398.42447</c:v>
                </c:pt>
                <c:pt idx="1">
                  <c:v>64748449.93192</c:v>
                </c:pt>
                <c:pt idx="2">
                  <c:v>58660862.64599</c:v>
                </c:pt>
                <c:pt idx="3">
                  <c:v>34869902.8322</c:v>
                </c:pt>
              </c:numCache>
            </c:numRef>
          </c:val>
        </c:ser>
        <c:ser>
          <c:idx val="2"/>
          <c:order val="2"/>
          <c:tx>
            <c:strRef>
              <c:f>'Pivot Charts'!$R$3:$R$4</c:f>
              <c:strCache>
                <c:ptCount val="1"/>
                <c:pt idx="0">
                  <c:v>Marketplace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Charts'!$R$5:$R$9</c:f>
              <c:numCache>
                <c:formatCode>General</c:formatCode>
                <c:ptCount val="4"/>
                <c:pt idx="0">
                  <c:v>60465651.63456</c:v>
                </c:pt>
                <c:pt idx="1">
                  <c:v>41283676.96752</c:v>
                </c:pt>
                <c:pt idx="2">
                  <c:v>65326485.68273</c:v>
                </c:pt>
                <c:pt idx="3">
                  <c:v>64505110.75025</c:v>
                </c:pt>
              </c:numCache>
            </c:numRef>
          </c:val>
        </c:ser>
        <c:ser>
          <c:idx val="3"/>
          <c:order val="3"/>
          <c:tx>
            <c:strRef>
              <c:f>'Pivot Charts'!$S$3:$S$4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Charts'!$S$5:$S$9</c:f>
              <c:numCache>
                <c:formatCode>General</c:formatCode>
                <c:ptCount val="4"/>
                <c:pt idx="0">
                  <c:v>49118796.93627</c:v>
                </c:pt>
                <c:pt idx="1">
                  <c:v>77740324.85437</c:v>
                </c:pt>
                <c:pt idx="2">
                  <c:v>45426208.10969</c:v>
                </c:pt>
                <c:pt idx="3">
                  <c:v>65817867.02277</c:v>
                </c:pt>
              </c:numCache>
            </c:numRef>
          </c:val>
        </c:ser>
        <c:ser>
          <c:idx val="4"/>
          <c:order val="4"/>
          <c:tx>
            <c:strRef>
              <c:f>'Pivot Charts'!$T$3:$T$4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Charts'!$T$5:$T$9</c:f>
              <c:numCache>
                <c:formatCode>General</c:formatCode>
                <c:ptCount val="4"/>
                <c:pt idx="0">
                  <c:v>57579124.61467</c:v>
                </c:pt>
                <c:pt idx="1">
                  <c:v>35052867.61922</c:v>
                </c:pt>
                <c:pt idx="2">
                  <c:v>76398295.92014</c:v>
                </c:pt>
                <c:pt idx="3">
                  <c:v>49505381.67229</c:v>
                </c:pt>
              </c:numCache>
            </c:numRef>
          </c:val>
        </c:ser>
        <c:ser>
          <c:idx val="5"/>
          <c:order val="5"/>
          <c:tx>
            <c:strRef>
              <c:f>'Pivot Charts'!$U$3:$U$4</c:f>
              <c:strCache>
                <c:ptCount val="1"/>
                <c:pt idx="0">
                  <c:v>Unknown Channel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Charts'!$U$5:$U$9</c:f>
              <c:numCache>
                <c:formatCode>General</c:formatCode>
                <c:ptCount val="4"/>
                <c:pt idx="0">
                  <c:v>3609830.60423</c:v>
                </c:pt>
                <c:pt idx="1">
                  <c:v>916357.86</c:v>
                </c:pt>
                <c:pt idx="2">
                  <c:v>4904448.09549</c:v>
                </c:pt>
                <c:pt idx="3">
                  <c:v>1913629.16646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822613"/>
        <c:axId val="22123850"/>
      </c:barChart>
      <c:catAx>
        <c:axId val="3948226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3850"/>
        <c:crosses val="autoZero"/>
        <c:auto val="1"/>
        <c:lblAlgn val="ctr"/>
        <c:lblOffset val="100"/>
        <c:noMultiLvlLbl val="0"/>
      </c:catAx>
      <c:valAx>
        <c:axId val="221238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822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7ca97f-8ff5-431b-a707-d3d743c9cd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PROJECT .xlsx]Pivot Charts!PivotTable7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Charts'!$P$17:$P$18</c:f>
              <c:strCache>
                <c:ptCount val="1"/>
                <c:pt idx="0">
                  <c:v>ACC-1021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Charts'!$P$19</c:f>
              <c:numCache>
                <c:formatCode>General</c:formatCode>
                <c:ptCount val="1"/>
                <c:pt idx="0">
                  <c:v>194764.2507</c:v>
                </c:pt>
              </c:numCache>
            </c:numRef>
          </c:val>
        </c:ser>
        <c:ser>
          <c:idx val="1"/>
          <c:order val="1"/>
          <c:tx>
            <c:strRef>
              <c:f>'Pivot Charts'!$Q$17:$Q$18</c:f>
              <c:strCache>
                <c:ptCount val="1"/>
                <c:pt idx="0">
                  <c:v>ACC-1028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Charts'!$Q$19</c:f>
              <c:numCache>
                <c:formatCode>General</c:formatCode>
                <c:ptCount val="1"/>
                <c:pt idx="0">
                  <c:v>1204261.64488</c:v>
                </c:pt>
              </c:numCache>
            </c:numRef>
          </c:val>
        </c:ser>
        <c:ser>
          <c:idx val="2"/>
          <c:order val="2"/>
          <c:tx>
            <c:strRef>
              <c:f>'Pivot Charts'!$R$17:$R$18</c:f>
              <c:strCache>
                <c:ptCount val="1"/>
                <c:pt idx="0">
                  <c:v>ACC-1060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Charts'!$R$19</c:f>
              <c:numCache>
                <c:formatCode>General</c:formatCode>
                <c:ptCount val="1"/>
                <c:pt idx="0">
                  <c:v>577008.3924</c:v>
                </c:pt>
              </c:numCache>
            </c:numRef>
          </c:val>
        </c:ser>
        <c:ser>
          <c:idx val="3"/>
          <c:order val="3"/>
          <c:tx>
            <c:strRef>
              <c:f>'Pivot Charts'!$S$17:$S$18</c:f>
              <c:strCache>
                <c:ptCount val="1"/>
                <c:pt idx="0">
                  <c:v>ACC-1075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Charts'!$S$19</c:f>
              <c:numCache>
                <c:formatCode>General</c:formatCode>
                <c:ptCount val="1"/>
                <c:pt idx="0">
                  <c:v>1439328.9832</c:v>
                </c:pt>
              </c:numCache>
            </c:numRef>
          </c:val>
        </c:ser>
        <c:ser>
          <c:idx val="4"/>
          <c:order val="4"/>
          <c:tx>
            <c:strRef>
              <c:f>'Pivot Charts'!$T$17:$T$18</c:f>
              <c:strCache>
                <c:ptCount val="1"/>
                <c:pt idx="0">
                  <c:v>ACC-1238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Charts'!$T$19</c:f>
              <c:numCache>
                <c:formatCode>General</c:formatCode>
                <c:ptCount val="1"/>
                <c:pt idx="0">
                  <c:v>3911893.008</c:v>
                </c:pt>
              </c:numCache>
            </c:numRef>
          </c:val>
        </c:ser>
        <c:ser>
          <c:idx val="5"/>
          <c:order val="5"/>
          <c:tx>
            <c:strRef>
              <c:f>'Pivot Charts'!$U$17:$U$18</c:f>
              <c:strCache>
                <c:ptCount val="1"/>
                <c:pt idx="0">
                  <c:v>ACC-1249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Charts'!$U$19</c:f>
              <c:numCache>
                <c:formatCode>General</c:formatCode>
                <c:ptCount val="1"/>
                <c:pt idx="0">
                  <c:v>1598403.02842</c:v>
                </c:pt>
              </c:numCache>
            </c:numRef>
          </c:val>
        </c:ser>
        <c:ser>
          <c:idx val="6"/>
          <c:order val="6"/>
          <c:tx>
            <c:strRef>
              <c:f>'Pivot Charts'!$V$17:$V$18</c:f>
              <c:strCache>
                <c:ptCount val="1"/>
                <c:pt idx="0">
                  <c:v>ACC-1375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Charts'!$V$19</c:f>
              <c:numCache>
                <c:formatCode>General</c:formatCode>
                <c:ptCount val="1"/>
                <c:pt idx="0">
                  <c:v>3732338.01501</c:v>
                </c:pt>
              </c:numCache>
            </c:numRef>
          </c:val>
        </c:ser>
        <c:ser>
          <c:idx val="7"/>
          <c:order val="7"/>
          <c:tx>
            <c:strRef>
              <c:f>'Pivot Charts'!$W$17:$W$18</c:f>
              <c:strCache>
                <c:ptCount val="1"/>
                <c:pt idx="0">
                  <c:v>ACC-1492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Charts'!$W$19</c:f>
              <c:numCache>
                <c:formatCode>General</c:formatCode>
                <c:ptCount val="1"/>
                <c:pt idx="0">
                  <c:v>784037.145</c:v>
                </c:pt>
              </c:numCache>
            </c:numRef>
          </c:val>
        </c:ser>
        <c:ser>
          <c:idx val="8"/>
          <c:order val="8"/>
          <c:tx>
            <c:strRef>
              <c:f>'Pivot Charts'!$X$17:$X$18</c:f>
              <c:strCache>
                <c:ptCount val="1"/>
                <c:pt idx="0">
                  <c:v>ACC-1596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Charts'!$X$19</c:f>
              <c:numCache>
                <c:formatCode>General</c:formatCode>
                <c:ptCount val="1"/>
                <c:pt idx="0">
                  <c:v>818017.48149</c:v>
                </c:pt>
              </c:numCache>
            </c:numRef>
          </c:val>
        </c:ser>
        <c:ser>
          <c:idx val="9"/>
          <c:order val="9"/>
          <c:tx>
            <c:strRef>
              <c:f>'Pivot Charts'!$Y$17:$Y$18</c:f>
              <c:strCache>
                <c:ptCount val="1"/>
                <c:pt idx="0">
                  <c:v>ACC-1604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Charts'!$Y$19</c:f>
              <c:numCache>
                <c:formatCode>General</c:formatCode>
                <c:ptCount val="1"/>
                <c:pt idx="0">
                  <c:v>1319084.18352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251656"/>
        <c:axId val="137280820"/>
      </c:barChart>
      <c:catAx>
        <c:axId val="570251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280820"/>
        <c:crosses val="autoZero"/>
        <c:auto val="1"/>
        <c:lblAlgn val="ctr"/>
        <c:lblOffset val="100"/>
        <c:noMultiLvlLbl val="0"/>
      </c:catAx>
      <c:valAx>
        <c:axId val="1372808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25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c02843-843c-499d-bd5b-306d96a66e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Revenue</a:t>
            </a:r>
          </a:p>
        </c:rich>
      </c:tx>
      <c:layout>
        <c:manualLayout>
          <c:xMode val="edge"/>
          <c:yMode val="edge"/>
          <c:x val="0.440685773526454"/>
          <c:y val="0.03784023796270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756951390278"/>
          <c:y val="0.149423148492743"/>
          <c:w val="0.809241848369674"/>
          <c:h val="0.668850018608113"/>
        </c:manualLayout>
      </c:layout>
      <c:lineChart>
        <c:grouping val="standard"/>
        <c:varyColors val="0"/>
        <c:ser>
          <c:idx val="0"/>
          <c:order val="0"/>
          <c:tx>
            <c:strRef>
              <c:f>'Pivot Charts'!$B$1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Charts'!$A$2:$A$632</c:f>
              <c:strCache>
                <c:ptCount val="631"/>
                <c:pt idx="0" c:formatCode="@">
                  <c:v>Mar-2024</c:v>
                </c:pt>
                <c:pt idx="1">
                  <c:v>Oct-2024</c:v>
                </c:pt>
                <c:pt idx="2">
                  <c:v>Feb-2023</c:v>
                </c:pt>
                <c:pt idx="3">
                  <c:v>Mar-2025</c:v>
                </c:pt>
                <c:pt idx="4">
                  <c:v>Jan-2023</c:v>
                </c:pt>
                <c:pt idx="5">
                  <c:v>Dec-2024</c:v>
                </c:pt>
                <c:pt idx="6">
                  <c:v>Jan-2023</c:v>
                </c:pt>
                <c:pt idx="7">
                  <c:v>May-2024</c:v>
                </c:pt>
                <c:pt idx="8">
                  <c:v>May-2025</c:v>
                </c:pt>
                <c:pt idx="9">
                  <c:v>Jan-2024</c:v>
                </c:pt>
                <c:pt idx="10">
                  <c:v>Jan-2025</c:v>
                </c:pt>
                <c:pt idx="11">
                  <c:v>Mar-2025</c:v>
                </c:pt>
                <c:pt idx="12">
                  <c:v>Jan-2024</c:v>
                </c:pt>
                <c:pt idx="13">
                  <c:v>Sep-2025</c:v>
                </c:pt>
                <c:pt idx="14">
                  <c:v>Apr-2023</c:v>
                </c:pt>
                <c:pt idx="15">
                  <c:v>Dec-2024</c:v>
                </c:pt>
                <c:pt idx="16">
                  <c:v>Sep-2025</c:v>
                </c:pt>
                <c:pt idx="17">
                  <c:v>Jul-2025</c:v>
                </c:pt>
                <c:pt idx="18">
                  <c:v>May-2025</c:v>
                </c:pt>
                <c:pt idx="19">
                  <c:v>Jul-2024</c:v>
                </c:pt>
                <c:pt idx="20">
                  <c:v>May-2023</c:v>
                </c:pt>
                <c:pt idx="21">
                  <c:v>Jun-2025</c:v>
                </c:pt>
                <c:pt idx="22">
                  <c:v>May-2024</c:v>
                </c:pt>
                <c:pt idx="23">
                  <c:v>Feb-2023</c:v>
                </c:pt>
                <c:pt idx="24">
                  <c:v>Jun-2024</c:v>
                </c:pt>
                <c:pt idx="25">
                  <c:v>Nov-2024</c:v>
                </c:pt>
                <c:pt idx="26">
                  <c:v>Jul-2024</c:v>
                </c:pt>
                <c:pt idx="27">
                  <c:v>Apr-2023</c:v>
                </c:pt>
                <c:pt idx="28">
                  <c:v>Apr-2025</c:v>
                </c:pt>
                <c:pt idx="29">
                  <c:v>Dec-2024</c:v>
                </c:pt>
                <c:pt idx="30">
                  <c:v>Feb-2023</c:v>
                </c:pt>
                <c:pt idx="31">
                  <c:v>Jul-2025</c:v>
                </c:pt>
                <c:pt idx="32">
                  <c:v>Apr-2024</c:v>
                </c:pt>
                <c:pt idx="33">
                  <c:v>Aug-2024</c:v>
                </c:pt>
                <c:pt idx="34">
                  <c:v>Mar-2023</c:v>
                </c:pt>
                <c:pt idx="35">
                  <c:v>Mar-2024</c:v>
                </c:pt>
                <c:pt idx="36">
                  <c:v>Jun-2025</c:v>
                </c:pt>
                <c:pt idx="37">
                  <c:v>Apr-2024</c:v>
                </c:pt>
                <c:pt idx="38">
                  <c:v>Jun-2023</c:v>
                </c:pt>
                <c:pt idx="39">
                  <c:v>Aug-2024</c:v>
                </c:pt>
                <c:pt idx="40">
                  <c:v>Jan-2024</c:v>
                </c:pt>
                <c:pt idx="41">
                  <c:v>Oct-2024</c:v>
                </c:pt>
                <c:pt idx="42">
                  <c:v>May-2025</c:v>
                </c:pt>
                <c:pt idx="43">
                  <c:v>May-2024</c:v>
                </c:pt>
                <c:pt idx="44">
                  <c:v>Apr-2023</c:v>
                </c:pt>
                <c:pt idx="45">
                  <c:v>Jun-2023</c:v>
                </c:pt>
                <c:pt idx="46">
                  <c:v>May-2024</c:v>
                </c:pt>
                <c:pt idx="47">
                  <c:v>Oct-2024</c:v>
                </c:pt>
                <c:pt idx="48">
                  <c:v>Jul-2023</c:v>
                </c:pt>
                <c:pt idx="49">
                  <c:v>Nov-2024</c:v>
                </c:pt>
                <c:pt idx="50">
                  <c:v>Oct-2024</c:v>
                </c:pt>
                <c:pt idx="51">
                  <c:v>Mar-2023</c:v>
                </c:pt>
                <c:pt idx="52">
                  <c:v>Jan-2025</c:v>
                </c:pt>
                <c:pt idx="53">
                  <c:v>Aug-2023</c:v>
                </c:pt>
                <c:pt idx="54">
                  <c:v>Apr-2025</c:v>
                </c:pt>
                <c:pt idx="55">
                  <c:v>Feb-2025</c:v>
                </c:pt>
                <c:pt idx="56">
                  <c:v>Dec-2024</c:v>
                </c:pt>
                <c:pt idx="57">
                  <c:v>Jun-2025</c:v>
                </c:pt>
                <c:pt idx="58">
                  <c:v>May-2025</c:v>
                </c:pt>
                <c:pt idx="59">
                  <c:v>Mar-2024</c:v>
                </c:pt>
                <c:pt idx="60">
                  <c:v>Sep-2025</c:v>
                </c:pt>
                <c:pt idx="61">
                  <c:v>Apr-2025</c:v>
                </c:pt>
                <c:pt idx="62">
                  <c:v>Nov-2024</c:v>
                </c:pt>
                <c:pt idx="63">
                  <c:v>Feb-2023</c:v>
                </c:pt>
                <c:pt idx="64">
                  <c:v>Dec-2023</c:v>
                </c:pt>
                <c:pt idx="65">
                  <c:v>Mar-2023</c:v>
                </c:pt>
                <c:pt idx="66">
                  <c:v>May-2024</c:v>
                </c:pt>
                <c:pt idx="67">
                  <c:v>Aug-2023</c:v>
                </c:pt>
                <c:pt idx="68">
                  <c:v>Apr-2023</c:v>
                </c:pt>
                <c:pt idx="69">
                  <c:v>Mar-2024</c:v>
                </c:pt>
                <c:pt idx="70">
                  <c:v>Apr-2025</c:v>
                </c:pt>
                <c:pt idx="71">
                  <c:v>Apr-2024</c:v>
                </c:pt>
                <c:pt idx="72">
                  <c:v>Dec-2024</c:v>
                </c:pt>
                <c:pt idx="73">
                  <c:v>May-2023</c:v>
                </c:pt>
                <c:pt idx="74">
                  <c:v>Sep-2023</c:v>
                </c:pt>
                <c:pt idx="75">
                  <c:v>Aug-2024</c:v>
                </c:pt>
                <c:pt idx="76">
                  <c:v>Jun-2024</c:v>
                </c:pt>
                <c:pt idx="77">
                  <c:v>Jun-2023</c:v>
                </c:pt>
                <c:pt idx="78">
                  <c:v>Nov-2024</c:v>
                </c:pt>
                <c:pt idx="79">
                  <c:v>Feb-2023</c:v>
                </c:pt>
                <c:pt idx="80">
                  <c:v>Aug-2023</c:v>
                </c:pt>
                <c:pt idx="81">
                  <c:v>May-2025</c:v>
                </c:pt>
                <c:pt idx="82">
                  <c:v>Apr-2025</c:v>
                </c:pt>
                <c:pt idx="83">
                  <c:v>Mar-2025</c:v>
                </c:pt>
                <c:pt idx="84">
                  <c:v>Dec-2023</c:v>
                </c:pt>
                <c:pt idx="85">
                  <c:v>Apr-2024</c:v>
                </c:pt>
                <c:pt idx="86">
                  <c:v>Aug-2025</c:v>
                </c:pt>
                <c:pt idx="87">
                  <c:v>Jan-2024</c:v>
                </c:pt>
                <c:pt idx="88">
                  <c:v>Jun-2023</c:v>
                </c:pt>
                <c:pt idx="89">
                  <c:v>Apr-2025</c:v>
                </c:pt>
                <c:pt idx="90">
                  <c:v>Jun-2025</c:v>
                </c:pt>
                <c:pt idx="91">
                  <c:v>Jun-2023</c:v>
                </c:pt>
                <c:pt idx="92">
                  <c:v>Oct-2024</c:v>
                </c:pt>
                <c:pt idx="93">
                  <c:v>Sep-2025</c:v>
                </c:pt>
                <c:pt idx="94">
                  <c:v>Apr-2023</c:v>
                </c:pt>
                <c:pt idx="95">
                  <c:v>Aug-2025</c:v>
                </c:pt>
                <c:pt idx="96">
                  <c:v>May-2024</c:v>
                </c:pt>
                <c:pt idx="97">
                  <c:v>Jul-2025</c:v>
                </c:pt>
                <c:pt idx="98">
                  <c:v>Feb-2023</c:v>
                </c:pt>
                <c:pt idx="99">
                  <c:v>Jan-2025</c:v>
                </c:pt>
                <c:pt idx="100">
                  <c:v>Jan-2024</c:v>
                </c:pt>
                <c:pt idx="101">
                  <c:v>Mar-2025</c:v>
                </c:pt>
                <c:pt idx="102">
                  <c:v>Dec-2024</c:v>
                </c:pt>
                <c:pt idx="103">
                  <c:v>Sep-2024</c:v>
                </c:pt>
                <c:pt idx="104">
                  <c:v>May-2024</c:v>
                </c:pt>
                <c:pt idx="105">
                  <c:v>May-2023</c:v>
                </c:pt>
                <c:pt idx="106">
                  <c:v>Aug-2024</c:v>
                </c:pt>
                <c:pt idx="107">
                  <c:v>Oct-2024</c:v>
                </c:pt>
                <c:pt idx="108">
                  <c:v>Jun-2024</c:v>
                </c:pt>
                <c:pt idx="109">
                  <c:v>Jun-2024</c:v>
                </c:pt>
                <c:pt idx="110">
                  <c:v>Jun-2024</c:v>
                </c:pt>
                <c:pt idx="111">
                  <c:v>Jun-2024</c:v>
                </c:pt>
                <c:pt idx="112">
                  <c:v>Jan-2025</c:v>
                </c:pt>
                <c:pt idx="113">
                  <c:v>Nov-2023</c:v>
                </c:pt>
                <c:pt idx="114">
                  <c:v>Mar-2023</c:v>
                </c:pt>
                <c:pt idx="115">
                  <c:v>Jun-2025</c:v>
                </c:pt>
                <c:pt idx="116">
                  <c:v>Dec-2024</c:v>
                </c:pt>
                <c:pt idx="117">
                  <c:v>Jun-2023</c:v>
                </c:pt>
                <c:pt idx="118">
                  <c:v>Jul-2025</c:v>
                </c:pt>
                <c:pt idx="119">
                  <c:v>Jun-2025</c:v>
                </c:pt>
                <c:pt idx="120">
                  <c:v>Nov-2023</c:v>
                </c:pt>
                <c:pt idx="121">
                  <c:v>Dec-2023</c:v>
                </c:pt>
                <c:pt idx="122">
                  <c:v>Nov-2024</c:v>
                </c:pt>
                <c:pt idx="123">
                  <c:v>Aug-2023</c:v>
                </c:pt>
                <c:pt idx="124">
                  <c:v>Aug-2023</c:v>
                </c:pt>
                <c:pt idx="125">
                  <c:v>Jun-2024</c:v>
                </c:pt>
                <c:pt idx="126">
                  <c:v>Aug-2025</c:v>
                </c:pt>
                <c:pt idx="127">
                  <c:v>May-2024</c:v>
                </c:pt>
                <c:pt idx="128">
                  <c:v>Jan-2023</c:v>
                </c:pt>
                <c:pt idx="129">
                  <c:v>Feb-2025</c:v>
                </c:pt>
                <c:pt idx="130">
                  <c:v>Mar-2025</c:v>
                </c:pt>
                <c:pt idx="131">
                  <c:v>Jan-2023</c:v>
                </c:pt>
                <c:pt idx="132">
                  <c:v>Jan-2025</c:v>
                </c:pt>
                <c:pt idx="133">
                  <c:v>Dec-2024</c:v>
                </c:pt>
                <c:pt idx="134">
                  <c:v>Apr-2023</c:v>
                </c:pt>
                <c:pt idx="135">
                  <c:v>Dec-2024</c:v>
                </c:pt>
                <c:pt idx="136">
                  <c:v>Mar-2023</c:v>
                </c:pt>
                <c:pt idx="137">
                  <c:v>Nov-2024</c:v>
                </c:pt>
                <c:pt idx="138">
                  <c:v>Feb-2024</c:v>
                </c:pt>
                <c:pt idx="139">
                  <c:v>May-2023</c:v>
                </c:pt>
                <c:pt idx="140">
                  <c:v>Dec-2024</c:v>
                </c:pt>
                <c:pt idx="141">
                  <c:v>Jul-2023</c:v>
                </c:pt>
                <c:pt idx="142">
                  <c:v>Jun-2024</c:v>
                </c:pt>
                <c:pt idx="143">
                  <c:v>Jul-2023</c:v>
                </c:pt>
                <c:pt idx="144">
                  <c:v>Nov-2023</c:v>
                </c:pt>
                <c:pt idx="145">
                  <c:v>Sep-2025</c:v>
                </c:pt>
                <c:pt idx="146">
                  <c:v>Apr-2024</c:v>
                </c:pt>
                <c:pt idx="147">
                  <c:v>Sep-2023</c:v>
                </c:pt>
                <c:pt idx="148">
                  <c:v>Sep-2024</c:v>
                </c:pt>
                <c:pt idx="149">
                  <c:v>Apr-2025</c:v>
                </c:pt>
                <c:pt idx="150">
                  <c:v>Jul-2023</c:v>
                </c:pt>
                <c:pt idx="151">
                  <c:v>Dec-2023</c:v>
                </c:pt>
                <c:pt idx="152">
                  <c:v>Feb-2024</c:v>
                </c:pt>
                <c:pt idx="153">
                  <c:v>Oct-2023</c:v>
                </c:pt>
                <c:pt idx="154">
                  <c:v>Aug-2024</c:v>
                </c:pt>
                <c:pt idx="155">
                  <c:v>Feb-2024</c:v>
                </c:pt>
                <c:pt idx="156">
                  <c:v>Aug-2024</c:v>
                </c:pt>
                <c:pt idx="157">
                  <c:v>Feb-2025</c:v>
                </c:pt>
                <c:pt idx="158">
                  <c:v>Aug-2025</c:v>
                </c:pt>
                <c:pt idx="159">
                  <c:v>Feb-2023</c:v>
                </c:pt>
                <c:pt idx="160">
                  <c:v>Oct-2024</c:v>
                </c:pt>
                <c:pt idx="161">
                  <c:v>Apr-2024</c:v>
                </c:pt>
                <c:pt idx="162">
                  <c:v>Mar-2023</c:v>
                </c:pt>
                <c:pt idx="163">
                  <c:v>Jun-2024</c:v>
                </c:pt>
                <c:pt idx="164">
                  <c:v>Feb-2023</c:v>
                </c:pt>
                <c:pt idx="165">
                  <c:v>Apr-2023</c:v>
                </c:pt>
                <c:pt idx="166">
                  <c:v>May-2024</c:v>
                </c:pt>
                <c:pt idx="167">
                  <c:v>Oct-2023</c:v>
                </c:pt>
                <c:pt idx="168">
                  <c:v>Oct-2024</c:v>
                </c:pt>
                <c:pt idx="169">
                  <c:v>Jul-2024</c:v>
                </c:pt>
                <c:pt idx="170">
                  <c:v>Sep-2023</c:v>
                </c:pt>
                <c:pt idx="171">
                  <c:v>Feb-2023</c:v>
                </c:pt>
                <c:pt idx="172">
                  <c:v>May-2025</c:v>
                </c:pt>
                <c:pt idx="173">
                  <c:v>May-2024</c:v>
                </c:pt>
                <c:pt idx="174">
                  <c:v>Apr-2025</c:v>
                </c:pt>
                <c:pt idx="175">
                  <c:v>Aug-2023</c:v>
                </c:pt>
                <c:pt idx="176">
                  <c:v>Feb-2024</c:v>
                </c:pt>
                <c:pt idx="177">
                  <c:v>Apr-2023</c:v>
                </c:pt>
                <c:pt idx="178">
                  <c:v>Aug-2025</c:v>
                </c:pt>
                <c:pt idx="179">
                  <c:v>Sep-2025</c:v>
                </c:pt>
                <c:pt idx="180">
                  <c:v>Oct-2024</c:v>
                </c:pt>
                <c:pt idx="181">
                  <c:v>Feb-2025</c:v>
                </c:pt>
                <c:pt idx="182">
                  <c:v>Aug-2023</c:v>
                </c:pt>
                <c:pt idx="183">
                  <c:v>Oct-2024</c:v>
                </c:pt>
                <c:pt idx="184">
                  <c:v>Jun-2023</c:v>
                </c:pt>
                <c:pt idx="185">
                  <c:v>Jan-2025</c:v>
                </c:pt>
                <c:pt idx="186">
                  <c:v>Jan-2023</c:v>
                </c:pt>
                <c:pt idx="187">
                  <c:v>Jul-2023</c:v>
                </c:pt>
                <c:pt idx="188">
                  <c:v>May-2024</c:v>
                </c:pt>
                <c:pt idx="189">
                  <c:v>Feb-2024</c:v>
                </c:pt>
                <c:pt idx="190">
                  <c:v>Aug-2023</c:v>
                </c:pt>
                <c:pt idx="191">
                  <c:v>Aug-2024</c:v>
                </c:pt>
                <c:pt idx="192">
                  <c:v>Oct-2023</c:v>
                </c:pt>
                <c:pt idx="193">
                  <c:v>May-2023</c:v>
                </c:pt>
                <c:pt idx="194">
                  <c:v>Sep-2024</c:v>
                </c:pt>
                <c:pt idx="195">
                  <c:v>Oct-2024</c:v>
                </c:pt>
                <c:pt idx="196">
                  <c:v>Feb-2024</c:v>
                </c:pt>
                <c:pt idx="197">
                  <c:v>Jan-2023</c:v>
                </c:pt>
                <c:pt idx="198">
                  <c:v>Apr-2023</c:v>
                </c:pt>
                <c:pt idx="199">
                  <c:v>Jan-2023</c:v>
                </c:pt>
                <c:pt idx="200">
                  <c:v>Jan-2024</c:v>
                </c:pt>
                <c:pt idx="201">
                  <c:v>Aug-2023</c:v>
                </c:pt>
                <c:pt idx="202">
                  <c:v>Jan-2023</c:v>
                </c:pt>
                <c:pt idx="203">
                  <c:v>Feb-2025</c:v>
                </c:pt>
                <c:pt idx="204">
                  <c:v>Apr-2023</c:v>
                </c:pt>
                <c:pt idx="205">
                  <c:v>Jul-2023</c:v>
                </c:pt>
                <c:pt idx="206">
                  <c:v>Jan-2025</c:v>
                </c:pt>
                <c:pt idx="207">
                  <c:v>Sep-2024</c:v>
                </c:pt>
                <c:pt idx="208">
                  <c:v>Jul-2025</c:v>
                </c:pt>
                <c:pt idx="209">
                  <c:v>Oct-2024</c:v>
                </c:pt>
                <c:pt idx="210">
                  <c:v>Jul-2025</c:v>
                </c:pt>
                <c:pt idx="211">
                  <c:v>Sep-2024</c:v>
                </c:pt>
                <c:pt idx="212">
                  <c:v>Jan-2025</c:v>
                </c:pt>
                <c:pt idx="213">
                  <c:v>Nov-2023</c:v>
                </c:pt>
                <c:pt idx="214">
                  <c:v>Feb-2024</c:v>
                </c:pt>
                <c:pt idx="215">
                  <c:v>Dec-2023</c:v>
                </c:pt>
                <c:pt idx="216">
                  <c:v>Jan-2023</c:v>
                </c:pt>
                <c:pt idx="217">
                  <c:v>Oct-2024</c:v>
                </c:pt>
                <c:pt idx="218">
                  <c:v>Sep-2024</c:v>
                </c:pt>
                <c:pt idx="219">
                  <c:v>Aug-2025</c:v>
                </c:pt>
                <c:pt idx="220">
                  <c:v>Sep-2023</c:v>
                </c:pt>
                <c:pt idx="221">
                  <c:v>Aug-2023</c:v>
                </c:pt>
                <c:pt idx="222">
                  <c:v>Jul-2025</c:v>
                </c:pt>
                <c:pt idx="223">
                  <c:v>Apr-2023</c:v>
                </c:pt>
                <c:pt idx="224">
                  <c:v>Dec-2023</c:v>
                </c:pt>
                <c:pt idx="225">
                  <c:v>Jul-2023</c:v>
                </c:pt>
                <c:pt idx="226">
                  <c:v>Oct-2023</c:v>
                </c:pt>
                <c:pt idx="227">
                  <c:v>Aug-2025</c:v>
                </c:pt>
                <c:pt idx="228">
                  <c:v>Mar-2023</c:v>
                </c:pt>
                <c:pt idx="229">
                  <c:v>May-2023</c:v>
                </c:pt>
                <c:pt idx="230">
                  <c:v>Apr-2025</c:v>
                </c:pt>
                <c:pt idx="231">
                  <c:v>Sep-2024</c:v>
                </c:pt>
                <c:pt idx="232">
                  <c:v>Sep-2024</c:v>
                </c:pt>
                <c:pt idx="233">
                  <c:v>Mar-2023</c:v>
                </c:pt>
                <c:pt idx="234">
                  <c:v>Jan-2024</c:v>
                </c:pt>
                <c:pt idx="235">
                  <c:v>Sep-2024</c:v>
                </c:pt>
                <c:pt idx="236">
                  <c:v>Jul-2025</c:v>
                </c:pt>
                <c:pt idx="237">
                  <c:v>Nov-2023</c:v>
                </c:pt>
                <c:pt idx="238">
                  <c:v>Mar-2024</c:v>
                </c:pt>
                <c:pt idx="239">
                  <c:v>Sep-2023</c:v>
                </c:pt>
                <c:pt idx="240">
                  <c:v>May-2025</c:v>
                </c:pt>
                <c:pt idx="241">
                  <c:v>Aug-2025</c:v>
                </c:pt>
                <c:pt idx="242">
                  <c:v>Dec-2024</c:v>
                </c:pt>
                <c:pt idx="243">
                  <c:v>Apr-2023</c:v>
                </c:pt>
                <c:pt idx="244">
                  <c:v>Mar-2024</c:v>
                </c:pt>
                <c:pt idx="245">
                  <c:v>Feb-2024</c:v>
                </c:pt>
                <c:pt idx="246">
                  <c:v>Apr-2025</c:v>
                </c:pt>
                <c:pt idx="247">
                  <c:v>Nov-2024</c:v>
                </c:pt>
                <c:pt idx="248">
                  <c:v>Sep-2025</c:v>
                </c:pt>
                <c:pt idx="249">
                  <c:v>Sep-2024</c:v>
                </c:pt>
                <c:pt idx="250">
                  <c:v>Mar-2023</c:v>
                </c:pt>
                <c:pt idx="251">
                  <c:v>Mar-2024</c:v>
                </c:pt>
                <c:pt idx="252">
                  <c:v>Jul-2024</c:v>
                </c:pt>
                <c:pt idx="253">
                  <c:v>Oct-2024</c:v>
                </c:pt>
                <c:pt idx="254">
                  <c:v>Apr-2024</c:v>
                </c:pt>
                <c:pt idx="255">
                  <c:v>Oct-2023</c:v>
                </c:pt>
                <c:pt idx="256">
                  <c:v>Apr-2023</c:v>
                </c:pt>
                <c:pt idx="257">
                  <c:v>Jun-2025</c:v>
                </c:pt>
                <c:pt idx="258">
                  <c:v>Oct-2023</c:v>
                </c:pt>
                <c:pt idx="259">
                  <c:v>May-2023</c:v>
                </c:pt>
                <c:pt idx="260">
                  <c:v>May-2023</c:v>
                </c:pt>
                <c:pt idx="261">
                  <c:v>Aug-2023</c:v>
                </c:pt>
                <c:pt idx="262">
                  <c:v>Jun-2025</c:v>
                </c:pt>
                <c:pt idx="263">
                  <c:v>Apr-2025</c:v>
                </c:pt>
                <c:pt idx="264">
                  <c:v>Sep-2025</c:v>
                </c:pt>
                <c:pt idx="265">
                  <c:v>Oct-2024</c:v>
                </c:pt>
                <c:pt idx="266">
                  <c:v>May-2023</c:v>
                </c:pt>
                <c:pt idx="267">
                  <c:v>Dec-2023</c:v>
                </c:pt>
                <c:pt idx="268">
                  <c:v>Jan-2024</c:v>
                </c:pt>
                <c:pt idx="269">
                  <c:v>Aug-2023</c:v>
                </c:pt>
                <c:pt idx="270">
                  <c:v>Feb-2025</c:v>
                </c:pt>
                <c:pt idx="271">
                  <c:v>Mar-2024</c:v>
                </c:pt>
                <c:pt idx="272">
                  <c:v>Jul-2023</c:v>
                </c:pt>
                <c:pt idx="273">
                  <c:v>Mar-2024</c:v>
                </c:pt>
                <c:pt idx="274">
                  <c:v>Jan-2024</c:v>
                </c:pt>
                <c:pt idx="275">
                  <c:v>Mar-2024</c:v>
                </c:pt>
                <c:pt idx="276">
                  <c:v>Jun-2025</c:v>
                </c:pt>
                <c:pt idx="277">
                  <c:v>Jun-2024</c:v>
                </c:pt>
                <c:pt idx="278">
                  <c:v>Oct-2023</c:v>
                </c:pt>
                <c:pt idx="279">
                  <c:v>Jun-2023</c:v>
                </c:pt>
                <c:pt idx="280">
                  <c:v>Mar-2025</c:v>
                </c:pt>
                <c:pt idx="281">
                  <c:v>Aug-2023</c:v>
                </c:pt>
                <c:pt idx="282">
                  <c:v>May-2025</c:v>
                </c:pt>
                <c:pt idx="283">
                  <c:v>Jan-2024</c:v>
                </c:pt>
                <c:pt idx="284">
                  <c:v>Jun-2023</c:v>
                </c:pt>
                <c:pt idx="285">
                  <c:v>Apr-2025</c:v>
                </c:pt>
                <c:pt idx="286">
                  <c:v>Sep-2024</c:v>
                </c:pt>
                <c:pt idx="287">
                  <c:v>Jan-2024</c:v>
                </c:pt>
                <c:pt idx="288">
                  <c:v>Jul-2023</c:v>
                </c:pt>
                <c:pt idx="289">
                  <c:v>Aug-2025</c:v>
                </c:pt>
                <c:pt idx="290">
                  <c:v>Mar-2025</c:v>
                </c:pt>
                <c:pt idx="291">
                  <c:v>Oct-2023</c:v>
                </c:pt>
                <c:pt idx="292">
                  <c:v>Aug-2023</c:v>
                </c:pt>
                <c:pt idx="293">
                  <c:v>Apr-2025</c:v>
                </c:pt>
                <c:pt idx="294">
                  <c:v>Jun-2025</c:v>
                </c:pt>
                <c:pt idx="295">
                  <c:v>Mar-2024</c:v>
                </c:pt>
                <c:pt idx="296">
                  <c:v>Jun-2023</c:v>
                </c:pt>
                <c:pt idx="297">
                  <c:v>Mar-2024</c:v>
                </c:pt>
                <c:pt idx="298">
                  <c:v>Jan-2025</c:v>
                </c:pt>
                <c:pt idx="299">
                  <c:v>May-2025</c:v>
                </c:pt>
                <c:pt idx="300">
                  <c:v>Oct-2023</c:v>
                </c:pt>
                <c:pt idx="301">
                  <c:v>Jul-2023</c:v>
                </c:pt>
                <c:pt idx="302">
                  <c:v>Jun-2025</c:v>
                </c:pt>
                <c:pt idx="303">
                  <c:v>Jun-2024</c:v>
                </c:pt>
                <c:pt idx="304">
                  <c:v>Apr-2025</c:v>
                </c:pt>
                <c:pt idx="305">
                  <c:v>Mar-2025</c:v>
                </c:pt>
                <c:pt idx="306">
                  <c:v>May-2025</c:v>
                </c:pt>
                <c:pt idx="307">
                  <c:v>Jan-2025</c:v>
                </c:pt>
                <c:pt idx="308">
                  <c:v>Jan-2023</c:v>
                </c:pt>
                <c:pt idx="309">
                  <c:v>Dec-2024</c:v>
                </c:pt>
                <c:pt idx="310">
                  <c:v>May-2024</c:v>
                </c:pt>
                <c:pt idx="311">
                  <c:v>Jun-2023</c:v>
                </c:pt>
                <c:pt idx="312">
                  <c:v>Nov-2024</c:v>
                </c:pt>
                <c:pt idx="313">
                  <c:v>Jun-2024</c:v>
                </c:pt>
                <c:pt idx="314">
                  <c:v>Jun-2025</c:v>
                </c:pt>
                <c:pt idx="315">
                  <c:v>May-2023</c:v>
                </c:pt>
                <c:pt idx="316">
                  <c:v>Nov-2023</c:v>
                </c:pt>
                <c:pt idx="317">
                  <c:v>Apr-2025</c:v>
                </c:pt>
                <c:pt idx="318">
                  <c:v>Mar-2023</c:v>
                </c:pt>
                <c:pt idx="319">
                  <c:v>May-2024</c:v>
                </c:pt>
                <c:pt idx="320">
                  <c:v>Jan-2024</c:v>
                </c:pt>
                <c:pt idx="321">
                  <c:v>Feb-2023</c:v>
                </c:pt>
                <c:pt idx="322">
                  <c:v>Feb-2024</c:v>
                </c:pt>
                <c:pt idx="323">
                  <c:v>Sep-2024</c:v>
                </c:pt>
                <c:pt idx="324">
                  <c:v>May-2023</c:v>
                </c:pt>
                <c:pt idx="325">
                  <c:v>Jan-2024</c:v>
                </c:pt>
                <c:pt idx="326">
                  <c:v>Jun-2023</c:v>
                </c:pt>
                <c:pt idx="327">
                  <c:v>May-2025</c:v>
                </c:pt>
                <c:pt idx="328">
                  <c:v>Oct-2023</c:v>
                </c:pt>
                <c:pt idx="329">
                  <c:v>Jan-2025</c:v>
                </c:pt>
                <c:pt idx="330">
                  <c:v>Sep-2025</c:v>
                </c:pt>
                <c:pt idx="331">
                  <c:v>Aug-2023</c:v>
                </c:pt>
                <c:pt idx="332">
                  <c:v>Nov-2023</c:v>
                </c:pt>
                <c:pt idx="333">
                  <c:v>Apr-2025</c:v>
                </c:pt>
                <c:pt idx="334">
                  <c:v>Apr-2024</c:v>
                </c:pt>
                <c:pt idx="335">
                  <c:v>Jul-2024</c:v>
                </c:pt>
                <c:pt idx="336">
                  <c:v>Feb-2024</c:v>
                </c:pt>
                <c:pt idx="337">
                  <c:v>Jul-2023</c:v>
                </c:pt>
                <c:pt idx="338">
                  <c:v>Jul-2023</c:v>
                </c:pt>
                <c:pt idx="339">
                  <c:v>Jul-2023</c:v>
                </c:pt>
                <c:pt idx="340">
                  <c:v>Apr-2023</c:v>
                </c:pt>
                <c:pt idx="341">
                  <c:v>Oct-2024</c:v>
                </c:pt>
                <c:pt idx="342">
                  <c:v>Feb-2024</c:v>
                </c:pt>
                <c:pt idx="343">
                  <c:v>Jul-2024</c:v>
                </c:pt>
                <c:pt idx="344">
                  <c:v>Dec-2023</c:v>
                </c:pt>
                <c:pt idx="345">
                  <c:v>Jul-2024</c:v>
                </c:pt>
                <c:pt idx="346">
                  <c:v>May-2023</c:v>
                </c:pt>
                <c:pt idx="347">
                  <c:v>Dec-2023</c:v>
                </c:pt>
                <c:pt idx="348">
                  <c:v>Jun-2025</c:v>
                </c:pt>
                <c:pt idx="349">
                  <c:v>Feb-2023</c:v>
                </c:pt>
                <c:pt idx="350">
                  <c:v>Dec-2023</c:v>
                </c:pt>
                <c:pt idx="351">
                  <c:v>Jul-2023</c:v>
                </c:pt>
                <c:pt idx="352">
                  <c:v>Aug-2024</c:v>
                </c:pt>
                <c:pt idx="353">
                  <c:v>Nov-2024</c:v>
                </c:pt>
                <c:pt idx="354">
                  <c:v>Jan-2024</c:v>
                </c:pt>
                <c:pt idx="355">
                  <c:v>Aug-2025</c:v>
                </c:pt>
                <c:pt idx="356">
                  <c:v>Apr-2024</c:v>
                </c:pt>
                <c:pt idx="357">
                  <c:v>Nov-2024</c:v>
                </c:pt>
                <c:pt idx="358">
                  <c:v>Jan-2024</c:v>
                </c:pt>
                <c:pt idx="359">
                  <c:v>Jun-2024</c:v>
                </c:pt>
                <c:pt idx="360">
                  <c:v>Jun-2025</c:v>
                </c:pt>
                <c:pt idx="361">
                  <c:v>Jul-2023</c:v>
                </c:pt>
                <c:pt idx="362">
                  <c:v>Mar-2024</c:v>
                </c:pt>
                <c:pt idx="363">
                  <c:v>Jun-2023</c:v>
                </c:pt>
                <c:pt idx="364">
                  <c:v>Mar-2025</c:v>
                </c:pt>
                <c:pt idx="365">
                  <c:v>Jun-2024</c:v>
                </c:pt>
                <c:pt idx="366">
                  <c:v>Mar-2025</c:v>
                </c:pt>
                <c:pt idx="367">
                  <c:v>Sep-2023</c:v>
                </c:pt>
                <c:pt idx="368">
                  <c:v>Jun-2025</c:v>
                </c:pt>
                <c:pt idx="369">
                  <c:v>Dec-2023</c:v>
                </c:pt>
                <c:pt idx="370">
                  <c:v>Feb-2023</c:v>
                </c:pt>
                <c:pt idx="371">
                  <c:v>Apr-2023</c:v>
                </c:pt>
                <c:pt idx="372">
                  <c:v>Apr-2025</c:v>
                </c:pt>
                <c:pt idx="373">
                  <c:v>May-2024</c:v>
                </c:pt>
                <c:pt idx="374">
                  <c:v>Mar-2024</c:v>
                </c:pt>
                <c:pt idx="375">
                  <c:v>Jun-2025</c:v>
                </c:pt>
                <c:pt idx="376">
                  <c:v>Mar-2023</c:v>
                </c:pt>
                <c:pt idx="377">
                  <c:v>Jan-2025</c:v>
                </c:pt>
                <c:pt idx="378">
                  <c:v>Feb-2025</c:v>
                </c:pt>
                <c:pt idx="379">
                  <c:v>Jan-2025</c:v>
                </c:pt>
                <c:pt idx="380">
                  <c:v>Aug-2025</c:v>
                </c:pt>
                <c:pt idx="381">
                  <c:v>Jul-2025</c:v>
                </c:pt>
                <c:pt idx="382">
                  <c:v>Jun-2023</c:v>
                </c:pt>
                <c:pt idx="383">
                  <c:v>Jul-2024</c:v>
                </c:pt>
                <c:pt idx="384">
                  <c:v>May-2023</c:v>
                </c:pt>
                <c:pt idx="385">
                  <c:v>May-2025</c:v>
                </c:pt>
                <c:pt idx="386">
                  <c:v>May-2024</c:v>
                </c:pt>
                <c:pt idx="387">
                  <c:v>Sep-2023</c:v>
                </c:pt>
                <c:pt idx="388">
                  <c:v>Oct-2023</c:v>
                </c:pt>
                <c:pt idx="389">
                  <c:v>Jun-2025</c:v>
                </c:pt>
                <c:pt idx="390">
                  <c:v>Aug-2024</c:v>
                </c:pt>
                <c:pt idx="391">
                  <c:v>Oct-2023</c:v>
                </c:pt>
                <c:pt idx="392">
                  <c:v>Mar-2024</c:v>
                </c:pt>
                <c:pt idx="393">
                  <c:v>May-2023</c:v>
                </c:pt>
                <c:pt idx="394">
                  <c:v>May-2025</c:v>
                </c:pt>
                <c:pt idx="395">
                  <c:v>Aug-2025</c:v>
                </c:pt>
                <c:pt idx="396">
                  <c:v>Dec-2024</c:v>
                </c:pt>
                <c:pt idx="397">
                  <c:v>Sep-2025</c:v>
                </c:pt>
                <c:pt idx="398">
                  <c:v>Sep-2024</c:v>
                </c:pt>
                <c:pt idx="399">
                  <c:v>Apr-2025</c:v>
                </c:pt>
                <c:pt idx="400">
                  <c:v>Aug-2024</c:v>
                </c:pt>
                <c:pt idx="401">
                  <c:v>Nov-2024</c:v>
                </c:pt>
                <c:pt idx="402">
                  <c:v>Jul-2024</c:v>
                </c:pt>
                <c:pt idx="403">
                  <c:v>Jan-2025</c:v>
                </c:pt>
                <c:pt idx="404">
                  <c:v>Mar-2023</c:v>
                </c:pt>
                <c:pt idx="405">
                  <c:v>Dec-2024</c:v>
                </c:pt>
                <c:pt idx="406">
                  <c:v>Feb-2025</c:v>
                </c:pt>
                <c:pt idx="407">
                  <c:v>Mar-2025</c:v>
                </c:pt>
                <c:pt idx="408">
                  <c:v>Dec-2023</c:v>
                </c:pt>
                <c:pt idx="409">
                  <c:v>Aug-2024</c:v>
                </c:pt>
                <c:pt idx="410">
                  <c:v>May-2024</c:v>
                </c:pt>
                <c:pt idx="411">
                  <c:v>Mar-2023</c:v>
                </c:pt>
                <c:pt idx="412">
                  <c:v>Aug-2023</c:v>
                </c:pt>
                <c:pt idx="413">
                  <c:v>Jun-2024</c:v>
                </c:pt>
                <c:pt idx="414">
                  <c:v>Aug-2023</c:v>
                </c:pt>
                <c:pt idx="415">
                  <c:v>Nov-2024</c:v>
                </c:pt>
                <c:pt idx="416">
                  <c:v>Jun-2025</c:v>
                </c:pt>
                <c:pt idx="417">
                  <c:v>Mar-2025</c:v>
                </c:pt>
                <c:pt idx="418">
                  <c:v>Jan-2024</c:v>
                </c:pt>
                <c:pt idx="419">
                  <c:v>Oct-2023</c:v>
                </c:pt>
                <c:pt idx="420">
                  <c:v>Feb-2025</c:v>
                </c:pt>
                <c:pt idx="421">
                  <c:v>Jul-2025</c:v>
                </c:pt>
                <c:pt idx="422">
                  <c:v>Sep-2025</c:v>
                </c:pt>
                <c:pt idx="423">
                  <c:v>Feb-2024</c:v>
                </c:pt>
                <c:pt idx="424">
                  <c:v>Feb-2024</c:v>
                </c:pt>
                <c:pt idx="425">
                  <c:v>Aug-2025</c:v>
                </c:pt>
                <c:pt idx="426">
                  <c:v>Aug-2024</c:v>
                </c:pt>
                <c:pt idx="427">
                  <c:v>Feb-2024</c:v>
                </c:pt>
                <c:pt idx="428">
                  <c:v>May-2025</c:v>
                </c:pt>
                <c:pt idx="429">
                  <c:v>Nov-2024</c:v>
                </c:pt>
                <c:pt idx="430">
                  <c:v>Dec-2024</c:v>
                </c:pt>
                <c:pt idx="431">
                  <c:v>Oct-2023</c:v>
                </c:pt>
                <c:pt idx="432">
                  <c:v>Dec-2024</c:v>
                </c:pt>
                <c:pt idx="433">
                  <c:v>Sep-2024</c:v>
                </c:pt>
                <c:pt idx="434">
                  <c:v>Oct-2023</c:v>
                </c:pt>
                <c:pt idx="435">
                  <c:v>Dec-2024</c:v>
                </c:pt>
                <c:pt idx="436">
                  <c:v>Apr-2023</c:v>
                </c:pt>
                <c:pt idx="437">
                  <c:v>Dec-2023</c:v>
                </c:pt>
                <c:pt idx="438">
                  <c:v>Feb-2023</c:v>
                </c:pt>
                <c:pt idx="439">
                  <c:v>May-2023</c:v>
                </c:pt>
                <c:pt idx="440">
                  <c:v>Mar-2024</c:v>
                </c:pt>
                <c:pt idx="441">
                  <c:v>Sep-2023</c:v>
                </c:pt>
                <c:pt idx="442">
                  <c:v>Aug-2024</c:v>
                </c:pt>
                <c:pt idx="443">
                  <c:v>Sep-2024</c:v>
                </c:pt>
                <c:pt idx="444">
                  <c:v>Jun-2023</c:v>
                </c:pt>
                <c:pt idx="445">
                  <c:v>Dec-2023</c:v>
                </c:pt>
                <c:pt idx="446">
                  <c:v>Mar-2025</c:v>
                </c:pt>
                <c:pt idx="447">
                  <c:v>Jun-2024</c:v>
                </c:pt>
                <c:pt idx="448">
                  <c:v>Jun-2024</c:v>
                </c:pt>
                <c:pt idx="449">
                  <c:v>Jul-2023</c:v>
                </c:pt>
                <c:pt idx="450">
                  <c:v>Jan-2023</c:v>
                </c:pt>
                <c:pt idx="451">
                  <c:v>May-2024</c:v>
                </c:pt>
                <c:pt idx="452">
                  <c:v>Jun-2025</c:v>
                </c:pt>
                <c:pt idx="453">
                  <c:v>May-2023</c:v>
                </c:pt>
                <c:pt idx="454">
                  <c:v>Dec-2024</c:v>
                </c:pt>
                <c:pt idx="455">
                  <c:v>Dec-2023</c:v>
                </c:pt>
                <c:pt idx="456">
                  <c:v>May-2023</c:v>
                </c:pt>
                <c:pt idx="457">
                  <c:v>Nov-2023</c:v>
                </c:pt>
                <c:pt idx="458">
                  <c:v>May-2024</c:v>
                </c:pt>
                <c:pt idx="459">
                  <c:v>Jul-2023</c:v>
                </c:pt>
                <c:pt idx="460">
                  <c:v>May-2023</c:v>
                </c:pt>
                <c:pt idx="461">
                  <c:v>Mar-2024</c:v>
                </c:pt>
                <c:pt idx="462">
                  <c:v>Apr-2025</c:v>
                </c:pt>
                <c:pt idx="463">
                  <c:v>Jul-2025</c:v>
                </c:pt>
                <c:pt idx="464">
                  <c:v>Nov-2024</c:v>
                </c:pt>
                <c:pt idx="465">
                  <c:v>Jun-2024</c:v>
                </c:pt>
                <c:pt idx="466">
                  <c:v>Dec-2023</c:v>
                </c:pt>
                <c:pt idx="467">
                  <c:v>Jun-2025</c:v>
                </c:pt>
                <c:pt idx="468">
                  <c:v>Mar-2025</c:v>
                </c:pt>
                <c:pt idx="469">
                  <c:v>May-2023</c:v>
                </c:pt>
                <c:pt idx="470">
                  <c:v>Aug-2023</c:v>
                </c:pt>
                <c:pt idx="471">
                  <c:v>Jul-2025</c:v>
                </c:pt>
                <c:pt idx="472">
                  <c:v>Feb-2024</c:v>
                </c:pt>
                <c:pt idx="473">
                  <c:v>Aug-2025</c:v>
                </c:pt>
                <c:pt idx="474">
                  <c:v>May-2023</c:v>
                </c:pt>
                <c:pt idx="475">
                  <c:v>May-2024</c:v>
                </c:pt>
                <c:pt idx="476">
                  <c:v>Mar-2023</c:v>
                </c:pt>
                <c:pt idx="477">
                  <c:v>Jul-2023</c:v>
                </c:pt>
                <c:pt idx="478">
                  <c:v>Apr-2023</c:v>
                </c:pt>
                <c:pt idx="479">
                  <c:v>Jan-2024</c:v>
                </c:pt>
                <c:pt idx="480">
                  <c:v>Sep-2024</c:v>
                </c:pt>
                <c:pt idx="481">
                  <c:v>Aug-2025</c:v>
                </c:pt>
                <c:pt idx="482">
                  <c:v>Apr-2025</c:v>
                </c:pt>
                <c:pt idx="483">
                  <c:v>Aug-2023</c:v>
                </c:pt>
                <c:pt idx="484">
                  <c:v>Dec-2024</c:v>
                </c:pt>
                <c:pt idx="485">
                  <c:v>Oct-2023</c:v>
                </c:pt>
                <c:pt idx="486">
                  <c:v>Nov-2024</c:v>
                </c:pt>
                <c:pt idx="487">
                  <c:v>May-2024</c:v>
                </c:pt>
                <c:pt idx="488">
                  <c:v>May-2025</c:v>
                </c:pt>
                <c:pt idx="489">
                  <c:v>Apr-2024</c:v>
                </c:pt>
                <c:pt idx="490">
                  <c:v>Aug-2024</c:v>
                </c:pt>
                <c:pt idx="491">
                  <c:v>Jul-2025</c:v>
                </c:pt>
                <c:pt idx="492">
                  <c:v>Mar-2024</c:v>
                </c:pt>
                <c:pt idx="493">
                  <c:v>May-2024</c:v>
                </c:pt>
                <c:pt idx="494">
                  <c:v>Aug-2024</c:v>
                </c:pt>
                <c:pt idx="495">
                  <c:v>Jun-2023</c:v>
                </c:pt>
                <c:pt idx="496">
                  <c:v>Sep-2024</c:v>
                </c:pt>
                <c:pt idx="497">
                  <c:v>Oct-2023</c:v>
                </c:pt>
                <c:pt idx="498">
                  <c:v>Sep-2025</c:v>
                </c:pt>
                <c:pt idx="499">
                  <c:v>May-2023</c:v>
                </c:pt>
                <c:pt idx="500">
                  <c:v>Apr-2024</c:v>
                </c:pt>
                <c:pt idx="501">
                  <c:v>Feb-2023</c:v>
                </c:pt>
                <c:pt idx="502">
                  <c:v>Mar-2025</c:v>
                </c:pt>
                <c:pt idx="503">
                  <c:v>Mar-2025</c:v>
                </c:pt>
                <c:pt idx="504">
                  <c:v>Apr-2024</c:v>
                </c:pt>
                <c:pt idx="505">
                  <c:v>Apr-2025</c:v>
                </c:pt>
                <c:pt idx="506">
                  <c:v>Oct-2024</c:v>
                </c:pt>
                <c:pt idx="507">
                  <c:v>Apr-2023</c:v>
                </c:pt>
                <c:pt idx="508">
                  <c:v>Nov-2024</c:v>
                </c:pt>
                <c:pt idx="509">
                  <c:v>May-2023</c:v>
                </c:pt>
                <c:pt idx="510">
                  <c:v>Mar-2024</c:v>
                </c:pt>
                <c:pt idx="511">
                  <c:v>Oct-2024</c:v>
                </c:pt>
                <c:pt idx="512">
                  <c:v>Jun-2023</c:v>
                </c:pt>
                <c:pt idx="513">
                  <c:v>Jan-2025</c:v>
                </c:pt>
                <c:pt idx="514">
                  <c:v>Aug-2025</c:v>
                </c:pt>
                <c:pt idx="515">
                  <c:v>Sep-2023</c:v>
                </c:pt>
                <c:pt idx="516">
                  <c:v>May-2025</c:v>
                </c:pt>
                <c:pt idx="517">
                  <c:v>May-2024</c:v>
                </c:pt>
                <c:pt idx="518">
                  <c:v>May-2023</c:v>
                </c:pt>
                <c:pt idx="519">
                  <c:v>Jul-2024</c:v>
                </c:pt>
                <c:pt idx="520">
                  <c:v>May-2023</c:v>
                </c:pt>
                <c:pt idx="521">
                  <c:v>Jul-2024</c:v>
                </c:pt>
                <c:pt idx="522">
                  <c:v>Apr-2024</c:v>
                </c:pt>
                <c:pt idx="523">
                  <c:v>Jan-2024</c:v>
                </c:pt>
                <c:pt idx="524">
                  <c:v>Apr-2024</c:v>
                </c:pt>
                <c:pt idx="525">
                  <c:v>Feb-2025</c:v>
                </c:pt>
                <c:pt idx="526">
                  <c:v>Jan-2023</c:v>
                </c:pt>
                <c:pt idx="527">
                  <c:v>Jun-2024</c:v>
                </c:pt>
                <c:pt idx="528">
                  <c:v>Aug-2023</c:v>
                </c:pt>
                <c:pt idx="529">
                  <c:v>Jan-2024</c:v>
                </c:pt>
                <c:pt idx="530">
                  <c:v>Mar-2025</c:v>
                </c:pt>
                <c:pt idx="531">
                  <c:v>Apr-2025</c:v>
                </c:pt>
                <c:pt idx="532">
                  <c:v>Aug-2023</c:v>
                </c:pt>
                <c:pt idx="533">
                  <c:v>Jun-2025</c:v>
                </c:pt>
                <c:pt idx="534">
                  <c:v>Jan-2025</c:v>
                </c:pt>
                <c:pt idx="535">
                  <c:v>Jul-2023</c:v>
                </c:pt>
                <c:pt idx="536">
                  <c:v>Aug-2024</c:v>
                </c:pt>
                <c:pt idx="537">
                  <c:v>Jul-2023</c:v>
                </c:pt>
                <c:pt idx="538">
                  <c:v>Dec-2023</c:v>
                </c:pt>
                <c:pt idx="539">
                  <c:v>Jan-2023</c:v>
                </c:pt>
                <c:pt idx="540">
                  <c:v>Jul-2023</c:v>
                </c:pt>
                <c:pt idx="541">
                  <c:v>Jun-2024</c:v>
                </c:pt>
                <c:pt idx="542">
                  <c:v>Feb-2023</c:v>
                </c:pt>
                <c:pt idx="543">
                  <c:v>Jul-2023</c:v>
                </c:pt>
                <c:pt idx="544">
                  <c:v>Aug-2025</c:v>
                </c:pt>
                <c:pt idx="545">
                  <c:v>Mar-2024</c:v>
                </c:pt>
                <c:pt idx="546">
                  <c:v>Sep-2023</c:v>
                </c:pt>
                <c:pt idx="547">
                  <c:v>Feb-2023</c:v>
                </c:pt>
                <c:pt idx="548">
                  <c:v>Jul-2024</c:v>
                </c:pt>
                <c:pt idx="549">
                  <c:v>Dec-2024</c:v>
                </c:pt>
                <c:pt idx="550">
                  <c:v>Aug-2025</c:v>
                </c:pt>
                <c:pt idx="551">
                  <c:v>Mar-2023</c:v>
                </c:pt>
                <c:pt idx="552">
                  <c:v>Feb-2025</c:v>
                </c:pt>
                <c:pt idx="553">
                  <c:v>Feb-2025</c:v>
                </c:pt>
                <c:pt idx="554">
                  <c:v>Aug-2024</c:v>
                </c:pt>
                <c:pt idx="555">
                  <c:v>May-2023</c:v>
                </c:pt>
                <c:pt idx="556">
                  <c:v>May-2025</c:v>
                </c:pt>
                <c:pt idx="557">
                  <c:v>Mar-2024</c:v>
                </c:pt>
                <c:pt idx="558">
                  <c:v>May-2024</c:v>
                </c:pt>
                <c:pt idx="559">
                  <c:v>Jan-2024</c:v>
                </c:pt>
                <c:pt idx="560">
                  <c:v>Oct-2024</c:v>
                </c:pt>
                <c:pt idx="561">
                  <c:v>Nov-2024</c:v>
                </c:pt>
                <c:pt idx="562">
                  <c:v>Apr-2023</c:v>
                </c:pt>
                <c:pt idx="563">
                  <c:v>Feb-2025</c:v>
                </c:pt>
                <c:pt idx="564">
                  <c:v>Jan-2024</c:v>
                </c:pt>
                <c:pt idx="565">
                  <c:v>Feb-2024</c:v>
                </c:pt>
                <c:pt idx="566">
                  <c:v>Jun-2025</c:v>
                </c:pt>
                <c:pt idx="567">
                  <c:v>Nov-2024</c:v>
                </c:pt>
                <c:pt idx="568">
                  <c:v>Feb-2024</c:v>
                </c:pt>
                <c:pt idx="569">
                  <c:v>Apr-2025</c:v>
                </c:pt>
                <c:pt idx="570">
                  <c:v>Jun-2023</c:v>
                </c:pt>
                <c:pt idx="571">
                  <c:v>Mar-2025</c:v>
                </c:pt>
                <c:pt idx="572">
                  <c:v>Jan-2024</c:v>
                </c:pt>
                <c:pt idx="573">
                  <c:v>Dec-2023</c:v>
                </c:pt>
                <c:pt idx="574">
                  <c:v>Apr-2023</c:v>
                </c:pt>
                <c:pt idx="575">
                  <c:v>Aug-2025</c:v>
                </c:pt>
                <c:pt idx="576">
                  <c:v>Aug-2023</c:v>
                </c:pt>
                <c:pt idx="577">
                  <c:v>Jun-2023</c:v>
                </c:pt>
                <c:pt idx="578">
                  <c:v>Nov-2024</c:v>
                </c:pt>
                <c:pt idx="579">
                  <c:v>Jul-2025</c:v>
                </c:pt>
                <c:pt idx="580">
                  <c:v>Jun-2023</c:v>
                </c:pt>
                <c:pt idx="581">
                  <c:v>Jan-2023</c:v>
                </c:pt>
                <c:pt idx="582">
                  <c:v>Sep-2024</c:v>
                </c:pt>
                <c:pt idx="583">
                  <c:v>Aug-2024</c:v>
                </c:pt>
                <c:pt idx="584">
                  <c:v>Apr-2025</c:v>
                </c:pt>
                <c:pt idx="585">
                  <c:v>May-2023</c:v>
                </c:pt>
                <c:pt idx="586">
                  <c:v>Mar-2024</c:v>
                </c:pt>
                <c:pt idx="587">
                  <c:v>Jun-2024</c:v>
                </c:pt>
                <c:pt idx="588">
                  <c:v>Feb-2025</c:v>
                </c:pt>
                <c:pt idx="589">
                  <c:v>Apr-2023</c:v>
                </c:pt>
                <c:pt idx="590">
                  <c:v>Aug-2025</c:v>
                </c:pt>
                <c:pt idx="591">
                  <c:v>Feb-2023</c:v>
                </c:pt>
                <c:pt idx="592">
                  <c:v>Jul-2024</c:v>
                </c:pt>
                <c:pt idx="593">
                  <c:v>Jun-2025</c:v>
                </c:pt>
                <c:pt idx="594">
                  <c:v>Jun-2024</c:v>
                </c:pt>
                <c:pt idx="595">
                  <c:v>Feb-2025</c:v>
                </c:pt>
                <c:pt idx="596">
                  <c:v>Jan-2023</c:v>
                </c:pt>
                <c:pt idx="597">
                  <c:v>Mar-2025</c:v>
                </c:pt>
                <c:pt idx="598">
                  <c:v>Aug-2024</c:v>
                </c:pt>
                <c:pt idx="599">
                  <c:v>Mar-2024</c:v>
                </c:pt>
                <c:pt idx="600">
                  <c:v>Aug-2024</c:v>
                </c:pt>
                <c:pt idx="601">
                  <c:v>Aug-2025</c:v>
                </c:pt>
                <c:pt idx="602">
                  <c:v>May-2025</c:v>
                </c:pt>
                <c:pt idx="603">
                  <c:v>Apr-2023</c:v>
                </c:pt>
                <c:pt idx="604">
                  <c:v>Sep-2023</c:v>
                </c:pt>
                <c:pt idx="605">
                  <c:v>Apr-2023</c:v>
                </c:pt>
                <c:pt idx="606">
                  <c:v>Jun-2025</c:v>
                </c:pt>
                <c:pt idx="607">
                  <c:v>Nov-2024</c:v>
                </c:pt>
                <c:pt idx="608">
                  <c:v>Jan-2024</c:v>
                </c:pt>
                <c:pt idx="609">
                  <c:v>Apr-2023</c:v>
                </c:pt>
                <c:pt idx="610">
                  <c:v>Feb-2024</c:v>
                </c:pt>
                <c:pt idx="611">
                  <c:v>Oct-2024</c:v>
                </c:pt>
                <c:pt idx="612">
                  <c:v>Jun-2024</c:v>
                </c:pt>
                <c:pt idx="613">
                  <c:v>Jul-2023</c:v>
                </c:pt>
                <c:pt idx="614">
                  <c:v>Mar-2025</c:v>
                </c:pt>
                <c:pt idx="615">
                  <c:v>Oct-2023</c:v>
                </c:pt>
                <c:pt idx="616">
                  <c:v>Dec-2024</c:v>
                </c:pt>
                <c:pt idx="617">
                  <c:v>Jul-2025</c:v>
                </c:pt>
                <c:pt idx="618">
                  <c:v>Oct-2024</c:v>
                </c:pt>
                <c:pt idx="619">
                  <c:v>Sep-2023</c:v>
                </c:pt>
                <c:pt idx="620">
                  <c:v>Apr-2025</c:v>
                </c:pt>
                <c:pt idx="621">
                  <c:v>Jul-2024</c:v>
                </c:pt>
                <c:pt idx="622">
                  <c:v>Jul-2025</c:v>
                </c:pt>
                <c:pt idx="623">
                  <c:v>Aug-2023</c:v>
                </c:pt>
                <c:pt idx="624">
                  <c:v>Nov-2023</c:v>
                </c:pt>
                <c:pt idx="625">
                  <c:v>Dec-2023</c:v>
                </c:pt>
                <c:pt idx="626">
                  <c:v>Aug-2023</c:v>
                </c:pt>
                <c:pt idx="627">
                  <c:v>Jun-2023</c:v>
                </c:pt>
                <c:pt idx="628">
                  <c:v>Dec-2023</c:v>
                </c:pt>
                <c:pt idx="629">
                  <c:v>Nov-2023</c:v>
                </c:pt>
                <c:pt idx="630">
                  <c:v>Feb-2025</c:v>
                </c:pt>
              </c:strCache>
            </c:strRef>
          </c:cat>
          <c:val>
            <c:numRef>
              <c:f>'Pivot Charts'!$B$2:$B$632</c:f>
              <c:numCache>
                <c:formatCode>General</c:formatCode>
                <c:ptCount val="631"/>
                <c:pt idx="0">
                  <c:v>547396.2288</c:v>
                </c:pt>
                <c:pt idx="1">
                  <c:v>2348344.20249</c:v>
                </c:pt>
                <c:pt idx="2">
                  <c:v>36743.80248</c:v>
                </c:pt>
                <c:pt idx="3">
                  <c:v>562662.59104</c:v>
                </c:pt>
                <c:pt idx="4">
                  <c:v>414176</c:v>
                </c:pt>
                <c:pt idx="5">
                  <c:v>337890.56964</c:v>
                </c:pt>
                <c:pt idx="6">
                  <c:v>84831.10776</c:v>
                </c:pt>
                <c:pt idx="7">
                  <c:v>1518015.26934</c:v>
                </c:pt>
                <c:pt idx="8">
                  <c:v>7148968.14236</c:v>
                </c:pt>
                <c:pt idx="9">
                  <c:v>1610179.38344</c:v>
                </c:pt>
                <c:pt idx="10">
                  <c:v>1379283.15</c:v>
                </c:pt>
                <c:pt idx="11">
                  <c:v>547884.504</c:v>
                </c:pt>
                <c:pt idx="12">
                  <c:v>2158515</c:v>
                </c:pt>
                <c:pt idx="13">
                  <c:v>757884</c:v>
                </c:pt>
                <c:pt idx="14">
                  <c:v>765153.3672</c:v>
                </c:pt>
                <c:pt idx="15">
                  <c:v>2909105.6148</c:v>
                </c:pt>
                <c:pt idx="16">
                  <c:v>4320990.09104</c:v>
                </c:pt>
                <c:pt idx="17">
                  <c:v>4271005.52406</c:v>
                </c:pt>
                <c:pt idx="18">
                  <c:v>4079915.04292</c:v>
                </c:pt>
                <c:pt idx="19">
                  <c:v>2560903.82072</c:v>
                </c:pt>
                <c:pt idx="20">
                  <c:v>2319150.86504</c:v>
                </c:pt>
                <c:pt idx="21">
                  <c:v>1241348.592</c:v>
                </c:pt>
                <c:pt idx="22">
                  <c:v>2042747.7048</c:v>
                </c:pt>
                <c:pt idx="23">
                  <c:v>2506816.51056</c:v>
                </c:pt>
                <c:pt idx="24">
                  <c:v>1031472.21056</c:v>
                </c:pt>
                <c:pt idx="25">
                  <c:v>175670</c:v>
                </c:pt>
                <c:pt idx="26">
                  <c:v>454369.3275</c:v>
                </c:pt>
                <c:pt idx="27">
                  <c:v>391320</c:v>
                </c:pt>
                <c:pt idx="28">
                  <c:v>2329409.61372</c:v>
                </c:pt>
                <c:pt idx="29">
                  <c:v>1073091.59738</c:v>
                </c:pt>
                <c:pt idx="30">
                  <c:v>2867957.24432</c:v>
                </c:pt>
                <c:pt idx="31">
                  <c:v>1052323.30528</c:v>
                </c:pt>
                <c:pt idx="32">
                  <c:v>1321850</c:v>
                </c:pt>
                <c:pt idx="33">
                  <c:v>2733183</c:v>
                </c:pt>
                <c:pt idx="34">
                  <c:v>736923.95431</c:v>
                </c:pt>
                <c:pt idx="35">
                  <c:v>2498191.60689</c:v>
                </c:pt>
                <c:pt idx="36">
                  <c:v>1386439.87392</c:v>
                </c:pt>
                <c:pt idx="37">
                  <c:v>1811156.919</c:v>
                </c:pt>
                <c:pt idx="38">
                  <c:v>408450.41838</c:v>
                </c:pt>
                <c:pt idx="39">
                  <c:v>4267039.61097</c:v>
                </c:pt>
                <c:pt idx="40">
                  <c:v>1055874</c:v>
                </c:pt>
                <c:pt idx="41">
                  <c:v>4472841.1</c:v>
                </c:pt>
                <c:pt idx="42">
                  <c:v>1247149.49942</c:v>
                </c:pt>
                <c:pt idx="43">
                  <c:v>2188002.57456</c:v>
                </c:pt>
                <c:pt idx="44">
                  <c:v>3905129.1594</c:v>
                </c:pt>
                <c:pt idx="45">
                  <c:v>713557</c:v>
                </c:pt>
                <c:pt idx="46">
                  <c:v>10924400</c:v>
                </c:pt>
                <c:pt idx="47">
                  <c:v>4373270.66232</c:v>
                </c:pt>
                <c:pt idx="48">
                  <c:v>3936048.32236</c:v>
                </c:pt>
                <c:pt idx="49">
                  <c:v>2097656.904</c:v>
                </c:pt>
                <c:pt idx="50">
                  <c:v>84789.132</c:v>
                </c:pt>
                <c:pt idx="51">
                  <c:v>578580</c:v>
                </c:pt>
                <c:pt idx="52">
                  <c:v>307370.56558</c:v>
                </c:pt>
                <c:pt idx="53">
                  <c:v>25103.7984</c:v>
                </c:pt>
                <c:pt idx="54">
                  <c:v>3708584.35532</c:v>
                </c:pt>
                <c:pt idx="55">
                  <c:v>3072467.25995</c:v>
                </c:pt>
                <c:pt idx="56">
                  <c:v>560734.5068</c:v>
                </c:pt>
                <c:pt idx="57">
                  <c:v>29489.866</c:v>
                </c:pt>
                <c:pt idx="58">
                  <c:v>573645.6108</c:v>
                </c:pt>
                <c:pt idx="59">
                  <c:v>3819229.7018</c:v>
                </c:pt>
                <c:pt idx="60">
                  <c:v>3109112.2104</c:v>
                </c:pt>
                <c:pt idx="61">
                  <c:v>1365751.024</c:v>
                </c:pt>
                <c:pt idx="62">
                  <c:v>9728928.80745</c:v>
                </c:pt>
                <c:pt idx="63">
                  <c:v>3019549.476</c:v>
                </c:pt>
                <c:pt idx="64">
                  <c:v>1486630.55736</c:v>
                </c:pt>
                <c:pt idx="65">
                  <c:v>1970828.0816</c:v>
                </c:pt>
                <c:pt idx="66">
                  <c:v>1594736.76635</c:v>
                </c:pt>
                <c:pt idx="67">
                  <c:v>1087191.59544</c:v>
                </c:pt>
                <c:pt idx="68">
                  <c:v>939604.9625</c:v>
                </c:pt>
                <c:pt idx="69">
                  <c:v>1141683.1272</c:v>
                </c:pt>
                <c:pt idx="70">
                  <c:v>744057.93528</c:v>
                </c:pt>
                <c:pt idx="71">
                  <c:v>2470468.16305</c:v>
                </c:pt>
                <c:pt idx="72">
                  <c:v>983111.72022</c:v>
                </c:pt>
                <c:pt idx="73">
                  <c:v>671938.12</c:v>
                </c:pt>
                <c:pt idx="74">
                  <c:v>775016.47286</c:v>
                </c:pt>
                <c:pt idx="75">
                  <c:v>4081852.9778</c:v>
                </c:pt>
                <c:pt idx="76">
                  <c:v>3560175.82648</c:v>
                </c:pt>
                <c:pt idx="77">
                  <c:v>1403623.3932</c:v>
                </c:pt>
                <c:pt idx="78">
                  <c:v>598042.56798</c:v>
                </c:pt>
                <c:pt idx="79">
                  <c:v>7174700.1053</c:v>
                </c:pt>
                <c:pt idx="80">
                  <c:v>2399850.38832</c:v>
                </c:pt>
                <c:pt idx="81">
                  <c:v>581571.0696</c:v>
                </c:pt>
                <c:pt idx="82">
                  <c:v>66711.26175</c:v>
                </c:pt>
                <c:pt idx="83">
                  <c:v>2348293.23248</c:v>
                </c:pt>
                <c:pt idx="84">
                  <c:v>1412609.4807</c:v>
                </c:pt>
                <c:pt idx="85">
                  <c:v>1675555.6644</c:v>
                </c:pt>
                <c:pt idx="86">
                  <c:v>203421.8466</c:v>
                </c:pt>
                <c:pt idx="87">
                  <c:v>1220545.7264</c:v>
                </c:pt>
                <c:pt idx="88">
                  <c:v>66811.87504</c:v>
                </c:pt>
                <c:pt idx="89">
                  <c:v>898344.7326</c:v>
                </c:pt>
                <c:pt idx="90">
                  <c:v>2276017.808</c:v>
                </c:pt>
                <c:pt idx="91">
                  <c:v>1122976.90624</c:v>
                </c:pt>
                <c:pt idx="92">
                  <c:v>2226355.72362</c:v>
                </c:pt>
                <c:pt idx="93">
                  <c:v>652240.7424</c:v>
                </c:pt>
                <c:pt idx="94">
                  <c:v>4471461.18612</c:v>
                </c:pt>
                <c:pt idx="95">
                  <c:v>17188.86756</c:v>
                </c:pt>
                <c:pt idx="96">
                  <c:v>3413916</c:v>
                </c:pt>
                <c:pt idx="97">
                  <c:v>586298.10904</c:v>
                </c:pt>
                <c:pt idx="98">
                  <c:v>3591587.85048</c:v>
                </c:pt>
                <c:pt idx="99">
                  <c:v>5278007</c:v>
                </c:pt>
                <c:pt idx="100">
                  <c:v>734386.4176</c:v>
                </c:pt>
                <c:pt idx="101">
                  <c:v>1366981</c:v>
                </c:pt>
                <c:pt idx="102">
                  <c:v>725561.634</c:v>
                </c:pt>
                <c:pt idx="103">
                  <c:v>1481926.30485</c:v>
                </c:pt>
                <c:pt idx="104">
                  <c:v>1668508.6152</c:v>
                </c:pt>
                <c:pt idx="105">
                  <c:v>60016.66437</c:v>
                </c:pt>
                <c:pt idx="106">
                  <c:v>2697649.80444</c:v>
                </c:pt>
                <c:pt idx="107">
                  <c:v>166040</c:v>
                </c:pt>
                <c:pt idx="108">
                  <c:v>71146.7001</c:v>
                </c:pt>
                <c:pt idx="109">
                  <c:v>2767635</c:v>
                </c:pt>
                <c:pt idx="110">
                  <c:v>3051422.78532</c:v>
                </c:pt>
                <c:pt idx="111">
                  <c:v>3928.35906</c:v>
                </c:pt>
                <c:pt idx="112">
                  <c:v>240063.9835</c:v>
                </c:pt>
                <c:pt idx="113">
                  <c:v>149922</c:v>
                </c:pt>
                <c:pt idx="114">
                  <c:v>2746246.84672</c:v>
                </c:pt>
                <c:pt idx="115">
                  <c:v>90722.34195</c:v>
                </c:pt>
                <c:pt idx="116">
                  <c:v>7965626.2296</c:v>
                </c:pt>
                <c:pt idx="117">
                  <c:v>620579.0758</c:v>
                </c:pt>
                <c:pt idx="118">
                  <c:v>61930.35849</c:v>
                </c:pt>
                <c:pt idx="119">
                  <c:v>4500364.73439</c:v>
                </c:pt>
                <c:pt idx="120">
                  <c:v>2466969.61563</c:v>
                </c:pt>
                <c:pt idx="121">
                  <c:v>2011212.93288</c:v>
                </c:pt>
                <c:pt idx="122">
                  <c:v>1146466.1416</c:v>
                </c:pt>
                <c:pt idx="123">
                  <c:v>227341.48584</c:v>
                </c:pt>
                <c:pt idx="124">
                  <c:v>971874.93872</c:v>
                </c:pt>
                <c:pt idx="125">
                  <c:v>7018754.56614</c:v>
                </c:pt>
                <c:pt idx="126">
                  <c:v>103750.95277</c:v>
                </c:pt>
                <c:pt idx="127">
                  <c:v>324382.2687</c:v>
                </c:pt>
                <c:pt idx="128">
                  <c:v>1805805.32868</c:v>
                </c:pt>
                <c:pt idx="129">
                  <c:v>821666.02408</c:v>
                </c:pt>
                <c:pt idx="130">
                  <c:v>514167.84342</c:v>
                </c:pt>
                <c:pt idx="131">
                  <c:v>1066480.5696</c:v>
                </c:pt>
                <c:pt idx="132">
                  <c:v>429012.24408</c:v>
                </c:pt>
                <c:pt idx="133">
                  <c:v>1486187.03168</c:v>
                </c:pt>
                <c:pt idx="134">
                  <c:v>3018191.23086</c:v>
                </c:pt>
                <c:pt idx="135">
                  <c:v>978535.92384</c:v>
                </c:pt>
                <c:pt idx="136">
                  <c:v>588401.59275</c:v>
                </c:pt>
                <c:pt idx="137">
                  <c:v>4078284.21792</c:v>
                </c:pt>
                <c:pt idx="138">
                  <c:v>194764.2507</c:v>
                </c:pt>
                <c:pt idx="139">
                  <c:v>9898162.36992</c:v>
                </c:pt>
                <c:pt idx="140">
                  <c:v>829375.0542</c:v>
                </c:pt>
                <c:pt idx="141">
                  <c:v>3773607.23586</c:v>
                </c:pt>
                <c:pt idx="142">
                  <c:v>1317217.89015</c:v>
                </c:pt>
                <c:pt idx="143">
                  <c:v>2794234.84704</c:v>
                </c:pt>
                <c:pt idx="144">
                  <c:v>1449103.79808</c:v>
                </c:pt>
                <c:pt idx="145">
                  <c:v>436357.2429</c:v>
                </c:pt>
                <c:pt idx="146">
                  <c:v>1332114</c:v>
                </c:pt>
                <c:pt idx="147">
                  <c:v>1828755.464</c:v>
                </c:pt>
                <c:pt idx="148">
                  <c:v>4339824.44544</c:v>
                </c:pt>
                <c:pt idx="149">
                  <c:v>908072.86416</c:v>
                </c:pt>
                <c:pt idx="150">
                  <c:v>2257893.4905</c:v>
                </c:pt>
                <c:pt idx="151">
                  <c:v>506396.5128</c:v>
                </c:pt>
                <c:pt idx="152">
                  <c:v>3427604.11008</c:v>
                </c:pt>
                <c:pt idx="153">
                  <c:v>1347456.1104</c:v>
                </c:pt>
                <c:pt idx="154">
                  <c:v>1001099.54468</c:v>
                </c:pt>
                <c:pt idx="155">
                  <c:v>733452.9547</c:v>
                </c:pt>
                <c:pt idx="156">
                  <c:v>2476090.8225</c:v>
                </c:pt>
                <c:pt idx="157">
                  <c:v>1187797.57884</c:v>
                </c:pt>
                <c:pt idx="158">
                  <c:v>3566640.67452</c:v>
                </c:pt>
                <c:pt idx="159">
                  <c:v>2610944.3715</c:v>
                </c:pt>
                <c:pt idx="160">
                  <c:v>608416.6244</c:v>
                </c:pt>
                <c:pt idx="161">
                  <c:v>939297.07116</c:v>
                </c:pt>
                <c:pt idx="162">
                  <c:v>1416004.814</c:v>
                </c:pt>
                <c:pt idx="163">
                  <c:v>1209126.1264</c:v>
                </c:pt>
                <c:pt idx="164">
                  <c:v>9038263.18032</c:v>
                </c:pt>
                <c:pt idx="165">
                  <c:v>1795745.3987</c:v>
                </c:pt>
                <c:pt idx="166">
                  <c:v>1659846.25458</c:v>
                </c:pt>
                <c:pt idx="167">
                  <c:v>835786.9284</c:v>
                </c:pt>
                <c:pt idx="168">
                  <c:v>268646.0622</c:v>
                </c:pt>
                <c:pt idx="169">
                  <c:v>1945318.30912</c:v>
                </c:pt>
                <c:pt idx="170">
                  <c:v>1029678.3796</c:v>
                </c:pt>
                <c:pt idx="171">
                  <c:v>10175.2154</c:v>
                </c:pt>
                <c:pt idx="172">
                  <c:v>3419910.3876</c:v>
                </c:pt>
                <c:pt idx="173">
                  <c:v>199612.07568</c:v>
                </c:pt>
                <c:pt idx="174">
                  <c:v>12413265.25</c:v>
                </c:pt>
                <c:pt idx="175">
                  <c:v>1720816.63056</c:v>
                </c:pt>
                <c:pt idx="176">
                  <c:v>39047.76291</c:v>
                </c:pt>
                <c:pt idx="177">
                  <c:v>751543.8996</c:v>
                </c:pt>
                <c:pt idx="178">
                  <c:v>533609.25618</c:v>
                </c:pt>
                <c:pt idx="179">
                  <c:v>2362.97984</c:v>
                </c:pt>
                <c:pt idx="180">
                  <c:v>4410479.6462</c:v>
                </c:pt>
                <c:pt idx="181">
                  <c:v>954525.456</c:v>
                </c:pt>
                <c:pt idx="182">
                  <c:v>966639.70683</c:v>
                </c:pt>
                <c:pt idx="183">
                  <c:v>3113132.60841</c:v>
                </c:pt>
                <c:pt idx="184">
                  <c:v>1065213.63</c:v>
                </c:pt>
                <c:pt idx="185">
                  <c:v>611121.80646</c:v>
                </c:pt>
                <c:pt idx="186">
                  <c:v>3480696.03775</c:v>
                </c:pt>
                <c:pt idx="187">
                  <c:v>3179032.31016</c:v>
                </c:pt>
                <c:pt idx="188">
                  <c:v>869400.6594</c:v>
                </c:pt>
                <c:pt idx="189">
                  <c:v>2484198.46535</c:v>
                </c:pt>
                <c:pt idx="190">
                  <c:v>966340.785</c:v>
                </c:pt>
                <c:pt idx="191">
                  <c:v>3182862.67488</c:v>
                </c:pt>
                <c:pt idx="192">
                  <c:v>474024.45648</c:v>
                </c:pt>
                <c:pt idx="193">
                  <c:v>433188.41976</c:v>
                </c:pt>
                <c:pt idx="194">
                  <c:v>3702978.88716</c:v>
                </c:pt>
                <c:pt idx="195">
                  <c:v>2655170.8298</c:v>
                </c:pt>
                <c:pt idx="196">
                  <c:v>1192947.28644</c:v>
                </c:pt>
                <c:pt idx="197">
                  <c:v>1023795.19242</c:v>
                </c:pt>
                <c:pt idx="198">
                  <c:v>6602824.73375</c:v>
                </c:pt>
                <c:pt idx="199">
                  <c:v>1585921.50918</c:v>
                </c:pt>
                <c:pt idx="200">
                  <c:v>623427.3968</c:v>
                </c:pt>
                <c:pt idx="201">
                  <c:v>2529904</c:v>
                </c:pt>
                <c:pt idx="202">
                  <c:v>6320497.77758</c:v>
                </c:pt>
                <c:pt idx="203">
                  <c:v>2702616.7428</c:v>
                </c:pt>
                <c:pt idx="204">
                  <c:v>2690435.54736</c:v>
                </c:pt>
                <c:pt idx="205">
                  <c:v>696445.2502</c:v>
                </c:pt>
                <c:pt idx="206">
                  <c:v>3326761.09584</c:v>
                </c:pt>
                <c:pt idx="207">
                  <c:v>1981590.18937</c:v>
                </c:pt>
                <c:pt idx="208">
                  <c:v>2062920.6072</c:v>
                </c:pt>
                <c:pt idx="209">
                  <c:v>2126621.61432</c:v>
                </c:pt>
                <c:pt idx="210">
                  <c:v>197438.4072</c:v>
                </c:pt>
                <c:pt idx="211">
                  <c:v>799986.70464</c:v>
                </c:pt>
                <c:pt idx="212">
                  <c:v>2422305</c:v>
                </c:pt>
                <c:pt idx="213">
                  <c:v>930289.14936</c:v>
                </c:pt>
                <c:pt idx="214">
                  <c:v>1905182.8698</c:v>
                </c:pt>
                <c:pt idx="215">
                  <c:v>871501.08969</c:v>
                </c:pt>
                <c:pt idx="216">
                  <c:v>277023.96672</c:v>
                </c:pt>
                <c:pt idx="217">
                  <c:v>656161.75248</c:v>
                </c:pt>
                <c:pt idx="218">
                  <c:v>3833362.06124</c:v>
                </c:pt>
                <c:pt idx="219">
                  <c:v>1429851.1491</c:v>
                </c:pt>
                <c:pt idx="220">
                  <c:v>113842.287</c:v>
                </c:pt>
                <c:pt idx="221">
                  <c:v>496058.2364</c:v>
                </c:pt>
                <c:pt idx="222">
                  <c:v>7055279.9712</c:v>
                </c:pt>
                <c:pt idx="223">
                  <c:v>1631467.527</c:v>
                </c:pt>
                <c:pt idx="224">
                  <c:v>2525432.1495</c:v>
                </c:pt>
                <c:pt idx="225">
                  <c:v>3502818.28897</c:v>
                </c:pt>
                <c:pt idx="226">
                  <c:v>592702.623</c:v>
                </c:pt>
                <c:pt idx="227">
                  <c:v>1891523.56081</c:v>
                </c:pt>
                <c:pt idx="228">
                  <c:v>916454.6209</c:v>
                </c:pt>
                <c:pt idx="229">
                  <c:v>78188.11008</c:v>
                </c:pt>
                <c:pt idx="230">
                  <c:v>651891.66273</c:v>
                </c:pt>
                <c:pt idx="231">
                  <c:v>325412.0836</c:v>
                </c:pt>
                <c:pt idx="232">
                  <c:v>648337.33776</c:v>
                </c:pt>
                <c:pt idx="233">
                  <c:v>1587449.1486</c:v>
                </c:pt>
                <c:pt idx="234">
                  <c:v>1861373.4048</c:v>
                </c:pt>
                <c:pt idx="235">
                  <c:v>4232484.34176</c:v>
                </c:pt>
                <c:pt idx="236">
                  <c:v>16792061.89032</c:v>
                </c:pt>
                <c:pt idx="237">
                  <c:v>871696.6875</c:v>
                </c:pt>
                <c:pt idx="238">
                  <c:v>438912.6708</c:v>
                </c:pt>
                <c:pt idx="239">
                  <c:v>484990.54912</c:v>
                </c:pt>
                <c:pt idx="240">
                  <c:v>1069135.3556</c:v>
                </c:pt>
                <c:pt idx="241">
                  <c:v>3939411.10464</c:v>
                </c:pt>
                <c:pt idx="242">
                  <c:v>97958.30304</c:v>
                </c:pt>
                <c:pt idx="243">
                  <c:v>1482089.796</c:v>
                </c:pt>
                <c:pt idx="244">
                  <c:v>348740.62892</c:v>
                </c:pt>
                <c:pt idx="245">
                  <c:v>1322751.9888</c:v>
                </c:pt>
                <c:pt idx="246">
                  <c:v>71423.98668</c:v>
                </c:pt>
                <c:pt idx="247">
                  <c:v>403156.04</c:v>
                </c:pt>
                <c:pt idx="248">
                  <c:v>1321496.48416</c:v>
                </c:pt>
                <c:pt idx="249">
                  <c:v>1419946.5686</c:v>
                </c:pt>
                <c:pt idx="250">
                  <c:v>2185434.5436</c:v>
                </c:pt>
                <c:pt idx="251">
                  <c:v>2277396.303</c:v>
                </c:pt>
                <c:pt idx="252">
                  <c:v>2898954.95488</c:v>
                </c:pt>
                <c:pt idx="253">
                  <c:v>682665.99516</c:v>
                </c:pt>
                <c:pt idx="254">
                  <c:v>2500309.6056</c:v>
                </c:pt>
                <c:pt idx="255">
                  <c:v>2302305.10965</c:v>
                </c:pt>
                <c:pt idx="256">
                  <c:v>297564.64056</c:v>
                </c:pt>
                <c:pt idx="257">
                  <c:v>549231.762</c:v>
                </c:pt>
                <c:pt idx="258">
                  <c:v>878879.8432</c:v>
                </c:pt>
                <c:pt idx="259">
                  <c:v>2479916.15544</c:v>
                </c:pt>
                <c:pt idx="260">
                  <c:v>1803582.8538</c:v>
                </c:pt>
                <c:pt idx="261">
                  <c:v>1041884.6576</c:v>
                </c:pt>
                <c:pt idx="262">
                  <c:v>59390.12832</c:v>
                </c:pt>
                <c:pt idx="263">
                  <c:v>4586876.24462</c:v>
                </c:pt>
                <c:pt idx="264">
                  <c:v>1563784.96224</c:v>
                </c:pt>
                <c:pt idx="265">
                  <c:v>4748447.75016</c:v>
                </c:pt>
                <c:pt idx="266">
                  <c:v>1968107.86888</c:v>
                </c:pt>
                <c:pt idx="267">
                  <c:v>694680</c:v>
                </c:pt>
                <c:pt idx="268">
                  <c:v>906192.3114</c:v>
                </c:pt>
                <c:pt idx="269">
                  <c:v>834355.4635</c:v>
                </c:pt>
                <c:pt idx="270">
                  <c:v>860564.00864</c:v>
                </c:pt>
                <c:pt idx="271">
                  <c:v>4016720.98632</c:v>
                </c:pt>
                <c:pt idx="272">
                  <c:v>3527305.716</c:v>
                </c:pt>
                <c:pt idx="273">
                  <c:v>1318152.0891</c:v>
                </c:pt>
                <c:pt idx="274">
                  <c:v>989112.8925</c:v>
                </c:pt>
                <c:pt idx="275">
                  <c:v>8978223.156</c:v>
                </c:pt>
                <c:pt idx="276">
                  <c:v>713473.02648</c:v>
                </c:pt>
                <c:pt idx="277">
                  <c:v>3954379.044</c:v>
                </c:pt>
                <c:pt idx="278">
                  <c:v>1031948.9425</c:v>
                </c:pt>
                <c:pt idx="279">
                  <c:v>1961879.23152</c:v>
                </c:pt>
                <c:pt idx="280">
                  <c:v>1902908.098</c:v>
                </c:pt>
                <c:pt idx="281">
                  <c:v>66774</c:v>
                </c:pt>
                <c:pt idx="282">
                  <c:v>1318603.07688</c:v>
                </c:pt>
                <c:pt idx="283">
                  <c:v>1832123.7996</c:v>
                </c:pt>
                <c:pt idx="284">
                  <c:v>508960.8174</c:v>
                </c:pt>
                <c:pt idx="285">
                  <c:v>8780.21872</c:v>
                </c:pt>
                <c:pt idx="286">
                  <c:v>2309693.85738</c:v>
                </c:pt>
                <c:pt idx="287">
                  <c:v>2863744.68024</c:v>
                </c:pt>
                <c:pt idx="288">
                  <c:v>1291626.30688</c:v>
                </c:pt>
                <c:pt idx="289">
                  <c:v>2229298.46532</c:v>
                </c:pt>
                <c:pt idx="290">
                  <c:v>130003.87708</c:v>
                </c:pt>
                <c:pt idx="291">
                  <c:v>2941640.17406</c:v>
                </c:pt>
                <c:pt idx="292">
                  <c:v>784037.145</c:v>
                </c:pt>
                <c:pt idx="293">
                  <c:v>966995.784</c:v>
                </c:pt>
                <c:pt idx="294">
                  <c:v>2303592.99513</c:v>
                </c:pt>
                <c:pt idx="295">
                  <c:v>509592.33105</c:v>
                </c:pt>
                <c:pt idx="296">
                  <c:v>357334.66132</c:v>
                </c:pt>
                <c:pt idx="297">
                  <c:v>7586.96076</c:v>
                </c:pt>
                <c:pt idx="298">
                  <c:v>1269928</c:v>
                </c:pt>
                <c:pt idx="299">
                  <c:v>2707939.70408</c:v>
                </c:pt>
                <c:pt idx="300">
                  <c:v>1221733.23048</c:v>
                </c:pt>
                <c:pt idx="301">
                  <c:v>4550542.2182</c:v>
                </c:pt>
                <c:pt idx="302">
                  <c:v>978135.0784</c:v>
                </c:pt>
                <c:pt idx="303">
                  <c:v>644352.1056</c:v>
                </c:pt>
                <c:pt idx="304">
                  <c:v>170591.15072</c:v>
                </c:pt>
                <c:pt idx="305">
                  <c:v>4782420.792</c:v>
                </c:pt>
                <c:pt idx="306">
                  <c:v>441493.60128</c:v>
                </c:pt>
                <c:pt idx="307">
                  <c:v>628896.3142</c:v>
                </c:pt>
                <c:pt idx="308">
                  <c:v>1079963.97586</c:v>
                </c:pt>
                <c:pt idx="309">
                  <c:v>3772060.7538</c:v>
                </c:pt>
                <c:pt idx="310">
                  <c:v>92006.5784</c:v>
                </c:pt>
                <c:pt idx="311">
                  <c:v>1236126.2508</c:v>
                </c:pt>
                <c:pt idx="312">
                  <c:v>4032531</c:v>
                </c:pt>
                <c:pt idx="313">
                  <c:v>519183.00336</c:v>
                </c:pt>
                <c:pt idx="314">
                  <c:v>964030.5909</c:v>
                </c:pt>
                <c:pt idx="315">
                  <c:v>1053500.46692</c:v>
                </c:pt>
                <c:pt idx="316">
                  <c:v>1761552.84375</c:v>
                </c:pt>
                <c:pt idx="317">
                  <c:v>295643.6041</c:v>
                </c:pt>
                <c:pt idx="318">
                  <c:v>6237253.50414</c:v>
                </c:pt>
                <c:pt idx="319">
                  <c:v>2420259.204</c:v>
                </c:pt>
                <c:pt idx="320">
                  <c:v>952483.7476</c:v>
                </c:pt>
                <c:pt idx="321">
                  <c:v>4404240.95454</c:v>
                </c:pt>
                <c:pt idx="322">
                  <c:v>85194.7928</c:v>
                </c:pt>
                <c:pt idx="323">
                  <c:v>2739955.90946</c:v>
                </c:pt>
                <c:pt idx="324">
                  <c:v>1116854.96832</c:v>
                </c:pt>
                <c:pt idx="325">
                  <c:v>247699.92232</c:v>
                </c:pt>
                <c:pt idx="326">
                  <c:v>426000.15315</c:v>
                </c:pt>
                <c:pt idx="327">
                  <c:v>949702.32</c:v>
                </c:pt>
                <c:pt idx="328">
                  <c:v>3462614.892</c:v>
                </c:pt>
                <c:pt idx="329">
                  <c:v>271191.6108</c:v>
                </c:pt>
                <c:pt idx="330">
                  <c:v>1148943.44656</c:v>
                </c:pt>
                <c:pt idx="331">
                  <c:v>970707.9928</c:v>
                </c:pt>
                <c:pt idx="332">
                  <c:v>577008.3924</c:v>
                </c:pt>
                <c:pt idx="333">
                  <c:v>567171.40725</c:v>
                </c:pt>
                <c:pt idx="334">
                  <c:v>1923244.46496</c:v>
                </c:pt>
                <c:pt idx="335">
                  <c:v>3022387.90656</c:v>
                </c:pt>
                <c:pt idx="336">
                  <c:v>4867725.2651</c:v>
                </c:pt>
                <c:pt idx="337">
                  <c:v>396611.8416</c:v>
                </c:pt>
                <c:pt idx="338">
                  <c:v>3713060.65396</c:v>
                </c:pt>
                <c:pt idx="339">
                  <c:v>3911893.008</c:v>
                </c:pt>
                <c:pt idx="340">
                  <c:v>154881.9976</c:v>
                </c:pt>
                <c:pt idx="341">
                  <c:v>2005344</c:v>
                </c:pt>
                <c:pt idx="342">
                  <c:v>1206436.95966</c:v>
                </c:pt>
                <c:pt idx="343">
                  <c:v>341539.33478</c:v>
                </c:pt>
                <c:pt idx="344">
                  <c:v>1391281.688</c:v>
                </c:pt>
                <c:pt idx="345">
                  <c:v>8807252.17701</c:v>
                </c:pt>
                <c:pt idx="346">
                  <c:v>220680</c:v>
                </c:pt>
                <c:pt idx="347">
                  <c:v>3168199.21408</c:v>
                </c:pt>
                <c:pt idx="348">
                  <c:v>1378021.0746</c:v>
                </c:pt>
                <c:pt idx="349">
                  <c:v>507914.32252</c:v>
                </c:pt>
                <c:pt idx="350">
                  <c:v>1856662.59781</c:v>
                </c:pt>
                <c:pt idx="351">
                  <c:v>2761940.42298</c:v>
                </c:pt>
                <c:pt idx="352">
                  <c:v>4233208.968</c:v>
                </c:pt>
                <c:pt idx="353">
                  <c:v>128515.2896</c:v>
                </c:pt>
                <c:pt idx="354">
                  <c:v>2779865.85828</c:v>
                </c:pt>
                <c:pt idx="355">
                  <c:v>4390794</c:v>
                </c:pt>
                <c:pt idx="356">
                  <c:v>5934052.9314</c:v>
                </c:pt>
                <c:pt idx="357">
                  <c:v>407180</c:v>
                </c:pt>
                <c:pt idx="358">
                  <c:v>1794618.90192</c:v>
                </c:pt>
                <c:pt idx="359">
                  <c:v>3947085.4248</c:v>
                </c:pt>
                <c:pt idx="360">
                  <c:v>520685.54824</c:v>
                </c:pt>
                <c:pt idx="361">
                  <c:v>8367460.39152</c:v>
                </c:pt>
                <c:pt idx="362">
                  <c:v>1003849.08336</c:v>
                </c:pt>
                <c:pt idx="363">
                  <c:v>1463194.03104</c:v>
                </c:pt>
                <c:pt idx="364">
                  <c:v>2177875.97352</c:v>
                </c:pt>
                <c:pt idx="365">
                  <c:v>2414579.08992</c:v>
                </c:pt>
                <c:pt idx="366">
                  <c:v>2070937.2303</c:v>
                </c:pt>
                <c:pt idx="367">
                  <c:v>1540265.586</c:v>
                </c:pt>
                <c:pt idx="368">
                  <c:v>515742.2136</c:v>
                </c:pt>
                <c:pt idx="369">
                  <c:v>438519.51108</c:v>
                </c:pt>
                <c:pt idx="370">
                  <c:v>1687345</c:v>
                </c:pt>
                <c:pt idx="371">
                  <c:v>3610950.14474</c:v>
                </c:pt>
                <c:pt idx="372">
                  <c:v>426096.07806</c:v>
                </c:pt>
                <c:pt idx="373">
                  <c:v>4156703.52768</c:v>
                </c:pt>
                <c:pt idx="374">
                  <c:v>4097952.66232</c:v>
                </c:pt>
                <c:pt idx="375">
                  <c:v>4829120.43306</c:v>
                </c:pt>
                <c:pt idx="376">
                  <c:v>1780182.1026</c:v>
                </c:pt>
                <c:pt idx="377">
                  <c:v>723595.67896</c:v>
                </c:pt>
                <c:pt idx="378">
                  <c:v>3428658.47808</c:v>
                </c:pt>
                <c:pt idx="379">
                  <c:v>1351693.143</c:v>
                </c:pt>
                <c:pt idx="380">
                  <c:v>1560488.6976</c:v>
                </c:pt>
                <c:pt idx="381">
                  <c:v>4070822.28</c:v>
                </c:pt>
                <c:pt idx="382">
                  <c:v>5236313.073</c:v>
                </c:pt>
                <c:pt idx="383">
                  <c:v>1618754.57748</c:v>
                </c:pt>
                <c:pt idx="384">
                  <c:v>2718887.2803</c:v>
                </c:pt>
                <c:pt idx="385">
                  <c:v>1068843.24576</c:v>
                </c:pt>
                <c:pt idx="386">
                  <c:v>2262113.4627</c:v>
                </c:pt>
                <c:pt idx="387">
                  <c:v>1651515.69791</c:v>
                </c:pt>
                <c:pt idx="388">
                  <c:v>46782.29248</c:v>
                </c:pt>
                <c:pt idx="389">
                  <c:v>1628766.39783</c:v>
                </c:pt>
                <c:pt idx="390">
                  <c:v>281833.7635</c:v>
                </c:pt>
                <c:pt idx="391">
                  <c:v>7457794.295</c:v>
                </c:pt>
                <c:pt idx="392">
                  <c:v>1508994.39402</c:v>
                </c:pt>
                <c:pt idx="393">
                  <c:v>2320608.40896</c:v>
                </c:pt>
                <c:pt idx="394">
                  <c:v>1598403.02842</c:v>
                </c:pt>
                <c:pt idx="395">
                  <c:v>6256289.3778</c:v>
                </c:pt>
                <c:pt idx="396">
                  <c:v>2450104.98216</c:v>
                </c:pt>
                <c:pt idx="397">
                  <c:v>1436706.543</c:v>
                </c:pt>
                <c:pt idx="398">
                  <c:v>1475646.51222</c:v>
                </c:pt>
                <c:pt idx="399">
                  <c:v>1818173.343</c:v>
                </c:pt>
                <c:pt idx="400">
                  <c:v>2121438.5248</c:v>
                </c:pt>
                <c:pt idx="401">
                  <c:v>1893526.73184</c:v>
                </c:pt>
                <c:pt idx="402">
                  <c:v>599978.0739</c:v>
                </c:pt>
                <c:pt idx="403">
                  <c:v>880012.1011</c:v>
                </c:pt>
                <c:pt idx="404">
                  <c:v>1434690.21024</c:v>
                </c:pt>
                <c:pt idx="405">
                  <c:v>2431186.5438</c:v>
                </c:pt>
                <c:pt idx="406">
                  <c:v>2495509.43796</c:v>
                </c:pt>
                <c:pt idx="407">
                  <c:v>580913.17416</c:v>
                </c:pt>
                <c:pt idx="408">
                  <c:v>2366856</c:v>
                </c:pt>
                <c:pt idx="409">
                  <c:v>699757.51032</c:v>
                </c:pt>
                <c:pt idx="410">
                  <c:v>904519.02046</c:v>
                </c:pt>
                <c:pt idx="411">
                  <c:v>231610.3056</c:v>
                </c:pt>
                <c:pt idx="412">
                  <c:v>1757996.65069</c:v>
                </c:pt>
                <c:pt idx="413">
                  <c:v>3393397.99304</c:v>
                </c:pt>
                <c:pt idx="414">
                  <c:v>1901396.3584</c:v>
                </c:pt>
                <c:pt idx="415">
                  <c:v>1439328.9832</c:v>
                </c:pt>
                <c:pt idx="416">
                  <c:v>874976.8115</c:v>
                </c:pt>
                <c:pt idx="417">
                  <c:v>94486.51836</c:v>
                </c:pt>
                <c:pt idx="418">
                  <c:v>1225813.3866</c:v>
                </c:pt>
                <c:pt idx="419">
                  <c:v>1708576.1484</c:v>
                </c:pt>
                <c:pt idx="420">
                  <c:v>1017616.6161</c:v>
                </c:pt>
                <c:pt idx="421">
                  <c:v>12095208.66204</c:v>
                </c:pt>
                <c:pt idx="422">
                  <c:v>3554993.56032</c:v>
                </c:pt>
                <c:pt idx="423">
                  <c:v>7655280.35496</c:v>
                </c:pt>
                <c:pt idx="424">
                  <c:v>1854945.3832</c:v>
                </c:pt>
                <c:pt idx="425">
                  <c:v>4047936.795</c:v>
                </c:pt>
                <c:pt idx="426">
                  <c:v>2854060.056</c:v>
                </c:pt>
                <c:pt idx="427">
                  <c:v>1345074</c:v>
                </c:pt>
                <c:pt idx="428">
                  <c:v>4977729.702</c:v>
                </c:pt>
                <c:pt idx="429">
                  <c:v>1462251.47475</c:v>
                </c:pt>
                <c:pt idx="430">
                  <c:v>5805765</c:v>
                </c:pt>
                <c:pt idx="431">
                  <c:v>278194.124</c:v>
                </c:pt>
                <c:pt idx="432">
                  <c:v>1377290.91864</c:v>
                </c:pt>
                <c:pt idx="433">
                  <c:v>247561.08312</c:v>
                </c:pt>
                <c:pt idx="434">
                  <c:v>2724900</c:v>
                </c:pt>
                <c:pt idx="435">
                  <c:v>624599.40422</c:v>
                </c:pt>
                <c:pt idx="436">
                  <c:v>859273.00914</c:v>
                </c:pt>
                <c:pt idx="437">
                  <c:v>2934213.56928</c:v>
                </c:pt>
                <c:pt idx="438">
                  <c:v>291396.47844</c:v>
                </c:pt>
                <c:pt idx="439">
                  <c:v>2428385.949</c:v>
                </c:pt>
                <c:pt idx="440">
                  <c:v>1484713.36728</c:v>
                </c:pt>
                <c:pt idx="441">
                  <c:v>3732338.01501</c:v>
                </c:pt>
                <c:pt idx="442">
                  <c:v>622516.20288</c:v>
                </c:pt>
                <c:pt idx="443">
                  <c:v>2166444</c:v>
                </c:pt>
                <c:pt idx="444">
                  <c:v>198020.53872</c:v>
                </c:pt>
                <c:pt idx="445">
                  <c:v>1054451.12832</c:v>
                </c:pt>
                <c:pt idx="446">
                  <c:v>784868.57725</c:v>
                </c:pt>
                <c:pt idx="447">
                  <c:v>5078104.27336</c:v>
                </c:pt>
                <c:pt idx="448">
                  <c:v>1564114.2</c:v>
                </c:pt>
                <c:pt idx="449">
                  <c:v>1490070.32055</c:v>
                </c:pt>
                <c:pt idx="450">
                  <c:v>2100162.977</c:v>
                </c:pt>
                <c:pt idx="451">
                  <c:v>2548717.12512</c:v>
                </c:pt>
                <c:pt idx="452">
                  <c:v>1352667.64125</c:v>
                </c:pt>
                <c:pt idx="453">
                  <c:v>2352844.94835</c:v>
                </c:pt>
                <c:pt idx="454">
                  <c:v>1657629.98608</c:v>
                </c:pt>
                <c:pt idx="455">
                  <c:v>2079798</c:v>
                </c:pt>
                <c:pt idx="456">
                  <c:v>907871.61312</c:v>
                </c:pt>
                <c:pt idx="457">
                  <c:v>872424.105</c:v>
                </c:pt>
                <c:pt idx="458">
                  <c:v>2432157</c:v>
                </c:pt>
                <c:pt idx="459">
                  <c:v>185992.77456</c:v>
                </c:pt>
                <c:pt idx="460">
                  <c:v>106656.23574</c:v>
                </c:pt>
                <c:pt idx="461">
                  <c:v>477518.0676</c:v>
                </c:pt>
                <c:pt idx="462">
                  <c:v>215142.8916</c:v>
                </c:pt>
                <c:pt idx="463">
                  <c:v>242718.60592</c:v>
                </c:pt>
                <c:pt idx="464">
                  <c:v>10641139.7196</c:v>
                </c:pt>
                <c:pt idx="465">
                  <c:v>351962.1567</c:v>
                </c:pt>
                <c:pt idx="466">
                  <c:v>1534101.01439</c:v>
                </c:pt>
                <c:pt idx="467">
                  <c:v>3274152.09</c:v>
                </c:pt>
                <c:pt idx="468">
                  <c:v>1702803.34998</c:v>
                </c:pt>
                <c:pt idx="469">
                  <c:v>1095998.69736</c:v>
                </c:pt>
                <c:pt idx="470">
                  <c:v>4234221.69926</c:v>
                </c:pt>
                <c:pt idx="471">
                  <c:v>1659091.3632</c:v>
                </c:pt>
                <c:pt idx="472">
                  <c:v>951917.07132</c:v>
                </c:pt>
                <c:pt idx="473">
                  <c:v>2414330.4555</c:v>
                </c:pt>
                <c:pt idx="474">
                  <c:v>2837445.77204</c:v>
                </c:pt>
                <c:pt idx="475">
                  <c:v>110691.3969</c:v>
                </c:pt>
                <c:pt idx="476">
                  <c:v>503643.6146</c:v>
                </c:pt>
                <c:pt idx="477">
                  <c:v>5334653.20584</c:v>
                </c:pt>
                <c:pt idx="478">
                  <c:v>2307789.3498</c:v>
                </c:pt>
                <c:pt idx="479">
                  <c:v>4378573.75296</c:v>
                </c:pt>
                <c:pt idx="480">
                  <c:v>520815.6261</c:v>
                </c:pt>
                <c:pt idx="481">
                  <c:v>4160525.847</c:v>
                </c:pt>
                <c:pt idx="482">
                  <c:v>541111.05906</c:v>
                </c:pt>
                <c:pt idx="483">
                  <c:v>2495072.28165</c:v>
                </c:pt>
                <c:pt idx="484">
                  <c:v>667144.66172</c:v>
                </c:pt>
                <c:pt idx="485">
                  <c:v>661739.66936</c:v>
                </c:pt>
                <c:pt idx="486">
                  <c:v>3113943.975</c:v>
                </c:pt>
                <c:pt idx="487">
                  <c:v>500364.33656</c:v>
                </c:pt>
                <c:pt idx="488">
                  <c:v>1109995.4804</c:v>
                </c:pt>
                <c:pt idx="489">
                  <c:v>154735</c:v>
                </c:pt>
                <c:pt idx="490">
                  <c:v>666410</c:v>
                </c:pt>
                <c:pt idx="491">
                  <c:v>818017.48149</c:v>
                </c:pt>
                <c:pt idx="492">
                  <c:v>12673.2492</c:v>
                </c:pt>
                <c:pt idx="493">
                  <c:v>1237444.05512</c:v>
                </c:pt>
                <c:pt idx="494">
                  <c:v>527357.41198</c:v>
                </c:pt>
                <c:pt idx="495">
                  <c:v>3572132.35896</c:v>
                </c:pt>
                <c:pt idx="496">
                  <c:v>2634552.02322</c:v>
                </c:pt>
                <c:pt idx="497">
                  <c:v>916197.4696</c:v>
                </c:pt>
                <c:pt idx="498">
                  <c:v>2114886.47474</c:v>
                </c:pt>
                <c:pt idx="499">
                  <c:v>2119336.71554</c:v>
                </c:pt>
                <c:pt idx="500">
                  <c:v>890240.8109</c:v>
                </c:pt>
                <c:pt idx="501">
                  <c:v>1166668.44294</c:v>
                </c:pt>
                <c:pt idx="502">
                  <c:v>959784.63745</c:v>
                </c:pt>
                <c:pt idx="503">
                  <c:v>1094920.0191</c:v>
                </c:pt>
                <c:pt idx="504">
                  <c:v>3682490.95802</c:v>
                </c:pt>
                <c:pt idx="505">
                  <c:v>4538385.6714</c:v>
                </c:pt>
                <c:pt idx="506">
                  <c:v>1563353.2668</c:v>
                </c:pt>
                <c:pt idx="507">
                  <c:v>434293.9744</c:v>
                </c:pt>
                <c:pt idx="508">
                  <c:v>929200.3786</c:v>
                </c:pt>
                <c:pt idx="509">
                  <c:v>1164726.62306</c:v>
                </c:pt>
                <c:pt idx="510">
                  <c:v>399699.79056</c:v>
                </c:pt>
                <c:pt idx="511">
                  <c:v>5880911.3154</c:v>
                </c:pt>
                <c:pt idx="512">
                  <c:v>535973.4336</c:v>
                </c:pt>
                <c:pt idx="513">
                  <c:v>3330855</c:v>
                </c:pt>
                <c:pt idx="514">
                  <c:v>1085964</c:v>
                </c:pt>
                <c:pt idx="515">
                  <c:v>2629526.15223</c:v>
                </c:pt>
                <c:pt idx="516">
                  <c:v>113022.93592</c:v>
                </c:pt>
                <c:pt idx="517">
                  <c:v>1136223.84428</c:v>
                </c:pt>
                <c:pt idx="518">
                  <c:v>89937.90882</c:v>
                </c:pt>
                <c:pt idx="519">
                  <c:v>900751.7232</c:v>
                </c:pt>
                <c:pt idx="520">
                  <c:v>7125420.447</c:v>
                </c:pt>
                <c:pt idx="521">
                  <c:v>2252666</c:v>
                </c:pt>
                <c:pt idx="522">
                  <c:v>1777717.3734</c:v>
                </c:pt>
                <c:pt idx="523">
                  <c:v>774013.9356</c:v>
                </c:pt>
                <c:pt idx="524">
                  <c:v>1071993.57525</c:v>
                </c:pt>
                <c:pt idx="525">
                  <c:v>247821.98805</c:v>
                </c:pt>
                <c:pt idx="526">
                  <c:v>1140696</c:v>
                </c:pt>
                <c:pt idx="527">
                  <c:v>6215972.41122</c:v>
                </c:pt>
                <c:pt idx="528">
                  <c:v>3342110</c:v>
                </c:pt>
                <c:pt idx="529">
                  <c:v>962427.13866</c:v>
                </c:pt>
                <c:pt idx="530">
                  <c:v>70324.0998</c:v>
                </c:pt>
                <c:pt idx="531">
                  <c:v>60267.21696</c:v>
                </c:pt>
                <c:pt idx="532">
                  <c:v>1275827.3978</c:v>
                </c:pt>
                <c:pt idx="533">
                  <c:v>5628726.0544</c:v>
                </c:pt>
                <c:pt idx="534">
                  <c:v>1867473.0468</c:v>
                </c:pt>
                <c:pt idx="535">
                  <c:v>917954.20724</c:v>
                </c:pt>
                <c:pt idx="536">
                  <c:v>5576608.12632</c:v>
                </c:pt>
                <c:pt idx="537">
                  <c:v>2136169.6716</c:v>
                </c:pt>
                <c:pt idx="538">
                  <c:v>7412028.63424</c:v>
                </c:pt>
                <c:pt idx="539">
                  <c:v>366373.637</c:v>
                </c:pt>
                <c:pt idx="540">
                  <c:v>1958187</c:v>
                </c:pt>
                <c:pt idx="541">
                  <c:v>3530753.84352</c:v>
                </c:pt>
                <c:pt idx="542">
                  <c:v>503126.97984</c:v>
                </c:pt>
                <c:pt idx="543">
                  <c:v>1592975.9685</c:v>
                </c:pt>
                <c:pt idx="544">
                  <c:v>1366720.39712</c:v>
                </c:pt>
                <c:pt idx="545">
                  <c:v>631074.79962</c:v>
                </c:pt>
                <c:pt idx="546">
                  <c:v>1956897.16992</c:v>
                </c:pt>
                <c:pt idx="547">
                  <c:v>3624045.93393</c:v>
                </c:pt>
                <c:pt idx="548">
                  <c:v>1323439.92</c:v>
                </c:pt>
                <c:pt idx="549">
                  <c:v>3569037.3045</c:v>
                </c:pt>
                <c:pt idx="550">
                  <c:v>233869.14408</c:v>
                </c:pt>
                <c:pt idx="551">
                  <c:v>2230197.08472</c:v>
                </c:pt>
                <c:pt idx="552">
                  <c:v>2103856.0092</c:v>
                </c:pt>
                <c:pt idx="553">
                  <c:v>1735704.62208</c:v>
                </c:pt>
                <c:pt idx="554">
                  <c:v>3829712.8675</c:v>
                </c:pt>
                <c:pt idx="555">
                  <c:v>4645026</c:v>
                </c:pt>
                <c:pt idx="556">
                  <c:v>5340171.74922</c:v>
                </c:pt>
                <c:pt idx="557">
                  <c:v>1330491.72645</c:v>
                </c:pt>
                <c:pt idx="558">
                  <c:v>1491206.50584</c:v>
                </c:pt>
                <c:pt idx="559">
                  <c:v>1504042.98</c:v>
                </c:pt>
                <c:pt idx="560">
                  <c:v>790312.383</c:v>
                </c:pt>
                <c:pt idx="561">
                  <c:v>3497685.2145</c:v>
                </c:pt>
                <c:pt idx="562">
                  <c:v>985935.41544</c:v>
                </c:pt>
                <c:pt idx="563">
                  <c:v>1090088.2356</c:v>
                </c:pt>
                <c:pt idx="564">
                  <c:v>492810.27212</c:v>
                </c:pt>
                <c:pt idx="565">
                  <c:v>2004359.32112</c:v>
                </c:pt>
                <c:pt idx="566">
                  <c:v>4860461.25796</c:v>
                </c:pt>
                <c:pt idx="567">
                  <c:v>3117070.25069</c:v>
                </c:pt>
                <c:pt idx="568">
                  <c:v>3430716</c:v>
                </c:pt>
                <c:pt idx="569">
                  <c:v>347803.10784</c:v>
                </c:pt>
                <c:pt idx="570">
                  <c:v>498191.148</c:v>
                </c:pt>
                <c:pt idx="571">
                  <c:v>89793.49536</c:v>
                </c:pt>
                <c:pt idx="572">
                  <c:v>2408571.91424</c:v>
                </c:pt>
                <c:pt idx="573">
                  <c:v>1531657.79104</c:v>
                </c:pt>
                <c:pt idx="574">
                  <c:v>56471.5866</c:v>
                </c:pt>
                <c:pt idx="575">
                  <c:v>1301991.8904</c:v>
                </c:pt>
                <c:pt idx="576">
                  <c:v>1494892.9016</c:v>
                </c:pt>
                <c:pt idx="577">
                  <c:v>777265.2734</c:v>
                </c:pt>
                <c:pt idx="578">
                  <c:v>458500.59864</c:v>
                </c:pt>
                <c:pt idx="579">
                  <c:v>825330.12428</c:v>
                </c:pt>
                <c:pt idx="580">
                  <c:v>619918.002</c:v>
                </c:pt>
                <c:pt idx="581">
                  <c:v>232214.0076</c:v>
                </c:pt>
                <c:pt idx="582">
                  <c:v>4838375.57175</c:v>
                </c:pt>
                <c:pt idx="583">
                  <c:v>444496.37516</c:v>
                </c:pt>
                <c:pt idx="584">
                  <c:v>2363609.52261</c:v>
                </c:pt>
                <c:pt idx="585">
                  <c:v>37086</c:v>
                </c:pt>
                <c:pt idx="586">
                  <c:v>2768223.156</c:v>
                </c:pt>
                <c:pt idx="587">
                  <c:v>7647140.32425</c:v>
                </c:pt>
                <c:pt idx="588">
                  <c:v>1319084.18352</c:v>
                </c:pt>
                <c:pt idx="589">
                  <c:v>902235</c:v>
                </c:pt>
                <c:pt idx="590">
                  <c:v>1419181.3203</c:v>
                </c:pt>
                <c:pt idx="591">
                  <c:v>6052997.70192</c:v>
                </c:pt>
                <c:pt idx="592">
                  <c:v>707259.4496</c:v>
                </c:pt>
                <c:pt idx="593">
                  <c:v>908622.52</c:v>
                </c:pt>
                <c:pt idx="594">
                  <c:v>1607305.8096</c:v>
                </c:pt>
                <c:pt idx="595">
                  <c:v>849009.76875</c:v>
                </c:pt>
                <c:pt idx="596">
                  <c:v>361842.71</c:v>
                </c:pt>
                <c:pt idx="597">
                  <c:v>541361.75688</c:v>
                </c:pt>
                <c:pt idx="598">
                  <c:v>686760.39225</c:v>
                </c:pt>
                <c:pt idx="599">
                  <c:v>3424327.78276</c:v>
                </c:pt>
                <c:pt idx="600">
                  <c:v>887423.8464</c:v>
                </c:pt>
                <c:pt idx="601">
                  <c:v>114298.7902</c:v>
                </c:pt>
                <c:pt idx="602">
                  <c:v>4676542.648</c:v>
                </c:pt>
                <c:pt idx="603">
                  <c:v>672476.8617</c:v>
                </c:pt>
                <c:pt idx="604">
                  <c:v>867135.12314</c:v>
                </c:pt>
                <c:pt idx="605">
                  <c:v>1543171.89411</c:v>
                </c:pt>
                <c:pt idx="606">
                  <c:v>3227767.02603</c:v>
                </c:pt>
                <c:pt idx="607">
                  <c:v>326381.13018</c:v>
                </c:pt>
                <c:pt idx="608">
                  <c:v>235791.71</c:v>
                </c:pt>
                <c:pt idx="609">
                  <c:v>1143905.10016</c:v>
                </c:pt>
                <c:pt idx="610">
                  <c:v>2229394.56768</c:v>
                </c:pt>
                <c:pt idx="611">
                  <c:v>925614</c:v>
                </c:pt>
                <c:pt idx="612">
                  <c:v>8397062.2398</c:v>
                </c:pt>
                <c:pt idx="613">
                  <c:v>2227871.81352</c:v>
                </c:pt>
                <c:pt idx="614">
                  <c:v>1137721.69836</c:v>
                </c:pt>
                <c:pt idx="615">
                  <c:v>1082920.68144</c:v>
                </c:pt>
                <c:pt idx="616">
                  <c:v>94151.86704</c:v>
                </c:pt>
                <c:pt idx="617">
                  <c:v>2822288.34888</c:v>
                </c:pt>
                <c:pt idx="618">
                  <c:v>4344182.27425</c:v>
                </c:pt>
                <c:pt idx="619">
                  <c:v>123240.3174</c:v>
                </c:pt>
                <c:pt idx="620">
                  <c:v>288799.83132</c:v>
                </c:pt>
                <c:pt idx="621">
                  <c:v>3734152.63488</c:v>
                </c:pt>
                <c:pt idx="622">
                  <c:v>1204261.64488</c:v>
                </c:pt>
                <c:pt idx="623">
                  <c:v>5960637.8975</c:v>
                </c:pt>
                <c:pt idx="624">
                  <c:v>3687031.9864</c:v>
                </c:pt>
                <c:pt idx="625">
                  <c:v>1660109.22273</c:v>
                </c:pt>
                <c:pt idx="626">
                  <c:v>599385.55908</c:v>
                </c:pt>
                <c:pt idx="627">
                  <c:v>3301742</c:v>
                </c:pt>
                <c:pt idx="628">
                  <c:v>4312464.6132</c:v>
                </c:pt>
                <c:pt idx="629">
                  <c:v>1481026.50768</c:v>
                </c:pt>
                <c:pt idx="630">
                  <c:v>32130.31822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13426716"/>
        <c:axId val="267454401"/>
      </c:lineChart>
      <c:catAx>
        <c:axId val="7134267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Month/ Year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454401"/>
        <c:crosses val="autoZero"/>
        <c:auto val="1"/>
        <c:lblAlgn val="ctr"/>
        <c:lblOffset val="100"/>
        <c:noMultiLvlLbl val="0"/>
      </c:catAx>
      <c:valAx>
        <c:axId val="2674544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426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4aa56e-5efc-4e55-bfed-bc39ad0768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Discount Outliers</a:t>
            </a:r>
          </a:p>
        </c:rich>
      </c:tx>
      <c:layout>
        <c:manualLayout>
          <c:xMode val="edge"/>
          <c:yMode val="edge"/>
          <c:x val="0.375136786154336"/>
          <c:y val="0.04065065144881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'Staging Data'!$N$1</c:f>
              <c:strCache>
                <c:ptCount val="1"/>
                <c:pt idx="0">
                  <c:v>Discount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'Staging Data'!$N$2:$N$632</c:f>
              <c:numCache>
                <c:formatCode>0.00%</c:formatCode>
                <c:ptCount val="631"/>
                <c:pt idx="0">
                  <c:v>0.112</c:v>
                </c:pt>
                <c:pt idx="1">
                  <c:v>0.237</c:v>
                </c:pt>
                <c:pt idx="2">
                  <c:v>0.131</c:v>
                </c:pt>
                <c:pt idx="3">
                  <c:v>0.072</c:v>
                </c:pt>
                <c:pt idx="4">
                  <c:v>0</c:v>
                </c:pt>
                <c:pt idx="5">
                  <c:v>0.147</c:v>
                </c:pt>
                <c:pt idx="6">
                  <c:v>0.194</c:v>
                </c:pt>
                <c:pt idx="7">
                  <c:v>0.031</c:v>
                </c:pt>
                <c:pt idx="8">
                  <c:v>0.149</c:v>
                </c:pt>
                <c:pt idx="9">
                  <c:v>0.006</c:v>
                </c:pt>
                <c:pt idx="10">
                  <c:v>0.25</c:v>
                </c:pt>
                <c:pt idx="11">
                  <c:v>0.094</c:v>
                </c:pt>
                <c:pt idx="12">
                  <c:v>0</c:v>
                </c:pt>
                <c:pt idx="13">
                  <c:v>0</c:v>
                </c:pt>
                <c:pt idx="14">
                  <c:v>0.074</c:v>
                </c:pt>
                <c:pt idx="15">
                  <c:v>0.109</c:v>
                </c:pt>
                <c:pt idx="16">
                  <c:v>0.183</c:v>
                </c:pt>
                <c:pt idx="17">
                  <c:v>0.109</c:v>
                </c:pt>
                <c:pt idx="18">
                  <c:v>0.038</c:v>
                </c:pt>
                <c:pt idx="19">
                  <c:v>0.072</c:v>
                </c:pt>
                <c:pt idx="20">
                  <c:v>0.143</c:v>
                </c:pt>
                <c:pt idx="21">
                  <c:v>0.12</c:v>
                </c:pt>
                <c:pt idx="22">
                  <c:v>0.01</c:v>
                </c:pt>
                <c:pt idx="23">
                  <c:v>0.007</c:v>
                </c:pt>
                <c:pt idx="24">
                  <c:v>0.168</c:v>
                </c:pt>
                <c:pt idx="25">
                  <c:v>0</c:v>
                </c:pt>
                <c:pt idx="26">
                  <c:v>0.125</c:v>
                </c:pt>
                <c:pt idx="27">
                  <c:v>0</c:v>
                </c:pt>
                <c:pt idx="28">
                  <c:v>0.139</c:v>
                </c:pt>
                <c:pt idx="29">
                  <c:v>0.087</c:v>
                </c:pt>
                <c:pt idx="30">
                  <c:v>0.089</c:v>
                </c:pt>
                <c:pt idx="31">
                  <c:v>0.084</c:v>
                </c:pt>
                <c:pt idx="32">
                  <c:v>0</c:v>
                </c:pt>
                <c:pt idx="33">
                  <c:v>0</c:v>
                </c:pt>
                <c:pt idx="34">
                  <c:v>0.101</c:v>
                </c:pt>
                <c:pt idx="35">
                  <c:v>0.243</c:v>
                </c:pt>
                <c:pt idx="36">
                  <c:v>0.136</c:v>
                </c:pt>
                <c:pt idx="37">
                  <c:v>0.175</c:v>
                </c:pt>
                <c:pt idx="38">
                  <c:v>0.129</c:v>
                </c:pt>
                <c:pt idx="39">
                  <c:v>0.037</c:v>
                </c:pt>
                <c:pt idx="40">
                  <c:v>0</c:v>
                </c:pt>
                <c:pt idx="41">
                  <c:v>0.318</c:v>
                </c:pt>
                <c:pt idx="42">
                  <c:v>0.146</c:v>
                </c:pt>
                <c:pt idx="43">
                  <c:v>0.182</c:v>
                </c:pt>
                <c:pt idx="44">
                  <c:v>0.169</c:v>
                </c:pt>
                <c:pt idx="45">
                  <c:v>0</c:v>
                </c:pt>
                <c:pt idx="46">
                  <c:v>0</c:v>
                </c:pt>
                <c:pt idx="47">
                  <c:v>0.187</c:v>
                </c:pt>
                <c:pt idx="48">
                  <c:v>0.126</c:v>
                </c:pt>
                <c:pt idx="49">
                  <c:v>0.292</c:v>
                </c:pt>
                <c:pt idx="50">
                  <c:v>0.295</c:v>
                </c:pt>
                <c:pt idx="51">
                  <c:v>0</c:v>
                </c:pt>
                <c:pt idx="52">
                  <c:v>0.182</c:v>
                </c:pt>
                <c:pt idx="53">
                  <c:v>0.144</c:v>
                </c:pt>
                <c:pt idx="54">
                  <c:v>0.147</c:v>
                </c:pt>
                <c:pt idx="55">
                  <c:v>0.035</c:v>
                </c:pt>
                <c:pt idx="56">
                  <c:v>0.147</c:v>
                </c:pt>
                <c:pt idx="57">
                  <c:v>0.075</c:v>
                </c:pt>
                <c:pt idx="58">
                  <c:v>0.205</c:v>
                </c:pt>
                <c:pt idx="59">
                  <c:v>0.119</c:v>
                </c:pt>
                <c:pt idx="60">
                  <c:v>0.11</c:v>
                </c:pt>
                <c:pt idx="61">
                  <c:v>0.2</c:v>
                </c:pt>
                <c:pt idx="62">
                  <c:v>0.255</c:v>
                </c:pt>
                <c:pt idx="63">
                  <c:v>0.13</c:v>
                </c:pt>
                <c:pt idx="64">
                  <c:v>0.184</c:v>
                </c:pt>
                <c:pt idx="65">
                  <c:v>0.189</c:v>
                </c:pt>
                <c:pt idx="66">
                  <c:v>0.105</c:v>
                </c:pt>
                <c:pt idx="67">
                  <c:v>0.204</c:v>
                </c:pt>
                <c:pt idx="68">
                  <c:v>0.05</c:v>
                </c:pt>
                <c:pt idx="69">
                  <c:v>0.068</c:v>
                </c:pt>
                <c:pt idx="70">
                  <c:v>0.142</c:v>
                </c:pt>
                <c:pt idx="71">
                  <c:v>0.185</c:v>
                </c:pt>
                <c:pt idx="72">
                  <c:v>0.047</c:v>
                </c:pt>
                <c:pt idx="73">
                  <c:v>0.343</c:v>
                </c:pt>
                <c:pt idx="74">
                  <c:v>0.114</c:v>
                </c:pt>
                <c:pt idx="75">
                  <c:v>0.134</c:v>
                </c:pt>
                <c:pt idx="76">
                  <c:v>0.072</c:v>
                </c:pt>
                <c:pt idx="77">
                  <c:v>0.257</c:v>
                </c:pt>
                <c:pt idx="78">
                  <c:v>0.186</c:v>
                </c:pt>
                <c:pt idx="79">
                  <c:v>0.161</c:v>
                </c:pt>
                <c:pt idx="80">
                  <c:v>0.241</c:v>
                </c:pt>
                <c:pt idx="81">
                  <c:v>0.084</c:v>
                </c:pt>
                <c:pt idx="82">
                  <c:v>0.215</c:v>
                </c:pt>
                <c:pt idx="83">
                  <c:v>0.104</c:v>
                </c:pt>
                <c:pt idx="84">
                  <c:v>0.07</c:v>
                </c:pt>
                <c:pt idx="85">
                  <c:v>0.154</c:v>
                </c:pt>
                <c:pt idx="86">
                  <c:v>0.188</c:v>
                </c:pt>
                <c:pt idx="87">
                  <c:v>0.03</c:v>
                </c:pt>
                <c:pt idx="88">
                  <c:v>0.066</c:v>
                </c:pt>
                <c:pt idx="89">
                  <c:v>0.074</c:v>
                </c:pt>
                <c:pt idx="90">
                  <c:v>0.144</c:v>
                </c:pt>
                <c:pt idx="91">
                  <c:v>0.096</c:v>
                </c:pt>
                <c:pt idx="92">
                  <c:v>0.099</c:v>
                </c:pt>
                <c:pt idx="93">
                  <c:v>0.16</c:v>
                </c:pt>
                <c:pt idx="94">
                  <c:v>0.034</c:v>
                </c:pt>
                <c:pt idx="95">
                  <c:v>0.146</c:v>
                </c:pt>
                <c:pt idx="96">
                  <c:v>0</c:v>
                </c:pt>
                <c:pt idx="97">
                  <c:v>0.092</c:v>
                </c:pt>
                <c:pt idx="98">
                  <c:v>0.292</c:v>
                </c:pt>
                <c:pt idx="99">
                  <c:v>0</c:v>
                </c:pt>
                <c:pt idx="100">
                  <c:v>0.14</c:v>
                </c:pt>
                <c:pt idx="101">
                  <c:v>0</c:v>
                </c:pt>
                <c:pt idx="102">
                  <c:v>0.18</c:v>
                </c:pt>
                <c:pt idx="103">
                  <c:v>0.169</c:v>
                </c:pt>
                <c:pt idx="104">
                  <c:v>0.278</c:v>
                </c:pt>
                <c:pt idx="105">
                  <c:v>0.137</c:v>
                </c:pt>
                <c:pt idx="106">
                  <c:v>0.123</c:v>
                </c:pt>
                <c:pt idx="107">
                  <c:v>0</c:v>
                </c:pt>
                <c:pt idx="108">
                  <c:v>0.229</c:v>
                </c:pt>
                <c:pt idx="109">
                  <c:v>0</c:v>
                </c:pt>
                <c:pt idx="110">
                  <c:v>0.012</c:v>
                </c:pt>
                <c:pt idx="111">
                  <c:v>0.118</c:v>
                </c:pt>
                <c:pt idx="112">
                  <c:v>0.119</c:v>
                </c:pt>
                <c:pt idx="113">
                  <c:v>0</c:v>
                </c:pt>
                <c:pt idx="114">
                  <c:v>0.108</c:v>
                </c:pt>
                <c:pt idx="115">
                  <c:v>0.157</c:v>
                </c:pt>
                <c:pt idx="116">
                  <c:v>0.184</c:v>
                </c:pt>
                <c:pt idx="117">
                  <c:v>0.071</c:v>
                </c:pt>
                <c:pt idx="118">
                  <c:v>0.043</c:v>
                </c:pt>
                <c:pt idx="119">
                  <c:v>0.123</c:v>
                </c:pt>
                <c:pt idx="120">
                  <c:v>0.069</c:v>
                </c:pt>
                <c:pt idx="121">
                  <c:v>0.203</c:v>
                </c:pt>
                <c:pt idx="122">
                  <c:v>0.057</c:v>
                </c:pt>
                <c:pt idx="123">
                  <c:v>0.089</c:v>
                </c:pt>
                <c:pt idx="124">
                  <c:v>0.084</c:v>
                </c:pt>
                <c:pt idx="125">
                  <c:v>0.073</c:v>
                </c:pt>
                <c:pt idx="126">
                  <c:v>0.179</c:v>
                </c:pt>
                <c:pt idx="127">
                  <c:v>0.187</c:v>
                </c:pt>
                <c:pt idx="128">
                  <c:v>0.111</c:v>
                </c:pt>
                <c:pt idx="129">
                  <c:v>0.063</c:v>
                </c:pt>
                <c:pt idx="130">
                  <c:v>0.142</c:v>
                </c:pt>
                <c:pt idx="131">
                  <c:v>0.22</c:v>
                </c:pt>
                <c:pt idx="132">
                  <c:v>0.187</c:v>
                </c:pt>
                <c:pt idx="133">
                  <c:v>0.192</c:v>
                </c:pt>
                <c:pt idx="134">
                  <c:v>0.094</c:v>
                </c:pt>
                <c:pt idx="135">
                  <c:v>0.009</c:v>
                </c:pt>
                <c:pt idx="136">
                  <c:v>0.265</c:v>
                </c:pt>
                <c:pt idx="137">
                  <c:v>0.129</c:v>
                </c:pt>
                <c:pt idx="138">
                  <c:v>0.259</c:v>
                </c:pt>
                <c:pt idx="139">
                  <c:v>0.118</c:v>
                </c:pt>
                <c:pt idx="140">
                  <c:v>0.01</c:v>
                </c:pt>
                <c:pt idx="141">
                  <c:v>0.151</c:v>
                </c:pt>
                <c:pt idx="142">
                  <c:v>0.245</c:v>
                </c:pt>
                <c:pt idx="143">
                  <c:v>0.082</c:v>
                </c:pt>
                <c:pt idx="144">
                  <c:v>0.107</c:v>
                </c:pt>
                <c:pt idx="145">
                  <c:v>0.185</c:v>
                </c:pt>
                <c:pt idx="146">
                  <c:v>0</c:v>
                </c:pt>
                <c:pt idx="147">
                  <c:v>0.188</c:v>
                </c:pt>
                <c:pt idx="148">
                  <c:v>0.021</c:v>
                </c:pt>
                <c:pt idx="149">
                  <c:v>0.131</c:v>
                </c:pt>
                <c:pt idx="150">
                  <c:v>0.045</c:v>
                </c:pt>
                <c:pt idx="151">
                  <c:v>0.184</c:v>
                </c:pt>
                <c:pt idx="152">
                  <c:v>0.136</c:v>
                </c:pt>
                <c:pt idx="153">
                  <c:v>0.184</c:v>
                </c:pt>
                <c:pt idx="154">
                  <c:v>0.111</c:v>
                </c:pt>
                <c:pt idx="155">
                  <c:v>0.018</c:v>
                </c:pt>
                <c:pt idx="156">
                  <c:v>0.025</c:v>
                </c:pt>
                <c:pt idx="157">
                  <c:v>0.127</c:v>
                </c:pt>
                <c:pt idx="158">
                  <c:v>0.181</c:v>
                </c:pt>
                <c:pt idx="159">
                  <c:v>0.157</c:v>
                </c:pt>
                <c:pt idx="160">
                  <c:v>0.072</c:v>
                </c:pt>
                <c:pt idx="161">
                  <c:v>0.133</c:v>
                </c:pt>
                <c:pt idx="162">
                  <c:v>0.14</c:v>
                </c:pt>
                <c:pt idx="163">
                  <c:v>0.02</c:v>
                </c:pt>
                <c:pt idx="164">
                  <c:v>0.053</c:v>
                </c:pt>
                <c:pt idx="165">
                  <c:v>0.197</c:v>
                </c:pt>
                <c:pt idx="166">
                  <c:v>0.254</c:v>
                </c:pt>
                <c:pt idx="167">
                  <c:v>0.185</c:v>
                </c:pt>
                <c:pt idx="168">
                  <c:v>0.139</c:v>
                </c:pt>
                <c:pt idx="169">
                  <c:v>0.254</c:v>
                </c:pt>
                <c:pt idx="170">
                  <c:v>0.134</c:v>
                </c:pt>
                <c:pt idx="171">
                  <c:v>0.047</c:v>
                </c:pt>
                <c:pt idx="172">
                  <c:v>0.078</c:v>
                </c:pt>
                <c:pt idx="173">
                  <c:v>0.022</c:v>
                </c:pt>
                <c:pt idx="174">
                  <c:v>0.255</c:v>
                </c:pt>
                <c:pt idx="175">
                  <c:v>0.091</c:v>
                </c:pt>
                <c:pt idx="176">
                  <c:v>0.177</c:v>
                </c:pt>
                <c:pt idx="177">
                  <c:v>0.056</c:v>
                </c:pt>
                <c:pt idx="178">
                  <c:v>0.173</c:v>
                </c:pt>
                <c:pt idx="179">
                  <c:v>0.212</c:v>
                </c:pt>
                <c:pt idx="180">
                  <c:v>0.063</c:v>
                </c:pt>
                <c:pt idx="181">
                  <c:v>0.196</c:v>
                </c:pt>
                <c:pt idx="182">
                  <c:v>0.101</c:v>
                </c:pt>
                <c:pt idx="183">
                  <c:v>0.153</c:v>
                </c:pt>
                <c:pt idx="184">
                  <c:v>0.025</c:v>
                </c:pt>
                <c:pt idx="185">
                  <c:v>0.211</c:v>
                </c:pt>
                <c:pt idx="186">
                  <c:v>0.233</c:v>
                </c:pt>
                <c:pt idx="187">
                  <c:v>0.118</c:v>
                </c:pt>
                <c:pt idx="188">
                  <c:v>0.012</c:v>
                </c:pt>
                <c:pt idx="189">
                  <c:v>0.215</c:v>
                </c:pt>
                <c:pt idx="190">
                  <c:v>0.094</c:v>
                </c:pt>
                <c:pt idx="191">
                  <c:v>0.236</c:v>
                </c:pt>
                <c:pt idx="192">
                  <c:v>0.072</c:v>
                </c:pt>
                <c:pt idx="193">
                  <c:v>0.094</c:v>
                </c:pt>
                <c:pt idx="194">
                  <c:v>0.159</c:v>
                </c:pt>
                <c:pt idx="195">
                  <c:v>0.185</c:v>
                </c:pt>
                <c:pt idx="196">
                  <c:v>0.051</c:v>
                </c:pt>
                <c:pt idx="197">
                  <c:v>0.186</c:v>
                </c:pt>
                <c:pt idx="198">
                  <c:v>0.155</c:v>
                </c:pt>
                <c:pt idx="199">
                  <c:v>0.057</c:v>
                </c:pt>
                <c:pt idx="200">
                  <c:v>0.258</c:v>
                </c:pt>
                <c:pt idx="201">
                  <c:v>0</c:v>
                </c:pt>
                <c:pt idx="202">
                  <c:v>0.243</c:v>
                </c:pt>
                <c:pt idx="203">
                  <c:v>0.055</c:v>
                </c:pt>
                <c:pt idx="204">
                  <c:v>0.029</c:v>
                </c:pt>
                <c:pt idx="205">
                  <c:v>0.038</c:v>
                </c:pt>
                <c:pt idx="206">
                  <c:v>0.148</c:v>
                </c:pt>
                <c:pt idx="207">
                  <c:v>0.203</c:v>
                </c:pt>
                <c:pt idx="208">
                  <c:v>0.136</c:v>
                </c:pt>
                <c:pt idx="209">
                  <c:v>0.152</c:v>
                </c:pt>
                <c:pt idx="210">
                  <c:v>0.102</c:v>
                </c:pt>
                <c:pt idx="211">
                  <c:v>0.128</c:v>
                </c:pt>
                <c:pt idx="212">
                  <c:v>0</c:v>
                </c:pt>
                <c:pt idx="213">
                  <c:v>0.157</c:v>
                </c:pt>
                <c:pt idx="214">
                  <c:v>0.201</c:v>
                </c:pt>
                <c:pt idx="215">
                  <c:v>0.113</c:v>
                </c:pt>
                <c:pt idx="216">
                  <c:v>0.196</c:v>
                </c:pt>
                <c:pt idx="217">
                  <c:v>0.004</c:v>
                </c:pt>
                <c:pt idx="218">
                  <c:v>0.266</c:v>
                </c:pt>
                <c:pt idx="219">
                  <c:v>0.055</c:v>
                </c:pt>
                <c:pt idx="220">
                  <c:v>0.204</c:v>
                </c:pt>
                <c:pt idx="221">
                  <c:v>0.093</c:v>
                </c:pt>
                <c:pt idx="222">
                  <c:v>0.051</c:v>
                </c:pt>
                <c:pt idx="223">
                  <c:v>0.051</c:v>
                </c:pt>
                <c:pt idx="224">
                  <c:v>0.147</c:v>
                </c:pt>
                <c:pt idx="225">
                  <c:v>0.131</c:v>
                </c:pt>
                <c:pt idx="226">
                  <c:v>0.067</c:v>
                </c:pt>
                <c:pt idx="227">
                  <c:v>0.123</c:v>
                </c:pt>
                <c:pt idx="228">
                  <c:v>0.189</c:v>
                </c:pt>
                <c:pt idx="229">
                  <c:v>0.148</c:v>
                </c:pt>
                <c:pt idx="230">
                  <c:v>0.109</c:v>
                </c:pt>
                <c:pt idx="231">
                  <c:v>0.116</c:v>
                </c:pt>
                <c:pt idx="232">
                  <c:v>0.187</c:v>
                </c:pt>
                <c:pt idx="233">
                  <c:v>0.102</c:v>
                </c:pt>
                <c:pt idx="234">
                  <c:v>0.068</c:v>
                </c:pt>
                <c:pt idx="235">
                  <c:v>0.126</c:v>
                </c:pt>
                <c:pt idx="236">
                  <c:v>0.172</c:v>
                </c:pt>
                <c:pt idx="237">
                  <c:v>0.235</c:v>
                </c:pt>
                <c:pt idx="238">
                  <c:v>0.13</c:v>
                </c:pt>
                <c:pt idx="239">
                  <c:v>0.086</c:v>
                </c:pt>
                <c:pt idx="240">
                  <c:v>0.095</c:v>
                </c:pt>
                <c:pt idx="241">
                  <c:v>0.136</c:v>
                </c:pt>
                <c:pt idx="242">
                  <c:v>0.238</c:v>
                </c:pt>
                <c:pt idx="243">
                  <c:v>0.175</c:v>
                </c:pt>
                <c:pt idx="244">
                  <c:v>0.167</c:v>
                </c:pt>
                <c:pt idx="245">
                  <c:v>0.263</c:v>
                </c:pt>
                <c:pt idx="246">
                  <c:v>0.151</c:v>
                </c:pt>
                <c:pt idx="247">
                  <c:v>0.11</c:v>
                </c:pt>
                <c:pt idx="248">
                  <c:v>0.107</c:v>
                </c:pt>
                <c:pt idx="249">
                  <c:v>0.143</c:v>
                </c:pt>
                <c:pt idx="250">
                  <c:v>0.203</c:v>
                </c:pt>
                <c:pt idx="251">
                  <c:v>0.225</c:v>
                </c:pt>
                <c:pt idx="252">
                  <c:v>0.122</c:v>
                </c:pt>
                <c:pt idx="253">
                  <c:v>0.053</c:v>
                </c:pt>
                <c:pt idx="254">
                  <c:v>0.034</c:v>
                </c:pt>
                <c:pt idx="255">
                  <c:v>0.173</c:v>
                </c:pt>
                <c:pt idx="256">
                  <c:v>0.197</c:v>
                </c:pt>
                <c:pt idx="257">
                  <c:v>0.205</c:v>
                </c:pt>
                <c:pt idx="258">
                  <c:v>0.14</c:v>
                </c:pt>
                <c:pt idx="259">
                  <c:v>0.078</c:v>
                </c:pt>
                <c:pt idx="260">
                  <c:v>0.004</c:v>
                </c:pt>
                <c:pt idx="261">
                  <c:v>0.216</c:v>
                </c:pt>
                <c:pt idx="262">
                  <c:v>0.057</c:v>
                </c:pt>
                <c:pt idx="263">
                  <c:v>0.126</c:v>
                </c:pt>
                <c:pt idx="264">
                  <c:v>0.196</c:v>
                </c:pt>
                <c:pt idx="265">
                  <c:v>0.184</c:v>
                </c:pt>
                <c:pt idx="266">
                  <c:v>0.107</c:v>
                </c:pt>
                <c:pt idx="267">
                  <c:v>0</c:v>
                </c:pt>
                <c:pt idx="268">
                  <c:v>0.154</c:v>
                </c:pt>
                <c:pt idx="269">
                  <c:v>0.134</c:v>
                </c:pt>
                <c:pt idx="270">
                  <c:v>0.174</c:v>
                </c:pt>
                <c:pt idx="271">
                  <c:v>0.139</c:v>
                </c:pt>
                <c:pt idx="272">
                  <c:v>0.164</c:v>
                </c:pt>
                <c:pt idx="273">
                  <c:v>0.135</c:v>
                </c:pt>
                <c:pt idx="274">
                  <c:v>0.135</c:v>
                </c:pt>
                <c:pt idx="275">
                  <c:v>0.115</c:v>
                </c:pt>
                <c:pt idx="276">
                  <c:v>0.151</c:v>
                </c:pt>
                <c:pt idx="277">
                  <c:v>0.12</c:v>
                </c:pt>
                <c:pt idx="278">
                  <c:v>0.138</c:v>
                </c:pt>
                <c:pt idx="279">
                  <c:v>0.112</c:v>
                </c:pt>
                <c:pt idx="280">
                  <c:v>0.317</c:v>
                </c:pt>
                <c:pt idx="281">
                  <c:v>0</c:v>
                </c:pt>
                <c:pt idx="282">
                  <c:v>0.114</c:v>
                </c:pt>
                <c:pt idx="283">
                  <c:v>0.155</c:v>
                </c:pt>
                <c:pt idx="284">
                  <c:v>0.22</c:v>
                </c:pt>
                <c:pt idx="285">
                  <c:v>0.134</c:v>
                </c:pt>
                <c:pt idx="286">
                  <c:v>0.134</c:v>
                </c:pt>
                <c:pt idx="287">
                  <c:v>0.066</c:v>
                </c:pt>
                <c:pt idx="288">
                  <c:v>0.192</c:v>
                </c:pt>
                <c:pt idx="289">
                  <c:v>0.146</c:v>
                </c:pt>
                <c:pt idx="290">
                  <c:v>0.156</c:v>
                </c:pt>
                <c:pt idx="291">
                  <c:v>0.207</c:v>
                </c:pt>
                <c:pt idx="292">
                  <c:v>0.059</c:v>
                </c:pt>
                <c:pt idx="293">
                  <c:v>0.08</c:v>
                </c:pt>
                <c:pt idx="294">
                  <c:v>0.113</c:v>
                </c:pt>
                <c:pt idx="295">
                  <c:v>0.169</c:v>
                </c:pt>
                <c:pt idx="296">
                  <c:v>0.108</c:v>
                </c:pt>
                <c:pt idx="297">
                  <c:v>0.119</c:v>
                </c:pt>
                <c:pt idx="298">
                  <c:v>0</c:v>
                </c:pt>
                <c:pt idx="299">
                  <c:v>0.056</c:v>
                </c:pt>
                <c:pt idx="300">
                  <c:v>0.194</c:v>
                </c:pt>
                <c:pt idx="301">
                  <c:v>0.129</c:v>
                </c:pt>
                <c:pt idx="302">
                  <c:v>0.174</c:v>
                </c:pt>
                <c:pt idx="303">
                  <c:v>0.08</c:v>
                </c:pt>
                <c:pt idx="304">
                  <c:v>0.038</c:v>
                </c:pt>
                <c:pt idx="305">
                  <c:v>0.1</c:v>
                </c:pt>
                <c:pt idx="306">
                  <c:v>0.176</c:v>
                </c:pt>
                <c:pt idx="307">
                  <c:v>0.153</c:v>
                </c:pt>
                <c:pt idx="308">
                  <c:v>0.089</c:v>
                </c:pt>
                <c:pt idx="309">
                  <c:v>0.185</c:v>
                </c:pt>
                <c:pt idx="310">
                  <c:v>0.045</c:v>
                </c:pt>
                <c:pt idx="311">
                  <c:v>0.088</c:v>
                </c:pt>
                <c:pt idx="312">
                  <c:v>0</c:v>
                </c:pt>
                <c:pt idx="313">
                  <c:v>0.031</c:v>
                </c:pt>
                <c:pt idx="314">
                  <c:v>0.09</c:v>
                </c:pt>
                <c:pt idx="315">
                  <c:v>0.141</c:v>
                </c:pt>
                <c:pt idx="316">
                  <c:v>0.075</c:v>
                </c:pt>
                <c:pt idx="317">
                  <c:v>0.014</c:v>
                </c:pt>
                <c:pt idx="318">
                  <c:v>0.151</c:v>
                </c:pt>
                <c:pt idx="319">
                  <c:v>0.076</c:v>
                </c:pt>
                <c:pt idx="320">
                  <c:v>0.215</c:v>
                </c:pt>
                <c:pt idx="321">
                  <c:v>0.103</c:v>
                </c:pt>
                <c:pt idx="322">
                  <c:v>0.176</c:v>
                </c:pt>
                <c:pt idx="323">
                  <c:v>0.051</c:v>
                </c:pt>
                <c:pt idx="324">
                  <c:v>0.121</c:v>
                </c:pt>
                <c:pt idx="325">
                  <c:v>0.042</c:v>
                </c:pt>
                <c:pt idx="326">
                  <c:v>0.109</c:v>
                </c:pt>
                <c:pt idx="327">
                  <c:v>0.346</c:v>
                </c:pt>
                <c:pt idx="328">
                  <c:v>0.2</c:v>
                </c:pt>
                <c:pt idx="329">
                  <c:v>0.065</c:v>
                </c:pt>
                <c:pt idx="330">
                  <c:v>0.239</c:v>
                </c:pt>
                <c:pt idx="331">
                  <c:v>0.27</c:v>
                </c:pt>
                <c:pt idx="332">
                  <c:v>0.028</c:v>
                </c:pt>
                <c:pt idx="333">
                  <c:v>0.145</c:v>
                </c:pt>
                <c:pt idx="334">
                  <c:v>0.158</c:v>
                </c:pt>
                <c:pt idx="335">
                  <c:v>0.066</c:v>
                </c:pt>
                <c:pt idx="336">
                  <c:v>0.21</c:v>
                </c:pt>
                <c:pt idx="337">
                  <c:v>0.24</c:v>
                </c:pt>
                <c:pt idx="338">
                  <c:v>0.299</c:v>
                </c:pt>
                <c:pt idx="339">
                  <c:v>0.565</c:v>
                </c:pt>
                <c:pt idx="340">
                  <c:v>0.282</c:v>
                </c:pt>
                <c:pt idx="341">
                  <c:v>0</c:v>
                </c:pt>
                <c:pt idx="342">
                  <c:v>0.261</c:v>
                </c:pt>
                <c:pt idx="343">
                  <c:v>0.071</c:v>
                </c:pt>
                <c:pt idx="344">
                  <c:v>0.02</c:v>
                </c:pt>
                <c:pt idx="345">
                  <c:v>0.103</c:v>
                </c:pt>
                <c:pt idx="346">
                  <c:v>0</c:v>
                </c:pt>
                <c:pt idx="347">
                  <c:v>0.144</c:v>
                </c:pt>
                <c:pt idx="348">
                  <c:v>0.113</c:v>
                </c:pt>
                <c:pt idx="349">
                  <c:v>0.188</c:v>
                </c:pt>
                <c:pt idx="350">
                  <c:v>0.113</c:v>
                </c:pt>
                <c:pt idx="351">
                  <c:v>0.039</c:v>
                </c:pt>
                <c:pt idx="352">
                  <c:v>0.179</c:v>
                </c:pt>
                <c:pt idx="353">
                  <c:v>0.128</c:v>
                </c:pt>
                <c:pt idx="354">
                  <c:v>0.167</c:v>
                </c:pt>
                <c:pt idx="355">
                  <c:v>0</c:v>
                </c:pt>
                <c:pt idx="356">
                  <c:v>0.17</c:v>
                </c:pt>
                <c:pt idx="357">
                  <c:v>0</c:v>
                </c:pt>
                <c:pt idx="358">
                  <c:v>0.176</c:v>
                </c:pt>
                <c:pt idx="359">
                  <c:v>0.11</c:v>
                </c:pt>
                <c:pt idx="360">
                  <c:v>0.078</c:v>
                </c:pt>
                <c:pt idx="361">
                  <c:v>0.014</c:v>
                </c:pt>
                <c:pt idx="362">
                  <c:v>0.272</c:v>
                </c:pt>
                <c:pt idx="363">
                  <c:v>0.132</c:v>
                </c:pt>
                <c:pt idx="364">
                  <c:v>0.009</c:v>
                </c:pt>
                <c:pt idx="365">
                  <c:v>0.192</c:v>
                </c:pt>
                <c:pt idx="366">
                  <c:v>0.105</c:v>
                </c:pt>
                <c:pt idx="367">
                  <c:v>0.106</c:v>
                </c:pt>
                <c:pt idx="368">
                  <c:v>0.115</c:v>
                </c:pt>
                <c:pt idx="369">
                  <c:v>0.058</c:v>
                </c:pt>
                <c:pt idx="370">
                  <c:v>0</c:v>
                </c:pt>
                <c:pt idx="371">
                  <c:v>0.107</c:v>
                </c:pt>
                <c:pt idx="372">
                  <c:v>0.034</c:v>
                </c:pt>
                <c:pt idx="373">
                  <c:v>0.256</c:v>
                </c:pt>
                <c:pt idx="374">
                  <c:v>0.063</c:v>
                </c:pt>
                <c:pt idx="375">
                  <c:v>0.099</c:v>
                </c:pt>
                <c:pt idx="376">
                  <c:v>0.139</c:v>
                </c:pt>
                <c:pt idx="377">
                  <c:v>0.092</c:v>
                </c:pt>
                <c:pt idx="378">
                  <c:v>0.032</c:v>
                </c:pt>
                <c:pt idx="379">
                  <c:v>0.163</c:v>
                </c:pt>
                <c:pt idx="380">
                  <c:v>0.176</c:v>
                </c:pt>
                <c:pt idx="381">
                  <c:v>0.078</c:v>
                </c:pt>
                <c:pt idx="382">
                  <c:v>0.09</c:v>
                </c:pt>
                <c:pt idx="383">
                  <c:v>0.058</c:v>
                </c:pt>
                <c:pt idx="384">
                  <c:v>0.19</c:v>
                </c:pt>
                <c:pt idx="385">
                  <c:v>0.104</c:v>
                </c:pt>
                <c:pt idx="386">
                  <c:v>0.127</c:v>
                </c:pt>
                <c:pt idx="387">
                  <c:v>0.147</c:v>
                </c:pt>
                <c:pt idx="388">
                  <c:v>0.072</c:v>
                </c:pt>
                <c:pt idx="389">
                  <c:v>0.009</c:v>
                </c:pt>
                <c:pt idx="390">
                  <c:v>0.105</c:v>
                </c:pt>
                <c:pt idx="391">
                  <c:v>0.357</c:v>
                </c:pt>
                <c:pt idx="392">
                  <c:v>0.254</c:v>
                </c:pt>
                <c:pt idx="393">
                  <c:v>0.148</c:v>
                </c:pt>
                <c:pt idx="394">
                  <c:v>0.098</c:v>
                </c:pt>
                <c:pt idx="395">
                  <c:v>0.103</c:v>
                </c:pt>
                <c:pt idx="396">
                  <c:v>0.241</c:v>
                </c:pt>
                <c:pt idx="397">
                  <c:v>0.083</c:v>
                </c:pt>
                <c:pt idx="398">
                  <c:v>0.122</c:v>
                </c:pt>
                <c:pt idx="399">
                  <c:v>0.025</c:v>
                </c:pt>
                <c:pt idx="400">
                  <c:v>0.18</c:v>
                </c:pt>
                <c:pt idx="401">
                  <c:v>0.106</c:v>
                </c:pt>
                <c:pt idx="402">
                  <c:v>0.126</c:v>
                </c:pt>
                <c:pt idx="403">
                  <c:v>0.111</c:v>
                </c:pt>
                <c:pt idx="404">
                  <c:v>0.064</c:v>
                </c:pt>
                <c:pt idx="405">
                  <c:v>0.077</c:v>
                </c:pt>
                <c:pt idx="406">
                  <c:v>0.138</c:v>
                </c:pt>
                <c:pt idx="407">
                  <c:v>0.196</c:v>
                </c:pt>
                <c:pt idx="408">
                  <c:v>0</c:v>
                </c:pt>
                <c:pt idx="409">
                  <c:v>0.241</c:v>
                </c:pt>
                <c:pt idx="410">
                  <c:v>0.239</c:v>
                </c:pt>
                <c:pt idx="411">
                  <c:v>0.112</c:v>
                </c:pt>
                <c:pt idx="412">
                  <c:v>0.083</c:v>
                </c:pt>
                <c:pt idx="413">
                  <c:v>0.072</c:v>
                </c:pt>
                <c:pt idx="414">
                  <c:v>0.032</c:v>
                </c:pt>
                <c:pt idx="415">
                  <c:v>0.245</c:v>
                </c:pt>
                <c:pt idx="416">
                  <c:v>0.09</c:v>
                </c:pt>
                <c:pt idx="417">
                  <c:v>0.217</c:v>
                </c:pt>
                <c:pt idx="418">
                  <c:v>0.226</c:v>
                </c:pt>
                <c:pt idx="419">
                  <c:v>0.151</c:v>
                </c:pt>
                <c:pt idx="420">
                  <c:v>0.019</c:v>
                </c:pt>
                <c:pt idx="421">
                  <c:v>0.157</c:v>
                </c:pt>
                <c:pt idx="422">
                  <c:v>0.168</c:v>
                </c:pt>
                <c:pt idx="423">
                  <c:v>0.243</c:v>
                </c:pt>
                <c:pt idx="424">
                  <c:v>0.173</c:v>
                </c:pt>
                <c:pt idx="425">
                  <c:v>0.25</c:v>
                </c:pt>
                <c:pt idx="426">
                  <c:v>0.314</c:v>
                </c:pt>
                <c:pt idx="427">
                  <c:v>0</c:v>
                </c:pt>
                <c:pt idx="428">
                  <c:v>0.175</c:v>
                </c:pt>
                <c:pt idx="429">
                  <c:v>0.115</c:v>
                </c:pt>
                <c:pt idx="430">
                  <c:v>0</c:v>
                </c:pt>
                <c:pt idx="431">
                  <c:v>0.056</c:v>
                </c:pt>
                <c:pt idx="432">
                  <c:v>0.059</c:v>
                </c:pt>
                <c:pt idx="433">
                  <c:v>0.214</c:v>
                </c:pt>
                <c:pt idx="434">
                  <c:v>0</c:v>
                </c:pt>
                <c:pt idx="435">
                  <c:v>0.113</c:v>
                </c:pt>
                <c:pt idx="436">
                  <c:v>0.147</c:v>
                </c:pt>
                <c:pt idx="437">
                  <c:v>0.174</c:v>
                </c:pt>
                <c:pt idx="438">
                  <c:v>0.041</c:v>
                </c:pt>
                <c:pt idx="439">
                  <c:v>0.15</c:v>
                </c:pt>
                <c:pt idx="440">
                  <c:v>0.148</c:v>
                </c:pt>
                <c:pt idx="441">
                  <c:v>0.157</c:v>
                </c:pt>
                <c:pt idx="442">
                  <c:v>0.043</c:v>
                </c:pt>
                <c:pt idx="443">
                  <c:v>0</c:v>
                </c:pt>
                <c:pt idx="444">
                  <c:v>0.028</c:v>
                </c:pt>
                <c:pt idx="445">
                  <c:v>0.074</c:v>
                </c:pt>
                <c:pt idx="446">
                  <c:v>0.293</c:v>
                </c:pt>
                <c:pt idx="447">
                  <c:v>0.104</c:v>
                </c:pt>
                <c:pt idx="448">
                  <c:v>0.216</c:v>
                </c:pt>
                <c:pt idx="449">
                  <c:v>0.165</c:v>
                </c:pt>
                <c:pt idx="450">
                  <c:v>0.066</c:v>
                </c:pt>
                <c:pt idx="451">
                  <c:v>0.071</c:v>
                </c:pt>
                <c:pt idx="452">
                  <c:v>0.115</c:v>
                </c:pt>
                <c:pt idx="453">
                  <c:v>0.017</c:v>
                </c:pt>
                <c:pt idx="454">
                  <c:v>0.111</c:v>
                </c:pt>
                <c:pt idx="455">
                  <c:v>0</c:v>
                </c:pt>
                <c:pt idx="456">
                  <c:v>0.136</c:v>
                </c:pt>
                <c:pt idx="457">
                  <c:v>0.125</c:v>
                </c:pt>
                <c:pt idx="458">
                  <c:v>0</c:v>
                </c:pt>
                <c:pt idx="459">
                  <c:v>0.107</c:v>
                </c:pt>
                <c:pt idx="460">
                  <c:v>0.129</c:v>
                </c:pt>
                <c:pt idx="461">
                  <c:v>0.152</c:v>
                </c:pt>
                <c:pt idx="462">
                  <c:v>0.124</c:v>
                </c:pt>
                <c:pt idx="463">
                  <c:v>0.257</c:v>
                </c:pt>
                <c:pt idx="464">
                  <c:v>0.211</c:v>
                </c:pt>
                <c:pt idx="465">
                  <c:v>0.229</c:v>
                </c:pt>
                <c:pt idx="466">
                  <c:v>0.071</c:v>
                </c:pt>
                <c:pt idx="467">
                  <c:v>0.23</c:v>
                </c:pt>
                <c:pt idx="468">
                  <c:v>0.046</c:v>
                </c:pt>
                <c:pt idx="469">
                  <c:v>0.049</c:v>
                </c:pt>
                <c:pt idx="470">
                  <c:v>0.138</c:v>
                </c:pt>
                <c:pt idx="471">
                  <c:v>0.074</c:v>
                </c:pt>
                <c:pt idx="472">
                  <c:v>0.126</c:v>
                </c:pt>
                <c:pt idx="473">
                  <c:v>0.205</c:v>
                </c:pt>
                <c:pt idx="474">
                  <c:v>0.042</c:v>
                </c:pt>
                <c:pt idx="475">
                  <c:v>0.089</c:v>
                </c:pt>
                <c:pt idx="476">
                  <c:v>0.165</c:v>
                </c:pt>
                <c:pt idx="477">
                  <c:v>0.216</c:v>
                </c:pt>
                <c:pt idx="478">
                  <c:v>0.02</c:v>
                </c:pt>
                <c:pt idx="479">
                  <c:v>0.076</c:v>
                </c:pt>
                <c:pt idx="480">
                  <c:v>0.091</c:v>
                </c:pt>
                <c:pt idx="481">
                  <c:v>0.132</c:v>
                </c:pt>
                <c:pt idx="482">
                  <c:v>0.053</c:v>
                </c:pt>
                <c:pt idx="483">
                  <c:v>0.123</c:v>
                </c:pt>
                <c:pt idx="484">
                  <c:v>0.092</c:v>
                </c:pt>
                <c:pt idx="485">
                  <c:v>0.222</c:v>
                </c:pt>
                <c:pt idx="486">
                  <c:v>0.074</c:v>
                </c:pt>
                <c:pt idx="487">
                  <c:v>0.197</c:v>
                </c:pt>
                <c:pt idx="488">
                  <c:v>0.135</c:v>
                </c:pt>
                <c:pt idx="489">
                  <c:v>0</c:v>
                </c:pt>
                <c:pt idx="490">
                  <c:v>0</c:v>
                </c:pt>
                <c:pt idx="491">
                  <c:v>0.083</c:v>
                </c:pt>
                <c:pt idx="492">
                  <c:v>0.132</c:v>
                </c:pt>
                <c:pt idx="493">
                  <c:v>0.042</c:v>
                </c:pt>
                <c:pt idx="494">
                  <c:v>0.113</c:v>
                </c:pt>
                <c:pt idx="495">
                  <c:v>0.142</c:v>
                </c:pt>
                <c:pt idx="496">
                  <c:v>0.042</c:v>
                </c:pt>
                <c:pt idx="497">
                  <c:v>0.057</c:v>
                </c:pt>
                <c:pt idx="498">
                  <c:v>0.218</c:v>
                </c:pt>
                <c:pt idx="499">
                  <c:v>0.041</c:v>
                </c:pt>
                <c:pt idx="500">
                  <c:v>0.167</c:v>
                </c:pt>
                <c:pt idx="501">
                  <c:v>0.069</c:v>
                </c:pt>
                <c:pt idx="502">
                  <c:v>0.101</c:v>
                </c:pt>
                <c:pt idx="503">
                  <c:v>0.07</c:v>
                </c:pt>
                <c:pt idx="504">
                  <c:v>0.123</c:v>
                </c:pt>
                <c:pt idx="505">
                  <c:v>0.235</c:v>
                </c:pt>
                <c:pt idx="506">
                  <c:v>0.02</c:v>
                </c:pt>
                <c:pt idx="507">
                  <c:v>0.098</c:v>
                </c:pt>
                <c:pt idx="508">
                  <c:v>0.108</c:v>
                </c:pt>
                <c:pt idx="509">
                  <c:v>0.209</c:v>
                </c:pt>
                <c:pt idx="510">
                  <c:v>0.119</c:v>
                </c:pt>
                <c:pt idx="511">
                  <c:v>0.146</c:v>
                </c:pt>
                <c:pt idx="512">
                  <c:v>0.032</c:v>
                </c:pt>
                <c:pt idx="513">
                  <c:v>0</c:v>
                </c:pt>
                <c:pt idx="514">
                  <c:v>0</c:v>
                </c:pt>
                <c:pt idx="515">
                  <c:v>0.157</c:v>
                </c:pt>
                <c:pt idx="516">
                  <c:v>0.107</c:v>
                </c:pt>
                <c:pt idx="517">
                  <c:v>0.138</c:v>
                </c:pt>
                <c:pt idx="518">
                  <c:v>0.049</c:v>
                </c:pt>
                <c:pt idx="519">
                  <c:v>0.18</c:v>
                </c:pt>
                <c:pt idx="520">
                  <c:v>0.1</c:v>
                </c:pt>
                <c:pt idx="521">
                  <c:v>0</c:v>
                </c:pt>
                <c:pt idx="522">
                  <c:v>0.094</c:v>
                </c:pt>
                <c:pt idx="523">
                  <c:v>0.17</c:v>
                </c:pt>
                <c:pt idx="524">
                  <c:v>0.225</c:v>
                </c:pt>
                <c:pt idx="525">
                  <c:v>0.135</c:v>
                </c:pt>
                <c:pt idx="526">
                  <c:v>0</c:v>
                </c:pt>
                <c:pt idx="527">
                  <c:v>0.059</c:v>
                </c:pt>
                <c:pt idx="528">
                  <c:v>0</c:v>
                </c:pt>
                <c:pt idx="529">
                  <c:v>0.038</c:v>
                </c:pt>
                <c:pt idx="530">
                  <c:v>0.122</c:v>
                </c:pt>
                <c:pt idx="531">
                  <c:v>0.114</c:v>
                </c:pt>
                <c:pt idx="532">
                  <c:v>0.066</c:v>
                </c:pt>
                <c:pt idx="533">
                  <c:v>0.248</c:v>
                </c:pt>
                <c:pt idx="534">
                  <c:v>0.19</c:v>
                </c:pt>
                <c:pt idx="535">
                  <c:v>0.149</c:v>
                </c:pt>
                <c:pt idx="536">
                  <c:v>0.087</c:v>
                </c:pt>
                <c:pt idx="537">
                  <c:v>0.044</c:v>
                </c:pt>
                <c:pt idx="538">
                  <c:v>0.107</c:v>
                </c:pt>
                <c:pt idx="539">
                  <c:v>0.089</c:v>
                </c:pt>
                <c:pt idx="540">
                  <c:v>0</c:v>
                </c:pt>
                <c:pt idx="541">
                  <c:v>0.133</c:v>
                </c:pt>
                <c:pt idx="542">
                  <c:v>0.059</c:v>
                </c:pt>
                <c:pt idx="543">
                  <c:v>0.115</c:v>
                </c:pt>
                <c:pt idx="544">
                  <c:v>0.212</c:v>
                </c:pt>
                <c:pt idx="545">
                  <c:v>0.237</c:v>
                </c:pt>
                <c:pt idx="546">
                  <c:v>0.208</c:v>
                </c:pt>
                <c:pt idx="547">
                  <c:v>0.123</c:v>
                </c:pt>
                <c:pt idx="548">
                  <c:v>0.175</c:v>
                </c:pt>
                <c:pt idx="549">
                  <c:v>0.17</c:v>
                </c:pt>
                <c:pt idx="550">
                  <c:v>0.212</c:v>
                </c:pt>
                <c:pt idx="551">
                  <c:v>0.157</c:v>
                </c:pt>
                <c:pt idx="552">
                  <c:v>0.042</c:v>
                </c:pt>
                <c:pt idx="553">
                  <c:v>0.087</c:v>
                </c:pt>
                <c:pt idx="554">
                  <c:v>0.125</c:v>
                </c:pt>
                <c:pt idx="555">
                  <c:v>0</c:v>
                </c:pt>
                <c:pt idx="556">
                  <c:v>0.054</c:v>
                </c:pt>
                <c:pt idx="557">
                  <c:v>0.211</c:v>
                </c:pt>
                <c:pt idx="558">
                  <c:v>0.122</c:v>
                </c:pt>
                <c:pt idx="559">
                  <c:v>0.12</c:v>
                </c:pt>
                <c:pt idx="560">
                  <c:v>0.145</c:v>
                </c:pt>
                <c:pt idx="561">
                  <c:v>0.055</c:v>
                </c:pt>
                <c:pt idx="562">
                  <c:v>0.137</c:v>
                </c:pt>
                <c:pt idx="563">
                  <c:v>0.068</c:v>
                </c:pt>
                <c:pt idx="564">
                  <c:v>0.143</c:v>
                </c:pt>
                <c:pt idx="565">
                  <c:v>0.126</c:v>
                </c:pt>
                <c:pt idx="566">
                  <c:v>0.092</c:v>
                </c:pt>
                <c:pt idx="567">
                  <c:v>0.197</c:v>
                </c:pt>
                <c:pt idx="568">
                  <c:v>0</c:v>
                </c:pt>
                <c:pt idx="569">
                  <c:v>0.029</c:v>
                </c:pt>
                <c:pt idx="570">
                  <c:v>0.082</c:v>
                </c:pt>
                <c:pt idx="571">
                  <c:v>0.064</c:v>
                </c:pt>
                <c:pt idx="572">
                  <c:v>0.207</c:v>
                </c:pt>
                <c:pt idx="573">
                  <c:v>0.056</c:v>
                </c:pt>
                <c:pt idx="574">
                  <c:v>0.121</c:v>
                </c:pt>
                <c:pt idx="575">
                  <c:v>0.072</c:v>
                </c:pt>
                <c:pt idx="576">
                  <c:v>0.072</c:v>
                </c:pt>
                <c:pt idx="577">
                  <c:v>0.135</c:v>
                </c:pt>
                <c:pt idx="578">
                  <c:v>0.067</c:v>
                </c:pt>
                <c:pt idx="579">
                  <c:v>0.132</c:v>
                </c:pt>
                <c:pt idx="580">
                  <c:v>0.01</c:v>
                </c:pt>
                <c:pt idx="581">
                  <c:v>0.226</c:v>
                </c:pt>
                <c:pt idx="582">
                  <c:v>0.163</c:v>
                </c:pt>
                <c:pt idx="583">
                  <c:v>0.141</c:v>
                </c:pt>
                <c:pt idx="584">
                  <c:v>0.041</c:v>
                </c:pt>
                <c:pt idx="585">
                  <c:v>0</c:v>
                </c:pt>
                <c:pt idx="586">
                  <c:v>0.093</c:v>
                </c:pt>
                <c:pt idx="587">
                  <c:v>0.103</c:v>
                </c:pt>
                <c:pt idx="588">
                  <c:v>0.088</c:v>
                </c:pt>
                <c:pt idx="589">
                  <c:v>0</c:v>
                </c:pt>
                <c:pt idx="590">
                  <c:v>0.174</c:v>
                </c:pt>
                <c:pt idx="591">
                  <c:v>0.146</c:v>
                </c:pt>
                <c:pt idx="592">
                  <c:v>0.192</c:v>
                </c:pt>
                <c:pt idx="593">
                  <c:v>0.08</c:v>
                </c:pt>
                <c:pt idx="594">
                  <c:v>0.073</c:v>
                </c:pt>
                <c:pt idx="595">
                  <c:v>0.043</c:v>
                </c:pt>
                <c:pt idx="596">
                  <c:v>0.14</c:v>
                </c:pt>
                <c:pt idx="597">
                  <c:v>0.187</c:v>
                </c:pt>
                <c:pt idx="598">
                  <c:v>0.133</c:v>
                </c:pt>
                <c:pt idx="599">
                  <c:v>0.009</c:v>
                </c:pt>
                <c:pt idx="600">
                  <c:v>0.16</c:v>
                </c:pt>
                <c:pt idx="601">
                  <c:v>0.071</c:v>
                </c:pt>
                <c:pt idx="602">
                  <c:v>0.15</c:v>
                </c:pt>
                <c:pt idx="603">
                  <c:v>0.19</c:v>
                </c:pt>
                <c:pt idx="604">
                  <c:v>0.186</c:v>
                </c:pt>
                <c:pt idx="605">
                  <c:v>0.103</c:v>
                </c:pt>
                <c:pt idx="606">
                  <c:v>0.097</c:v>
                </c:pt>
                <c:pt idx="607">
                  <c:v>0.163</c:v>
                </c:pt>
                <c:pt idx="608">
                  <c:v>0.12</c:v>
                </c:pt>
                <c:pt idx="609">
                  <c:v>0.104</c:v>
                </c:pt>
                <c:pt idx="610">
                  <c:v>0.194</c:v>
                </c:pt>
                <c:pt idx="611">
                  <c:v>0</c:v>
                </c:pt>
                <c:pt idx="612">
                  <c:v>0.022</c:v>
                </c:pt>
                <c:pt idx="613">
                  <c:v>0.171</c:v>
                </c:pt>
                <c:pt idx="614">
                  <c:v>0.081</c:v>
                </c:pt>
                <c:pt idx="615">
                  <c:v>0.004</c:v>
                </c:pt>
                <c:pt idx="616">
                  <c:v>0.102</c:v>
                </c:pt>
                <c:pt idx="617">
                  <c:v>0.109</c:v>
                </c:pt>
                <c:pt idx="618">
                  <c:v>0.047</c:v>
                </c:pt>
                <c:pt idx="619">
                  <c:v>0.165</c:v>
                </c:pt>
                <c:pt idx="620">
                  <c:v>0.186</c:v>
                </c:pt>
                <c:pt idx="621">
                  <c:v>0.192</c:v>
                </c:pt>
                <c:pt idx="622">
                  <c:v>0.113</c:v>
                </c:pt>
                <c:pt idx="623">
                  <c:v>0.161</c:v>
                </c:pt>
                <c:pt idx="624">
                  <c:v>0.114</c:v>
                </c:pt>
                <c:pt idx="625">
                  <c:v>0.159</c:v>
                </c:pt>
                <c:pt idx="626">
                  <c:v>0.151</c:v>
                </c:pt>
                <c:pt idx="627">
                  <c:v>0</c:v>
                </c:pt>
                <c:pt idx="628">
                  <c:v>0.062</c:v>
                </c:pt>
                <c:pt idx="629">
                  <c:v>0.139</c:v>
                </c:pt>
                <c:pt idx="630">
                  <c:v>0.173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559401"/>
        <c:axId val="352667515"/>
      </c:scatterChart>
      <c:valAx>
        <c:axId val="2555594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Unit Price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>
            <c:manualLayout>
              <c:xMode val="edge"/>
              <c:yMode val="edge"/>
              <c:x val="0.455186909843487"/>
              <c:y val="0.83109981515711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667515"/>
        <c:crosses val="autoZero"/>
        <c:crossBetween val="midCat"/>
      </c:valAx>
      <c:valAx>
        <c:axId val="3526675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Discount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55940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cf0379-2003-4946-8691-df6b87e141d6}"/>
      </c:ext>
    </c:extLst>
  </c:chart>
  <c:spPr>
    <a:solidFill>
      <a:schemeClr val="bg1"/>
    </a:solidFill>
    <a:ln w="952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PROJECT .xlsx]Pivot Charts!PivotTable6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 Regional Profit by Channel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55924598140092"/>
          <c:y val="0.03398670426052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0505791585203"/>
          <c:y val="0.133804332116211"/>
          <c:w val="0.596894736842105"/>
          <c:h val="0.801970569417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Charts'!$P$3:$P$4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Charts'!$P$5:$P$9</c:f>
              <c:numCache>
                <c:formatCode>General</c:formatCode>
                <c:ptCount val="4"/>
                <c:pt idx="0">
                  <c:v>51639175.1737</c:v>
                </c:pt>
                <c:pt idx="1">
                  <c:v>83993930.48591</c:v>
                </c:pt>
                <c:pt idx="2">
                  <c:v>72282992.55636</c:v>
                </c:pt>
                <c:pt idx="3">
                  <c:v>96491540.55204</c:v>
                </c:pt>
              </c:numCache>
            </c:numRef>
          </c:val>
        </c:ser>
        <c:ser>
          <c:idx val="1"/>
          <c:order val="1"/>
          <c:tx>
            <c:strRef>
              <c:f>'Pivot Charts'!$Q$3:$Q$4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Charts'!$Q$5:$Q$9</c:f>
              <c:numCache>
                <c:formatCode>General</c:formatCode>
                <c:ptCount val="4"/>
                <c:pt idx="0">
                  <c:v>71652398.42447</c:v>
                </c:pt>
                <c:pt idx="1">
                  <c:v>64748449.93192</c:v>
                </c:pt>
                <c:pt idx="2">
                  <c:v>58660862.64599</c:v>
                </c:pt>
                <c:pt idx="3">
                  <c:v>34869902.8322</c:v>
                </c:pt>
              </c:numCache>
            </c:numRef>
          </c:val>
        </c:ser>
        <c:ser>
          <c:idx val="2"/>
          <c:order val="2"/>
          <c:tx>
            <c:strRef>
              <c:f>'Pivot Charts'!$R$3:$R$4</c:f>
              <c:strCache>
                <c:ptCount val="1"/>
                <c:pt idx="0">
                  <c:v>Marketplace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Charts'!$R$5:$R$9</c:f>
              <c:numCache>
                <c:formatCode>General</c:formatCode>
                <c:ptCount val="4"/>
                <c:pt idx="0">
                  <c:v>60465651.63456</c:v>
                </c:pt>
                <c:pt idx="1">
                  <c:v>41283676.96752</c:v>
                </c:pt>
                <c:pt idx="2">
                  <c:v>65326485.68273</c:v>
                </c:pt>
                <c:pt idx="3">
                  <c:v>64505110.75025</c:v>
                </c:pt>
              </c:numCache>
            </c:numRef>
          </c:val>
        </c:ser>
        <c:ser>
          <c:idx val="3"/>
          <c:order val="3"/>
          <c:tx>
            <c:strRef>
              <c:f>'Pivot Charts'!$S$3:$S$4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Charts'!$S$5:$S$9</c:f>
              <c:numCache>
                <c:formatCode>General</c:formatCode>
                <c:ptCount val="4"/>
                <c:pt idx="0">
                  <c:v>49118796.93627</c:v>
                </c:pt>
                <c:pt idx="1">
                  <c:v>77740324.85437</c:v>
                </c:pt>
                <c:pt idx="2">
                  <c:v>45426208.10969</c:v>
                </c:pt>
                <c:pt idx="3">
                  <c:v>65817867.02277</c:v>
                </c:pt>
              </c:numCache>
            </c:numRef>
          </c:val>
        </c:ser>
        <c:ser>
          <c:idx val="4"/>
          <c:order val="4"/>
          <c:tx>
            <c:strRef>
              <c:f>'Pivot Charts'!$T$3:$T$4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Charts'!$T$5:$T$9</c:f>
              <c:numCache>
                <c:formatCode>General</c:formatCode>
                <c:ptCount val="4"/>
                <c:pt idx="0">
                  <c:v>57579124.61467</c:v>
                </c:pt>
                <c:pt idx="1">
                  <c:v>35052867.61922</c:v>
                </c:pt>
                <c:pt idx="2">
                  <c:v>76398295.92014</c:v>
                </c:pt>
                <c:pt idx="3">
                  <c:v>49505381.67229</c:v>
                </c:pt>
              </c:numCache>
            </c:numRef>
          </c:val>
        </c:ser>
        <c:ser>
          <c:idx val="5"/>
          <c:order val="5"/>
          <c:tx>
            <c:strRef>
              <c:f>'Pivot Charts'!$U$3:$U$4</c:f>
              <c:strCache>
                <c:ptCount val="1"/>
                <c:pt idx="0">
                  <c:v>Unknown Channel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Charts'!$O$5:$O$9</c:f>
              <c:strCache>
                <c:ptCount val="4"/>
                <c:pt idx="0">
                  <c:v>Africa</c:v>
                </c:pt>
                <c:pt idx="1">
                  <c:v>Americas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'Pivot Charts'!$U$5:$U$9</c:f>
              <c:numCache>
                <c:formatCode>General</c:formatCode>
                <c:ptCount val="4"/>
                <c:pt idx="0">
                  <c:v>3609830.60423</c:v>
                </c:pt>
                <c:pt idx="1">
                  <c:v>916357.86</c:v>
                </c:pt>
                <c:pt idx="2">
                  <c:v>4904448.09549</c:v>
                </c:pt>
                <c:pt idx="3">
                  <c:v>1913629.16646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822613"/>
        <c:axId val="22123850"/>
      </c:barChart>
      <c:catAx>
        <c:axId val="394822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3850"/>
        <c:crosses val="autoZero"/>
        <c:auto val="1"/>
        <c:lblAlgn val="ctr"/>
        <c:lblOffset val="100"/>
        <c:noMultiLvlLbl val="0"/>
      </c:catAx>
      <c:valAx>
        <c:axId val="221238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Gross 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822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b59b44-2bf0-4571-ab6c-37bb6118b2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PROJECT .xlsx]Pivot Charts!PivotTable7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Gross Revenue by Top SKUs</a:t>
            </a:r>
            <a:r>
              <a:t> </a:t>
            </a:r>
          </a:p>
        </c:rich>
      </c:tx>
      <c:layout>
        <c:manualLayout>
          <c:xMode val="edge"/>
          <c:yMode val="edge"/>
          <c:x val="0.264919295128091"/>
          <c:y val="0.07288303029596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7246713070379"/>
          <c:y val="0.189655172413793"/>
          <c:w val="0.508391337973705"/>
          <c:h val="0.702130956993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Charts'!$P$17:$P$18</c:f>
              <c:strCache>
                <c:ptCount val="1"/>
                <c:pt idx="0">
                  <c:v>ACC-1021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Charts'!$P$19</c:f>
              <c:numCache>
                <c:formatCode>General</c:formatCode>
                <c:ptCount val="1"/>
                <c:pt idx="0">
                  <c:v>194764.2507</c:v>
                </c:pt>
              </c:numCache>
            </c:numRef>
          </c:val>
        </c:ser>
        <c:ser>
          <c:idx val="1"/>
          <c:order val="1"/>
          <c:tx>
            <c:strRef>
              <c:f>'Pivot Charts'!$Q$17:$Q$18</c:f>
              <c:strCache>
                <c:ptCount val="1"/>
                <c:pt idx="0">
                  <c:v>ACC-1028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Charts'!$Q$19</c:f>
              <c:numCache>
                <c:formatCode>General</c:formatCode>
                <c:ptCount val="1"/>
                <c:pt idx="0">
                  <c:v>1204261.64488</c:v>
                </c:pt>
              </c:numCache>
            </c:numRef>
          </c:val>
        </c:ser>
        <c:ser>
          <c:idx val="2"/>
          <c:order val="2"/>
          <c:tx>
            <c:strRef>
              <c:f>'Pivot Charts'!$R$17:$R$18</c:f>
              <c:strCache>
                <c:ptCount val="1"/>
                <c:pt idx="0">
                  <c:v>ACC-1060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Charts'!$R$19</c:f>
              <c:numCache>
                <c:formatCode>General</c:formatCode>
                <c:ptCount val="1"/>
                <c:pt idx="0">
                  <c:v>577008.3924</c:v>
                </c:pt>
              </c:numCache>
            </c:numRef>
          </c:val>
        </c:ser>
        <c:ser>
          <c:idx val="3"/>
          <c:order val="3"/>
          <c:tx>
            <c:strRef>
              <c:f>'Pivot Charts'!$S$17:$S$18</c:f>
              <c:strCache>
                <c:ptCount val="1"/>
                <c:pt idx="0">
                  <c:v>ACC-1075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Charts'!$S$19</c:f>
              <c:numCache>
                <c:formatCode>General</c:formatCode>
                <c:ptCount val="1"/>
                <c:pt idx="0">
                  <c:v>1439328.9832</c:v>
                </c:pt>
              </c:numCache>
            </c:numRef>
          </c:val>
        </c:ser>
        <c:ser>
          <c:idx val="4"/>
          <c:order val="4"/>
          <c:tx>
            <c:strRef>
              <c:f>'Pivot Charts'!$T$17:$T$18</c:f>
              <c:strCache>
                <c:ptCount val="1"/>
                <c:pt idx="0">
                  <c:v>ACC-1238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Charts'!$T$19</c:f>
              <c:numCache>
                <c:formatCode>General</c:formatCode>
                <c:ptCount val="1"/>
                <c:pt idx="0">
                  <c:v>3911893.008</c:v>
                </c:pt>
              </c:numCache>
            </c:numRef>
          </c:val>
        </c:ser>
        <c:ser>
          <c:idx val="5"/>
          <c:order val="5"/>
          <c:tx>
            <c:strRef>
              <c:f>'Pivot Charts'!$U$17:$U$18</c:f>
              <c:strCache>
                <c:ptCount val="1"/>
                <c:pt idx="0">
                  <c:v>ACC-1249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Charts'!$U$19</c:f>
              <c:numCache>
                <c:formatCode>General</c:formatCode>
                <c:ptCount val="1"/>
                <c:pt idx="0">
                  <c:v>1598403.02842</c:v>
                </c:pt>
              </c:numCache>
            </c:numRef>
          </c:val>
        </c:ser>
        <c:ser>
          <c:idx val="6"/>
          <c:order val="6"/>
          <c:tx>
            <c:strRef>
              <c:f>'Pivot Charts'!$V$17:$V$18</c:f>
              <c:strCache>
                <c:ptCount val="1"/>
                <c:pt idx="0">
                  <c:v>ACC-1375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Charts'!$V$19</c:f>
              <c:numCache>
                <c:formatCode>General</c:formatCode>
                <c:ptCount val="1"/>
                <c:pt idx="0">
                  <c:v>3732338.01501</c:v>
                </c:pt>
              </c:numCache>
            </c:numRef>
          </c:val>
        </c:ser>
        <c:ser>
          <c:idx val="7"/>
          <c:order val="7"/>
          <c:tx>
            <c:strRef>
              <c:f>'Pivot Charts'!$W$17:$W$18</c:f>
              <c:strCache>
                <c:ptCount val="1"/>
                <c:pt idx="0">
                  <c:v>ACC-1492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Charts'!$W$19</c:f>
              <c:numCache>
                <c:formatCode>General</c:formatCode>
                <c:ptCount val="1"/>
                <c:pt idx="0">
                  <c:v>784037.145</c:v>
                </c:pt>
              </c:numCache>
            </c:numRef>
          </c:val>
        </c:ser>
        <c:ser>
          <c:idx val="8"/>
          <c:order val="8"/>
          <c:tx>
            <c:strRef>
              <c:f>'Pivot Charts'!$X$17:$X$18</c:f>
              <c:strCache>
                <c:ptCount val="1"/>
                <c:pt idx="0">
                  <c:v>ACC-1596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Charts'!$X$19</c:f>
              <c:numCache>
                <c:formatCode>General</c:formatCode>
                <c:ptCount val="1"/>
                <c:pt idx="0">
                  <c:v>818017.48149</c:v>
                </c:pt>
              </c:numCache>
            </c:numRef>
          </c:val>
        </c:ser>
        <c:ser>
          <c:idx val="9"/>
          <c:order val="9"/>
          <c:tx>
            <c:strRef>
              <c:f>'Pivot Charts'!$Y$17:$Y$18</c:f>
              <c:strCache>
                <c:ptCount val="1"/>
                <c:pt idx="0">
                  <c:v>ACC-1604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Charts'!$P$19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Charts'!$Y$19</c:f>
              <c:numCache>
                <c:formatCode>General</c:formatCode>
                <c:ptCount val="1"/>
                <c:pt idx="0">
                  <c:v>1319084.18352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251656"/>
        <c:axId val="137280820"/>
      </c:barChart>
      <c:catAx>
        <c:axId val="5702516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SKU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280820"/>
        <c:crosses val="autoZero"/>
        <c:auto val="1"/>
        <c:lblAlgn val="ctr"/>
        <c:lblOffset val="100"/>
        <c:noMultiLvlLbl val="0"/>
      </c:catAx>
      <c:valAx>
        <c:axId val="1372808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Gross 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25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b2a0fd-8a7a-40a1-b82f-0b3824751d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225425</xdr:colOff>
      <xdr:row>1</xdr:row>
      <xdr:rowOff>152400</xdr:rowOff>
    </xdr:from>
    <xdr:to>
      <xdr:col>13</xdr:col>
      <xdr:colOff>174625</xdr:colOff>
      <xdr:row>16</xdr:row>
      <xdr:rowOff>38100</xdr:rowOff>
    </xdr:to>
    <xdr:graphicFrame>
      <xdr:nvGraphicFramePr>
        <xdr:cNvPr id="10" name="Chart 9"/>
        <xdr:cNvGraphicFramePr/>
      </xdr:nvGraphicFramePr>
      <xdr:xfrm>
        <a:off x="5892800" y="342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222250</xdr:colOff>
      <xdr:row>19</xdr:row>
      <xdr:rowOff>57150</xdr:rowOff>
    </xdr:from>
    <xdr:to>
      <xdr:col>13</xdr:col>
      <xdr:colOff>171450</xdr:colOff>
      <xdr:row>33</xdr:row>
      <xdr:rowOff>133350</xdr:rowOff>
    </xdr:to>
    <xdr:graphicFrame>
      <xdr:nvGraphicFramePr>
        <xdr:cNvPr id="11" name="Chart 10"/>
        <xdr:cNvGraphicFramePr/>
      </xdr:nvGraphicFramePr>
      <xdr:xfrm>
        <a:off x="5889625" y="3676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829945</xdr:colOff>
      <xdr:row>4</xdr:row>
      <xdr:rowOff>97155</xdr:rowOff>
    </xdr:from>
    <xdr:to>
      <xdr:col>9</xdr:col>
      <xdr:colOff>56515</xdr:colOff>
      <xdr:row>12</xdr:row>
      <xdr:rowOff>13970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8695" y="906780"/>
              <a:ext cx="1588770" cy="1536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415925</xdr:colOff>
      <xdr:row>4</xdr:row>
      <xdr:rowOff>109855</xdr:rowOff>
    </xdr:from>
    <xdr:to>
      <xdr:col>4</xdr:col>
      <xdr:colOff>808990</xdr:colOff>
      <xdr:row>12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0275" y="919480"/>
              <a:ext cx="1574165" cy="1529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36195</xdr:colOff>
      <xdr:row>4</xdr:row>
      <xdr:rowOff>128905</xdr:rowOff>
    </xdr:from>
    <xdr:to>
      <xdr:col>7</xdr:col>
      <xdr:colOff>710565</xdr:colOff>
      <xdr:row>12</xdr:row>
      <xdr:rowOff>17145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ales 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3845" y="938530"/>
              <a:ext cx="1855470" cy="1507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236855</xdr:colOff>
      <xdr:row>4</xdr:row>
      <xdr:rowOff>113665</xdr:rowOff>
    </xdr:from>
    <xdr:to>
      <xdr:col>10</xdr:col>
      <xdr:colOff>602615</xdr:colOff>
      <xdr:row>11</xdr:row>
      <xdr:rowOff>162560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MM-YY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MM-YY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7805" y="923290"/>
              <a:ext cx="1546860" cy="1477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946785</xdr:colOff>
      <xdr:row>4</xdr:row>
      <xdr:rowOff>117475</xdr:rowOff>
    </xdr:from>
    <xdr:to>
      <xdr:col>5</xdr:col>
      <xdr:colOff>1160780</xdr:colOff>
      <xdr:row>11</xdr:row>
      <xdr:rowOff>187325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ategory Groups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Group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2235" y="927100"/>
              <a:ext cx="1395095" cy="149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29845</xdr:colOff>
      <xdr:row>14</xdr:row>
      <xdr:rowOff>146050</xdr:rowOff>
    </xdr:from>
    <xdr:to>
      <xdr:col>5</xdr:col>
      <xdr:colOff>469900</xdr:colOff>
      <xdr:row>40</xdr:row>
      <xdr:rowOff>154305</xdr:rowOff>
    </xdr:to>
    <xdr:graphicFrame>
      <xdr:nvGraphicFramePr>
        <xdr:cNvPr id="9" name="Chart 8"/>
        <xdr:cNvGraphicFramePr/>
      </xdr:nvGraphicFramePr>
      <xdr:xfrm>
        <a:off x="29845" y="3003550"/>
        <a:ext cx="7126605" cy="4961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1118870</xdr:colOff>
      <xdr:row>0</xdr:row>
      <xdr:rowOff>111125</xdr:rowOff>
    </xdr:from>
    <xdr:to>
      <xdr:col>15</xdr:col>
      <xdr:colOff>144780</xdr:colOff>
      <xdr:row>14</xdr:row>
      <xdr:rowOff>113665</xdr:rowOff>
    </xdr:to>
    <xdr:graphicFrame>
      <xdr:nvGraphicFramePr>
        <xdr:cNvPr id="12" name="Chart 11"/>
        <xdr:cNvGraphicFramePr/>
      </xdr:nvGraphicFramePr>
      <xdr:xfrm>
        <a:off x="13710920" y="111125"/>
        <a:ext cx="4931410" cy="286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795020</xdr:colOff>
      <xdr:row>0</xdr:row>
      <xdr:rowOff>635</xdr:rowOff>
    </xdr:from>
    <xdr:ext cx="8310880" cy="949960"/>
    <xdr:sp>
      <xdr:nvSpPr>
        <xdr:cNvPr id="13" name="Text Box 12"/>
        <xdr:cNvSpPr txBox="1"/>
      </xdr:nvSpPr>
      <xdr:spPr>
        <a:xfrm>
          <a:off x="3557270" y="635"/>
          <a:ext cx="8310880" cy="9499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3600">
              <a:ln w="15875"/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2700000" scaled="0"/>
              </a:gradFill>
              <a:effectLst/>
            </a:rPr>
            <a:t>SALES PERFORMANCE DASHBOARD </a:t>
          </a:r>
          <a:endParaRPr lang="en-US" sz="3600">
            <a:ln w="15875"/>
            <a:gradFill>
              <a:gsLst>
                <a:gs pos="0">
                  <a:schemeClr val="accent1"/>
                </a:gs>
                <a:gs pos="100000">
                  <a:schemeClr val="accent6"/>
                </a:gs>
              </a:gsLst>
              <a:lin ang="2700000" scaled="0"/>
            </a:gradFill>
            <a:effectLst/>
          </a:endParaRPr>
        </a:p>
      </xdr:txBody>
    </xdr:sp>
    <xdr:clientData/>
  </xdr:oneCellAnchor>
  <xdr:twoCellAnchor>
    <xdr:from>
      <xdr:col>5</xdr:col>
      <xdr:colOff>536575</xdr:colOff>
      <xdr:row>14</xdr:row>
      <xdr:rowOff>137795</xdr:rowOff>
    </xdr:from>
    <xdr:to>
      <xdr:col>10</xdr:col>
      <xdr:colOff>985520</xdr:colOff>
      <xdr:row>40</xdr:row>
      <xdr:rowOff>130175</xdr:rowOff>
    </xdr:to>
    <xdr:graphicFrame>
      <xdr:nvGraphicFramePr>
        <xdr:cNvPr id="2" name="Chart 1"/>
        <xdr:cNvGraphicFramePr/>
      </xdr:nvGraphicFramePr>
      <xdr:xfrm>
        <a:off x="7223125" y="2995295"/>
        <a:ext cx="6354445" cy="4945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1112520</xdr:colOff>
      <xdr:row>14</xdr:row>
      <xdr:rowOff>165100</xdr:rowOff>
    </xdr:from>
    <xdr:to>
      <xdr:col>15</xdr:col>
      <xdr:colOff>163195</xdr:colOff>
      <xdr:row>40</xdr:row>
      <xdr:rowOff>124460</xdr:rowOff>
    </xdr:to>
    <xdr:graphicFrame>
      <xdr:nvGraphicFramePr>
        <xdr:cNvPr id="8" name="Chart 7"/>
        <xdr:cNvGraphicFramePr/>
      </xdr:nvGraphicFramePr>
      <xdr:xfrm>
        <a:off x="13704570" y="3022600"/>
        <a:ext cx="4956175" cy="491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39.6206583333" refreshedBy="Excel Services" recordCount="632">
  <cacheSource type="worksheet">
    <worksheetSource ref="A1:AE632" sheet="Staging Data"/>
  </cacheSource>
  <cacheFields count="31">
    <cacheField name="OrderID" numFmtId="0"/>
    <cacheField name="OrderDate" numFmtId="58">
      <sharedItems containsSemiMixedTypes="0" containsString="0" containsNonDate="0" containsDate="1" minDate="2023-01-02T00:00:00" maxDate="2025-09-15T00:00:00" count="468">
        <d v="2024-03-11T00:00:00"/>
        <d v="2024-10-23T00:00:00"/>
        <d v="2023-02-28T00:00:00"/>
        <d v="2025-03-29T00:00:00"/>
        <d v="2023-12-06T00:00:00"/>
        <d v="2023-01-02T00:00:00"/>
        <d v="2024-12-27T00:00:00"/>
        <d v="2023-01-15T00:00:00"/>
        <d v="2024-05-04T00:00:00"/>
        <d v="2025-05-21T00:00:00"/>
        <d v="2024-01-28T00:00:00"/>
        <d v="2025-01-03T00:00:00"/>
        <d v="2025-03-06T00:00:00"/>
        <d v="2024-01-20T00:00:00"/>
        <d v="2025-09-01T00:00:00"/>
        <d v="2023-04-23T00:00:00"/>
        <d v="2024-12-10T00:00:00"/>
        <d v="2025-09-08T00:00:00"/>
        <d v="2025-07-20T00:00:00"/>
        <d v="2024-07-25T00:00:00"/>
        <d v="2023-05-11T00:00:00"/>
        <d v="2025-06-14T00:00:00"/>
        <d v="2024-05-18T00:00:00"/>
        <d v="2023-02-07T00:00:00"/>
        <d v="2024-06-30T00:00:00"/>
        <d v="2024-11-30T00:00:00"/>
        <d v="2024-07-19T00:00:00"/>
        <d v="2023-04-14T00:00:00"/>
        <d v="2025-04-07T00:00:00"/>
        <d v="2023-02-23T00:00:00"/>
        <d v="2025-07-24T00:00:00"/>
        <d v="2024-04-18T00:00:00"/>
        <d v="2024-08-23T00:00:00"/>
        <d v="2023-03-27T00:00:00"/>
        <d v="2024-03-07T00:00:00"/>
        <d v="2025-06-24T00:00:00"/>
        <d v="2024-04-19T00:00:00"/>
        <d v="2023-06-17T00:00:00"/>
        <d v="2024-08-27T00:00:00"/>
        <d v="2024-01-11T00:00:00"/>
        <d v="2024-10-25T00:00:00"/>
        <d v="2025-05-29T00:00:00"/>
        <d v="2024-05-20T00:00:00"/>
        <d v="2023-04-19T00:00:00"/>
        <d v="2023-06-23T00:00:00"/>
        <d v="2024-05-14T00:00:00"/>
        <d v="2024-10-14T00:00:00"/>
        <d v="2023-07-10T00:00:00"/>
        <d v="2024-11-06T00:00:00"/>
        <d v="2024-10-17T00:00:00"/>
        <d v="2023-03-31T00:00:00"/>
        <d v="2025-01-21T00:00:00"/>
        <d v="2023-08-30T00:00:00"/>
        <d v="2025-04-06T00:00:00"/>
        <d v="2025-02-09T00:00:00"/>
        <d v="2024-12-17T00:00:00"/>
        <d v="2025-06-09T00:00:00"/>
        <d v="2025-05-02T00:00:00"/>
        <d v="2024-03-10T00:00:00"/>
        <d v="2025-09-10T00:00:00"/>
        <d v="2025-04-27T00:00:00"/>
        <d v="2024-11-02T00:00:00"/>
        <d v="2023-02-15T00:00:00"/>
        <d v="2023-12-03T00:00:00"/>
        <d v="2023-03-19T00:00:00"/>
        <d v="2024-05-22T00:00:00"/>
        <d v="2023-08-19T00:00:00"/>
        <d v="2023-04-21T00:00:00"/>
        <d v="2024-03-18T00:00:00"/>
        <d v="2025-04-09T00:00:00"/>
        <d v="2024-04-12T00:00:00"/>
        <d v="2024-12-15T00:00:00"/>
        <d v="2023-05-20T00:00:00"/>
        <d v="2023-09-18T00:00:00"/>
        <d v="2024-08-28T00:00:00"/>
        <d v="2023-06-14T00:00:00"/>
        <d v="2024-11-21T00:00:00"/>
        <d v="2023-02-08T00:00:00"/>
        <d v="2025-05-14T00:00:00"/>
        <d v="2025-04-23T00:00:00"/>
        <d v="2025-03-25T00:00:00"/>
        <d v="2023-12-22T00:00:00"/>
        <d v="2024-04-06T00:00:00"/>
        <d v="2025-08-07T00:00:00"/>
        <d v="2024-01-21T00:00:00"/>
        <d v="2023-06-29T00:00:00"/>
        <d v="2025-04-28T00:00:00"/>
        <d v="2023-06-24T00:00:00"/>
        <d v="2024-10-04T00:00:00"/>
        <d v="2023-04-06T00:00:00"/>
        <d v="2025-08-01T00:00:00"/>
        <d v="2024-05-28T00:00:00"/>
        <d v="2025-07-22T00:00:00"/>
        <d v="2025-01-27T00:00:00"/>
        <d v="2024-01-13T00:00:00"/>
        <d v="2025-03-31T00:00:00"/>
        <d v="2024-12-05T00:00:00"/>
        <d v="2024-09-14T00:00:00"/>
        <d v="2024-05-21T00:00:00"/>
        <d v="2024-08-14T00:00:00"/>
        <d v="2024-10-16T00:00:00"/>
        <d v="2024-06-02T00:00:00"/>
        <d v="2024-06-09T00:00:00"/>
        <d v="2024-06-10T00:00:00"/>
        <d v="2024-06-29T00:00:00"/>
        <d v="2025-01-17T00:00:00"/>
        <d v="2023-11-20T00:00:00"/>
        <d v="2023-03-02T00:00:00"/>
        <d v="2025-06-03T00:00:00"/>
        <d v="2023-06-09T00:00:00"/>
        <d v="2025-07-09T00:00:00"/>
        <d v="2025-06-19T00:00:00"/>
        <d v="2023-11-19T00:00:00"/>
        <d v="2023-12-29T00:00:00"/>
        <d v="2023-08-21T00:00:00"/>
        <d v="2023-08-12T00:00:00"/>
        <d v="2024-06-07T00:00:00"/>
        <d v="2025-08-05T00:00:00"/>
        <d v="2024-05-30T00:00:00"/>
        <d v="2023-01-22T00:00:00"/>
        <d v="2025-02-12T00:00:00"/>
        <d v="2025-03-03T00:00:00"/>
        <d v="2023-01-27T00:00:00"/>
        <d v="2025-01-09T00:00:00"/>
        <d v="2024-12-21T00:00:00"/>
        <d v="2023-04-12T00:00:00"/>
        <d v="2024-12-14T00:00:00"/>
        <d v="2024-11-20T00:00:00"/>
        <d v="2024-02-14T00:00:00"/>
        <d v="2023-05-02T00:00:00"/>
        <d v="2024-12-23T00:00:00"/>
        <d v="2023-07-26T00:00:00"/>
        <d v="2024-06-15T00:00:00"/>
        <d v="2023-07-05T00:00:00"/>
        <d v="2023-11-30T00:00:00"/>
        <d v="2025-09-11T00:00:00"/>
        <d v="2024-04-04T00:00:00"/>
        <d v="2023-09-14T00:00:00"/>
        <d v="2024-09-23T00:00:00"/>
        <d v="2025-04-16T00:00:00"/>
        <d v="2023-07-03T00:00:00"/>
        <d v="2023-12-07T00:00:00"/>
        <d v="2024-02-18T00:00:00"/>
        <d v="2023-10-31T00:00:00"/>
        <d v="2024-08-07T00:00:00"/>
        <d v="2024-02-01T00:00:00"/>
        <d v="2025-02-15T00:00:00"/>
        <d v="2023-02-20T00:00:00"/>
        <d v="2024-10-30T00:00:00"/>
        <d v="2024-04-03T00:00:00"/>
        <d v="2023-03-25T00:00:00"/>
        <d v="2024-06-04T00:00:00"/>
        <d v="2023-02-19T00:00:00"/>
        <d v="2023-04-18T00:00:00"/>
        <d v="2024-05-23T00:00:00"/>
        <d v="2023-10-07T00:00:00"/>
        <d v="2024-10-09T00:00:00"/>
        <d v="2024-07-15T00:00:00"/>
        <d v="2023-09-21T00:00:00"/>
        <d v="2023-02-24T00:00:00"/>
        <d v="2025-04-14T00:00:00"/>
        <d v="2023-08-27T00:00:00"/>
        <d v="2024-02-03T00:00:00"/>
        <d v="2023-04-05T00:00:00"/>
        <d v="2025-08-21T00:00:00"/>
        <d v="2025-09-15T00:00:00"/>
        <d v="2024-10-03T00:00:00"/>
        <d v="2025-02-02T00:00:00"/>
        <d v="2024-10-22T00:00:00"/>
        <d v="2023-06-22T00:00:00"/>
        <d v="2025-01-13T00:00:00"/>
        <d v="2023-01-29T00:00:00"/>
        <d v="2023-07-19T00:00:00"/>
        <d v="2024-05-19T00:00:00"/>
        <d v="2023-08-08T00:00:00"/>
        <d v="2024-08-12T00:00:00"/>
        <d v="2023-10-15T00:00:00"/>
        <d v="2023-05-04T00:00:00"/>
        <d v="2024-09-22T00:00:00"/>
        <d v="2024-02-11T00:00:00"/>
        <d v="2023-01-30T00:00:00"/>
        <d v="2023-01-13T00:00:00"/>
        <d v="2024-01-12T00:00:00"/>
        <d v="2023-08-15T00:00:00"/>
        <d v="2023-01-20T00:00:00"/>
        <d v="2025-02-04T00:00:00"/>
        <d v="2023-07-02T00:00:00"/>
        <d v="2024-09-10T00:00:00"/>
        <d v="2025-07-21T00:00:00"/>
        <d v="2024-10-02T00:00:00"/>
        <d v="2025-07-14T00:00:00"/>
        <d v="2024-09-09T00:00:00"/>
        <d v="2025-01-29T00:00:00"/>
        <d v="2023-11-10T00:00:00"/>
        <d v="2024-02-29T00:00:00"/>
        <d v="2023-12-20T00:00:00"/>
        <d v="2024-10-11T00:00:00"/>
        <d v="2024-09-19T00:00:00"/>
        <d v="2025-08-25T00:00:00"/>
        <d v="2023-09-25T00:00:00"/>
        <d v="2023-08-26T00:00:00"/>
        <d v="2025-07-16T00:00:00"/>
        <d v="2023-12-19T00:00:00"/>
        <d v="2023-07-30T00:00:00"/>
        <d v="2023-10-04T00:00:00"/>
        <d v="2025-08-10T00:00:00"/>
        <d v="2023-03-07T00:00:00"/>
        <d v="2023-05-23T00:00:00"/>
        <d v="2025-04-24T00:00:00"/>
        <d v="2024-09-03T00:00:00"/>
        <d v="2024-09-05T00:00:00"/>
        <d v="2023-03-14T00:00:00"/>
        <d v="2024-09-13T00:00:00"/>
        <d v="2025-07-17T00:00:00"/>
        <d v="2023-11-28T00:00:00"/>
        <d v="2024-03-30T00:00:00"/>
        <d v="2023-09-19T00:00:00"/>
        <d v="2025-05-16T00:00:00"/>
        <d v="2025-08-02T00:00:00"/>
        <d v="2024-12-04T00:00:00"/>
        <d v="2024-03-06T00:00:00"/>
        <d v="2024-02-16T00:00:00"/>
        <d v="2025-04-22T00:00:00"/>
        <d v="2024-11-08T00:00:00"/>
        <d v="2025-09-12T00:00:00"/>
        <d v="2024-09-02T00:00:00"/>
        <d v="2023-03-04T00:00:00"/>
        <d v="2024-03-15T00:00:00"/>
        <d v="2024-07-29T00:00:00"/>
        <d v="2024-10-27T00:00:00"/>
        <d v="2024-04-29T00:00:00"/>
        <d v="2023-10-05T00:00:00"/>
        <d v="2025-06-27T00:00:00"/>
        <d v="2023-10-11T00:00:00"/>
        <d v="2023-05-27T00:00:00"/>
        <d v="2023-08-04T00:00:00"/>
        <d v="2025-06-21T00:00:00"/>
        <d v="2025-09-02T00:00:00"/>
        <d v="2024-10-08T00:00:00"/>
        <d v="2023-05-07T00:00:00"/>
        <d v="2023-12-24T00:00:00"/>
        <d v="2024-01-10T00:00:00"/>
        <d v="2023-08-03T00:00:00"/>
        <d v="2025-02-19T00:00:00"/>
        <d v="2024-03-31T00:00:00"/>
        <d v="2023-07-24T00:00:00"/>
        <d v="2024-03-16T00:00:00"/>
        <d v="2024-01-25T00:00:00"/>
        <d v="2024-03-27T00:00:00"/>
        <d v="2024-06-16T00:00:00"/>
        <d v="2023-10-30T00:00:00"/>
        <d v="2023-06-15T00:00:00"/>
        <d v="2025-03-14T00:00:00"/>
        <d v="2025-05-17T00:00:00"/>
        <d v="2025-04-04T00:00:00"/>
        <d v="2024-09-07T00:00:00"/>
        <d v="2023-07-18T00:00:00"/>
        <d v="2025-08-28T00:00:00"/>
        <d v="2025-03-30T00:00:00"/>
        <d v="2023-10-21T00:00:00"/>
        <d v="2023-08-23T00:00:00"/>
        <d v="2025-04-11T00:00:00"/>
        <d v="2025-06-01T00:00:00"/>
        <d v="2024-03-02T00:00:00"/>
        <d v="2023-06-20T00:00:00"/>
        <d v="2024-03-26T00:00:00"/>
        <d v="2025-01-22T00:00:00"/>
        <d v="2025-05-10T00:00:00"/>
        <d v="2025-06-22T00:00:00"/>
        <d v="2024-06-19T00:00:00"/>
        <d v="2025-05-18T00:00:00"/>
        <d v="2023-01-10T00:00:00"/>
        <d v="2024-12-29T00:00:00"/>
        <d v="2024-11-04T00:00:00"/>
        <d v="2024-06-08T00:00:00"/>
        <d v="2023-05-06T00:00:00"/>
        <d v="2023-11-14T00:00:00"/>
        <d v="2025-04-01T00:00:00"/>
        <d v="2023-03-23T00:00:00"/>
        <d v="2024-01-02T00:00:00"/>
        <d v="2023-06-10T00:00:00"/>
        <d v="2025-05-19T00:00:00"/>
        <d v="2023-10-22T00:00:00"/>
        <d v="2025-01-11T00:00:00"/>
        <d v="2025-09-14T00:00:00"/>
        <d v="2023-11-15T00:00:00"/>
        <d v="2024-04-09T00:00:00"/>
        <d v="2024-07-11T00:00:00"/>
        <d v="2023-07-25T00:00:00"/>
        <d v="2023-07-14T00:00:00"/>
        <d v="2023-04-13T00:00:00"/>
        <d v="2024-10-29T00:00:00"/>
        <d v="2024-02-17T00:00:00"/>
        <d v="2024-07-13T00:00:00"/>
        <d v="2023-12-01T00:00:00"/>
        <d v="2023-12-21T00:00:00"/>
        <d v="2025-06-17T00:00:00"/>
        <d v="2023-12-02T00:00:00"/>
        <d v="2024-08-08T00:00:00"/>
        <d v="2024-11-07T00:00:00"/>
        <d v="2024-01-01T00:00:00"/>
        <d v="2025-08-14T00:00:00"/>
        <d v="2024-11-25T00:00:00"/>
        <d v="2024-01-18T00:00:00"/>
        <d v="2024-06-23T00:00:00"/>
        <d v="2025-06-25T00:00:00"/>
        <d v="2023-07-01T00:00:00"/>
        <d v="2024-03-09T00:00:00"/>
        <d v="2023-06-05T00:00:00"/>
        <d v="2025-03-21T00:00:00"/>
        <d v="2025-03-15T00:00:00"/>
        <d v="2023-12-26T00:00:00"/>
        <d v="2023-02-05T00:00:00"/>
        <d v="2024-05-17T00:00:00"/>
        <d v="2024-03-03T00:00:00"/>
        <d v="2023-03-13T00:00:00"/>
        <d v="2025-01-07T00:00:00"/>
        <d v="2025-02-06T00:00:00"/>
        <d v="2025-01-31T00:00:00"/>
        <d v="2025-07-23T00:00:00"/>
        <d v="2024-07-18T00:00:00"/>
        <d v="2025-05-12T00:00:00"/>
        <d v="2024-05-07T00:00:00"/>
        <d v="2023-09-30T00:00:00"/>
        <d v="2023-10-26T00:00:00"/>
        <d v="2025-06-15T00:00:00"/>
        <d v="2024-08-10T00:00:00"/>
        <d v="2023-10-09T00:00:00"/>
        <d v="2023-05-29T00:00:00"/>
        <d v="2025-05-27T00:00:00"/>
        <d v="2024-12-12T00:00:00"/>
        <d v="2024-09-06T00:00:00"/>
        <d v="2025-04-12T00:00:00"/>
        <d v="2024-11-05T00:00:00"/>
        <d v="2024-07-24T00:00:00"/>
        <d v="2025-01-20T00:00:00"/>
        <d v="2023-03-06T00:00:00"/>
        <d v="2024-12-20T00:00:00"/>
        <d v="2025-02-21T00:00:00"/>
        <d v="2025-03-08T00:00:00"/>
        <d v="2023-12-16T00:00:00"/>
        <d v="2024-08-30T00:00:00"/>
        <d v="2023-03-17T00:00:00"/>
        <d v="2023-08-25T00:00:00"/>
        <d v="2024-06-06T00:00:00"/>
        <d v="2023-08-29T00:00:00"/>
        <d v="2025-06-05T00:00:00"/>
        <d v="2024-01-16T00:00:00"/>
        <d v="2023-10-12T00:00:00"/>
        <d v="2025-02-25T00:00:00"/>
        <d v="2025-07-03T00:00:00"/>
        <d v="2024-02-19T00:00:00"/>
        <d v="2024-02-27T00:00:00"/>
        <d v="2024-08-18T00:00:00"/>
        <d v="2024-02-25T00:00:00"/>
        <d v="2025-05-07T00:00:00"/>
        <d v="2024-11-01T00:00:00"/>
        <d v="2024-12-28T00:00:00"/>
        <d v="2023-10-18T00:00:00"/>
        <d v="2024-12-24T00:00:00"/>
        <d v="2023-12-30T00:00:00"/>
        <d v="2023-02-21T00:00:00"/>
        <d v="2023-05-17T00:00:00"/>
        <d v="2024-03-23T00:00:00"/>
        <d v="2023-09-20T00:00:00"/>
        <d v="2024-08-22T00:00:00"/>
        <d v="2024-09-25T00:00:00"/>
        <d v="2023-06-13T00:00:00"/>
        <d v="2024-06-03T00:00:00"/>
        <d v="2024-06-11T00:00:00"/>
        <d v="2023-07-22T00:00:00"/>
        <d v="2023-01-19T00:00:00"/>
        <d v="2024-05-01T00:00:00"/>
        <d v="2023-05-24T00:00:00"/>
        <d v="2023-12-05T00:00:00"/>
        <d v="2024-05-05T00:00:00"/>
        <d v="2023-07-09T00:00:00"/>
        <d v="2025-04-10T00:00:00"/>
        <d v="2025-07-27T00:00:00"/>
        <d v="2024-11-22T00:00:00"/>
        <d v="2023-12-18T00:00:00"/>
        <d v="2025-03-23T00:00:00"/>
        <d v="2023-05-14T00:00:00"/>
        <d v="2024-02-06T00:00:00"/>
        <d v="2025-08-13T00:00:00"/>
        <d v="2024-05-10T00:00:00"/>
        <d v="2023-07-16T00:00:00"/>
        <d v="2023-04-16T00:00:00"/>
        <d v="2025-08-30T00:00:00"/>
        <d v="2023-08-10T00:00:00"/>
        <d v="2024-12-08T00:00:00"/>
        <d v="2023-10-25T00:00:00"/>
        <d v="2024-11-17T00:00:00"/>
        <d v="2024-05-12T00:00:00"/>
        <d v="2025-05-15T00:00:00"/>
        <d v="2024-04-21T00:00:00"/>
        <d v="2024-08-19T00:00:00"/>
        <d v="2024-03-01T00:00:00"/>
        <d v="2024-05-27T00:00:00"/>
        <d v="2024-08-04T00:00:00"/>
        <d v="2024-04-26T00:00:00"/>
        <d v="2025-03-24T00:00:00"/>
        <d v="2025-03-10T00:00:00"/>
        <d v="2024-04-05T00:00:00"/>
        <d v="2024-10-24T00:00:00"/>
        <d v="2024-11-12T00:00:00"/>
        <d v="2023-05-10T00:00:00"/>
        <d v="2024-10-10T00:00:00"/>
        <d v="2023-06-01T00:00:00"/>
        <d v="2025-01-04T00:00:00"/>
        <d v="2023-05-01T00:00:00"/>
        <d v="2024-07-09T00:00:00"/>
        <d v="2024-04-24T00:00:00"/>
        <d v="2024-04-16T00:00:00"/>
        <d v="2025-02-07T00:00:00"/>
        <d v="2023-01-12T00:00:00"/>
        <d v="2024-06-05T00:00:00"/>
        <d v="2023-08-24T00:00:00"/>
        <d v="2025-03-11T00:00:00"/>
        <d v="2023-08-17T00:00:00"/>
        <d v="2025-01-10T00:00:00"/>
        <d v="2024-08-16T00:00:00"/>
        <d v="2023-07-07T00:00:00"/>
        <d v="2023-12-28T00:00:00"/>
        <d v="2023-01-26T00:00:00"/>
        <d v="2023-07-08T00:00:00"/>
        <d v="2023-02-11T00:00:00"/>
        <d v="2025-08-20T00:00:00"/>
        <d v="2024-03-04T00:00:00"/>
        <d v="2023-09-08T00:00:00"/>
        <d v="2024-12-07T00:00:00"/>
        <d v="2025-08-06T00:00:00"/>
        <d v="2023-03-03T00:00:00"/>
        <d v="2025-02-16T00:00:00"/>
        <d v="2024-08-31T00:00:00"/>
        <d v="2024-01-08T00:00:00"/>
        <d v="2024-01-24T00:00:00"/>
        <d v="2024-02-08T00:00:00"/>
        <d v="2025-06-26T00:00:00"/>
        <d v="2024-02-20T00:00:00"/>
        <d v="2025-04-13T00:00:00"/>
        <d v="2023-04-26T00:00:00"/>
        <d v="2025-08-03T00:00:00"/>
        <d v="2023-08-02T00:00:00"/>
        <d v="2024-11-11T00:00:00"/>
        <d v="2025-07-11T00:00:00"/>
        <d v="2023-06-03T00:00:00"/>
        <d v="2024-08-03T00:00:00"/>
        <d v="2025-04-17T00:00:00"/>
        <d v="2023-05-03T00:00:00"/>
        <d v="2024-03-13T00:00:00"/>
        <d v="2023-04-03T00:00:00"/>
        <d v="2023-02-27T00:00:00"/>
        <d v="2024-07-31T00:00:00"/>
        <d v="2025-02-17T00:00:00"/>
        <d v="2023-01-07T00:00:00"/>
        <d v="2024-08-17T00:00:00"/>
        <d v="2025-08-11T00:00:00"/>
        <d v="2023-04-10T00:00:00"/>
        <d v="2023-09-17T00:00:00"/>
        <d v="2023-04-22T00:00:00"/>
        <d v="2024-11-27T00:00:00"/>
        <d v="2024-10-19T00:00:00"/>
        <d v="2024-06-25T00:00:00"/>
        <d v="2024-10-13T00:00:00"/>
        <d v="2024-07-28T00:00:00"/>
        <d v="2025-07-19T00:00:00"/>
        <d v="2025-02-28T00:00:00"/>
      </sharedItems>
    </cacheField>
    <cacheField name="Required Date" numFmtId="58"/>
    <cacheField name="Region" numFmtId="0"/>
    <cacheField name="Country" numFmtId="0">
      <sharedItems count="12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</sharedItems>
    </cacheField>
    <cacheField name="City" numFmtId="0"/>
    <cacheField name="Customer Segment" numFmtId="0"/>
    <cacheField name="Channel" numFmtId="0"/>
    <cacheField name="Sales person" numFmtId="0"/>
    <cacheField name="Product Category" numFmtId="0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SKU" numFmtId="0">
      <sharedItems count="630">
        <s v="CMP-8270"/>
        <s v="PRN-9322"/>
        <s v="NET-9666"/>
        <s v="PHN-4556"/>
        <s v="PRN-8041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ACC-4631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</sharedItems>
    </cacheField>
    <cacheField name="UnitCost" numFmtId="179"/>
    <cacheField name="Unit Price" numFmtId="179"/>
    <cacheField name="Discount %" numFmtId="10"/>
    <cacheField name="Quantity" numFmtId="0"/>
    <cacheField name="Negative prices " numFmtId="0"/>
    <cacheField name="Clean Unit Prices" numFmtId="179"/>
    <cacheField name="Discounts &gt;30%" numFmtId="0"/>
    <cacheField name="Clean discounts " numFmtId="10"/>
    <cacheField name="Date Diff " numFmtId="0"/>
    <cacheField name="Validated Required date" numFmtId="58"/>
    <cacheField name="Lead Time days " numFmtId="0"/>
    <cacheField name="Gross Revenue " numFmtId="179"/>
    <cacheField name="Cost of Goods " numFmtId="179"/>
    <cacheField name="Gross Profit" numFmtId="179"/>
    <cacheField name="Margin %" numFmtId="2"/>
    <cacheField name="MMM-YYY" numFmtId="0">
      <sharedItems count="33">
        <s v="Mar-2024"/>
        <s v="Oct-2024"/>
        <s v="Feb-2023"/>
        <s v="Mar-2025"/>
        <s v="Dec-2023"/>
        <s v="Jan-2023"/>
        <s v="Dec-2024"/>
        <s v="May-2024"/>
        <s v="May-2025"/>
        <s v="Jan-2024"/>
        <s v="Jan-2025"/>
        <s v="Sep-2025"/>
        <s v="Apr-2023"/>
        <s v="Jul-2025"/>
        <s v="Jul-2024"/>
        <s v="May-2023"/>
        <s v="Jun-2025"/>
        <s v="Jun-2024"/>
        <s v="Nov-2024"/>
        <s v="Apr-2025"/>
        <s v="Apr-2024"/>
        <s v="Aug-2024"/>
        <s v="Mar-2023"/>
        <s v="Jun-2023"/>
        <s v="Jul-2023"/>
        <s v="Aug-2023"/>
        <s v="Feb-2025"/>
        <s v="Sep-2023"/>
        <s v="Aug-2025"/>
        <s v="Sep-2024"/>
        <s v="Nov-2023"/>
        <s v="Feb-2024"/>
        <s v="Oct-2023"/>
      </sharedItems>
    </cacheField>
    <cacheField name="Quarters" numFmtId="0"/>
    <cacheField name="Region Hierarchy " numFmtId="0"/>
    <cacheField name="Category Groups " numFmtId="0">
      <sharedItems count="3">
        <s v="Support"/>
        <s v="Peripherals"/>
        <s v="Devices"/>
      </sharedItems>
    </cacheField>
    <cacheField name="Price Band 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40.5412142361" refreshedBy="Excel Services" recordCount="631">
  <cacheSource type="worksheet">
    <worksheetSource ref="A1:AI632" sheet="Staging Data"/>
  </cacheSource>
  <cacheFields count="35">
    <cacheField name="OrderID" numFmtId="0"/>
    <cacheField name="OrderDate" numFmtId="58"/>
    <cacheField name="Required Date" numFmtId="58"/>
    <cacheField name="Region" numFmtId="0">
      <sharedItems count="4">
        <s v="Africa"/>
        <s v="Americas"/>
        <s v="Asia"/>
        <s v="Europe"/>
      </sharedItems>
    </cacheField>
    <cacheField name="Country" numFmtId="0">
      <sharedItems count="12">
        <s v="Kenya"/>
        <s v="Nigeria"/>
        <s v="Canada"/>
        <s v="India"/>
        <s v="Brazil"/>
        <s v="Germany"/>
        <s v="Japan"/>
        <s v="France"/>
        <s v="United Kingdom"/>
        <s v="China"/>
        <s v="USA"/>
        <s v="South Africa"/>
      </sharedItems>
    </cacheField>
    <cacheField name="City" numFmtId="0"/>
    <cacheField name="Customer Segment" numFmtId="0"/>
    <cacheField name="Channel" numFmtId="0">
      <sharedItems count="6">
        <s v="Retail"/>
        <s v="Online"/>
        <s v="Marketplace"/>
        <s v="Distributor"/>
        <s v="Direct"/>
        <s v="Unknown Channel "/>
      </sharedItems>
    </cacheField>
    <cacheField name="Sales person" numFmtId="0">
      <sharedItems count="16">
        <s v="C. Otieno"/>
        <s v="J. Njeri"/>
        <s v="I. Johnson"/>
        <s v="G. Dubois"/>
        <s v="B. Chen"/>
        <s v="E. Garcia"/>
        <s v="O. Wang"/>
        <s v="A. Patel"/>
        <s v="F. Müller"/>
        <s v="H. Kim"/>
        <s v="K. Singh"/>
        <s v="M. Rossi"/>
        <s v="N. Brown"/>
        <s v="D. Smith"/>
        <s v="L. Okafor"/>
        <s v="Unidentified sales person "/>
      </sharedItems>
    </cacheField>
    <cacheField name="Product Category" numFmtId="0"/>
    <cacheField name="SKU" numFmtId="0">
      <sharedItems count="629">
        <s v="CMP-8270"/>
        <s v="PRN-9322"/>
        <s v="NET-9666"/>
        <s v="PHN-4556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ACC-4631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</sharedItems>
    </cacheField>
    <cacheField name="UnitCost" numFmtId="179"/>
    <cacheField name="Unit Price" numFmtId="179"/>
    <cacheField name="Discount %" numFmtId="10"/>
    <cacheField name="Quantity" numFmtId="0"/>
    <cacheField name="Negative prices " numFmtId="0"/>
    <cacheField name="Clean Unit Prices" numFmtId="179"/>
    <cacheField name="Discounts &gt;30%" numFmtId="0"/>
    <cacheField name="Clean discounts " numFmtId="10"/>
    <cacheField name="Date Diff " numFmtId="0"/>
    <cacheField name="Validated Required date" numFmtId="58"/>
    <cacheField name="Lead Time days " numFmtId="0"/>
    <cacheField name="Gross Revenue " numFmtId="179"/>
    <cacheField name="Cost of Goods " numFmtId="179"/>
    <cacheField name="Gross Profit" numFmtId="179"/>
    <cacheField name="Margin %" numFmtId="2"/>
    <cacheField name="MMM-YYY" numFmtId="0"/>
    <cacheField name="Quarters" numFmtId="0"/>
    <cacheField name="Region Hierarchy " numFmtId="0"/>
    <cacheField name="Category Groups " numFmtId="0">
      <sharedItems count="3">
        <s v="Support"/>
        <s v="Peripherals"/>
        <s v="Devices"/>
      </sharedItems>
    </cacheField>
    <cacheField name="Price Band " numFmtId="0"/>
    <cacheField name="Clean country" numFmtId="0"/>
    <cacheField name="Country start Date " numFmtId="58"/>
    <cacheField name="Country Start Month" numFmtId="0">
      <sharedItems count="2">
        <s v="Jan-2023"/>
        <s v="Mar-2023"/>
      </sharedItems>
    </cacheField>
    <cacheField name="Order Month date " numFmtId="17">
      <sharedItems containsSemiMixedTypes="0" containsString="0" containsNonDate="0" containsDate="1" minDate="2023-01-31T00:00:00" maxDate="2025-09-30T00:00:00" count="33">
        <d v="2024-03-31T00:00:00"/>
        <d v="2024-10-31T00:00:00"/>
        <d v="2023-02-28T00:00:00"/>
        <d v="2025-03-31T00:00:00"/>
        <d v="2023-01-31T00:00:00"/>
        <d v="2024-12-31T00:00:00"/>
        <d v="2024-05-31T00:00:00"/>
        <d v="2025-05-31T00:00:00"/>
        <d v="2024-01-31T00:00:00"/>
        <d v="2025-01-31T00:00:00"/>
        <d v="2025-09-30T00:00:00"/>
        <d v="2023-04-30T00:00:00"/>
        <d v="2025-07-31T00:00:00"/>
        <d v="2024-07-31T00:00:00"/>
        <d v="2023-05-31T00:00:00"/>
        <d v="2025-06-30T00:00:00"/>
        <d v="2024-06-30T00:00:00"/>
        <d v="2024-11-30T00:00:00"/>
        <d v="2025-04-30T00:00:00"/>
        <d v="2024-04-30T00:00:00"/>
        <d v="2024-08-31T00:00:00"/>
        <d v="2023-03-31T00:00:00"/>
        <d v="2023-06-30T00:00:00"/>
        <d v="2023-07-31T00:00:00"/>
        <d v="2023-08-31T00:00:00"/>
        <d v="2025-02-28T00:00:00"/>
        <d v="2023-12-31T00:00:00"/>
        <d v="2023-09-30T00:00:00"/>
        <d v="2025-08-31T00:00:00"/>
        <d v="2024-09-30T00:00:00"/>
        <d v="2023-11-30T00:00:00"/>
        <d v="2024-02-29T00:00:00"/>
        <d v="2023-10-31T00:00: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40.5790084491" refreshedBy="Excel Services" recordCount="631">
  <cacheSource type="worksheet">
    <worksheetSource ref="A1:AJ632" sheet="Staging Data"/>
  </cacheSource>
  <cacheFields count="36">
    <cacheField name="OrderID" numFmtId="0"/>
    <cacheField name="OrderDate" numFmtId="58"/>
    <cacheField name="Required Date" numFmtId="58"/>
    <cacheField name="Region" numFmtId="0"/>
    <cacheField name="Country" numFmtId="0">
      <sharedItems count="12">
        <s v="Kenya"/>
        <s v="Nigeria"/>
        <s v="Canada"/>
        <s v="India"/>
        <s v="Brazil"/>
        <s v="Germany"/>
        <s v="Japan"/>
        <s v="France"/>
        <s v="United Kingdom"/>
        <s v="China"/>
        <s v="USA"/>
        <s v="South Africa"/>
      </sharedItems>
    </cacheField>
    <cacheField name="City" numFmtId="0"/>
    <cacheField name="Customer Segment" numFmtId="0"/>
    <cacheField name="Channel" numFmtId="0"/>
    <cacheField name="Sales person" numFmtId="0"/>
    <cacheField name="Product Category" numFmtId="0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SKU" numFmtId="0"/>
    <cacheField name="UnitCost" numFmtId="179"/>
    <cacheField name="Unit Price" numFmtId="179"/>
    <cacheField name="Discount %" numFmtId="10"/>
    <cacheField name="Quantity" numFmtId="0"/>
    <cacheField name="Negative prices " numFmtId="0"/>
    <cacheField name="Clean Unit Prices" numFmtId="179"/>
    <cacheField name="Discounts &gt;30%" numFmtId="0"/>
    <cacheField name="Clean discounts " numFmtId="10"/>
    <cacheField name="Date Diff " numFmtId="0"/>
    <cacheField name="Validated Required date" numFmtId="58"/>
    <cacheField name="Lead Time days " numFmtId="0"/>
    <cacheField name="Gross Revenue " numFmtId="179"/>
    <cacheField name="Cost of Goods " numFmtId="179"/>
    <cacheField name="Gross Profit" numFmtId="179"/>
    <cacheField name="Margin %" numFmtId="2"/>
    <cacheField name="MMM-YYY" numFmtId="0"/>
    <cacheField name="Quarters" numFmtId="0"/>
    <cacheField name="Region Hierarchy " numFmtId="0"/>
    <cacheField name="Category Groups " numFmtId="0">
      <sharedItems count="3">
        <s v="Support"/>
        <s v="Peripherals"/>
        <s v="Devices"/>
      </sharedItems>
    </cacheField>
    <cacheField name="Price Band " numFmtId="0"/>
    <cacheField name="Clean country" numFmtId="0"/>
    <cacheField name="Country start Date " numFmtId="58"/>
    <cacheField name="Country Start Month" numFmtId="0"/>
    <cacheField name="Order Month date " numFmtId="17"/>
    <cacheField name="On Time Flag" numFmtI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40.5869711806" refreshedBy="Excel Services" recordCount="631">
  <cacheSource type="worksheet">
    <worksheetSource ref="A1:AK632" sheet="Staging Data"/>
  </cacheSource>
  <cacheFields count="37">
    <cacheField name="OrderID" numFmtId="0"/>
    <cacheField name="OrderDate" numFmtId="58"/>
    <cacheField name="Required Date" numFmtId="58"/>
    <cacheField name="Region" numFmtId="0">
      <sharedItems count="4">
        <s v="Africa"/>
        <s v="Americas"/>
        <s v="Asia"/>
        <s v="Europe"/>
      </sharedItems>
    </cacheField>
    <cacheField name="Country" numFmtId="0"/>
    <cacheField name="City" numFmtId="0"/>
    <cacheField name="Customer Segment" numFmtId="0"/>
    <cacheField name="Channel" numFmtId="0"/>
    <cacheField name="Sales person" numFmtId="0">
      <sharedItems count="16">
        <s v="C. Otieno"/>
        <s v="J. Njeri"/>
        <s v="I. Johnson"/>
        <s v="G. Dubois"/>
        <s v="B. Chen"/>
        <s v="E. Garcia"/>
        <s v="O. Wang"/>
        <s v="A. Patel"/>
        <s v="F. Müller"/>
        <s v="H. Kim"/>
        <s v="K. Singh"/>
        <s v="M. Rossi"/>
        <s v="N. Brown"/>
        <s v="D. Smith"/>
        <s v="L. Okafor"/>
        <s v="Unidentified sales person "/>
      </sharedItems>
    </cacheField>
    <cacheField name="Product Category" numFmtId="0"/>
    <cacheField name="SKU" numFmtId="0"/>
    <cacheField name="UnitCost" numFmtId="179"/>
    <cacheField name="Unit Price" numFmtId="179"/>
    <cacheField name="Discount %" numFmtId="10"/>
    <cacheField name="Quantity" numFmtId="0"/>
    <cacheField name="Negative prices " numFmtId="0"/>
    <cacheField name="Clean Unit Prices" numFmtId="179"/>
    <cacheField name="Discounts &gt;30%" numFmtId="0"/>
    <cacheField name="Clean discounts " numFmtId="10"/>
    <cacheField name="Date Diff " numFmtId="0"/>
    <cacheField name="Validated Required date" numFmtId="58"/>
    <cacheField name="Lead Time days " numFmtId="0"/>
    <cacheField name="Gross Revenue " numFmtId="179"/>
    <cacheField name="Cost of Goods " numFmtId="179"/>
    <cacheField name="Gross Profit" numFmtId="179"/>
    <cacheField name="Margin %" numFmtId="2"/>
    <cacheField name="MMM-YYY" numFmtId="0"/>
    <cacheField name="Quarters" numFmtId="0"/>
    <cacheField name="Region Hierarchy " numFmtId="0"/>
    <cacheField name="Category Groups " numFmtId="0"/>
    <cacheField name="Price Band " numFmtId="0"/>
    <cacheField name="Clean country" numFmtId="0"/>
    <cacheField name="Country start Date " numFmtId="58"/>
    <cacheField name="Country Start Month" numFmtId="0"/>
    <cacheField name="Order Month date " numFmtId="17"/>
    <cacheField name="On Time Flag" numFmtId="0"/>
    <cacheField name="Flagged Discount %" numFmtId="0"/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1.5692476852" refreshedBy="stacy" recordCount="631">
  <cacheSource type="worksheet">
    <worksheetSource ref="A1:AP632" sheet="Staging Data"/>
  </cacheSource>
  <cacheFields count="42">
    <cacheField name="Order ID" numFmtId="0">
      <sharedItems count="630">
        <s v="ORD-2024-275203"/>
        <s v="ORD-2024-358795"/>
        <s v="ORD-2023-373538"/>
        <s v="ORD-2025-168148"/>
        <s v="ORD-2023-723587"/>
        <s v="ORD-2024-336584"/>
        <s v="ORD-2023-112666"/>
        <s v="ORD-2024-589570"/>
        <s v="ORD-2025-997421"/>
        <s v="ORD-2024-210687"/>
        <s v="ORD-2025-515515"/>
        <s v="ORD-2025-487261"/>
        <s v="ORD-2024-890180"/>
        <s v="ORD-2025-840976"/>
        <s v="ORD-2023-937291"/>
        <s v="ORD-2024-206081"/>
        <s v="ORD-2025-233883"/>
        <s v="ORD-2025-843974"/>
        <s v="ORD-2025-745263"/>
        <s v="ORD-2024-798002"/>
        <s v="ORD-2023-867836"/>
        <s v="ORD-2025-580047"/>
        <s v="ORD-2024-500109"/>
        <s v="ORD-2023-271836"/>
        <s v="ORD-2024-215294"/>
        <s v="ORD-2024-788105"/>
        <s v="ORD-2024-855073"/>
        <s v="ORD-2023-897079"/>
        <s v="ORD-2025-548982"/>
        <s v="ORD-2024-170313"/>
        <s v="ORD-2023-562894"/>
        <s v="ORD-2025-474710"/>
        <s v="ORD-2024-629525"/>
        <s v="ORD-2024-167215"/>
        <s v="ORD-2023-864121"/>
        <s v="ORD-2024-692673"/>
        <s v="ORD-2025-718992"/>
        <s v="ORD-2024-599522"/>
        <s v="ORD-2023-651638"/>
        <s v="ORD-2024-635626"/>
        <s v="ORD-2024-296582"/>
        <s v="ORD-2024-998320"/>
        <s v="ORD-2025-820255"/>
        <s v="ORD-2024-389336"/>
        <s v="ORD-2023-308124"/>
        <s v="ORD-2023-128295"/>
        <s v="ORD-2024-548345"/>
        <s v="ORD-2024-966651"/>
        <s v="ORD-2023-292714"/>
        <s v="ORD-2024-468501"/>
        <s v="ORD-2024-260775"/>
        <s v="ORD-2023-419187"/>
        <s v="ORD-2025-578007"/>
        <s v="ORD-2023-235230"/>
        <s v="ORD-2025-765220"/>
        <s v="ORD-2025-931538"/>
        <s v="ORD-2024-289089"/>
        <s v="ORD-2025-639542"/>
        <s v="ORD-2025-762301"/>
        <s v="ORD-2024-906395"/>
        <s v="ORD-2025-779574"/>
        <s v="ORD-2025-526650"/>
        <s v="ORD-2024-247979"/>
        <s v="ORD-2023-480975"/>
        <s v="ORD-2023-239789"/>
        <s v="ORD-2023-548874"/>
        <s v="ORD-2024-347736"/>
        <s v="ORD-2023-749324"/>
        <s v="ORD-2023-809913"/>
        <s v="ORD-2024-287210"/>
        <s v="ORD-2025-640677"/>
        <s v="ORD-2024-939873"/>
        <s v="ORD-2024-800947"/>
        <s v="ORD-2023-382272"/>
        <s v="ORD-2023-722117"/>
        <s v="ORD-2024-446699"/>
        <s v="ORD-2024-451005"/>
        <s v="ORD-2023-290279"/>
        <s v="ORD-2024-192263"/>
        <s v="ORD-2023-159379"/>
        <s v="ORD-2023-343322"/>
        <s v="ORD-2025-114382"/>
        <s v="ORD-2025-488349"/>
        <s v="ORD-2025-330203"/>
        <s v="ORD-2023-841426"/>
        <s v="ORD-2024-594592"/>
        <s v="ORD-2025-863978"/>
        <s v="ORD-2024-604471"/>
        <s v="ORD-2023-258768"/>
        <s v="ORD-2025-626047"/>
        <s v="ORD-2025-526752"/>
        <s v="ORD-2023-374486"/>
        <s v="ORD-2024-997336"/>
        <s v="ORD-2025-725646"/>
        <s v="ORD-2023-868734"/>
        <s v="ORD-2025-262491"/>
        <s v="ORD-2024-638884"/>
        <s v="ORD-2025-541501"/>
        <s v="ORD-2023-422918"/>
        <s v="ORD-2025-328504"/>
        <s v="ORD-2024-851883"/>
        <s v="ORD-2025-662997"/>
        <s v="ORD-2024-478165"/>
        <s v="ORD-2024-771210"/>
        <s v="ORD-2024-155337"/>
        <s v="ORD-2023-251563"/>
        <s v="ORD-2024-286833"/>
        <s v="ORD-2024-792558"/>
        <s v="ORD-2024-166150"/>
        <s v="ORD-2024-909942"/>
        <s v="ORD-2024-223618"/>
        <s v="ORD-2024-919471"/>
        <s v="ORD-2025-649239"/>
        <s v="ORD-2023-975863"/>
        <s v="ORD-2023-869884"/>
        <s v="ORD-2025-698069"/>
        <s v="ORD-2024-474999"/>
        <s v="ORD-2023-427304"/>
        <s v="ORD-2025-956101"/>
        <s v="ORD-2025-184082"/>
        <s v="ORD-2023-576840"/>
        <s v="ORD-2023-178249"/>
        <s v="ORD-2024-588972"/>
        <s v="ORD-2023-603238"/>
        <s v="ORD-2023-883066"/>
        <s v="ORD-2024-584090"/>
        <s v="ORD-2025-537785"/>
        <s v="ORD-2024-605518"/>
        <s v="ORD-2023-521818"/>
        <s v="ORD-2025-650719"/>
        <s v="ORD-2025-501927"/>
        <s v="ORD-2023-430904"/>
        <s v="ORD-2025-354346"/>
        <s v="ORD-2024-164288"/>
        <s v="ORD-2023-867285"/>
        <s v="ORD-2024-836421"/>
        <s v="ORD-2023-613287"/>
        <s v="ORD-2024-783321"/>
        <s v="ORD-2024-232632"/>
        <s v="ORD-2023-906481"/>
        <s v="ORD-2024-902741"/>
        <s v="ORD-2023-912395"/>
        <s v="ORD-2024-389102"/>
        <s v="ORD-2023-309373"/>
        <s v="ORD-2023-825495"/>
        <s v="ORD-2025-244832"/>
        <s v="ORD-2024-211453"/>
        <s v="ORD-2023-192324"/>
        <s v="ORD-2024-438404"/>
        <s v="ORD-2025-246470"/>
        <s v="ORD-2023-497686"/>
        <s v="ORD-2023-596758"/>
        <s v="ORD-2024-201376"/>
        <s v="ORD-2023-842488"/>
        <s v="ORD-2024-136321"/>
        <s v="ORD-2024-764468"/>
        <s v="ORD-2024-553449"/>
        <s v="ORD-2025-766923"/>
        <s v="ORD-2025-418232"/>
        <s v="ORD-2023-848013"/>
        <s v="ORD-2024-357368"/>
        <s v="ORD-2024-219735"/>
        <s v="ORD-2023-240507"/>
        <s v="ORD-2024-134084"/>
        <s v="ORD-2023-884625"/>
        <s v="ORD-2023-157993"/>
        <s v="ORD-2024-329104"/>
        <s v="ORD-2023-304451"/>
        <s v="ORD-2024-942981"/>
        <s v="ORD-2024-605629"/>
        <s v="ORD-2023-450877"/>
        <s v="ORD-2023-286994"/>
        <s v="ORD-2025-700847"/>
        <s v="ORD-2024-970848"/>
        <s v="ORD-2025-845715"/>
        <s v="ORD-2023-664749"/>
        <s v="ORD-2024-960952"/>
        <s v="ORD-2023-987700"/>
        <s v="ORD-2025-652467"/>
        <s v="ORD-2025-667201"/>
        <s v="ORD-2024-237478"/>
        <s v="ORD-2025-898843"/>
        <s v="ORD-2023-334213"/>
        <s v="ORD-2024-640340"/>
        <s v="ORD-2023-399631"/>
        <s v="ORD-2025-542939"/>
        <s v="ORD-2023-825836"/>
        <s v="ORD-2024-503082"/>
        <s v="ORD-2024-760799"/>
        <s v="ORD-2023-197661"/>
        <s v="ORD-2024-212990"/>
        <s v="ORD-2023-925146"/>
        <s v="ORD-2023-177794"/>
        <s v="ORD-2024-444710"/>
        <s v="ORD-2024-668926"/>
        <s v="ORD-2024-968374"/>
        <s v="ORD-2023-575584"/>
        <s v="ORD-2023-701153"/>
        <s v="ORD-2023-382017"/>
        <s v="ORD-2024-999607"/>
        <s v="ORD-2023-133848"/>
        <s v="ORD-2023-586275"/>
        <s v="ORD-2025-964661"/>
        <s v="ORD-2023-390998"/>
        <s v="ORD-2023-920483"/>
        <s v="ORD-2025-146850"/>
        <s v="ORD-2024-687100"/>
        <s v="ORD-2025-629393"/>
        <s v="ORD-2024-686712"/>
        <s v="ORD-2025-586799"/>
        <s v="ORD-2024-988736"/>
        <s v="ORD-2025-564184"/>
        <s v="ORD-2023-653343"/>
        <s v="ORD-2024-197852"/>
        <s v="ORD-2023-431328"/>
        <s v="ORD-2023-613317"/>
        <s v="ORD-2024-720756"/>
        <s v="ORD-2024-777623"/>
        <s v="ORD-2025-762212"/>
        <s v="ORD-2023-271918"/>
        <s v="ORD-2023-713375"/>
        <s v="ORD-2025-678688"/>
        <s v="ORD-2023-501220"/>
        <s v="ORD-2023-195665"/>
        <s v="ORD-2023-290237"/>
        <s v="ORD-2023-302041"/>
        <s v="ORD-2025-289139"/>
        <s v="ORD-2023-949710"/>
        <s v="ORD-2023-603650"/>
        <s v="ORD-2025-757957"/>
        <s v="ORD-2024-423853"/>
        <s v="ORD-2024-569164"/>
        <s v="ORD-2023-946143"/>
        <s v="ORD-2024-281211"/>
        <s v="ORD-2024-805860"/>
        <s v="ORD-2025-132174"/>
        <s v="ORD-2023-964434"/>
        <s v="ORD-2024-897622"/>
        <s v="ORD-2023-517216"/>
        <s v="ORD-2025-509940"/>
        <s v="ORD-2025-646342"/>
        <s v="ORD-2024-866535"/>
        <s v="ORD-2023-747341"/>
        <s v="ORD-2024-853298"/>
        <s v="ORD-2024-544865"/>
        <s v="ORD-2025-946490"/>
        <s v="ORD-2024-320972"/>
        <s v="ORD-2025-248586"/>
        <s v="ORD-2024-664046"/>
        <s v="ORD-2023-276806"/>
        <s v="ORD-2024-220234"/>
        <s v="ORD-2024-301260"/>
        <s v="ORD-2024-350100"/>
        <s v="ORD-2024-855600"/>
        <s v="ORD-2023-474313"/>
        <s v="ORD-2023-256951"/>
        <s v="ORD-2025-184754"/>
        <s v="ORD-2023-888140"/>
        <s v="ORD-2023-638181"/>
        <s v="ORD-2023-521280"/>
        <s v="ORD-2023-630430"/>
        <s v="ORD-2025-908258"/>
        <s v="ORD-2025-440093"/>
        <s v="ORD-2025-898022"/>
        <s v="ORD-2024-500511"/>
        <s v="ORD-2023-632893"/>
        <s v="ORD-2023-967239"/>
        <s v="ORD-2024-885858"/>
        <s v="ORD-2023-253245"/>
        <s v="ORD-2025-484073"/>
        <s v="ORD-2024-745822"/>
        <s v="ORD-2023-369160"/>
        <s v="ORD-2024-834983"/>
        <s v="ORD-2024-499009"/>
        <s v="ORD-2024-948800"/>
        <s v="ORD-2025-678328"/>
        <s v="ORD-2024-580808"/>
        <s v="ORD-2023-211715"/>
        <s v="ORD-2023-715175"/>
        <s v="ORD-2025-685236"/>
        <s v="ORD-2023-274037"/>
        <s v="ORD-2025-983096"/>
        <s v="ORD-2024-366010"/>
        <s v="ORD-2023-610470"/>
        <s v="ORD-2025-541048"/>
        <s v="ORD-2024-862371"/>
        <s v="ORD-2024-277241"/>
        <s v="ORD-2023-369150"/>
        <s v="ORD-2025-922513"/>
        <s v="ORD-2025-752845"/>
        <s v="ORD-2023-667815"/>
        <s v="ORD-2023-375011"/>
        <s v="ORD-2025-487025"/>
        <s v="ORD-2025-398335"/>
        <s v="ORD-2024-792137"/>
        <s v="ORD-2023-602648"/>
        <s v="ORD-2024-207096"/>
        <s v="ORD-2025-939953"/>
        <s v="ORD-2025-191328"/>
        <s v="ORD-2023-166668"/>
        <s v="ORD-2023-594700"/>
        <s v="ORD-2025-278048"/>
        <s v="ORD-2024-878493"/>
        <s v="ORD-2025-138578"/>
        <s v="ORD-2025-944081"/>
        <s v="ORD-2025-364852"/>
        <s v="ORD-2025-415018"/>
        <s v="ORD-2023-884192"/>
        <s v="ORD-2024-165942"/>
        <s v="ORD-2024-403664"/>
        <s v="ORD-2023-890605"/>
        <s v="ORD-2024-925626"/>
        <s v="ORD-2024-427031"/>
        <s v="ORD-2025-231184"/>
        <s v="ORD-2023-363031"/>
        <s v="ORD-2023-619570"/>
        <s v="ORD-2025-861401"/>
        <s v="ORD-2023-835010"/>
        <s v="ORD-2024-819979"/>
        <s v="ORD-2024-719055"/>
        <s v="ORD-2023-888245"/>
        <s v="ORD-2024-206121"/>
        <s v="ORD-2024-500890"/>
        <s v="ORD-2023-144816"/>
        <s v="ORD-2024-153053"/>
        <s v="ORD-2023-536542"/>
        <s v="ORD-2025-779530"/>
        <s v="ORD-2023-163610"/>
        <s v="ORD-2025-653781"/>
        <s v="ORD-2025-737787"/>
        <s v="ORD-2023-944052"/>
        <s v="ORD-2023-181257"/>
        <s v="ORD-2025-323492"/>
        <s v="ORD-2024-332076"/>
        <s v="ORD-2024-571797"/>
        <s v="ORD-2024-129345"/>
        <s v="ORD-2023-660608"/>
        <s v="ORD-2023-825084"/>
        <s v="ORD-2023-261081"/>
        <s v="ORD-2023-766015"/>
        <s v="ORD-2024-333192"/>
        <s v="ORD-2024-647473"/>
        <s v="ORD-2024-892908"/>
        <s v="ORD-2023-573146"/>
        <s v="ORD-2024-901115"/>
        <s v="ORD-2023-898009"/>
        <s v="ORD-2023-208944"/>
        <s v="ORD-2025-480172"/>
        <s v="ORD-2023-735274"/>
        <s v="ORD-2023-212701"/>
        <s v="ORD-2023-479747"/>
        <s v="ORD-2024-915495"/>
        <s v="ORD-2024-225829"/>
        <s v="ORD-2024-921935"/>
        <s v="ORD-2025-949776"/>
        <s v="ORD-2024-510591"/>
        <s v="ORD-2024-961756"/>
        <s v="ORD-2024-892173"/>
        <s v="ORD-2024-704056"/>
        <s v="ORD-2025-591006"/>
        <s v="ORD-2023-159821"/>
        <s v="ORD-2024-343877"/>
        <s v="ORD-2023-386663"/>
        <s v="ORD-2025-125517"/>
        <s v="ORD-2024-819778"/>
        <s v="ORD-2025-624006"/>
        <s v="ORD-2023-132101"/>
        <s v="ORD-2025-306903"/>
        <s v="ORD-2023-813340"/>
        <s v="ORD-2023-855675"/>
        <s v="ORD-2023-545150"/>
        <s v="ORD-2025-269934"/>
        <s v="ORD-2024-690270"/>
        <s v="ORD-2024-868223"/>
        <s v="ORD-2025-188059"/>
        <s v="ORD-2023-281890"/>
        <s v="ORD-2025-636162"/>
        <s v="ORD-2025-915869"/>
        <s v="ORD-2025-192876"/>
        <s v="ORD-2025-822030"/>
        <s v="ORD-2025-789245"/>
        <s v="ORD-2023-594955"/>
        <s v="ORD-2024-398783"/>
        <s v="ORD-2023-676553"/>
        <s v="ORD-2025-866565"/>
        <s v="ORD-2024-527858"/>
        <s v="ORD-2023-619385"/>
        <s v="ORD-2023-835226"/>
        <s v="ORD-2025-485946"/>
        <s v="ORD-2024-307849"/>
        <s v="ORD-2023-368449"/>
        <s v="ORD-2024-251426"/>
        <s v="ORD-2023-927385"/>
        <s v="ORD-2025-486350"/>
        <s v="ORD-2025-677880"/>
        <s v="ORD-2024-102866"/>
        <s v="ORD-2025-588029"/>
        <s v="ORD-2024-972999"/>
        <s v="ORD-2025-608069"/>
        <s v="ORD-2024-626750"/>
        <s v="ORD-2024-170021"/>
        <s v="ORD-2024-678110"/>
        <s v="ORD-2025-909340"/>
        <s v="ORD-2023-854471"/>
        <s v="ORD-2024-390951"/>
        <s v="ORD-2025-881624"/>
        <s v="ORD-2025-512310"/>
        <s v="ORD-2023-674887"/>
        <s v="ORD-2024-542244"/>
        <s v="ORD-2024-375848"/>
        <s v="ORD-2023-933238"/>
        <s v="ORD-2023-732585"/>
        <s v="ORD-2024-465898"/>
        <s v="ORD-2023-987081"/>
        <s v="ORD-2024-655710"/>
        <s v="ORD-2025-411385"/>
        <s v="ORD-2025-222035"/>
        <s v="ORD-2024-749242"/>
        <s v="ORD-2023-623293"/>
        <s v="ORD-2025-276968"/>
        <s v="ORD-2025-650841"/>
        <s v="ORD-2025-831576"/>
        <s v="ORD-2024-468655"/>
        <s v="ORD-2024-515105"/>
        <s v="ORD-2025-803803"/>
        <s v="ORD-2024-993481"/>
        <s v="ORD-2024-811752"/>
        <s v="ORD-2025-673091"/>
        <s v="ORD-2024-381197"/>
        <s v="ORD-2024-651852"/>
        <s v="ORD-2023-659070"/>
        <s v="ORD-2024-837651"/>
        <s v="ORD-2024-581530"/>
        <s v="ORD-2023-378104"/>
        <s v="ORD-2024-972318"/>
        <s v="ORD-2023-752962"/>
        <s v="ORD-2023-808024"/>
        <s v="ORD-2023-156396"/>
        <s v="ORD-2023-184577"/>
        <s v="ORD-2024-446030"/>
        <s v="ORD-2023-842820"/>
        <s v="ORD-2024-745424"/>
        <s v="ORD-2024-510520"/>
        <s v="ORD-2023-769774"/>
        <s v="ORD-2023-580751"/>
        <s v="ORD-2025-473192"/>
        <s v="ORD-2024-886939"/>
        <s v="ORD-2024-566589"/>
        <s v="ORD-2023-109927"/>
        <s v="ORD-2023-780206"/>
        <s v="ORD-2024-851993"/>
        <s v="ORD-2025-417942"/>
        <s v="ORD-2023-172095"/>
        <s v="ORD-2024-257550"/>
        <s v="ORD-2023-581799"/>
        <s v="ORD-2023-880296"/>
        <s v="ORD-2023-191563"/>
        <s v="ORD-2024-202166"/>
        <s v="ORD-2023-539967"/>
        <s v="ORD-2023-704111"/>
        <s v="ORD-2024-356812"/>
        <s v="ORD-2025-306251"/>
        <s v="ORD-2025-496178"/>
        <s v="ORD-2024-508213"/>
        <s v="ORD-2024-787018"/>
        <s v="ORD-2023-728177"/>
        <s v="ORD-2025-795385"/>
        <s v="ORD-2025-947929"/>
        <s v="ORD-2023-931633"/>
        <s v="ORD-2023-243704"/>
        <s v="ORD-2025-779659"/>
        <s v="ORD-2024-647571"/>
        <s v="ORD-2025-683043"/>
        <s v="ORD-2023-588455"/>
        <s v="ORD-2024-641220"/>
        <s v="ORD-2023-799597"/>
        <s v="ORD-2023-569862"/>
        <s v="ORD-2023-609394"/>
        <s v="ORD-2024-105586"/>
        <s v="ORD-2024-207792"/>
        <s v="ORD-2025-417336"/>
        <s v="ORD-2025-252117"/>
        <s v="ORD-2023-867175"/>
        <s v="ORD-2024-382152"/>
        <s v="ORD-2023-597666"/>
        <s v="ORD-2024-371409"/>
        <s v="ORD-2024-973420"/>
        <s v="ORD-2025-254721"/>
        <s v="ORD-2024-247032"/>
        <s v="ORD-2024-792353"/>
        <s v="ORD-2025-703623"/>
        <s v="ORD-2024-516704"/>
        <s v="ORD-2024-578646"/>
        <s v="ORD-2024-433936"/>
        <s v="ORD-2023-434071"/>
        <s v="ORD-2024-728474"/>
        <s v="ORD-2023-406606"/>
        <s v="ORD-2025-823055"/>
        <s v="ORD-2023-573656"/>
        <s v="ORD-2024-567435"/>
        <s v="ORD-2023-744942"/>
        <s v="ORD-2025-331237"/>
        <s v="ORD-2025-680118"/>
        <s v="ORD-2024-310809"/>
        <s v="ORD-2025-474368"/>
        <s v="ORD-2024-732543"/>
        <s v="ORD-2023-867166"/>
        <s v="ORD-2024-776337"/>
        <s v="ORD-2023-913592"/>
        <s v="ORD-2024-961501"/>
        <s v="ORD-2024-964950"/>
        <s v="ORD-2023-349264"/>
        <s v="ORD-2025-137394"/>
        <s v="ORD-2025-635337"/>
        <s v="ORD-2023-568013"/>
        <s v="ORD-2025-828263"/>
        <s v="ORD-2024-402240"/>
        <s v="ORD-2023-125739"/>
        <s v="ORD-2024-892879"/>
        <s v="ORD-2023-472050"/>
        <s v="ORD-2024-468615"/>
        <s v="ORD-2024-833375"/>
        <s v="ORD-2024-206311"/>
        <s v="ORD-2024-364080"/>
        <s v="ORD-2025-460466"/>
        <s v="ORD-2023-700699"/>
        <s v="ORD-2024-713332"/>
        <s v="ORD-2023-640022"/>
        <s v="ORD-2024-532184"/>
        <s v="ORD-2025-926547"/>
        <s v="ORD-2025-778145"/>
        <s v="ORD-2023-525643"/>
        <s v="ORD-2025-312803"/>
        <s v="ORD-2025-149156"/>
        <s v="ORD-2023-215819"/>
        <s v="ORD-2024-353078"/>
        <s v="ORD-2023-621393"/>
        <s v="ORD-2023-974506"/>
        <s v="ORD-2023-811823"/>
        <s v="ORD-2023-286720"/>
        <s v="ORD-2024-626925"/>
        <s v="ORD-2023-960380"/>
        <s v="ORD-2023-453699"/>
        <s v="ORD-2025-960931"/>
        <s v="ORD-2024-419248"/>
        <s v="ORD-2023-488227"/>
        <s v="ORD-2023-472078"/>
        <s v="ORD-2024-202877"/>
        <s v="ORD-2024-140633"/>
        <s v="ORD-2025-419532"/>
        <s v="ORD-2023-139236"/>
        <s v="ORD-2025-337268"/>
        <s v="ORD-2025-332931"/>
        <s v="ORD-2024-536442"/>
        <s v="ORD-2023-957692"/>
        <s v="ORD-2025-874124"/>
        <s v="ORD-2024-687073"/>
        <s v="ORD-2024-555229"/>
        <s v="ORD-2024-872291"/>
        <s v="ORD-2024-250862"/>
        <s v="ORD-2024-331226"/>
        <s v="ORD-2023-356427"/>
        <s v="ORD-2025-659650"/>
        <s v="ORD-2024-207669"/>
        <s v="ORD-2024-979401"/>
        <s v="ORD-2025-929414"/>
        <s v="ORD-2024-766980"/>
        <s v="ORD-2024-437164"/>
        <s v="ORD-2025-169093"/>
        <s v="ORD-2023-868460"/>
        <s v="ORD-2025-177994"/>
        <s v="ORD-2024-355095"/>
        <s v="ORD-2023-126505"/>
        <s v="ORD-2023-340056"/>
        <s v="ORD-2025-281413"/>
        <s v="ORD-2023-713614"/>
        <s v="ORD-2023-173313"/>
        <s v="ORD-2024-496601"/>
        <s v="ORD-2025-155182"/>
        <s v="ORD-2023-244375"/>
        <s v="ORD-2023-856322"/>
        <s v="ORD-2024-594527"/>
        <s v="ORD-2024-689872"/>
        <s v="ORD-2025-246692"/>
        <s v="ORD-2023-378676"/>
        <s v="ORD-2024-243988"/>
        <s v="ORD-2024-572312"/>
        <s v="ORD-2025-281062"/>
        <s v="ORD-2023-727290"/>
        <s v="ORD-2025-993993"/>
        <s v="ORD-2023-619493"/>
        <s v="ORD-2024-947056"/>
        <s v="ORD-2025-856556"/>
        <s v="ORD-2024-442776"/>
        <s v="ORD-2025-705398"/>
        <s v="ORD-2023-689428"/>
        <s v="ORD-2025-683247"/>
        <s v="ORD-2024-585443"/>
        <s v="ORD-2024-907733"/>
        <s v="ORD-2024-550400"/>
        <s v="ORD-2025-189846"/>
        <s v="ORD-2025-752192"/>
        <s v="ORD-2023-294716"/>
        <s v="ORD-2023-552115"/>
        <s v="ORD-2023-107265"/>
        <s v="ORD-2025-262434"/>
        <s v="ORD-2024-266562"/>
        <s v="ORD-2024-838925"/>
        <s v="ORD-2023-664790"/>
        <s v="ORD-2024-331408"/>
        <s v="ORD-2024-741404"/>
        <s v="ORD-2024-341535"/>
        <s v="ORD-2023-451931"/>
        <s v="ORD-2025-532859"/>
        <s v="ORD-2023-502205"/>
        <s v="ORD-2024-930679"/>
        <s v="ORD-2025-150713"/>
        <s v="ORD-2024-756884"/>
        <s v="ORD-2023-755337"/>
        <s v="ORD-2025-907040"/>
        <s v="ORD-2024-817997"/>
        <s v="ORD-2025-649633"/>
        <s v="ORD-2023-885216"/>
        <s v="ORD-2023-561823"/>
        <s v="ORD-2023-249805"/>
        <s v="ORD-2023-548934"/>
        <s v="ORD-2023-921939"/>
        <s v="ORD-2023-961864"/>
        <s v="ORD-2023-455933"/>
        <s v="ORD-2025-728935"/>
      </sharedItems>
    </cacheField>
    <cacheField name="Order Date " numFmtId="58">
      <sharedItems containsSemiMixedTypes="0" containsString="0" containsNonDate="0" containsDate="1" minDate="2023-01-02T00:00:00" maxDate="2025-09-15T00:00:00" count="467">
        <d v="2024-03-11T00:00:00"/>
        <d v="2024-10-23T00:00:00"/>
        <d v="2023-02-28T00:00:00"/>
        <d v="2025-03-29T00:00:00"/>
        <d v="2023-01-02T00:00:00"/>
        <d v="2024-12-27T00:00:00"/>
        <d v="2023-01-15T00:00:00"/>
        <d v="2024-05-04T00:00:00"/>
        <d v="2025-05-21T00:00:00"/>
        <d v="2024-01-28T00:00:00"/>
        <d v="2025-01-03T00:00:00"/>
        <d v="2025-03-06T00:00:00"/>
        <d v="2024-01-20T00:00:00"/>
        <d v="2025-09-01T00:00:00"/>
        <d v="2023-04-23T00:00:00"/>
        <d v="2024-12-10T00:00:00"/>
        <d v="2025-09-08T00:00:00"/>
        <d v="2025-07-20T00:00:00"/>
        <d v="2024-07-25T00:00:00"/>
        <d v="2023-05-11T00:00:00"/>
        <d v="2025-06-14T00:00:00"/>
        <d v="2024-05-18T00:00:00"/>
        <d v="2023-02-07T00:00:00"/>
        <d v="2024-06-30T00:00:00"/>
        <d v="2024-11-30T00:00:00"/>
        <d v="2024-07-19T00:00:00"/>
        <d v="2023-04-14T00:00:00"/>
        <d v="2025-04-07T00:00:00"/>
        <d v="2023-02-23T00:00:00"/>
        <d v="2025-07-24T00:00:00"/>
        <d v="2024-04-18T00:00:00"/>
        <d v="2024-08-23T00:00:00"/>
        <d v="2023-03-27T00:00:00"/>
        <d v="2024-03-07T00:00:00"/>
        <d v="2025-06-24T00:00:00"/>
        <d v="2024-04-19T00:00:00"/>
        <d v="2023-06-17T00:00:00"/>
        <d v="2024-08-27T00:00:00"/>
        <d v="2024-01-11T00:00:00"/>
        <d v="2024-10-25T00:00:00"/>
        <d v="2025-05-29T00:00:00"/>
        <d v="2024-05-20T00:00:00"/>
        <d v="2023-04-19T00:00:00"/>
        <d v="2023-06-23T00:00:00"/>
        <d v="2024-05-14T00:00:00"/>
        <d v="2024-10-14T00:00:00"/>
        <d v="2023-07-10T00:00:00"/>
        <d v="2024-11-06T00:00:00"/>
        <d v="2024-10-17T00:00:00"/>
        <d v="2023-03-31T00:00:00"/>
        <d v="2025-01-21T00:00:00"/>
        <d v="2023-08-30T00:00:00"/>
        <d v="2025-04-06T00:00:00"/>
        <d v="2025-02-09T00:00:00"/>
        <d v="2024-12-17T00:00:00"/>
        <d v="2025-06-09T00:00:00"/>
        <d v="2025-05-02T00:00:00"/>
        <d v="2024-03-10T00:00:00"/>
        <d v="2025-09-10T00:00:00"/>
        <d v="2025-04-27T00:00:00"/>
        <d v="2024-11-02T00:00:00"/>
        <d v="2023-02-15T00:00:00"/>
        <d v="2023-12-03T00:00:00"/>
        <d v="2023-03-19T00:00:00"/>
        <d v="2024-05-22T00:00:00"/>
        <d v="2023-08-19T00:00:00"/>
        <d v="2023-04-21T00:00:00"/>
        <d v="2024-03-18T00:00:00"/>
        <d v="2025-04-09T00:00:00"/>
        <d v="2024-04-12T00:00:00"/>
        <d v="2024-12-15T00:00:00"/>
        <d v="2023-05-20T00:00:00"/>
        <d v="2023-09-18T00:00:00"/>
        <d v="2024-08-28T00:00:00"/>
        <d v="2023-06-14T00:00:00"/>
        <d v="2024-11-21T00:00:00"/>
        <d v="2023-02-08T00:00:00"/>
        <d v="2025-05-14T00:00:00"/>
        <d v="2025-04-23T00:00:00"/>
        <d v="2025-03-25T00:00:00"/>
        <d v="2023-12-22T00:00:00"/>
        <d v="2024-04-06T00:00:00"/>
        <d v="2025-08-07T00:00:00"/>
        <d v="2024-01-21T00:00:00"/>
        <d v="2023-06-29T00:00:00"/>
        <d v="2025-04-28T00:00:00"/>
        <d v="2023-06-24T00:00:00"/>
        <d v="2024-10-04T00:00:00"/>
        <d v="2023-04-06T00:00:00"/>
        <d v="2025-08-01T00:00:00"/>
        <d v="2024-05-28T00:00:00"/>
        <d v="2025-07-22T00:00:00"/>
        <d v="2025-01-27T00:00:00"/>
        <d v="2024-01-13T00:00:00"/>
        <d v="2025-03-31T00:00:00"/>
        <d v="2024-12-05T00:00:00"/>
        <d v="2024-09-14T00:00:00"/>
        <d v="2024-05-21T00:00:00"/>
        <d v="2024-08-14T00:00:00"/>
        <d v="2024-10-16T00:00:00"/>
        <d v="2024-06-02T00:00:00"/>
        <d v="2024-06-09T00:00:00"/>
        <d v="2024-06-10T00:00:00"/>
        <d v="2024-06-29T00:00:00"/>
        <d v="2025-01-17T00:00:00"/>
        <d v="2023-11-20T00:00:00"/>
        <d v="2023-03-02T00:00:00"/>
        <d v="2025-06-03T00:00:00"/>
        <d v="2023-06-09T00:00:00"/>
        <d v="2025-07-09T00:00:00"/>
        <d v="2025-06-19T00:00:00"/>
        <d v="2023-11-19T00:00:00"/>
        <d v="2023-12-29T00:00:00"/>
        <d v="2023-08-21T00:00:00"/>
        <d v="2023-08-12T00:00:00"/>
        <d v="2024-06-07T00:00:00"/>
        <d v="2025-08-05T00:00:00"/>
        <d v="2024-05-30T00:00:00"/>
        <d v="2023-01-22T00:00:00"/>
        <d v="2025-02-12T00:00:00"/>
        <d v="2025-03-03T00:00:00"/>
        <d v="2023-01-27T00:00:00"/>
        <d v="2025-01-09T00:00:00"/>
        <d v="2024-12-21T00:00:00"/>
        <d v="2023-04-12T00:00:00"/>
        <d v="2024-12-14T00:00:00"/>
        <d v="2024-11-20T00:00:00"/>
        <d v="2024-02-14T00:00:00"/>
        <d v="2023-05-02T00:00:00"/>
        <d v="2024-12-23T00:00:00"/>
        <d v="2023-07-26T00:00:00"/>
        <d v="2024-06-15T00:00:00"/>
        <d v="2023-07-05T00:00:00"/>
        <d v="2023-11-30T00:00:00"/>
        <d v="2025-09-11T00:00:00"/>
        <d v="2024-04-04T00:00:00"/>
        <d v="2023-09-14T00:00:00"/>
        <d v="2024-09-23T00:00:00"/>
        <d v="2025-04-16T00:00:00"/>
        <d v="2023-07-03T00:00:00"/>
        <d v="2023-12-07T00:00:00"/>
        <d v="2024-02-18T00:00:00"/>
        <d v="2023-10-31T00:00:00"/>
        <d v="2024-08-07T00:00:00"/>
        <d v="2024-02-01T00:00:00"/>
        <d v="2025-02-15T00:00:00"/>
        <d v="2023-02-20T00:00:00"/>
        <d v="2024-10-30T00:00:00"/>
        <d v="2024-04-03T00:00:00"/>
        <d v="2023-03-25T00:00:00"/>
        <d v="2024-06-04T00:00:00"/>
        <d v="2023-02-19T00:00:00"/>
        <d v="2023-04-18T00:00:00"/>
        <d v="2024-05-23T00:00:00"/>
        <d v="2023-10-07T00:00:00"/>
        <d v="2024-10-09T00:00:00"/>
        <d v="2024-07-15T00:00:00"/>
        <d v="2023-09-21T00:00:00"/>
        <d v="2023-02-24T00:00:00"/>
        <d v="2025-04-14T00:00:00"/>
        <d v="2023-08-27T00:00:00"/>
        <d v="2024-02-03T00:00:00"/>
        <d v="2023-04-05T00:00:00"/>
        <d v="2025-08-21T00:00:00"/>
        <d v="2025-09-15T00:00:00"/>
        <d v="2024-10-03T00:00:00"/>
        <d v="2025-02-02T00:00:00"/>
        <d v="2024-10-22T00:00:00"/>
        <d v="2023-06-22T00:00:00"/>
        <d v="2025-01-13T00:00:00"/>
        <d v="2023-01-29T00:00:00"/>
        <d v="2023-07-19T00:00:00"/>
        <d v="2024-05-19T00:00:00"/>
        <d v="2023-08-08T00:00:00"/>
        <d v="2024-08-12T00:00:00"/>
        <d v="2023-10-15T00:00:00"/>
        <d v="2023-05-04T00:00:00"/>
        <d v="2024-09-22T00:00:00"/>
        <d v="2024-02-11T00:00:00"/>
        <d v="2023-01-30T00:00:00"/>
        <d v="2023-01-13T00:00:00"/>
        <d v="2024-01-12T00:00:00"/>
        <d v="2023-08-15T00:00:00"/>
        <d v="2023-01-20T00:00:00"/>
        <d v="2025-02-04T00:00:00"/>
        <d v="2023-07-02T00:00:00"/>
        <d v="2024-09-10T00:00:00"/>
        <d v="2025-07-21T00:00:00"/>
        <d v="2024-10-02T00:00:00"/>
        <d v="2025-07-14T00:00:00"/>
        <d v="2024-09-09T00:00:00"/>
        <d v="2025-01-29T00:00:00"/>
        <d v="2023-11-10T00:00:00"/>
        <d v="2024-02-29T00:00:00"/>
        <d v="2023-12-20T00:00:00"/>
        <d v="2024-10-11T00:00:00"/>
        <d v="2024-09-19T00:00:00"/>
        <d v="2025-08-25T00:00:00"/>
        <d v="2023-09-25T00:00:00"/>
        <d v="2023-08-26T00:00:00"/>
        <d v="2025-07-16T00:00:00"/>
        <d v="2023-12-19T00:00:00"/>
        <d v="2023-07-30T00:00:00"/>
        <d v="2023-10-04T00:00:00"/>
        <d v="2025-08-10T00:00:00"/>
        <d v="2023-03-07T00:00:00"/>
        <d v="2023-05-23T00:00:00"/>
        <d v="2025-04-24T00:00:00"/>
        <d v="2024-09-03T00:00:00"/>
        <d v="2024-09-05T00:00:00"/>
        <d v="2023-03-14T00:00:00"/>
        <d v="2024-09-13T00:00:00"/>
        <d v="2025-07-17T00:00:00"/>
        <d v="2023-11-28T00:00:00"/>
        <d v="2024-03-30T00:00:00"/>
        <d v="2023-09-19T00:00:00"/>
        <d v="2025-05-16T00:00:00"/>
        <d v="2025-08-02T00:00:00"/>
        <d v="2024-12-04T00:00:00"/>
        <d v="2024-03-06T00:00:00"/>
        <d v="2024-02-16T00:00:00"/>
        <d v="2025-04-22T00:00:00"/>
        <d v="2024-11-08T00:00:00"/>
        <d v="2025-09-12T00:00:00"/>
        <d v="2024-09-02T00:00:00"/>
        <d v="2023-03-04T00:00:00"/>
        <d v="2024-03-15T00:00:00"/>
        <d v="2024-07-29T00:00:00"/>
        <d v="2024-10-27T00:00:00"/>
        <d v="2024-04-29T00:00:00"/>
        <d v="2023-10-05T00:00:00"/>
        <d v="2025-06-27T00:00:00"/>
        <d v="2023-10-11T00:00:00"/>
        <d v="2023-05-27T00:00:00"/>
        <d v="2023-08-04T00:00:00"/>
        <d v="2025-06-21T00:00:00"/>
        <d v="2025-09-02T00:00:00"/>
        <d v="2024-10-08T00:00:00"/>
        <d v="2023-05-07T00:00:00"/>
        <d v="2023-12-24T00:00:00"/>
        <d v="2024-01-10T00:00:00"/>
        <d v="2023-08-03T00:00:00"/>
        <d v="2025-02-19T00:00:00"/>
        <d v="2024-03-31T00:00:00"/>
        <d v="2023-07-24T00:00:00"/>
        <d v="2024-03-16T00:00:00"/>
        <d v="2024-01-25T00:00:00"/>
        <d v="2024-03-27T00:00:00"/>
        <d v="2024-06-16T00:00:00"/>
        <d v="2023-10-30T00:00:00"/>
        <d v="2023-06-15T00:00:00"/>
        <d v="2025-03-14T00:00:00"/>
        <d v="2025-05-17T00:00:00"/>
        <d v="2025-04-04T00:00:00"/>
        <d v="2024-09-07T00:00:00"/>
        <d v="2023-07-18T00:00:00"/>
        <d v="2025-08-28T00:00:00"/>
        <d v="2025-03-30T00:00:00"/>
        <d v="2023-10-21T00:00:00"/>
        <d v="2023-08-23T00:00:00"/>
        <d v="2025-04-11T00:00:00"/>
        <d v="2025-06-01T00:00:00"/>
        <d v="2024-03-02T00:00:00"/>
        <d v="2023-06-20T00:00:00"/>
        <d v="2024-03-26T00:00:00"/>
        <d v="2025-01-22T00:00:00"/>
        <d v="2025-05-10T00:00:00"/>
        <d v="2025-06-22T00:00:00"/>
        <d v="2024-06-19T00:00:00"/>
        <d v="2025-05-18T00:00:00"/>
        <d v="2023-01-10T00:00:00"/>
        <d v="2024-12-29T00:00:00"/>
        <d v="2024-11-04T00:00:00"/>
        <d v="2024-06-08T00:00:00"/>
        <d v="2023-05-06T00:00:00"/>
        <d v="2023-11-14T00:00:00"/>
        <d v="2025-04-01T00:00:00"/>
        <d v="2023-03-23T00:00:00"/>
        <d v="2024-01-02T00:00:00"/>
        <d v="2023-06-10T00:00:00"/>
        <d v="2025-05-19T00:00:00"/>
        <d v="2023-10-22T00:00:00"/>
        <d v="2025-01-11T00:00:00"/>
        <d v="2025-09-14T00:00:00"/>
        <d v="2023-11-15T00:00:00"/>
        <d v="2024-04-09T00:00:00"/>
        <d v="2024-07-11T00:00:00"/>
        <d v="2023-07-25T00:00:00"/>
        <d v="2023-07-14T00:00:00"/>
        <d v="2023-04-13T00:00:00"/>
        <d v="2024-10-29T00:00:00"/>
        <d v="2024-02-17T00:00:00"/>
        <d v="2024-07-13T00:00:00"/>
        <d v="2023-12-01T00:00:00"/>
        <d v="2023-12-21T00:00:00"/>
        <d v="2025-06-17T00:00:00"/>
        <d v="2023-12-02T00:00:00"/>
        <d v="2024-08-08T00:00:00"/>
        <d v="2024-11-07T00:00:00"/>
        <d v="2024-01-01T00:00:00"/>
        <d v="2025-08-14T00:00:00"/>
        <d v="2024-11-25T00:00:00"/>
        <d v="2024-01-18T00:00:00"/>
        <d v="2024-06-23T00:00:00"/>
        <d v="2025-06-25T00:00:00"/>
        <d v="2023-07-01T00:00:00"/>
        <d v="2024-03-09T00:00:00"/>
        <d v="2023-06-05T00:00:00"/>
        <d v="2025-03-21T00:00:00"/>
        <d v="2025-03-15T00:00:00"/>
        <d v="2023-12-26T00:00:00"/>
        <d v="2023-02-05T00:00:00"/>
        <d v="2024-05-17T00:00:00"/>
        <d v="2024-03-03T00:00:00"/>
        <d v="2023-03-13T00:00:00"/>
        <d v="2025-01-07T00:00:00"/>
        <d v="2025-02-06T00:00:00"/>
        <d v="2025-01-31T00:00:00"/>
        <d v="2025-07-23T00:00:00"/>
        <d v="2024-07-18T00:00:00"/>
        <d v="2025-05-12T00:00:00"/>
        <d v="2024-05-07T00:00:00"/>
        <d v="2023-09-30T00:00:00"/>
        <d v="2023-10-26T00:00:00"/>
        <d v="2025-06-15T00:00:00"/>
        <d v="2024-08-10T00:00:00"/>
        <d v="2023-10-09T00:00:00"/>
        <d v="2023-05-29T00:00:00"/>
        <d v="2025-05-27T00:00:00"/>
        <d v="2024-12-12T00:00:00"/>
        <d v="2024-09-06T00:00:00"/>
        <d v="2025-04-12T00:00:00"/>
        <d v="2024-11-05T00:00:00"/>
        <d v="2024-07-24T00:00:00"/>
        <d v="2025-01-20T00:00:00"/>
        <d v="2023-03-06T00:00:00"/>
        <d v="2024-12-20T00:00:00"/>
        <d v="2025-02-21T00:00:00"/>
        <d v="2025-03-08T00:00:00"/>
        <d v="2023-12-16T00:00:00"/>
        <d v="2024-08-30T00:00:00"/>
        <d v="2023-03-17T00:00:00"/>
        <d v="2023-08-25T00:00:00"/>
        <d v="2024-06-06T00:00:00"/>
        <d v="2023-08-29T00:00:00"/>
        <d v="2025-06-05T00:00:00"/>
        <d v="2024-01-16T00:00:00"/>
        <d v="2023-10-12T00:00:00"/>
        <d v="2025-02-25T00:00:00"/>
        <d v="2025-07-03T00:00:00"/>
        <d v="2024-02-19T00:00:00"/>
        <d v="2024-02-27T00:00:00"/>
        <d v="2024-08-18T00:00:00"/>
        <d v="2024-02-25T00:00:00"/>
        <d v="2025-05-07T00:00:00"/>
        <d v="2024-11-01T00:00:00"/>
        <d v="2024-12-28T00:00:00"/>
        <d v="2023-10-18T00:00:00"/>
        <d v="2024-12-24T00:00:00"/>
        <d v="2023-12-30T00:00:00"/>
        <d v="2023-02-21T00:00:00"/>
        <d v="2023-05-17T00:00:00"/>
        <d v="2024-03-23T00:00:00"/>
        <d v="2023-09-20T00:00:00"/>
        <d v="2024-08-22T00:00:00"/>
        <d v="2024-09-25T00:00:00"/>
        <d v="2023-06-13T00:00:00"/>
        <d v="2024-06-03T00:00:00"/>
        <d v="2024-06-11T00:00:00"/>
        <d v="2023-07-22T00:00:00"/>
        <d v="2023-01-19T00:00:00"/>
        <d v="2024-05-01T00:00:00"/>
        <d v="2023-05-24T00:00:00"/>
        <d v="2023-12-05T00:00:00"/>
        <d v="2024-05-05T00:00:00"/>
        <d v="2023-07-09T00:00:00"/>
        <d v="2025-04-10T00:00:00"/>
        <d v="2025-07-27T00:00:00"/>
        <d v="2024-11-22T00:00:00"/>
        <d v="2023-12-18T00:00:00"/>
        <d v="2025-03-23T00:00:00"/>
        <d v="2023-05-14T00:00:00"/>
        <d v="2024-02-06T00:00:00"/>
        <d v="2025-08-13T00:00:00"/>
        <d v="2024-05-10T00:00:00"/>
        <d v="2023-07-16T00:00:00"/>
        <d v="2023-04-16T00:00:00"/>
        <d v="2025-08-30T00:00:00"/>
        <d v="2023-08-10T00:00:00"/>
        <d v="2024-12-08T00:00:00"/>
        <d v="2023-10-25T00:00:00"/>
        <d v="2024-11-17T00:00:00"/>
        <d v="2024-05-12T00:00:00"/>
        <d v="2025-05-15T00:00:00"/>
        <d v="2024-04-21T00:00:00"/>
        <d v="2024-08-19T00:00:00"/>
        <d v="2024-03-01T00:00:00"/>
        <d v="2024-05-27T00:00:00"/>
        <d v="2024-08-04T00:00:00"/>
        <d v="2024-04-26T00:00:00"/>
        <d v="2025-03-24T00:00:00"/>
        <d v="2025-03-10T00:00:00"/>
        <d v="2024-04-05T00:00:00"/>
        <d v="2024-10-24T00:00:00"/>
        <d v="2024-11-12T00:00:00"/>
        <d v="2023-05-10T00:00:00"/>
        <d v="2024-10-10T00:00:00"/>
        <d v="2023-06-01T00:00:00"/>
        <d v="2025-01-04T00:00:00"/>
        <d v="2023-05-01T00:00:00"/>
        <d v="2024-07-09T00:00:00"/>
        <d v="2024-04-24T00:00:00"/>
        <d v="2024-04-16T00:00:00"/>
        <d v="2025-02-07T00:00:00"/>
        <d v="2023-01-12T00:00:00"/>
        <d v="2024-06-05T00:00:00"/>
        <d v="2023-08-24T00:00:00"/>
        <d v="2025-03-11T00:00:00"/>
        <d v="2023-08-17T00:00:00"/>
        <d v="2025-01-10T00:00:00"/>
        <d v="2024-08-16T00:00:00"/>
        <d v="2023-07-07T00:00:00"/>
        <d v="2023-12-28T00:00:00"/>
        <d v="2023-01-26T00:00:00"/>
        <d v="2023-07-08T00:00:00"/>
        <d v="2023-02-11T00:00:00"/>
        <d v="2025-08-20T00:00:00"/>
        <d v="2024-03-04T00:00:00"/>
        <d v="2023-09-08T00:00:00"/>
        <d v="2024-12-07T00:00:00"/>
        <d v="2025-08-06T00:00:00"/>
        <d v="2023-03-03T00:00:00"/>
        <d v="2025-02-16T00:00:00"/>
        <d v="2024-08-31T00:00:00"/>
        <d v="2024-01-08T00:00:00"/>
        <d v="2024-01-24T00:00:00"/>
        <d v="2024-02-08T00:00:00"/>
        <d v="2025-06-26T00:00:00"/>
        <d v="2024-02-20T00:00:00"/>
        <d v="2025-04-13T00:00:00"/>
        <d v="2023-04-26T00:00:00"/>
        <d v="2025-08-03T00:00:00"/>
        <d v="2023-08-02T00:00:00"/>
        <d v="2024-11-11T00:00:00"/>
        <d v="2025-07-11T00:00:00"/>
        <d v="2023-06-03T00:00:00"/>
        <d v="2024-08-03T00:00:00"/>
        <d v="2025-04-17T00:00:00"/>
        <d v="2023-05-03T00:00:00"/>
        <d v="2024-03-13T00:00:00"/>
        <d v="2023-04-03T00:00:00"/>
        <d v="2023-02-27T00:00:00"/>
        <d v="2024-07-31T00:00:00"/>
        <d v="2025-02-17T00:00:00"/>
        <d v="2023-01-07T00:00:00"/>
        <d v="2024-08-17T00:00:00"/>
        <d v="2025-08-11T00:00:00"/>
        <d v="2023-04-10T00:00:00"/>
        <d v="2023-09-17T00:00:00"/>
        <d v="2023-04-22T00:00:00"/>
        <d v="2024-11-27T00:00:00"/>
        <d v="2024-10-19T00:00:00"/>
        <d v="2024-06-25T00:00:00"/>
        <d v="2024-10-13T00:00:00"/>
        <d v="2024-07-28T00:00:00"/>
        <d v="2025-07-19T00:00:00"/>
        <d v="2025-02-28T00:00:00"/>
      </sharedItems>
    </cacheField>
    <cacheField name="Required Date" numFmtId="58">
      <sharedItems containsSemiMixedTypes="0" containsString="0" containsNonDate="0" containsDate="1" minDate="1899-12-30T00:00:00" maxDate="2025-10-05T00:00:00" count="468">
        <d v="2024-04-06T00:00:00"/>
        <d v="1899-12-30T00:00:00"/>
        <d v="2023-03-25T00:00:00"/>
        <d v="2025-04-02T00:00:00"/>
        <d v="2023-01-05T00:00:00"/>
        <d v="2025-01-14T00:00:00"/>
        <d v="2023-01-13T00:00:00"/>
        <d v="2024-05-29T00:00:00"/>
        <d v="2025-06-09T00:00:00"/>
        <d v="2024-02-09T00:00:00"/>
        <d v="2025-01-23T00:00:00"/>
        <d v="2025-03-31T00:00:00"/>
        <d v="2024-02-13T00:00:00"/>
        <d v="2025-09-30T00:00:00"/>
        <d v="2023-04-22T00:00:00"/>
        <d v="2025-01-08T00:00:00"/>
        <d v="2025-09-16T00:00:00"/>
        <d v="2025-08-05T00:00:00"/>
        <d v="2025-05-19T00:00:00"/>
        <d v="2024-07-24T00:00:00"/>
        <d v="2023-05-28T00:00:00"/>
        <d v="2025-06-29T00:00:00"/>
        <d v="2024-05-23T00:00:00"/>
        <d v="2023-02-12T00:00:00"/>
        <d v="2024-07-14T00:00:00"/>
        <d v="2024-12-30T00:00:00"/>
        <d v="2024-07-19T00:00:00"/>
        <d v="2023-05-14T00:00:00"/>
        <d v="2025-04-11T00:00:00"/>
        <d v="2025-01-15T00:00:00"/>
        <d v="2025-08-06T00:00:00"/>
        <d v="2024-05-08T00:00:00"/>
        <d v="2024-08-21T00:00:00"/>
        <d v="2024-03-25T00:00:00"/>
        <d v="2025-07-10T00:00:00"/>
        <d v="2024-05-06T00:00:00"/>
        <d v="2023-06-24T00:00:00"/>
        <d v="2024-09-19T00:00:00"/>
        <d v="2024-02-02T00:00:00"/>
        <d v="2024-11-14T00:00:00"/>
        <d v="2025-06-20T00:00:00"/>
        <d v="2024-06-02T00:00:00"/>
        <d v="2023-04-30T00:00:00"/>
        <d v="2023-07-03T00:00:00"/>
        <d v="2024-05-28T00:00:00"/>
        <d v="2024-11-08T00:00:00"/>
        <d v="2023-08-01T00:00:00"/>
        <d v="2024-11-22T00:00:00"/>
        <d v="2024-11-06T00:00:00"/>
        <d v="2023-04-05T00:00:00"/>
        <d v="2025-02-16T00:00:00"/>
        <d v="2023-09-01T00:00:00"/>
        <d v="2025-04-30T00:00:00"/>
        <d v="2025-03-01T00:00:00"/>
        <d v="2024-12-18T00:00:00"/>
        <d v="2025-06-18T00:00:00"/>
        <d v="2025-05-13T00:00:00"/>
        <d v="2024-04-09T00:00:00"/>
        <d v="2025-09-12T00:00:00"/>
        <d v="2025-05-25T00:00:00"/>
        <d v="2024-11-18T00:00:00"/>
        <d v="2023-02-26T00:00:00"/>
        <d v="2023-12-26T00:00:00"/>
        <d v="2023-04-09T00:00:00"/>
        <d v="2024-06-06T00:00:00"/>
        <d v="2023-09-07T00:00:00"/>
        <d v="2023-05-10T00:00:00"/>
        <d v="2024-03-21T00:00:00"/>
        <d v="2025-05-06T00:00:00"/>
        <d v="2024-05-07T00:00:00"/>
        <d v="2024-12-20T00:00:00"/>
        <d v="2023-05-18T00:00:00"/>
        <d v="2023-10-08T00:00:00"/>
        <d v="2024-09-25T00:00:00"/>
        <d v="2024-06-28T00:00:00"/>
        <d v="2023-06-16T00:00:00"/>
        <d v="2024-12-21T00:00:00"/>
        <d v="2023-02-11T00:00:00"/>
        <d v="2023-09-12T00:00:00"/>
        <d v="2025-05-24T00:00:00"/>
        <d v="2025-04-22T00:00:00"/>
        <d v="2025-04-17T00:00:00"/>
        <d v="2023-12-23T00:00:00"/>
        <d v="2024-04-25T00:00:00"/>
        <d v="2025-08-19T00:00:00"/>
        <d v="2024-01-25T00:00:00"/>
        <d v="2023-07-02T00:00:00"/>
        <d v="2025-05-15T00:00:00"/>
        <d v="2025-06-25T00:00:00"/>
        <d v="2023-06-23T00:00:00"/>
        <d v="2024-11-02T00:00:00"/>
        <d v="2023-04-27T00:00:00"/>
        <d v="2025-08-16T00:00:00"/>
        <d v="2024-05-26T00:00:00"/>
        <d v="2025-08-18T00:00:00"/>
        <d v="2023-03-20T00:00:00"/>
        <d v="2025-02-15T00:00:00"/>
        <d v="2024-01-22T00:00:00"/>
        <d v="2025-04-04T00:00:00"/>
        <d v="2024-12-28T00:00:00"/>
        <d v="2024-10-05T00:00:00"/>
        <d v="2024-05-27T00:00:00"/>
        <d v="2023-06-07T00:00:00"/>
        <d v="2024-09-04T00:00:00"/>
        <d v="2024-06-08T00:00:00"/>
        <d v="2024-07-07T00:00:00"/>
        <d v="2024-06-11T00:00:00"/>
        <d v="2024-07-26T00:00:00"/>
        <d v="2025-01-24T00:00:00"/>
        <d v="2023-12-05T00:00:00"/>
        <d v="2023-03-05T00:00:00"/>
        <d v="2025-06-10T00:00:00"/>
        <d v="2025-01-02T00:00:00"/>
        <d v="2023-06-19T00:00:00"/>
        <d v="2025-07-18T00:00:00"/>
        <d v="2025-07-12T00:00:00"/>
        <d v="2023-12-13T00:00:00"/>
        <d v="2024-01-20T00:00:00"/>
        <d v="2024-11-29T00:00:00"/>
        <d v="2023-09-04T00:00:00"/>
        <d v="2023-09-06T00:00:00"/>
        <d v="2024-06-26T00:00:00"/>
        <d v="2025-08-14T00:00:00"/>
        <d v="2024-06-13T00:00:00"/>
        <d v="2023-01-30T00:00:00"/>
        <d v="2025-02-28T00:00:00"/>
        <d v="2025-03-24T00:00:00"/>
        <d v="2023-01-31T00:00:00"/>
        <d v="2024-12-26T00:00:00"/>
        <d v="2023-04-17T00:00:00"/>
        <d v="2025-01-12T00:00:00"/>
        <d v="2023-04-12T00:00:00"/>
        <d v="2024-12-15T00:00:00"/>
        <d v="2024-02-14T00:00:00"/>
        <d v="2025-01-11T00:00:00"/>
        <d v="2023-08-25T00:00:00"/>
        <d v="2024-07-06T00:00:00"/>
        <d v="2023-07-14T00:00:00"/>
        <d v="2023-11-29T00:00:00"/>
        <d v="2025-09-28T00:00:00"/>
        <d v="2024-04-24T00:00:00"/>
        <d v="2023-09-16T00:00:00"/>
        <d v="2024-10-18T00:00:00"/>
        <d v="2025-05-16T00:00:00"/>
        <d v="2023-07-23T00:00:00"/>
        <d v="2024-03-04T00:00:00"/>
        <d v="2023-11-02T00:00:00"/>
        <d v="2024-08-17T00:00:00"/>
        <d v="2024-02-21T00:00:00"/>
        <d v="2024-09-18T00:00:00"/>
        <d v="2025-08-21T00:00:00"/>
        <d v="2023-03-04T00:00:00"/>
        <d v="2024-11-24T00:00:00"/>
        <d v="2024-04-07T00:00:00"/>
        <d v="2023-03-26T00:00:00"/>
        <d v="2024-06-16T00:00:00"/>
        <d v="2023-03-12T00:00:00"/>
        <d v="2024-06-14T00:00:00"/>
        <d v="2023-10-23T00:00:00"/>
        <d v="2024-07-15T00:00:00"/>
        <d v="2023-10-10T00:00:00"/>
        <d v="2023-03-09T00:00:00"/>
        <d v="2024-06-03T00:00:00"/>
        <d v="2025-05-04T00:00:00"/>
        <d v="2023-09-11T00:00:00"/>
        <d v="2023-04-16T00:00:00"/>
        <d v="2025-09-18T00:00:00"/>
        <d v="2024-10-11T00:00:00"/>
        <d v="2025-03-04T00:00:00"/>
        <d v="2023-08-23T00:00:00"/>
        <d v="2024-10-29T00:00:00"/>
        <d v="2023-07-21T00:00:00"/>
        <d v="2025-02-08T00:00:00"/>
        <d v="2023-02-28T00:00:00"/>
        <d v="2023-07-31T00:00:00"/>
        <d v="2024-02-19T00:00:00"/>
        <d v="2023-08-22T00:00:00"/>
        <d v="2024-09-03T00:00:00"/>
        <d v="2023-11-13T00:00:00"/>
        <d v="2023-05-26T00:00:00"/>
        <d v="2024-10-01T00:00:00"/>
        <d v="2024-03-03T00:00:00"/>
        <d v="2023-02-21T00:00:00"/>
        <d v="2023-05-13T00:00:00"/>
        <d v="2023-01-19T00:00:00"/>
        <d v="2024-01-29T00:00:00"/>
        <d v="2023-02-03T00:00:00"/>
        <d v="2025-02-25T00:00:00"/>
        <d v="2023-04-28T00:00:00"/>
        <d v="2025-02-14T00:00:00"/>
        <d v="2024-10-07T00:00:00"/>
        <d v="2025-08-07T00:00:00"/>
        <d v="2024-10-23T00:00:00"/>
        <d v="2025-08-04T00:00:00"/>
        <d v="2025-02-06T00:00:00"/>
        <d v="2023-11-28T00:00:00"/>
        <d v="2024-03-30T00:00:00"/>
        <d v="2024-01-14T00:00:00"/>
        <d v="2023-01-21T00:00:00"/>
        <d v="2024-11-09T00:00:00"/>
        <d v="2024-10-14T00:00:00"/>
        <d v="2025-09-24T00:00:00"/>
        <d v="2023-10-02T00:00:00"/>
        <d v="2023-09-10T00:00:00"/>
        <d v="2025-07-17T00:00:00"/>
        <d v="2023-05-07T00:00:00"/>
        <d v="2023-12-20T00:00:00"/>
        <d v="2023-08-07T00:00:00"/>
        <d v="2023-10-29T00:00:00"/>
        <d v="2025-08-30T00:00:00"/>
        <d v="2023-04-01T00:00:00"/>
        <d v="2023-06-10T00:00:00"/>
        <d v="2024-09-08T00:00:00"/>
        <d v="2023-03-30T00:00:00"/>
        <d v="2024-10-02T00:00:00"/>
        <d v="2025-07-23T00:00:00"/>
        <d v="2023-12-07T00:00:00"/>
        <d v="2025-05-27T00:00:00"/>
        <d v="2025-08-08T00:00:00"/>
        <d v="2024-12-12T00:00:00"/>
        <d v="2024-03-26T00:00:00"/>
        <d v="2025-05-02T00:00:00"/>
        <d v="2023-03-24T00:00:00"/>
        <d v="2024-07-31T00:00:00"/>
        <d v="2024-11-20T00:00:00"/>
        <d v="2024-05-19T00:00:00"/>
        <d v="2023-10-06T00:00:00"/>
        <d v="2025-07-05T00:00:00"/>
        <d v="2023-10-13T00:00:00"/>
        <d v="2023-08-24T00:00:00"/>
        <d v="2025-06-27T00:00:00"/>
        <d v="2025-04-26T00:00:00"/>
        <d v="2025-09-11T00:00:00"/>
        <d v="2024-10-08T00:00:00"/>
        <d v="2023-05-05T00:00:00"/>
        <d v="2024-01-01T00:00:00"/>
        <d v="2024-01-23T00:00:00"/>
        <d v="2023-08-14T00:00:00"/>
        <d v="2025-03-09T00:00:00"/>
        <d v="2024-04-17T00:00:00"/>
        <d v="2023-08-13T00:00:00"/>
        <d v="2024-04-13T00:00:00"/>
        <d v="2024-01-27T00:00:00"/>
        <d v="2024-04-11T00:00:00"/>
        <d v="2025-07-14T00:00:00"/>
        <d v="2024-07-03T00:00:00"/>
        <d v="2023-11-14T00:00:00"/>
        <d v="2025-03-29T00:00:00"/>
        <d v="2025-05-28T00:00:00"/>
        <d v="2024-02-05T00:00:00"/>
        <d v="2025-04-13T00:00:00"/>
        <d v="2024-09-07T00:00:00"/>
        <d v="2024-01-30T00:00:00"/>
        <d v="2023-08-10T00:00:00"/>
        <d v="2025-08-26T00:00:00"/>
        <d v="2025-04-07T00:00:00"/>
        <d v="2023-11-09T00:00:00"/>
        <d v="2023-09-22T00:00:00"/>
        <d v="2024-03-16T00:00:00"/>
        <d v="2023-07-08T00:00:00"/>
        <d v="2024-04-05T00:00:00"/>
        <d v="2025-01-22T00:00:00"/>
        <d v="2023-10-31T00:00:00"/>
        <d v="2023-07-22T00:00:00"/>
        <d v="2025-07-08T00:00:00"/>
        <d v="2024-06-20T00:00:00"/>
        <d v="2025-04-12T00:00:00"/>
        <d v="2025-03-26T00:00:00"/>
        <d v="2025-02-04T00:00:00"/>
        <d v="2023-01-29T00:00:00"/>
        <d v="2023-06-22T00:00:00"/>
        <d v="2024-11-05T00:00:00"/>
        <d v="2024-06-24T00:00:00"/>
        <d v="2025-06-06T00:00:00"/>
        <d v="2023-11-30T00:00:00"/>
        <d v="2025-04-27T00:00:00"/>
        <d v="2023-04-15T00:00:00"/>
        <d v="2024-06-18T00:00:00"/>
        <d v="2023-02-27T00:00:00"/>
        <d v="2024-03-11T00:00:00"/>
        <d v="2023-05-29T00:00:00"/>
        <d v="2023-06-18T00:00:00"/>
        <d v="2025-05-17T00:00:00"/>
        <d v="2023-11-16T00:00:00"/>
        <d v="2025-09-26T00:00:00"/>
        <d v="2023-09-03T00:00:00"/>
        <d v="2023-12-06T00:00:00"/>
        <d v="2024-04-18T00:00:00"/>
        <d v="2023-08-19T00:00:00"/>
        <d v="2023-04-11T00:00:00"/>
        <d v="2024-11-04T00:00:00"/>
        <d v="2024-07-12T00:00:00"/>
        <d v="2023-12-18T00:00:00"/>
        <d v="2024-08-02T00:00:00"/>
        <d v="2023-05-16T00:00:00"/>
        <d v="2024-01-06T00:00:00"/>
        <d v="2023-03-08T00:00:00"/>
        <d v="2023-12-16T00:00:00"/>
        <d v="2024-08-20T00:00:00"/>
        <d v="2024-11-26T00:00:00"/>
        <d v="2024-04-21T00:00:00"/>
        <d v="2024-12-07T00:00:00"/>
        <d v="2024-02-03T00:00:00"/>
        <d v="2024-06-25T00:00:00"/>
        <d v="2023-06-28T00:00:00"/>
        <d v="2025-04-09T00:00:00"/>
        <d v="2024-06-15T00:00:00"/>
        <d v="2023-10-09T00:00:00"/>
        <d v="2024-01-03T00:00:00"/>
        <d v="2023-04-08T00:00:00"/>
        <d v="2025-04-10T00:00:00"/>
        <d v="2024-03-19T00:00:00"/>
        <d v="2025-07-11T00:00:00"/>
        <d v="2023-04-04T00:00:00"/>
        <d v="2025-01-20T00:00:00"/>
        <d v="2025-02-17T00:00:00"/>
        <d v="2025-09-06T00:00:00"/>
        <d v="2025-08-17T00:00:00"/>
        <d v="2024-08-07T00:00:00"/>
        <d v="2025-05-26T00:00:00"/>
        <d v="2024-05-12T00:00:00"/>
        <d v="2023-10-03T00:00:00"/>
        <d v="2023-11-05T00:00:00"/>
        <d v="2025-06-30T00:00:00"/>
        <d v="2023-10-26T00:00:00"/>
        <d v="2023-06-20T00:00:00"/>
        <d v="2025-06-08T00:00:00"/>
        <d v="2025-09-14T00:00:00"/>
        <d v="2025-09-23T00:00:00"/>
        <d v="2024-10-04T00:00:00"/>
        <d v="2024-08-15T00:00:00"/>
        <d v="2024-08-08T00:00:00"/>
        <d v="2025-02-03T00:00:00"/>
        <d v="2025-03-21T00:00:00"/>
        <d v="2025-03-15T00:00:00"/>
        <d v="2023-12-19T00:00:00"/>
        <d v="2024-09-05T00:00:00"/>
        <d v="2024-05-21T00:00:00"/>
        <d v="2023-04-06T00:00:00"/>
        <d v="2023-09-13T00:00:00"/>
        <d v="2024-12-10T00:00:00"/>
        <d v="2025-06-14T00:00:00"/>
        <d v="2025-04-08T00:00:00"/>
        <d v="2024-02-11T00:00:00"/>
        <d v="2025-03-17T00:00:00"/>
        <d v="2025-07-06T00:00:00"/>
        <d v="2025-09-25T00:00:00"/>
        <d v="2024-03-06T00:00:00"/>
        <d v="2025-09-05T00:00:00"/>
        <d v="2024-09-12T00:00:00"/>
        <d v="2024-03-09T00:00:00"/>
        <d v="2024-11-12T00:00:00"/>
        <d v="2023-10-21T00:00:00"/>
        <d v="2024-12-19T00:00:00"/>
        <d v="2023-10-20T00:00:00"/>
        <d v="2025-01-13T00:00:00"/>
        <d v="2023-04-19T00:00:00"/>
        <d v="2024-01-08T00:00:00"/>
        <d v="2023-06-03T00:00:00"/>
        <d v="2023-09-28T00:00:00"/>
        <d v="2024-10-03T00:00:00"/>
        <d v="2024-01-13T00:00:00"/>
        <d v="2025-04-29T00:00:00"/>
        <d v="2024-07-09T00:00:00"/>
        <d v="2024-05-16T00:00:00"/>
        <d v="2025-06-24T00:00:00"/>
        <d v="2023-06-21T00:00:00"/>
        <d v="2024-12-29T00:00:00"/>
        <d v="2023-12-12T00:00:00"/>
        <d v="2023-05-19T00:00:00"/>
        <d v="2023-12-10T00:00:00"/>
        <d v="2024-05-18T00:00:00"/>
        <d v="2023-07-19T00:00:00"/>
        <d v="2023-06-15T00:00:00"/>
        <d v="2024-04-03T00:00:00"/>
        <d v="2025-04-19T00:00:00"/>
        <d v="2025-08-15T00:00:00"/>
        <d v="2025-06-05T00:00:00"/>
        <d v="2023-05-22T00:00:00"/>
        <d v="2023-09-19T00:00:00"/>
        <d v="2024-02-28T00:00:00"/>
        <d v="2025-09-03T00:00:00"/>
        <d v="2023-05-25T00:00:00"/>
        <d v="2023-03-18T00:00:00"/>
        <d v="2024-01-15T00:00:00"/>
        <d v="2023-08-15T00:00:00"/>
        <d v="2024-12-08T00:00:00"/>
        <d v="2023-11-24T00:00:00"/>
        <d v="2024-11-28T00:00:00"/>
        <d v="2024-05-24T00:00:00"/>
        <d v="2024-02-29T00:00:00"/>
        <d v="2024-06-17T00:00:00"/>
        <d v="2023-07-04T00:00:00"/>
        <d v="2024-09-13T00:00:00"/>
        <d v="2023-10-28T00:00:00"/>
        <d v="2025-10-05T00:00:00"/>
        <d v="2025-03-25T00:00:00"/>
        <d v="2025-03-27T00:00:00"/>
        <d v="2024-10-28T00:00:00"/>
        <d v="2023-04-20T00:00:00"/>
        <d v="2024-11-21T00:00:00"/>
        <d v="2024-03-23T00:00:00"/>
        <d v="2023-06-08T00:00:00"/>
        <d v="2025-01-05T00:00:00"/>
        <d v="2025-08-28T00:00:00"/>
        <d v="2023-10-30T00:00:00"/>
        <d v="2025-05-30T00:00:00"/>
        <d v="2023-05-27T00:00:00"/>
        <d v="2024-05-10T00:00:00"/>
        <d v="2024-04-27T00:00:00"/>
        <d v="2023-01-26T00:00:00"/>
        <d v="2024-06-23T00:00:00"/>
        <d v="2023-09-20T00:00:00"/>
        <d v="2024-02-08T00:00:00"/>
        <d v="2025-05-12T00:00:00"/>
        <d v="2023-07-11T00:00:00"/>
        <d v="2024-08-26T00:00:00"/>
        <d v="2023-07-13T00:00:00"/>
        <d v="2023-02-15T00:00:00"/>
        <d v="2023-07-09T00:00:00"/>
        <d v="2024-06-09T00:00:00"/>
        <d v="2023-03-06T00:00:00"/>
        <d v="2024-08-03T00:00:00"/>
        <d v="2025-08-23T00:00:00"/>
        <d v="2024-09-26T00:00:00"/>
        <d v="2023-05-20T00:00:00"/>
        <d v="2024-03-29T00:00:00"/>
        <d v="2024-05-22T00:00:00"/>
        <d v="2024-01-12T00:00:00"/>
        <d v="2023-05-02T00:00:00"/>
        <d v="2024-02-04T00:00:00"/>
        <d v="2024-11-07T00:00:00"/>
        <d v="2024-02-20T00:00:00"/>
        <d v="2025-04-14T00:00:00"/>
        <d v="2023-06-01T00:00:00"/>
        <d v="2024-01-02T00:00:00"/>
        <d v="2023-04-26T00:00:00"/>
        <d v="2023-07-12T00:00:00"/>
        <d v="2025-08-03T00:00:00"/>
        <d v="2023-07-01T00:00:00"/>
        <d v="2023-02-06T00:00:00"/>
        <d v="2024-08-09T00:00:00"/>
        <d v="2024-06-21T00:00:00"/>
        <d v="2025-02-27T00:00:00"/>
        <d v="2025-09-22T00:00:00"/>
        <d v="2024-07-21T00:00:00"/>
        <d v="2024-03-22T00:00:00"/>
        <d v="2024-09-02T00:00:00"/>
        <d v="2025-05-18T00:00:00"/>
        <d v="2023-04-25T00:00:00"/>
        <d v="2025-06-21T00:00:00"/>
        <d v="2024-12-24T00:00:00"/>
        <d v="2023-04-23T00:00:00"/>
        <d v="2024-02-01T00:00:00"/>
        <d v="2024-06-30T00:00:00"/>
        <d v="2023-10-11T00:00:00"/>
        <d v="2025-01-16T00:00:00"/>
        <d v="2025-07-16T00:00:00"/>
        <d v="2024-10-24T00:00:00"/>
        <d v="2023-09-14T00:00:00"/>
        <d v="2025-05-03T00:00:00"/>
        <d v="2024-08-23T00:00:00"/>
        <d v="2025-07-31T00:00:00"/>
        <d v="2023-08-02T00:00:00"/>
        <d v="2024-01-16T00:00:00"/>
        <d v="2023-08-30T00:00:00"/>
        <d v="2023-07-18T00:00:00"/>
        <d v="2025-03-10T00:00:00"/>
      </sharedItems>
    </cacheField>
    <cacheField name="Region" numFmtId="0">
      <sharedItems count="4">
        <s v="Africa"/>
        <s v="Americas"/>
        <s v="Asia"/>
        <s v="Europe"/>
      </sharedItems>
    </cacheField>
    <cacheField name="Country" numFmtId="0">
      <sharedItems count="12">
        <s v="Kenya"/>
        <s v="Nigeria"/>
        <s v="Canada"/>
        <s v="India"/>
        <s v="Brazil"/>
        <s v="Germany"/>
        <s v="Japan"/>
        <s v="France"/>
        <s v="United Kingdom"/>
        <s v="China"/>
        <s v="USA"/>
        <s v="South Africa"/>
      </sharedItems>
    </cacheField>
    <cacheField name="City" numFmtId="0">
      <sharedItems count="40">
        <s v="Kisumu"/>
        <s v="Port Harcourt"/>
        <s v="Nairobi"/>
        <s v="Lagos"/>
        <s v="Toronto"/>
        <s v="Bengaluru"/>
        <s v="Abuja"/>
        <s v="São Paulo"/>
        <s v="Berlin"/>
        <s v="Osaka"/>
        <s v="Brasília"/>
        <s v="Marseille"/>
        <s v="Birmingham"/>
        <s v="Mombasa"/>
        <s v="Shenzhen"/>
        <s v="Chicago"/>
        <s v="Nakuru"/>
        <s v="Lyon"/>
        <s v="Delhi"/>
        <s v="Montreal"/>
        <s v="Johannesburg"/>
        <s v="London"/>
        <s v="Munich"/>
        <s v="Shanghai"/>
        <s v="San Francisco"/>
        <s v="Durban"/>
        <s v="Vancouver"/>
        <s v="Tokyo"/>
        <s v="Paris"/>
        <s v="Mumbai"/>
        <s v="Rio de Janeiro"/>
        <s v="Manchester"/>
        <s v="Nagoya"/>
        <s v="Cape Town"/>
        <s v="Hyderabad"/>
        <s v="Unknown City "/>
        <s v="Austin"/>
        <s v="Frankfurt"/>
        <s v="Beijing"/>
        <s v="New York"/>
      </sharedItems>
    </cacheField>
    <cacheField name="Customer Segment" numFmtId="0">
      <sharedItems count="6">
        <s v="Corporate"/>
        <s v="Education"/>
        <s v="Non-Profit"/>
        <s v="Small Business"/>
        <s v="Enterprise"/>
        <s v="Consumer"/>
      </sharedItems>
    </cacheField>
    <cacheField name="Channel" numFmtId="0">
      <sharedItems count="6">
        <s v="Retail"/>
        <s v="Online"/>
        <s v="Marketplace"/>
        <s v="Distributor"/>
        <s v="Direct"/>
        <s v="Unknown Channel "/>
      </sharedItems>
    </cacheField>
    <cacheField name="Sales person" numFmtId="0">
      <sharedItems count="16">
        <s v="C. Otieno"/>
        <s v="J. Njeri"/>
        <s v="I. Johnson"/>
        <s v="G. Dubois"/>
        <s v="B. Chen"/>
        <s v="E. Garcia"/>
        <s v="O. Wang"/>
        <s v="A. Patel"/>
        <s v="F. Müller"/>
        <s v="H. Kim"/>
        <s v="K. Singh"/>
        <s v="M. Rossi"/>
        <s v="N. Brown"/>
        <s v="D. Smith"/>
        <s v="L. Okafor"/>
        <s v="Unidentified sales person "/>
      </sharedItems>
    </cacheField>
    <cacheField name="Product Category" numFmtId="0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SKU" numFmtId="0">
      <sharedItems count="629">
        <s v="CMP-8270"/>
        <s v="PRN-9322"/>
        <s v="NET-9666"/>
        <s v="PHN-4556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ACC-4631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</sharedItems>
    </cacheField>
    <cacheField name="UnitCost" numFmtId="179">
      <sharedItems containsSemiMixedTypes="0" containsString="0" containsNumber="1" minValue="5.34" maxValue="1495.79" count="631">
        <n v="279.24"/>
        <n v="1084.39"/>
        <n v="1460.76"/>
        <n v="259.93"/>
        <n v="315.87"/>
        <n v="586.07"/>
        <n v="28.38"/>
        <n v="1295.34"/>
        <n v="1331.38"/>
        <n v="644.17"/>
        <n v="908.6"/>
        <n v="331.57"/>
        <n v="643.53"/>
        <n v="780.59"/>
        <n v="756.51"/>
        <n v="891.08"/>
        <n v="1225.57"/>
        <n v="1068.17"/>
        <n v="1015.16"/>
        <n v="1494.4"/>
        <n v="1331.19"/>
        <n v="730.99"/>
        <n v="1274.59"/>
        <n v="948.55"/>
        <n v="1491.85"/>
        <n v="117.64"/>
        <n v="857.24"/>
        <n v="209.25"/>
        <n v="754.77"/>
        <n v="495.59"/>
        <n v="1242.66"/>
        <n v="1463.9"/>
        <n v="645.33"/>
        <n v="1432.52"/>
        <n v="178.53"/>
        <n v="712.84"/>
        <n v="757.19"/>
        <n v="865.33"/>
        <n v="313.99"/>
        <n v="1024.01"/>
        <n v="1206.2"/>
        <n v="1396.48"/>
        <n v="483.47"/>
        <n v="675.43"/>
        <n v="826.55"/>
        <n v="337.75"/>
        <n v="1421.14"/>
        <n v="859.35"/>
        <n v="1303.56"/>
        <n v="1454.11"/>
        <n v="72.94"/>
        <n v="533.26"/>
        <n v="204.11"/>
        <n v="44.42"/>
        <n v="855.78"/>
        <n v="1154.64"/>
        <n v="346.82"/>
        <n v="1225.5"/>
        <n v="1057.6"/>
        <n v="1176.56"/>
        <n v="1470.15"/>
        <n v="603.45"/>
        <n v="1233.58"/>
        <n v="498.5"/>
        <n v="1303.11"/>
        <n v="1082.17"/>
        <n v="673.88"/>
        <n v="494.61"/>
        <n v="882.33"/>
        <n v="910.63"/>
        <n v="264.19"/>
        <n v="1376.51"/>
        <n v="717.55"/>
        <n v="917.88"/>
        <n v="825.64"/>
        <n v="1394.65"/>
        <n v="1112.98"/>
        <n v="357.36"/>
        <n v="1122.68"/>
        <n v="1410.05"/>
        <n v="1183.95"/>
        <n v="170.39"/>
        <n v="23.24"/>
        <n v="1421.19"/>
        <n v="1186.18"/>
        <n v="1366.48"/>
        <n v="601.51"/>
        <n v="523.7"/>
        <n v="55.65"/>
        <n v="691.19"/>
        <n v="527.33"/>
        <n v="804.01"/>
        <n v="412.09"/>
        <n v="1009.48"/>
        <n v="1084.79"/>
        <n v="24.44"/>
        <n v="1227.08"/>
        <n v="547.32"/>
        <n v="1200.78"/>
        <n v="1253.22"/>
        <n v="313.6"/>
        <n v="862.08"/>
        <n v="107.03"/>
        <n v="1405.56"/>
        <n v="1157.51"/>
        <n v="12.85"/>
        <n v="1138.8"/>
        <n v="82.14"/>
        <n v="292.94"/>
        <n v="550.22"/>
        <n v="1187.13"/>
        <n v="5.36"/>
        <n v="142.09"/>
        <n v="354.24"/>
        <n v="1473.58"/>
        <n v="75.18"/>
        <n v="1391.99"/>
        <n v="339.61"/>
        <n v="57.96"/>
        <n v="801.24"/>
        <n v="1297.42"/>
        <n v="1395.49"/>
        <n v="1363.51"/>
        <n v="178.19"/>
        <n v="950.77"/>
        <n v="1064.32"/>
        <n v="41.76"/>
        <n v="157.78"/>
        <n v="413.52"/>
        <n v="414.95"/>
        <n v="555.95"/>
        <n v="941.2"/>
        <n v="304.78"/>
        <n v="699.57"/>
        <n v="1087.81"/>
        <n v="1412.15"/>
        <n v="304.22"/>
        <n v="1203.58"/>
        <n v="65.93"/>
        <n v="1463.92"/>
        <n v="501.81"/>
        <n v="1261.48"/>
        <n v="817.23"/>
        <n v="578.85"/>
        <n v="275.56"/>
        <n v="891.46"/>
        <n v="683.42"/>
        <n v="376.83"/>
        <n v="1297"/>
        <n v="763.32"/>
        <n v="1001.96"/>
        <n v="1097.59"/>
        <n v="928.68"/>
        <n v="867.89"/>
        <n v="436.58"/>
        <n v="656.2"/>
        <n v="896.75"/>
        <n v="815.83"/>
        <n v="1220.41"/>
        <n v="299.75"/>
        <n v="811.05"/>
        <n v="1023.27"/>
        <n v="135.12"/>
        <n v="918.42"/>
        <n v="1234.81"/>
        <n v="329.03"/>
        <n v="1481.74"/>
        <n v="906.81"/>
        <n v="343.85"/>
        <n v="801.77"/>
        <n v="845.63"/>
        <n v="6.85"/>
        <n v="1263.84"/>
        <n v="180.89"/>
        <n v="1413.87"/>
        <n v="943.79"/>
        <n v="39.23"/>
        <n v="213.1"/>
        <n v="352.66"/>
        <n v="5.5"/>
        <n v="1132.61"/>
        <n v="766.59"/>
        <n v="790.63"/>
        <n v="1023.06"/>
        <n v="734.34"/>
        <n v="594.74"/>
        <n v="1262.1"/>
        <n v="1334.64"/>
        <n v="1075.9"/>
        <n v="993.75"/>
        <n v="446.69"/>
        <n v="797.8"/>
        <n v="986.44"/>
        <n v="249.71"/>
        <n v="1378.8"/>
        <n v="1406.4"/>
        <n v="516.86"/>
        <n v="1142.88"/>
        <n v="1320.33"/>
        <n v="833.57"/>
        <n v="493.76"/>
        <n v="590.33"/>
        <n v="884.36"/>
        <n v="1016.32"/>
        <n v="1178.42"/>
        <n v="137.46"/>
        <n v="1030.44"/>
        <n v="1248.39"/>
        <n v="1204.95"/>
        <n v="1095.61"/>
        <n v="90.3"/>
        <n v="1166.18"/>
        <n v="1445.27"/>
        <n v="388.51"/>
        <n v="231.11"/>
        <n v="1085.61"/>
        <n v="150.86"/>
        <n v="391.64"/>
        <n v="386.96"/>
        <n v="589.14"/>
        <n v="145.58"/>
        <n v="241.14"/>
        <n v="1198.9"/>
        <n v="1089.15"/>
        <n v="1080.43"/>
        <n v="1352.44"/>
        <n v="1239.84"/>
        <n v="933.29"/>
        <n v="1024.1"/>
        <n v="54.62"/>
        <n v="394.13"/>
        <n v="197.63"/>
        <n v="195.54"/>
        <n v="1309.77"/>
        <n v="1237.68"/>
        <n v="1338.99"/>
        <n v="1364.89"/>
        <n v="699.33"/>
        <n v="160.82"/>
        <n v="385.32"/>
        <n v="918.12"/>
        <n v="1225.94"/>
        <n v="72.06"/>
        <n v="1013.54"/>
        <n v="65.64"/>
        <n v="1350.98"/>
        <n v="20.15"/>
        <n v="803.28"/>
        <n v="1212.99"/>
        <n v="462.94"/>
        <n v="481.71"/>
        <n v="648.64"/>
        <n v="798.97"/>
        <n v="317.25"/>
        <n v="668.97"/>
        <n v="1470.26"/>
        <n v="516.96"/>
        <n v="314.93"/>
        <n v="715.94"/>
        <n v="1120.06"/>
        <n v="1471.58"/>
        <n v="582.88"/>
        <n v="93.91"/>
        <n v="1457.44"/>
        <n v="1207.63"/>
        <n v="1108.11"/>
        <n v="1269.65"/>
        <n v="526.49"/>
        <n v="720"/>
        <n v="232.73"/>
        <n v="325.87"/>
        <n v="1025.51"/>
        <n v="1082.38"/>
        <n v="287.61"/>
        <n v="1410.97"/>
        <n v="1338.35"/>
        <n v="385.08"/>
        <n v="1173.83"/>
        <n v="953.46"/>
        <n v="1097.09"/>
        <n v="1106.96"/>
        <n v="91.85"/>
        <n v="623.4"/>
        <n v="1017.93"/>
        <n v="554.76"/>
        <n v="7.02"/>
        <n v="1066.65"/>
        <n v="798.45"/>
        <n v="1271.56"/>
        <n v="521.06"/>
        <n v="71.62"/>
        <n v="1142.48"/>
        <n v="209.81"/>
        <n v="786.2"/>
        <n v="1362.31"/>
        <n v="248.24"/>
        <n v="337"/>
        <n v="5.66"/>
        <n v="591.72"/>
        <n v="862.89"/>
        <n v="649.91"/>
        <n v="1269.55"/>
        <n v="892.73"/>
        <n v="231.63"/>
        <n v="86.68"/>
        <n v="1450.43"/>
        <n v="382.96"/>
        <n v="122.29"/>
        <n v="401.66"/>
        <n v="1399.72"/>
        <n v="51.13"/>
        <n v="471.42"/>
        <n v="840.68"/>
        <n v="597.85"/>
        <n v="379.45"/>
        <n v="291.18"/>
        <n v="1017.92"/>
        <n v="156.55"/>
        <n v="875.36"/>
        <n v="986.85"/>
        <n v="404.77"/>
        <n v="1299.81"/>
        <n v="80.48"/>
        <n v="1010.33"/>
        <n v="653.86"/>
        <n v="310.02"/>
        <n v="894.23"/>
        <n v="383.77"/>
        <n v="1373.31"/>
        <n v="100.69"/>
        <n v="425.15"/>
        <n v="1082.25"/>
        <n v="1184.99"/>
        <n v="481.32"/>
        <n v="1288.85"/>
        <n v="647.26"/>
        <n v="624.23"/>
        <n v="506.83"/>
        <n v="620.74"/>
        <n v="661.45"/>
        <n v="32.1"/>
        <n v="805.81"/>
        <n v="1231.8"/>
        <n v="105.13"/>
        <n v="1495.79"/>
        <n v="986.81"/>
        <n v="77.74"/>
        <n v="932.61"/>
        <n v="982.93"/>
        <n v="307.37"/>
        <n v="879.08"/>
        <n v="956.38"/>
        <n v="1233.36"/>
        <n v="55.35"/>
        <n v="657.45"/>
        <n v="1203.02"/>
        <n v="1176.69"/>
        <n v="769.9"/>
        <n v="666.23"/>
        <n v="951.44"/>
        <n v="546.83"/>
        <n v="834.26"/>
        <n v="1029.67"/>
        <n v="605.82"/>
        <n v="1055.45"/>
        <n v="1295.18"/>
        <n v="935.83"/>
        <n v="1279.56"/>
        <n v="255.4"/>
        <n v="492.75"/>
        <n v="1214.49"/>
        <n v="720.35"/>
        <n v="290.14"/>
        <n v="1484.23"/>
        <n v="988.83"/>
        <n v="1227.7"/>
        <n v="1113.7"/>
        <n v="432.13"/>
        <n v="837.39"/>
        <n v="378.26"/>
        <n v="833.73"/>
        <n v="1142.06"/>
        <n v="1145.53"/>
        <n v="941.35"/>
        <n v="1161.2"/>
        <n v="320.12"/>
        <n v="1163.99"/>
        <n v="1019.36"/>
        <n v="20.38"/>
        <n v="1487.59"/>
        <n v="229.96"/>
        <n v="1132.03"/>
        <n v="1137.41"/>
        <n v="1295.39"/>
        <n v="653.6"/>
        <n v="1397.67"/>
        <n v="1202.47"/>
        <n v="1310.3"/>
        <n v="1174.17"/>
        <n v="1119.04"/>
        <n v="850.7"/>
        <n v="1020.4"/>
        <n v="501.5"/>
        <n v="974.11"/>
        <n v="1126.29"/>
        <n v="1361.34"/>
        <n v="1437.39"/>
        <n v="475.66"/>
        <n v="1415.05"/>
        <n v="466.16"/>
        <n v="663.66"/>
        <n v="692.18"/>
        <n v="1196.83"/>
        <n v="1253.25"/>
        <n v="1287.64"/>
        <n v="851.49"/>
        <n v="618.69"/>
        <n v="80.59"/>
        <n v="504.93"/>
        <n v="1102.19"/>
        <n v="1205.26"/>
        <n v="1313.3"/>
        <n v="1488.91"/>
        <n v="1477.84"/>
        <n v="1035.19"/>
        <n v="1271.1"/>
        <n v="1154.03"/>
        <n v="322.44"/>
        <n v="935.98"/>
        <n v="599.84"/>
        <n v="1201.31"/>
        <n v="384.19"/>
        <n v="488.68"/>
        <n v="181.74"/>
        <n v="774.12"/>
        <n v="126.15"/>
        <n v="607.04"/>
        <n v="861.1"/>
        <n v="352.65"/>
        <n v="979.59"/>
        <n v="382.21"/>
        <n v="1362.06"/>
        <n v="90.04"/>
        <n v="558.19"/>
        <n v="247.07"/>
        <n v="625.37"/>
        <n v="194.6"/>
        <n v="1205.5"/>
        <n v="895.54"/>
        <n v="946.99"/>
        <n v="873.06"/>
        <n v="901.19"/>
        <n v="400.39"/>
        <n v="813.97"/>
        <n v="1146.72"/>
        <n v="307.43"/>
        <n v="714.28"/>
        <n v="174.74"/>
        <n v="1264.04"/>
        <n v="141.26"/>
        <n v="40.89"/>
        <n v="738.16"/>
        <n v="113.74"/>
        <n v="275.43"/>
        <n v="1335.76"/>
        <n v="242.31"/>
        <n v="1408.3"/>
        <n v="1171.42"/>
        <n v="663.61"/>
        <n v="432.01"/>
        <n v="784.46"/>
        <n v="647.36"/>
        <n v="834.93"/>
        <n v="603.47"/>
        <n v="690.49"/>
        <n v="210.76"/>
        <n v="472.33"/>
        <n v="1039.03"/>
        <n v="553.61"/>
        <n v="1219.06"/>
        <n v="43.23"/>
        <n v="1286.56"/>
        <n v="350.76"/>
        <n v="1307.52"/>
        <n v="257.44"/>
        <n v="287.85"/>
        <n v="1008.16"/>
        <n v="111.02"/>
        <n v="1466.5"/>
        <n v="187.22"/>
        <n v="297.59"/>
        <n v="896.09"/>
        <n v="5.34"/>
        <n v="465.02"/>
        <n v="352.79"/>
        <n v="1292.86"/>
        <n v="1133.08"/>
        <n v="509.31"/>
        <n v="660.78"/>
        <n v="475.37"/>
        <n v="1232.77"/>
        <n v="770.11"/>
        <n v="1133.03"/>
        <n v="996.73"/>
        <n v="395.07"/>
        <n v="932.26"/>
        <n v="1331.77"/>
        <n v="227.02"/>
        <n v="903.41"/>
        <n v="622.6"/>
        <n v="225.01"/>
        <n v="1389.46"/>
        <n v="804.17"/>
        <n v="1428.33"/>
        <n v="638.54"/>
        <n v="649.13"/>
        <n v="66.4"/>
        <n v="930.71"/>
        <n v="327.97"/>
        <n v="1062.38"/>
        <n v="1286.16"/>
        <n v="748.39"/>
        <n v="513.31"/>
        <n v="1061.37"/>
        <n v="401.3"/>
        <n v="90.68"/>
        <n v="1083.09"/>
        <n v="1208.74"/>
        <n v="1399.64"/>
        <n v="937.16"/>
        <n v="116.97"/>
        <n v="59.51"/>
        <n v="676.37"/>
        <n v="1151.06"/>
        <n v="725.62"/>
        <n v="479.5"/>
        <n v="1291.7"/>
        <n v="612.59"/>
        <n v="1141.8"/>
        <n v="492.62"/>
        <n v="1258.72"/>
        <n v="1370.28"/>
        <n v="944.61"/>
        <n v="460.21"/>
        <n v="1304.95"/>
        <n v="441.08"/>
        <n v="1299.03"/>
        <n v="880.02"/>
        <n v="702.98"/>
        <n v="1035.24"/>
        <n v="86.64"/>
        <n v="1171.17"/>
        <n v="730.42"/>
        <n v="1162.86"/>
        <n v="1189.03"/>
        <n v="1443.28"/>
        <n v="883.5"/>
        <n v="710.98"/>
        <n v="857.42"/>
        <n v="802.32"/>
        <n v="446.66"/>
        <n v="1195.98"/>
        <n v="671.05"/>
        <n v="586.21"/>
        <n v="525.34"/>
        <n v="1233.52"/>
        <n v="1170.15"/>
        <n v="740.68"/>
        <n v="1407.05"/>
        <n v="138.9"/>
        <n v="669.37"/>
        <n v="23.83"/>
        <n v="444.41"/>
        <n v="856.1"/>
        <n v="81.49"/>
        <n v="698.66"/>
        <n v="175.38"/>
        <n v="751.28"/>
        <n v="164.53"/>
        <n v="389.93"/>
        <n v="860.4"/>
        <n v="41.84"/>
        <n v="1368.17"/>
        <n v="643.21"/>
        <n v="719.41"/>
        <n v="64.5"/>
        <n v="1232.78"/>
        <n v="1367.13"/>
        <n v="1027.26"/>
        <n v="790.54"/>
        <n v="663.9"/>
        <n v="1015.91"/>
        <n v="1252.52"/>
        <n v="318.83"/>
        <n v="753.43"/>
        <n v="1133.47"/>
        <n v="299.02"/>
        <n v="783.72"/>
        <n v="165.3"/>
        <n v="985.45"/>
        <n v="1337.01"/>
        <n v="416.16"/>
        <n v="1144.38"/>
        <n v="405.66"/>
        <n v="689.33"/>
        <n v="1209.22"/>
        <n v="1466.27"/>
        <n v="143.33"/>
        <n v="109.75"/>
        <n v="1099.15"/>
        <n v="714.43"/>
        <n v="942.02"/>
        <n v="1323.55"/>
        <n v="1418.51"/>
        <n v="1317.58"/>
        <n v="391.16"/>
        <n v="722.87"/>
        <n v="930.03"/>
        <n v="816.7"/>
        <n v="251.03"/>
        <n v="168.68"/>
        <n v="1339.24"/>
        <n v="619.64"/>
        <n v="1021.97"/>
        <n v="1349.04"/>
        <n v="1346.81"/>
        <n v="226.04"/>
        <n v="807.02"/>
        <n v="1071.99"/>
        <n v="807.11"/>
        <n v="51.86"/>
      </sharedItems>
    </cacheField>
    <cacheField name="Unit Price" numFmtId="179">
      <sharedItems containsSemiMixedTypes="0" containsString="0" containsNumber="1" minValue="-33.66" maxValue="3661.07" count="629">
        <n v="608.9"/>
        <n v="759.33"/>
        <n v="-30.66"/>
        <n v="255.94"/>
        <n v="591.68"/>
        <n v="845.97"/>
        <n v="47.22"/>
        <n v="2530.81"/>
        <n v="2309.56"/>
        <n v="700.12"/>
        <n v="691.37"/>
        <n v="548.4"/>
        <n v="1439.01"/>
        <n v="631.57"/>
        <n v="850.8"/>
        <n v="1040.1"/>
        <n v="2705.57"/>
        <n v="2375.37"/>
        <n v="2148.14"/>
        <n v="3661.07"/>
        <n v="2903.09"/>
        <n v="1242.84"/>
        <n v="2553.69"/>
        <n v="2089.16"/>
        <n v="2583.02"/>
        <n v="175.67"/>
        <n v="758.23"/>
        <n v="434.8"/>
        <n v="1666.18"/>
        <n v="631.78"/>
        <n v="1794.07"/>
        <n v="2633.02"/>
        <n v="1321.85"/>
        <n v="3036.87"/>
        <n v="199.37"/>
        <n v="927.51"/>
        <n v="1735.41"/>
        <n v="1395.64"/>
        <n v="454.42"/>
        <n v="1580.97"/>
        <n v="1759.79"/>
        <n v="3204.5"/>
        <n v="1135.43"/>
        <n v="996.36"/>
        <n v="1397.05"/>
        <n v="548.89"/>
        <n v="3524"/>
        <n v="1825.61"/>
        <n v="1791.37"/>
        <n v="2629.75"/>
        <n v="106.3"/>
        <n v="385.72"/>
        <n v="236.87"/>
        <n v="41.9"/>
        <n v="977.38"/>
        <n v="2794.13"/>
        <n v="701.95"/>
        <n v="-5.27"/>
        <n v="1437.06"/>
        <n v="1911.89"/>
        <n v="2593.78"/>
        <n v="1244.08"/>
        <n v="1912.51"/>
        <n v="755.87"/>
        <n v="1145.67"/>
        <n v="1234.1"/>
        <n v="1228.01"/>
        <n v="605.23"/>
        <n v="1880.15"/>
        <n v="1269.4"/>
        <n v="620.93"/>
        <n v="1455.91"/>
        <n v="546.43"/>
        <n v="1347.92"/>
        <n v="1108.43"/>
        <n v="3144.1"/>
        <n v="2095.73"/>
        <n v="703.62"/>
        <n v="1997.19"/>
        <n v="2763.95"/>
        <n v="1503.53"/>
        <n v="388.04"/>
        <n v="44.57"/>
        <n v="1808.26"/>
        <n v="1285.09"/>
        <n v="1678.14"/>
        <n v="679.35"/>
        <n v="1109.92"/>
        <n v="83.57"/>
        <n v="1284.3"/>
        <n v="911.72"/>
        <n v="1405.07"/>
        <n v="968.94"/>
        <n v="1088.81"/>
        <n v="2484.99"/>
        <n v="28.69"/>
        <n v="1896.62"/>
        <n v="419.17"/>
        <n v="2001.17"/>
        <n v="3104.71"/>
        <n v="334.28"/>
        <n v="1952.83"/>
        <n v="242.29"/>
        <n v="2968.87"/>
        <n v="1394.3"/>
        <n v="15.41"/>
        <n v="2250.81"/>
        <n v="166.04"/>
        <n v="356.55"/>
        <n v="1025.05"/>
        <n v="1795.17"/>
        <n v="4.37"/>
        <n v="218.5"/>
        <n v="249.87"/>
        <n v="3436.52"/>
        <n v="53.45"/>
        <n v="3469.7"/>
        <n v="621.02"/>
        <n v="88.51"/>
        <n v="1959.09"/>
        <n v="2742.97"/>
        <n v="1679.42"/>
        <n v="1433.9"/>
        <n v="284.43"/>
        <n v="694.78"/>
        <n v="1848.39"/>
        <n v="45.19"/>
        <n v="361.1"/>
        <n v="1004.34"/>
        <n v="1027.73"/>
        <n v="468.09"/>
        <n v="668.02"/>
        <n v="537.27"/>
        <n v="572.71"/>
        <n v="2323.87"/>
        <n v="1631.04"/>
        <n v="393.31"/>
        <n v="1856.16"/>
        <n v="84.9"/>
        <n v="2252.24"/>
        <n v="921.62"/>
        <n v="1643.18"/>
        <n v="1467.17"/>
        <n v="998.76"/>
        <n v="630.72"/>
        <n v="728.61"/>
        <n v="951.51"/>
        <n v="732.88"/>
        <n v="2411.52"/>
        <n v="568.29"/>
        <n v="1254.95"/>
        <n v="845.55"/>
        <n v="2145.17"/>
        <n v="1349.94"/>
        <n v="527.48"/>
        <n v="1651.14"/>
        <n v="1982.18"/>
        <n v="2552.22"/>
        <n v="523.01"/>
        <n v="1217.71"/>
        <n v="1343.64"/>
        <n v="301.7"/>
        <n v="1511.71"/>
        <n v="2055.24"/>
        <n v="391.15"/>
        <n v="1848.97"/>
        <n v="1395.56"/>
        <n v="538.04"/>
        <n v="1218.92"/>
        <n v="2062.12"/>
        <n v="10.18"/>
        <n v="2281.72"/>
        <n v="249.57"/>
        <n v="3275"/>
        <n v="1913.76"/>
        <n v="30.09"/>
        <n v="501.31"/>
        <n v="411.18"/>
        <n v="5.92"/>
        <n v="2206.63"/>
        <n v="1912.8"/>
        <n v="1382.31"/>
        <n v="1355.61"/>
        <n v="887.9"/>
        <n v="1020.69"/>
        <n v="1395.53"/>
        <n v="2273.42"/>
        <n v="1242.15"/>
        <n v="1310.29"/>
        <n v="967.25"/>
        <n v="886.22"/>
        <n v="790.61"/>
        <n v="361.33"/>
        <n v="1952.04"/>
        <n v="1564.76"/>
        <n v="852.54"/>
        <n v="1465.29"/>
        <n v="2645.23"/>
        <n v="881.57"/>
        <n v="625.04"/>
        <n v="973.04"/>
        <n v="1545.34"/>
        <n v="2253.42"/>
        <n v="2446.56"/>
        <n v="188.3"/>
        <n v="2562.84"/>
        <n v="1805.11"/>
        <n v="2065.73"/>
        <n v="2366.51"/>
        <n v="131.76"/>
        <n v="1335.02"/>
        <n v="2691.45"/>
        <n v="776.46"/>
        <n v="318.17"/>
        <n v="1246.41"/>
        <n v="346.96"/>
        <n v="504.76"/>
        <n v="937.46"/>
        <n v="1300.58"/>
        <n v="228.15"/>
        <n v="496.52"/>
        <n v="2941.2"/>
        <n v="1088.2"/>
        <n v="2529.15"/>
        <n v="2698.01"/>
        <n v="1482.75"/>
        <n v="1456.81"/>
        <n v="918.19"/>
        <n v="48.94"/>
        <n v="932.29"/>
        <n v="325.79"/>
        <n v="405.97"/>
        <n v="1589.07"/>
        <n v="1432.8"/>
        <n v="1765.76"/>
        <n v="2757.54"/>
        <n v="873.75"/>
        <n v="258.52"/>
        <n v="606.76"/>
        <n v="1337.69"/>
        <n v="1793.08"/>
        <n v="122.74"/>
        <n v="927.93"/>
        <n v="151.88"/>
        <n v="2210.4"/>
        <n v="39.74"/>
        <n v="1009"/>
        <n v="1653.64"/>
        <n v="1015.7"/>
        <n v="912.45"/>
        <n v="815.19"/>
        <n v="1814.06"/>
        <n v="758.92"/>
        <n v="1667.44"/>
        <n v="2562.55"/>
        <n v="745.38"/>
        <n v="687.95"/>
        <n v="550.07"/>
        <n v="2068.21"/>
        <n v="2576.65"/>
        <n v="1044.14"/>
        <n v="99.04"/>
        <n v="1996.81"/>
        <n v="921.68"/>
        <n v="2503.79"/>
        <n v="2462.77"/>
        <n v="496.2"/>
        <n v="907.59"/>
        <n v="334.19"/>
        <n v="538.79"/>
        <n v="1436.54"/>
        <n v="1766.55"/>
        <n v="628.54"/>
        <n v="1650.75"/>
        <n v="2247.14"/>
        <n v="893.19"/>
        <n v="2328.9"/>
        <n v="2066.75"/>
        <n v="2182.31"/>
        <n v="2726.62"/>
        <n v="111.29"/>
        <n v="1100.09"/>
        <n v="1529.14"/>
        <n v="728.69"/>
        <n v="6.28"/>
        <n v="2569.77"/>
        <n v="1592.02"/>
        <n v="995.47"/>
        <n v="1240.31"/>
        <n v="118.37"/>
        <n v="2105.53"/>
        <n v="523"/>
        <n v="1075.3"/>
        <n v="3294.57"/>
        <n v="464.05"/>
        <n v="511.03"/>
        <n v="4.22"/>
        <n v="577.24"/>
        <n v="1426.03"/>
        <n v="1360.12"/>
        <n v="2071.1"/>
        <n v="979.84"/>
        <n v="537.39"/>
        <n v="213.32"/>
        <n v="1994.67"/>
        <n v="552.84"/>
        <n v="224.95"/>
        <n v="772.09"/>
        <n v="3149.21"/>
        <n v="57.53"/>
        <n v="824.81"/>
        <n v="1493.53"/>
        <n v="741.92"/>
        <n v="742.23"/>
        <n v="479.54"/>
        <n v="1175.25"/>
        <n v="227.45"/>
        <n v="1178.62"/>
        <n v="2422.1"/>
        <n v="433.88"/>
        <n v="3149.13"/>
        <n v="65.65"/>
        <n v="2492.14"/>
        <n v="931.84"/>
        <n v="619.51"/>
        <n v="1421.55"/>
        <n v="952.56"/>
        <n v="3154.14"/>
        <n v="226.14"/>
        <n v="885.92"/>
        <n v="2433.34"/>
        <n v="1154.34"/>
        <n v="1135.99"/>
        <n v="2751.84"/>
        <n v="1374.72"/>
        <n v="1318.37"/>
        <n v="441.74"/>
        <n v="1330.07"/>
        <n v="1634.86"/>
        <n v="70.6"/>
        <n v="1823.04"/>
        <n v="2015.99"/>
        <n v="244.13"/>
        <n v="2783.12"/>
        <n v="2050.31"/>
        <n v="147.12"/>
        <n v="1982.98"/>
        <n v="2299.3"/>
        <n v="462.61"/>
        <n v="1093.39"/>
        <n v="1454.22"/>
        <n v="2120.4"/>
        <n v="128.68"/>
        <n v="1325.96"/>
        <n v="2439.33"/>
        <n v="2201.54"/>
        <n v="814.36"/>
        <n v="1382.91"/>
        <n v="1646.43"/>
        <n v="400.84"/>
        <n v="1780.56"/>
        <n v="1118.43"/>
        <n v="771.12"/>
        <n v="1210.04"/>
        <n v="3024.03"/>
        <n v="2303.46"/>
        <n v="3083.8"/>
        <n v="322.71"/>
        <n v="731.29"/>
        <n v="1533.95"/>
        <n v="1571.66"/>
        <n v="250.73"/>
        <n v="3472.81"/>
        <n v="1206.04"/>
        <n v="2197.23"/>
        <n v="1620.6"/>
        <n v="1034.66"/>
        <n v="1905.42"/>
        <n v="541.56"/>
        <n v="1116.6"/>
        <n v="1455"/>
        <n v="1278.3"/>
        <n v="899.83"/>
        <n v="878.73"/>
        <n v="594.42"/>
        <n v="1617.85"/>
        <n v="972.91"/>
        <n v="42.56"/>
        <n v="1480.83"/>
        <n v="564.26"/>
        <n v="2137.21"/>
        <n v="1680.93"/>
        <n v="2905.06"/>
        <n v="842.09"/>
        <n v="3131.37"/>
        <n v="1444.72"/>
        <n v="2875.8"/>
        <n v="1641.61"/>
        <n v="1299.02"/>
        <n v="1118.56"/>
        <n v="1184.71"/>
        <n v="1201.47"/>
        <n v="880.99"/>
        <n v="2050.87"/>
        <n v="1737.9"/>
        <n v="1388.31"/>
        <n v="529.14"/>
        <n v="1972.38"/>
        <n v="876.81"/>
        <n v="824.26"/>
        <n v="1159.35"/>
        <n v="2513.51"/>
        <n v="3087.13"/>
        <n v="2717.15"/>
        <n v="901.79"/>
        <n v="796.15"/>
        <n v="157.82"/>
        <n v="819.06"/>
        <n v="1711.16"/>
        <n v="1696.35"/>
        <n v="2884.34"/>
        <n v="1483.74"/>
        <n v="3197.47"/>
        <n v="2322.7"/>
        <n v="1932.42"/>
        <n v="1590.36"/>
        <n v="395.61"/>
        <n v="2077.69"/>
        <n v="1330.85"/>
        <n v="2764.65"/>
        <n v="278.35"/>
        <n v="984.36"/>
        <n v="190.84"/>
        <n v="908.3"/>
        <n v="284.23"/>
        <n v="1229.34"/>
        <n v="1224.72"/>
        <n v="485.86"/>
        <n v="2210.94"/>
        <n v="571.89"/>
        <n v="3398.37"/>
        <n v="194.62"/>
        <n v="1031.64"/>
        <n v="495.19"/>
        <n v="1319.04"/>
        <n v="314.87"/>
        <n v="2210.17"/>
        <n v="1045"/>
        <n v="2132.19"/>
        <n v="2101.55"/>
        <n v="2125.44"/>
        <n v="712.75"/>
        <n v="1568.83"/>
        <n v="2074.34"/>
        <n v="757.59"/>
        <n v="415.96"/>
        <n v="1870.89"/>
        <n v="206.88"/>
        <n v="62.82"/>
        <n v="956.49"/>
        <n v="165.7"/>
        <n v="608.36"/>
        <n v="2665.91"/>
        <n v="587.95"/>
        <n v="2193.13"/>
        <n v="2187.8"/>
        <n v="1002.11"/>
        <n v="913.78"/>
        <n v="1843.51"/>
        <n v="1383.6"/>
        <n v="1588.53"/>
        <n v="1344.05"/>
        <n v="1290.29"/>
        <n v="221.58"/>
        <n v="360.34"/>
        <n v="2545.81"/>
        <n v="699.47"/>
        <n v="2738.69"/>
        <n v="94.78"/>
        <n v="2777.35"/>
        <n v="492.18"/>
        <n v="1921.65"/>
        <n v="290.33"/>
        <n v="602.92"/>
        <n v="2077.5"/>
        <n v="172.88"/>
        <n v="2778.74"/>
        <n v="309.47"/>
        <n v="666.41"/>
        <n v="744.27"/>
        <n v="12.69"/>
        <n v="651.56"/>
        <n v="754.22"/>
        <n v="2981.01"/>
        <n v="976.17"/>
        <n v="1145.9"/>
        <n v="1630.39"/>
        <n v="963.73"/>
        <n v="891.73"/>
        <n v="1667.82"/>
        <n v="1921.51"/>
        <n v="1217.43"/>
        <n v="970.27"/>
        <n v="1624.67"/>
        <n v="2606.11"/>
        <n v="434.72"/>
        <n v="1860.41"/>
        <n v="833.69"/>
        <n v="333.48"/>
        <n v="1784.7"/>
        <n v="1072.29"/>
        <n v="3028.05"/>
        <n v="987.24"/>
        <n v="975.43"/>
        <n v="141.43"/>
        <n v="1625.42"/>
        <n v="299.94"/>
        <n v="1503.96"/>
        <n v="3101.11"/>
        <n v="979.42"/>
        <n v="1186.26"/>
        <n v="1938.33"/>
        <n v="826.47"/>
        <n v="118.17"/>
        <n v="1425.87"/>
        <n v="1594.78"/>
        <n v="3342.11"/>
        <n v="1069.77"/>
        <n v="140.82"/>
        <n v="67.04"/>
        <n v="1276.67"/>
        <n v="2821.36"/>
        <n v="1559.19"/>
        <n v="656.66"/>
        <n v="2657.84"/>
        <n v="1424.74"/>
        <n v="2318.74"/>
        <n v="366.7"/>
        <n v="2797.41"/>
        <n v="2209.66"/>
        <n v="839.04"/>
        <n v="1139.15"/>
        <n v="1712.03"/>
        <n v="1054.29"/>
        <n v="2451.22"/>
        <n v="1251.21"/>
        <n v="1104.8"/>
        <n v="2383.41"/>
        <n v="213.06"/>
        <n v="2030.64"/>
        <n v="956.7"/>
        <n v="1447.68"/>
        <n v="2949.62"/>
        <n v="2580.57"/>
        <n v="1978.91"/>
        <n v="1481.45"/>
        <n v="1658.92"/>
        <n v="602.34"/>
        <n v="527.64"/>
        <n v="1841.9"/>
        <n v="1645.48"/>
        <n v="727.22"/>
        <n v="1233.79"/>
        <n v="1543.76"/>
        <n v="2115.19"/>
        <n v="1837.19"/>
        <n v="2858.93"/>
        <n v="289.92"/>
        <n v="997.2"/>
        <n v="47.29"/>
        <n v="754.24"/>
        <n v="901.48"/>
        <n v="113.08"/>
        <n v="868.62"/>
        <n v="347.9"/>
        <n v="1111.88"/>
        <n v="327.72"/>
        <n v="486.13"/>
        <n v="2066.6"/>
        <n v="86.2"/>
        <n v="2307.75"/>
        <n v="1112.81"/>
        <n v="1125.99"/>
        <n v="123.62"/>
        <n v="1731.75"/>
        <n v="3062.01"/>
        <n v="2200.41"/>
        <n v="601.49"/>
        <n v="947.77"/>
        <n v="2331.48"/>
        <n v="1417.24"/>
        <n v="699.5"/>
        <n v="1787.2"/>
        <n v="1698.75"/>
        <n v="724.7"/>
        <n v="1355.94"/>
        <n v="275.07"/>
        <n v="1802.44"/>
        <n v="1269.78"/>
        <n v="571.9"/>
        <n v="2755.04"/>
        <n v="962.51"/>
        <n v="668.27"/>
        <n v="1404.33"/>
        <n v="3589.89"/>
        <n v="233.51"/>
        <n v="124.25"/>
        <n v="1431.37"/>
        <n v="1595.52"/>
        <n v="1028.46"/>
        <n v="3230.35"/>
        <n v="2789.61"/>
        <n v="1897.74"/>
        <n v="902.47"/>
        <n v="-33.66"/>
        <n v="1086.68"/>
        <n v="1010.75"/>
        <n v="411.48"/>
        <n v="413.34"/>
        <n v="1558.89"/>
        <n v="861.16"/>
        <n v="2296.25"/>
        <n v="2636.6"/>
        <n v="978.09"/>
        <n v="545.72"/>
        <n v="1435.54"/>
        <n v="2397.3"/>
        <n v="1853.86"/>
        <n v="45.98"/>
      </sharedItems>
    </cacheField>
    <cacheField name="Discount %" numFmtId="10">
      <sharedItems containsSemiMixedTypes="0" containsString="0" containsNumber="1" minValue="0" maxValue="0.565" count="228">
        <n v="0.112"/>
        <n v="0.237"/>
        <n v="0.131"/>
        <n v="0.072"/>
        <n v="0"/>
        <n v="0.147"/>
        <n v="0.194"/>
        <n v="0.031"/>
        <n v="0.149"/>
        <n v="0.006"/>
        <n v="0.25"/>
        <n v="0.094"/>
        <n v="0.074"/>
        <n v="0.109"/>
        <n v="0.183"/>
        <n v="0.038"/>
        <n v="0.143"/>
        <n v="0.12"/>
        <n v="0.01"/>
        <n v="0.007"/>
        <n v="0.168"/>
        <n v="0.125"/>
        <n v="0.139"/>
        <n v="0.087"/>
        <n v="0.089"/>
        <n v="0.084"/>
        <n v="0.101"/>
        <n v="0.243"/>
        <n v="0.136"/>
        <n v="0.175"/>
        <n v="0.129"/>
        <n v="0.037"/>
        <n v="0.318"/>
        <n v="0.146"/>
        <n v="0.182"/>
        <n v="0.169"/>
        <n v="0.187"/>
        <n v="0.126"/>
        <n v="0.292"/>
        <n v="0.295"/>
        <n v="0.144"/>
        <n v="0.035"/>
        <n v="0.075"/>
        <n v="0.205"/>
        <n v="0.119"/>
        <n v="0.11"/>
        <n v="0.2"/>
        <n v="0.255"/>
        <n v="0.13"/>
        <n v="0.184"/>
        <n v="0.189"/>
        <n v="0.105"/>
        <n v="0.204"/>
        <n v="0.05"/>
        <n v="0.068"/>
        <n v="0.142"/>
        <n v="0.185"/>
        <n v="0.047"/>
        <n v="0.343"/>
        <n v="0.114"/>
        <n v="0.134"/>
        <n v="0.257"/>
        <n v="0.186"/>
        <n v="0.161"/>
        <n v="0.241"/>
        <n v="0.215"/>
        <n v="0.104"/>
        <n v="0.07"/>
        <n v="0.154"/>
        <n v="0.188"/>
        <n v="0.03"/>
        <n v="0.066"/>
        <n v="0.096"/>
        <n v="0.099"/>
        <n v="0.16"/>
        <n v="0.034"/>
        <n v="0.092"/>
        <n v="0.14"/>
        <n v="0.18"/>
        <n v="0.278"/>
        <n v="0.137"/>
        <n v="0.123"/>
        <n v="0.229"/>
        <n v="0.012"/>
        <n v="0.118"/>
        <n v="0.108"/>
        <n v="0.157"/>
        <n v="0.071"/>
        <n v="0.043"/>
        <n v="0.069"/>
        <n v="0.203"/>
        <n v="0.057"/>
        <n v="0.073"/>
        <n v="0.179"/>
        <n v="0.111"/>
        <n v="0.063"/>
        <n v="0.22"/>
        <n v="0.192"/>
        <n v="0.009"/>
        <n v="0.265"/>
        <n v="0.259"/>
        <n v="0.151"/>
        <n v="0.245"/>
        <n v="0.082"/>
        <n v="0.107"/>
        <n v="0.021"/>
        <n v="0.045"/>
        <n v="0.018"/>
        <n v="0.025"/>
        <n v="0.127"/>
        <n v="0.181"/>
        <n v="0.133"/>
        <n v="0.02"/>
        <n v="0.053"/>
        <n v="0.197"/>
        <n v="0.254"/>
        <n v="0.078"/>
        <n v="0.022"/>
        <n v="0.091"/>
        <n v="0.177"/>
        <n v="0.056"/>
        <n v="0.173"/>
        <n v="0.212"/>
        <n v="0.196"/>
        <n v="0.153"/>
        <n v="0.211"/>
        <n v="0.233"/>
        <n v="0.236"/>
        <n v="0.159"/>
        <n v="0.051"/>
        <n v="0.155"/>
        <n v="0.258"/>
        <n v="0.055"/>
        <n v="0.029"/>
        <n v="0.148"/>
        <n v="0.152"/>
        <n v="0.102"/>
        <n v="0.128"/>
        <n v="0.201"/>
        <n v="0.113"/>
        <n v="0.004"/>
        <n v="0.266"/>
        <n v="0.093"/>
        <n v="0.067"/>
        <n v="0.116"/>
        <n v="0.172"/>
        <n v="0.235"/>
        <n v="0.086"/>
        <n v="0.095"/>
        <n v="0.238"/>
        <n v="0.167"/>
        <n v="0.263"/>
        <n v="0.225"/>
        <n v="0.122"/>
        <n v="0.216"/>
        <n v="0.174"/>
        <n v="0.164"/>
        <n v="0.135"/>
        <n v="0.115"/>
        <n v="0.138"/>
        <n v="0.317"/>
        <n v="0.156"/>
        <n v="0.207"/>
        <n v="0.059"/>
        <n v="0.08"/>
        <n v="0.1"/>
        <n v="0.176"/>
        <n v="0.088"/>
        <n v="0.09"/>
        <n v="0.141"/>
        <n v="0.014"/>
        <n v="0.076"/>
        <n v="0.103"/>
        <n v="0.121"/>
        <n v="0.042"/>
        <n v="0.346"/>
        <n v="0.065"/>
        <n v="0.239"/>
        <n v="0.27"/>
        <n v="0.028"/>
        <n v="0.145"/>
        <n v="0.158"/>
        <n v="0.21"/>
        <n v="0.24"/>
        <n v="0.299"/>
        <n v="0.565"/>
        <n v="0.282"/>
        <n v="0.261"/>
        <n v="0.039"/>
        <n v="0.17"/>
        <n v="0.272"/>
        <n v="0.132"/>
        <n v="0.106"/>
        <n v="0.058"/>
        <n v="0.256"/>
        <n v="0.032"/>
        <n v="0.163"/>
        <n v="0.19"/>
        <n v="0.357"/>
        <n v="0.098"/>
        <n v="0.083"/>
        <n v="0.064"/>
        <n v="0.077"/>
        <n v="0.217"/>
        <n v="0.226"/>
        <n v="0.019"/>
        <n v="0.314"/>
        <n v="0.214"/>
        <n v="0.041"/>
        <n v="0.15"/>
        <n v="0.293"/>
        <n v="0.165"/>
        <n v="0.017"/>
        <n v="0.124"/>
        <n v="0.23"/>
        <n v="0.046"/>
        <n v="0.049"/>
        <n v="0.222"/>
        <n v="0.218"/>
        <n v="0.209"/>
        <n v="0.248"/>
        <n v="0.044"/>
        <n v="0.208"/>
        <n v="0.054"/>
        <n v="0.097"/>
        <n v="0.171"/>
        <n v="0.081"/>
        <n v="0.062"/>
      </sharedItems>
    </cacheField>
    <cacheField name="Quantity" numFmtId="0">
      <sharedItems containsSemiMixedTypes="0" containsString="0" containsNumber="1" containsInteger="1" minValue="2" maxValue="61" count="52">
        <n v="9"/>
        <n v="31"/>
        <n v="12"/>
        <n v="22"/>
        <n v="7"/>
        <n v="4"/>
        <n v="18"/>
        <n v="6"/>
        <n v="23"/>
        <n v="20"/>
        <n v="10"/>
        <n v="15"/>
        <n v="28"/>
        <n v="16"/>
        <n v="19"/>
        <n v="8"/>
        <n v="14"/>
        <n v="17"/>
        <n v="37"/>
        <n v="27"/>
        <n v="13"/>
        <n v="11"/>
        <n v="24"/>
        <n v="38"/>
        <n v="56"/>
        <n v="51"/>
        <n v="40"/>
        <n v="5"/>
        <n v="3"/>
        <n v="26"/>
        <n v="25"/>
        <n v="30"/>
        <n v="39"/>
        <n v="2"/>
        <n v="44"/>
        <n v="50"/>
        <n v="47"/>
        <n v="46"/>
        <n v="36"/>
        <n v="41"/>
        <n v="60"/>
        <n v="61"/>
        <n v="21"/>
        <n v="53"/>
        <n v="43"/>
        <n v="34"/>
        <n v="35"/>
        <n v="42"/>
        <n v="32"/>
        <n v="33"/>
        <n v="55"/>
        <n v="29"/>
      </sharedItems>
    </cacheField>
    <cacheField name="Negative prices " numFmtId="0">
      <sharedItems count="2">
        <s v="Valid"/>
        <b v="0"/>
      </sharedItems>
    </cacheField>
    <cacheField name="Clean Unit Prices" numFmtId="179">
      <sharedItems containsSemiMixedTypes="0" containsString="0" containsNumber="1" minValue="4.22" maxValue="3661.07" count="629">
        <n v="608.9"/>
        <n v="759.33"/>
        <n v="30.66"/>
        <n v="255.94"/>
        <n v="591.68"/>
        <n v="845.97"/>
        <n v="47.22"/>
        <n v="2530.81"/>
        <n v="2309.56"/>
        <n v="700.12"/>
        <n v="691.37"/>
        <n v="548.4"/>
        <n v="1439.01"/>
        <n v="631.57"/>
        <n v="850.8"/>
        <n v="1040.1"/>
        <n v="2705.57"/>
        <n v="2375.37"/>
        <n v="2148.14"/>
        <n v="3661.07"/>
        <n v="2903.09"/>
        <n v="1242.84"/>
        <n v="2553.69"/>
        <n v="2089.16"/>
        <n v="2583.02"/>
        <n v="175.67"/>
        <n v="758.23"/>
        <n v="434.8"/>
        <n v="1666.18"/>
        <n v="631.78"/>
        <n v="1794.07"/>
        <n v="2633.02"/>
        <n v="1321.85"/>
        <n v="3036.87"/>
        <n v="199.37"/>
        <n v="927.51"/>
        <n v="1735.41"/>
        <n v="1395.64"/>
        <n v="454.42"/>
        <n v="1580.97"/>
        <n v="1759.79"/>
        <n v="3204.5"/>
        <n v="1135.43"/>
        <n v="996.36"/>
        <n v="1397.05"/>
        <n v="548.89"/>
        <n v="3524"/>
        <n v="1825.61"/>
        <n v="1791.37"/>
        <n v="2629.75"/>
        <n v="106.3"/>
        <n v="385.72"/>
        <n v="236.87"/>
        <n v="41.9"/>
        <n v="977.38"/>
        <n v="2794.13"/>
        <n v="701.95"/>
        <n v="5.27"/>
        <n v="1437.06"/>
        <n v="1911.89"/>
        <n v="2593.78"/>
        <n v="1244.08"/>
        <n v="1912.51"/>
        <n v="755.87"/>
        <n v="1145.67"/>
        <n v="1234.1"/>
        <n v="1228.01"/>
        <n v="605.23"/>
        <n v="1880.15"/>
        <n v="1269.4"/>
        <n v="620.93"/>
        <n v="1455.91"/>
        <n v="546.43"/>
        <n v="1347.92"/>
        <n v="1108.43"/>
        <n v="3144.1"/>
        <n v="2095.73"/>
        <n v="703.62"/>
        <n v="1997.19"/>
        <n v="2763.95"/>
        <n v="1503.53"/>
        <n v="388.04"/>
        <n v="44.57"/>
        <n v="1808.26"/>
        <n v="1285.09"/>
        <n v="1678.14"/>
        <n v="679.35"/>
        <n v="1109.92"/>
        <n v="83.57"/>
        <n v="1284.3"/>
        <n v="911.72"/>
        <n v="1405.07"/>
        <n v="968.94"/>
        <n v="1088.81"/>
        <n v="2484.99"/>
        <n v="28.69"/>
        <n v="1896.62"/>
        <n v="419.17"/>
        <n v="2001.17"/>
        <n v="3104.71"/>
        <n v="334.28"/>
        <n v="1952.83"/>
        <n v="242.29"/>
        <n v="2968.87"/>
        <n v="1394.3"/>
        <n v="15.41"/>
        <n v="2250.81"/>
        <n v="166.04"/>
        <n v="356.55"/>
        <n v="1025.05"/>
        <n v="1795.17"/>
        <n v="4.37"/>
        <n v="218.5"/>
        <n v="249.87"/>
        <n v="3436.52"/>
        <n v="53.45"/>
        <n v="3469.7"/>
        <n v="621.02"/>
        <n v="88.51"/>
        <n v="1959.09"/>
        <n v="2742.97"/>
        <n v="1679.42"/>
        <n v="1433.9"/>
        <n v="284.43"/>
        <n v="694.78"/>
        <n v="1848.39"/>
        <n v="45.19"/>
        <n v="361.1"/>
        <n v="1004.34"/>
        <n v="1027.73"/>
        <n v="468.09"/>
        <n v="668.02"/>
        <n v="537.27"/>
        <n v="572.71"/>
        <n v="2323.87"/>
        <n v="1631.04"/>
        <n v="393.31"/>
        <n v="1856.16"/>
        <n v="84.9"/>
        <n v="2252.24"/>
        <n v="921.62"/>
        <n v="1643.18"/>
        <n v="1467.17"/>
        <n v="998.76"/>
        <n v="630.72"/>
        <n v="728.61"/>
        <n v="951.51"/>
        <n v="732.88"/>
        <n v="2411.52"/>
        <n v="568.29"/>
        <n v="1254.95"/>
        <n v="845.55"/>
        <n v="2145.17"/>
        <n v="1349.94"/>
        <n v="527.48"/>
        <n v="1651.14"/>
        <n v="1982.18"/>
        <n v="2552.22"/>
        <n v="523.01"/>
        <n v="1217.71"/>
        <n v="1343.64"/>
        <n v="301.7"/>
        <n v="1511.71"/>
        <n v="2055.24"/>
        <n v="391.15"/>
        <n v="1848.97"/>
        <n v="1395.56"/>
        <n v="538.04"/>
        <n v="1218.92"/>
        <n v="2062.12"/>
        <n v="10.18"/>
        <n v="2281.72"/>
        <n v="249.57"/>
        <n v="3275"/>
        <n v="1913.76"/>
        <n v="30.09"/>
        <n v="501.31"/>
        <n v="411.18"/>
        <n v="5.92"/>
        <n v="2206.63"/>
        <n v="1912.8"/>
        <n v="1382.31"/>
        <n v="1355.61"/>
        <n v="887.9"/>
        <n v="1020.69"/>
        <n v="1395.53"/>
        <n v="2273.42"/>
        <n v="1242.15"/>
        <n v="1310.29"/>
        <n v="967.25"/>
        <n v="886.22"/>
        <n v="790.61"/>
        <n v="361.33"/>
        <n v="1952.04"/>
        <n v="1564.76"/>
        <n v="852.54"/>
        <n v="1465.29"/>
        <n v="2645.23"/>
        <n v="881.57"/>
        <n v="625.04"/>
        <n v="973.04"/>
        <n v="1545.34"/>
        <n v="2253.42"/>
        <n v="2446.56"/>
        <n v="188.3"/>
        <n v="2562.84"/>
        <n v="1805.11"/>
        <n v="2065.73"/>
        <n v="2366.51"/>
        <n v="131.76"/>
        <n v="1335.02"/>
        <n v="2691.45"/>
        <n v="776.46"/>
        <n v="318.17"/>
        <n v="1246.41"/>
        <n v="346.96"/>
        <n v="504.76"/>
        <n v="937.46"/>
        <n v="1300.58"/>
        <n v="228.15"/>
        <n v="496.52"/>
        <n v="2941.2"/>
        <n v="1088.2"/>
        <n v="2529.15"/>
        <n v="2698.01"/>
        <n v="1482.75"/>
        <n v="1456.81"/>
        <n v="918.19"/>
        <n v="48.94"/>
        <n v="932.29"/>
        <n v="325.79"/>
        <n v="405.97"/>
        <n v="1589.07"/>
        <n v="1432.8"/>
        <n v="1765.76"/>
        <n v="2757.54"/>
        <n v="873.75"/>
        <n v="258.52"/>
        <n v="606.76"/>
        <n v="1337.69"/>
        <n v="1793.08"/>
        <n v="122.74"/>
        <n v="927.93"/>
        <n v="151.88"/>
        <n v="2210.4"/>
        <n v="39.74"/>
        <n v="1009"/>
        <n v="1653.64"/>
        <n v="1015.7"/>
        <n v="912.45"/>
        <n v="815.19"/>
        <n v="1814.06"/>
        <n v="758.92"/>
        <n v="1667.44"/>
        <n v="2562.55"/>
        <n v="745.38"/>
        <n v="687.95"/>
        <n v="550.07"/>
        <n v="2068.21"/>
        <n v="2576.65"/>
        <n v="1044.14"/>
        <n v="99.04"/>
        <n v="1996.81"/>
        <n v="921.68"/>
        <n v="2503.79"/>
        <n v="2462.77"/>
        <n v="496.2"/>
        <n v="907.59"/>
        <n v="334.19"/>
        <n v="538.79"/>
        <n v="1436.54"/>
        <n v="1766.55"/>
        <n v="628.54"/>
        <n v="1650.75"/>
        <n v="2247.14"/>
        <n v="893.19"/>
        <n v="2328.9"/>
        <n v="2066.75"/>
        <n v="2182.31"/>
        <n v="2726.62"/>
        <n v="111.29"/>
        <n v="1100.09"/>
        <n v="1529.14"/>
        <n v="728.69"/>
        <n v="6.28"/>
        <n v="2569.77"/>
        <n v="1592.02"/>
        <n v="995.47"/>
        <n v="1240.31"/>
        <n v="118.37"/>
        <n v="2105.53"/>
        <n v="523"/>
        <n v="1075.3"/>
        <n v="3294.57"/>
        <n v="464.05"/>
        <n v="511.03"/>
        <n v="4.22"/>
        <n v="577.24"/>
        <n v="1426.03"/>
        <n v="1360.12"/>
        <n v="2071.1"/>
        <n v="979.84"/>
        <n v="537.39"/>
        <n v="213.32"/>
        <n v="1994.67"/>
        <n v="552.84"/>
        <n v="224.95"/>
        <n v="772.09"/>
        <n v="3149.21"/>
        <n v="57.53"/>
        <n v="824.81"/>
        <n v="1493.53"/>
        <n v="741.92"/>
        <n v="742.23"/>
        <n v="479.54"/>
        <n v="1175.25"/>
        <n v="227.45"/>
        <n v="1178.62"/>
        <n v="2422.1"/>
        <n v="433.88"/>
        <n v="3149.13"/>
        <n v="65.65"/>
        <n v="2492.14"/>
        <n v="931.84"/>
        <n v="619.51"/>
        <n v="1421.55"/>
        <n v="952.56"/>
        <n v="3154.14"/>
        <n v="226.14"/>
        <n v="885.92"/>
        <n v="2433.34"/>
        <n v="1154.34"/>
        <n v="1135.99"/>
        <n v="2751.84"/>
        <n v="1374.72"/>
        <n v="1318.37"/>
        <n v="441.74"/>
        <n v="1330.07"/>
        <n v="1634.86"/>
        <n v="70.6"/>
        <n v="1823.04"/>
        <n v="2015.99"/>
        <n v="244.13"/>
        <n v="2783.12"/>
        <n v="2050.31"/>
        <n v="147.12"/>
        <n v="1982.98"/>
        <n v="2299.3"/>
        <n v="462.61"/>
        <n v="1093.39"/>
        <n v="1454.22"/>
        <n v="2120.4"/>
        <n v="128.68"/>
        <n v="1325.96"/>
        <n v="2439.33"/>
        <n v="2201.54"/>
        <n v="814.36"/>
        <n v="1382.91"/>
        <n v="1646.43"/>
        <n v="400.84"/>
        <n v="1780.56"/>
        <n v="1118.43"/>
        <n v="771.12"/>
        <n v="1210.04"/>
        <n v="3024.03"/>
        <n v="2303.46"/>
        <n v="3083.8"/>
        <n v="322.71"/>
        <n v="731.29"/>
        <n v="1533.95"/>
        <n v="1571.66"/>
        <n v="250.73"/>
        <n v="3472.81"/>
        <n v="1206.04"/>
        <n v="2197.23"/>
        <n v="1620.6"/>
        <n v="1034.66"/>
        <n v="1905.42"/>
        <n v="541.56"/>
        <n v="1116.6"/>
        <n v="1455"/>
        <n v="1278.3"/>
        <n v="899.83"/>
        <n v="878.73"/>
        <n v="594.42"/>
        <n v="1617.85"/>
        <n v="972.91"/>
        <n v="42.56"/>
        <n v="1480.83"/>
        <n v="564.26"/>
        <n v="2137.21"/>
        <n v="1680.93"/>
        <n v="2905.06"/>
        <n v="842.09"/>
        <n v="3131.37"/>
        <n v="1444.72"/>
        <n v="2875.8"/>
        <n v="1641.61"/>
        <n v="1299.02"/>
        <n v="1118.56"/>
        <n v="1184.71"/>
        <n v="1201.47"/>
        <n v="880.99"/>
        <n v="2050.87"/>
        <n v="1737.9"/>
        <n v="1388.31"/>
        <n v="529.14"/>
        <n v="1972.38"/>
        <n v="876.81"/>
        <n v="824.26"/>
        <n v="1159.35"/>
        <n v="2513.51"/>
        <n v="3087.13"/>
        <n v="2717.15"/>
        <n v="901.79"/>
        <n v="796.15"/>
        <n v="157.82"/>
        <n v="819.06"/>
        <n v="1711.16"/>
        <n v="1696.35"/>
        <n v="2884.34"/>
        <n v="1483.74"/>
        <n v="3197.47"/>
        <n v="2322.7"/>
        <n v="1932.42"/>
        <n v="1590.36"/>
        <n v="395.61"/>
        <n v="2077.69"/>
        <n v="1330.85"/>
        <n v="2764.65"/>
        <n v="278.35"/>
        <n v="984.36"/>
        <n v="190.84"/>
        <n v="908.3"/>
        <n v="284.23"/>
        <n v="1229.34"/>
        <n v="1224.72"/>
        <n v="485.86"/>
        <n v="2210.94"/>
        <n v="571.89"/>
        <n v="3398.37"/>
        <n v="194.62"/>
        <n v="1031.64"/>
        <n v="495.19"/>
        <n v="1319.04"/>
        <n v="314.87"/>
        <n v="2210.17"/>
        <n v="1045"/>
        <n v="2132.19"/>
        <n v="2101.55"/>
        <n v="2125.44"/>
        <n v="712.75"/>
        <n v="1568.83"/>
        <n v="2074.34"/>
        <n v="757.59"/>
        <n v="415.96"/>
        <n v="1870.89"/>
        <n v="206.88"/>
        <n v="62.82"/>
        <n v="956.49"/>
        <n v="165.7"/>
        <n v="608.36"/>
        <n v="2665.91"/>
        <n v="587.95"/>
        <n v="2193.13"/>
        <n v="2187.8"/>
        <n v="1002.11"/>
        <n v="913.78"/>
        <n v="1843.51"/>
        <n v="1383.6"/>
        <n v="1588.53"/>
        <n v="1344.05"/>
        <n v="1290.29"/>
        <n v="221.58"/>
        <n v="360.34"/>
        <n v="2545.81"/>
        <n v="699.47"/>
        <n v="2738.69"/>
        <n v="94.78"/>
        <n v="2777.35"/>
        <n v="492.18"/>
        <n v="1921.65"/>
        <n v="290.33"/>
        <n v="602.92"/>
        <n v="2077.5"/>
        <n v="172.88"/>
        <n v="2778.74"/>
        <n v="309.47"/>
        <n v="666.41"/>
        <n v="744.27"/>
        <n v="12.69"/>
        <n v="651.56"/>
        <n v="754.22"/>
        <n v="2981.01"/>
        <n v="976.17"/>
        <n v="1145.9"/>
        <n v="1630.39"/>
        <n v="963.73"/>
        <n v="891.73"/>
        <n v="1667.82"/>
        <n v="1921.51"/>
        <n v="1217.43"/>
        <n v="970.27"/>
        <n v="1624.67"/>
        <n v="2606.11"/>
        <n v="434.72"/>
        <n v="1860.41"/>
        <n v="833.69"/>
        <n v="333.48"/>
        <n v="1784.7"/>
        <n v="1072.29"/>
        <n v="3028.05"/>
        <n v="987.24"/>
        <n v="975.43"/>
        <n v="141.43"/>
        <n v="1625.42"/>
        <n v="299.94"/>
        <n v="1503.96"/>
        <n v="3101.11"/>
        <n v="979.42"/>
        <n v="1186.26"/>
        <n v="1938.33"/>
        <n v="826.47"/>
        <n v="118.17"/>
        <n v="1425.87"/>
        <n v="1594.78"/>
        <n v="3342.11"/>
        <n v="1069.77"/>
        <n v="140.82"/>
        <n v="67.04"/>
        <n v="1276.67"/>
        <n v="2821.36"/>
        <n v="1559.19"/>
        <n v="656.66"/>
        <n v="2657.84"/>
        <n v="1424.74"/>
        <n v="2318.74"/>
        <n v="366.7"/>
        <n v="2797.41"/>
        <n v="2209.66"/>
        <n v="839.04"/>
        <n v="1139.15"/>
        <n v="1712.03"/>
        <n v="1054.29"/>
        <n v="2451.22"/>
        <n v="1251.21"/>
        <n v="1104.8"/>
        <n v="2383.41"/>
        <n v="213.06"/>
        <n v="2030.64"/>
        <n v="956.7"/>
        <n v="1447.68"/>
        <n v="2949.62"/>
        <n v="2580.57"/>
        <n v="1978.91"/>
        <n v="1481.45"/>
        <n v="1658.92"/>
        <n v="602.34"/>
        <n v="527.64"/>
        <n v="1841.9"/>
        <n v="1645.48"/>
        <n v="727.22"/>
        <n v="1233.79"/>
        <n v="1543.76"/>
        <n v="2115.19"/>
        <n v="1837.19"/>
        <n v="2858.93"/>
        <n v="289.92"/>
        <n v="997.2"/>
        <n v="47.29"/>
        <n v="754.24"/>
        <n v="901.48"/>
        <n v="113.08"/>
        <n v="868.62"/>
        <n v="347.9"/>
        <n v="1111.88"/>
        <n v="327.72"/>
        <n v="486.13"/>
        <n v="2066.6"/>
        <n v="86.2"/>
        <n v="2307.75"/>
        <n v="1112.81"/>
        <n v="1125.99"/>
        <n v="123.62"/>
        <n v="1731.75"/>
        <n v="3062.01"/>
        <n v="2200.41"/>
        <n v="601.49"/>
        <n v="947.77"/>
        <n v="2331.48"/>
        <n v="1417.24"/>
        <n v="699.5"/>
        <n v="1787.2"/>
        <n v="1698.75"/>
        <n v="724.7"/>
        <n v="1355.94"/>
        <n v="275.07"/>
        <n v="1802.44"/>
        <n v="1269.78"/>
        <n v="571.9"/>
        <n v="2755.04"/>
        <n v="962.51"/>
        <n v="668.27"/>
        <n v="1404.33"/>
        <n v="3589.89"/>
        <n v="233.51"/>
        <n v="124.25"/>
        <n v="1431.37"/>
        <n v="1595.52"/>
        <n v="1028.46"/>
        <n v="3230.35"/>
        <n v="2789.61"/>
        <n v="1897.74"/>
        <n v="902.47"/>
        <n v="33.66"/>
        <n v="1086.68"/>
        <n v="1010.75"/>
        <n v="411.48"/>
        <n v="413.34"/>
        <n v="1558.89"/>
        <n v="861.16"/>
        <n v="2296.25"/>
        <n v="2636.6"/>
        <n v="978.09"/>
        <n v="545.72"/>
        <n v="1435.54"/>
        <n v="2397.3"/>
        <n v="1853.86"/>
        <n v="45.98"/>
      </sharedItems>
    </cacheField>
    <cacheField name="Discounts &gt;30%" numFmtId="0">
      <sharedItems count="2">
        <b v="0"/>
        <s v="Excess"/>
      </sharedItems>
    </cacheField>
    <cacheField name="Clean discounts " numFmtId="10">
      <sharedItems containsSemiMixedTypes="0" containsString="0" containsNumber="1" minValue="0" maxValue="0.3" count="222">
        <n v="0.112"/>
        <n v="0.237"/>
        <n v="0.131"/>
        <n v="0.072"/>
        <n v="0"/>
        <n v="0.147"/>
        <n v="0.194"/>
        <n v="0.031"/>
        <n v="0.149"/>
        <n v="0.006"/>
        <n v="0.25"/>
        <n v="0.094"/>
        <n v="0.074"/>
        <n v="0.109"/>
        <n v="0.183"/>
        <n v="0.038"/>
        <n v="0.143"/>
        <n v="0.12"/>
        <n v="0.01"/>
        <n v="0.007"/>
        <n v="0.168"/>
        <n v="0.125"/>
        <n v="0.139"/>
        <n v="0.087"/>
        <n v="0.089"/>
        <n v="0.084"/>
        <n v="0.101"/>
        <n v="0.243"/>
        <n v="0.136"/>
        <n v="0.175"/>
        <n v="0.129"/>
        <n v="0.037"/>
        <n v="0.3"/>
        <n v="0.146"/>
        <n v="0.182"/>
        <n v="0.169"/>
        <n v="0.187"/>
        <n v="0.126"/>
        <n v="0.292"/>
        <n v="0.295"/>
        <n v="0.144"/>
        <n v="0.035"/>
        <n v="0.075"/>
        <n v="0.205"/>
        <n v="0.119"/>
        <n v="0.11"/>
        <n v="0.2"/>
        <n v="0.255"/>
        <n v="0.13"/>
        <n v="0.184"/>
        <n v="0.189"/>
        <n v="0.105"/>
        <n v="0.204"/>
        <n v="0.05"/>
        <n v="0.068"/>
        <n v="0.142"/>
        <n v="0.185"/>
        <n v="0.047"/>
        <n v="0.114"/>
        <n v="0.134"/>
        <n v="0.257"/>
        <n v="0.186"/>
        <n v="0.161"/>
        <n v="0.241"/>
        <n v="0.215"/>
        <n v="0.104"/>
        <n v="0.07"/>
        <n v="0.154"/>
        <n v="0.188"/>
        <n v="0.03"/>
        <n v="0.066"/>
        <n v="0.096"/>
        <n v="0.099"/>
        <n v="0.16"/>
        <n v="0.034"/>
        <n v="0.092"/>
        <n v="0.14"/>
        <n v="0.18"/>
        <n v="0.278"/>
        <n v="0.137"/>
        <n v="0.123"/>
        <n v="0.229"/>
        <n v="0.012"/>
        <n v="0.118"/>
        <n v="0.108"/>
        <n v="0.157"/>
        <n v="0.071"/>
        <n v="0.043"/>
        <n v="0.069"/>
        <n v="0.203"/>
        <n v="0.057"/>
        <n v="0.073"/>
        <n v="0.179"/>
        <n v="0.111"/>
        <n v="0.063"/>
        <n v="0.22"/>
        <n v="0.192"/>
        <n v="0.009"/>
        <n v="0.265"/>
        <n v="0.259"/>
        <n v="0.151"/>
        <n v="0.245"/>
        <n v="0.082"/>
        <n v="0.107"/>
        <n v="0.021"/>
        <n v="0.045"/>
        <n v="0.018"/>
        <n v="0.025"/>
        <n v="0.127"/>
        <n v="0.181"/>
        <n v="0.133"/>
        <n v="0.02"/>
        <n v="0.053"/>
        <n v="0.197"/>
        <n v="0.254"/>
        <n v="0.078"/>
        <n v="0.022"/>
        <n v="0.091"/>
        <n v="0.177"/>
        <n v="0.056"/>
        <n v="0.173"/>
        <n v="0.212"/>
        <n v="0.196"/>
        <n v="0.153"/>
        <n v="0.211"/>
        <n v="0.233"/>
        <n v="0.236"/>
        <n v="0.159"/>
        <n v="0.051"/>
        <n v="0.155"/>
        <n v="0.258"/>
        <n v="0.055"/>
        <n v="0.029"/>
        <n v="0.148"/>
        <n v="0.152"/>
        <n v="0.102"/>
        <n v="0.128"/>
        <n v="0.201"/>
        <n v="0.113"/>
        <n v="0.004"/>
        <n v="0.266"/>
        <n v="0.093"/>
        <n v="0.067"/>
        <n v="0.116"/>
        <n v="0.172"/>
        <n v="0.235"/>
        <n v="0.086"/>
        <n v="0.095"/>
        <n v="0.238"/>
        <n v="0.167"/>
        <n v="0.263"/>
        <n v="0.225"/>
        <n v="0.122"/>
        <n v="0.216"/>
        <n v="0.174"/>
        <n v="0.164"/>
        <n v="0.135"/>
        <n v="0.115"/>
        <n v="0.138"/>
        <n v="0.156"/>
        <n v="0.207"/>
        <n v="0.059"/>
        <n v="0.08"/>
        <n v="0.1"/>
        <n v="0.176"/>
        <n v="0.088"/>
        <n v="0.09"/>
        <n v="0.141"/>
        <n v="0.014"/>
        <n v="0.076"/>
        <n v="0.103"/>
        <n v="0.121"/>
        <n v="0.042"/>
        <n v="0.065"/>
        <n v="0.239"/>
        <n v="0.27"/>
        <n v="0.028"/>
        <n v="0.145"/>
        <n v="0.158"/>
        <n v="0.21"/>
        <n v="0.24"/>
        <n v="0.299"/>
        <n v="0.282"/>
        <n v="0.261"/>
        <n v="0.039"/>
        <n v="0.17"/>
        <n v="0.272"/>
        <n v="0.132"/>
        <n v="0.106"/>
        <n v="0.058"/>
        <n v="0.256"/>
        <n v="0.032"/>
        <n v="0.163"/>
        <n v="0.19"/>
        <n v="0.098"/>
        <n v="0.083"/>
        <n v="0.064"/>
        <n v="0.077"/>
        <n v="0.217"/>
        <n v="0.226"/>
        <n v="0.019"/>
        <n v="0.214"/>
        <n v="0.041"/>
        <n v="0.15"/>
        <n v="0.293"/>
        <n v="0.165"/>
        <n v="0.017"/>
        <n v="0.124"/>
        <n v="0.23"/>
        <n v="0.046"/>
        <n v="0.049"/>
        <n v="0.222"/>
        <n v="0.218"/>
        <n v="0.209"/>
        <n v="0.248"/>
        <n v="0.044"/>
        <n v="0.208"/>
        <n v="0.054"/>
        <n v="0.097"/>
        <n v="0.171"/>
        <n v="0.081"/>
        <n v="0.062"/>
      </sharedItems>
    </cacheField>
    <cacheField name="Date Diff " numFmtId="0">
      <sharedItems containsSemiMixedTypes="0" containsString="0" containsNumber="1" containsInteger="1" minValue="-45588" maxValue="30" count="34">
        <n v="26"/>
        <n v="-45588"/>
        <n v="25"/>
        <n v="4"/>
        <n v="3"/>
        <n v="18"/>
        <n v="-2"/>
        <n v="19"/>
        <n v="12"/>
        <n v="20"/>
        <n v="24"/>
        <n v="29"/>
        <n v="-1"/>
        <n v="8"/>
        <n v="16"/>
        <n v="17"/>
        <n v="15"/>
        <n v="5"/>
        <n v="14"/>
        <n v="30"/>
        <n v="0"/>
        <n v="13"/>
        <n v="7"/>
        <n v="23"/>
        <n v="22"/>
        <n v="11"/>
        <n v="10"/>
        <n v="2"/>
        <n v="1"/>
        <n v="9"/>
        <n v="28"/>
        <n v="21"/>
        <n v="27"/>
        <n v="6"/>
      </sharedItems>
    </cacheField>
    <cacheField name="Validated Required date" numFmtId="58">
      <sharedItems containsSemiMixedTypes="0" containsString="0" containsNonDate="0" containsDate="1" minDate="2023-01-05T00:00:00" maxDate="2025-10-05T00:00:00" count="471">
        <d v="2024-04-06T00:00:00"/>
        <d v="2024-10-30T00:00:00"/>
        <d v="2023-03-25T00:00:00"/>
        <d v="2025-04-02T00:00:00"/>
        <d v="2023-01-05T00:00:00"/>
        <d v="2025-01-14T00:00:00"/>
        <d v="2023-01-22T00:00:00"/>
        <d v="2024-05-29T00:00:00"/>
        <d v="2025-06-09T00:00:00"/>
        <d v="2024-02-09T00:00:00"/>
        <d v="2025-01-23T00:00:00"/>
        <d v="2025-03-31T00:00:00"/>
        <d v="2024-02-13T00:00:00"/>
        <d v="2025-09-30T00:00:00"/>
        <d v="2023-04-30T00:00:00"/>
        <d v="2025-01-08T00:00:00"/>
        <d v="2025-09-16T00:00:00"/>
        <d v="2025-08-05T00:00:00"/>
        <d v="2025-05-28T00:00:00"/>
        <d v="2024-08-01T00:00:00"/>
        <d v="2023-05-28T00:00:00"/>
        <d v="2025-06-29T00:00:00"/>
        <d v="2024-05-23T00:00:00"/>
        <d v="2023-02-12T00:00:00"/>
        <d v="2024-07-14T00:00:00"/>
        <d v="2024-12-30T00:00:00"/>
        <d v="2024-07-19T00:00:00"/>
        <d v="2023-05-14T00:00:00"/>
        <d v="2025-04-11T00:00:00"/>
        <d v="2025-01-15T00:00:00"/>
        <d v="2025-08-06T00:00:00"/>
        <d v="2024-05-08T00:00:00"/>
        <d v="2024-08-30T00:00:00"/>
        <d v="2023-04-22T00:00:00"/>
        <d v="2024-03-25T00:00:00"/>
        <d v="2025-07-10T00:00:00"/>
        <d v="2024-05-06T00:00:00"/>
        <d v="2023-06-24T00:00:00"/>
        <d v="2024-09-19T00:00:00"/>
        <d v="2024-02-02T00:00:00"/>
        <d v="2024-11-14T00:00:00"/>
        <d v="2025-06-20T00:00:00"/>
        <d v="2024-06-02T00:00:00"/>
        <d v="2023-07-03T00:00:00"/>
        <d v="2024-05-28T00:00:00"/>
        <d v="2024-11-08T00:00:00"/>
        <d v="2023-08-01T00:00:00"/>
        <d v="2024-11-22T00:00:00"/>
        <d v="2024-11-06T00:00:00"/>
        <d v="2023-04-05T00:00:00"/>
        <d v="2025-02-16T00:00:00"/>
        <d v="2023-09-01T00:00:00"/>
        <d v="2025-04-30T00:00:00"/>
        <d v="2025-03-01T00:00:00"/>
        <d v="2024-12-18T00:00:00"/>
        <d v="2025-06-18T00:00:00"/>
        <d v="2025-05-13T00:00:00"/>
        <d v="2024-04-09T00:00:00"/>
        <d v="2025-09-12T00:00:00"/>
        <d v="2025-05-25T00:00:00"/>
        <d v="2024-11-18T00:00:00"/>
        <d v="2023-02-26T00:00:00"/>
        <d v="2023-12-26T00:00:00"/>
        <d v="2023-04-09T00:00:00"/>
        <d v="2024-06-06T00:00:00"/>
        <d v="2023-09-07T00:00:00"/>
        <d v="2023-05-10T00:00:00"/>
        <d v="2024-03-21T00:00:00"/>
        <d v="2025-05-06T00:00:00"/>
        <d v="2024-05-07T00:00:00"/>
        <d v="2024-12-20T00:00:00"/>
        <d v="2023-05-27T00:00:00"/>
        <d v="2023-10-08T00:00:00"/>
        <d v="2024-09-25T00:00:00"/>
        <d v="2024-07-07T00:00:00"/>
        <d v="2023-06-16T00:00:00"/>
        <d v="2024-12-21T00:00:00"/>
        <d v="2023-02-11T00:00:00"/>
        <d v="2023-09-12T00:00:00"/>
        <d v="2025-05-24T00:00:00"/>
        <d v="2025-04-17T00:00:00"/>
        <d v="2023-12-23T00:00:00"/>
        <d v="2024-04-25T00:00:00"/>
        <d v="2025-08-19T00:00:00"/>
        <d v="2024-01-25T00:00:00"/>
        <d v="2023-07-02T00:00:00"/>
        <d v="2025-05-15T00:00:00"/>
        <d v="2025-06-25T00:00:00"/>
        <d v="2023-07-01T00:00:00"/>
        <d v="2024-11-02T00:00:00"/>
        <d v="2023-04-27T00:00:00"/>
        <d v="2025-08-16T00:00:00"/>
        <d v="2024-06-04T00:00:00"/>
        <d v="2025-08-18T00:00:00"/>
        <d v="2023-03-20T00:00:00"/>
        <d v="2025-02-15T00:00:00"/>
        <d v="2024-01-22T00:00:00"/>
        <d v="2025-04-04T00:00:00"/>
        <d v="2024-12-28T00:00:00"/>
        <d v="2024-10-05T00:00:00"/>
        <d v="2024-05-27T00:00:00"/>
        <d v="2023-06-07T00:00:00"/>
        <d v="2024-09-04T00:00:00"/>
        <d v="2024-06-08T00:00:00"/>
        <d v="2024-06-11T00:00:00"/>
        <d v="2024-07-26T00:00:00"/>
        <d v="2025-01-24T00:00:00"/>
        <d v="2023-12-05T00:00:00"/>
        <d v="2023-03-05T00:00:00"/>
        <d v="2025-06-10T00:00:00"/>
        <d v="2025-01-02T00:00:00"/>
        <d v="2023-06-19T00:00:00"/>
        <d v="2025-07-18T00:00:00"/>
        <d v="2025-07-12T00:00:00"/>
        <d v="2023-12-13T00:00:00"/>
        <d v="2024-01-20T00:00:00"/>
        <d v="2024-11-29T00:00:00"/>
        <d v="2023-09-04T00:00:00"/>
        <d v="2023-09-06T00:00:00"/>
        <d v="2024-06-26T00:00:00"/>
        <d v="2025-08-14T00:00:00"/>
        <d v="2024-06-13T00:00:00"/>
        <d v="2023-01-30T00:00:00"/>
        <d v="2025-02-28T00:00:00"/>
        <d v="2025-03-24T00:00:00"/>
        <d v="2023-01-31T00:00:00"/>
        <d v="2024-12-26T00:00:00"/>
        <d v="2023-04-17T00:00:00"/>
        <d v="2025-01-12T00:00:00"/>
        <d v="2023-04-12T00:00:00"/>
        <d v="2024-12-15T00:00:00"/>
        <d v="2024-02-14T00:00:00"/>
        <d v="2023-05-18T00:00:00"/>
        <d v="2025-01-11T00:00:00"/>
        <d v="2023-08-25T00:00:00"/>
        <d v="2024-07-06T00:00:00"/>
        <d v="2023-07-14T00:00:00"/>
        <d v="2023-12-07T00:00:00"/>
        <d v="2025-09-28T00:00:00"/>
        <d v="2024-04-24T00:00:00"/>
        <d v="2023-09-16T00:00:00"/>
        <d v="2024-10-18T00:00:00"/>
        <d v="2025-05-16T00:00:00"/>
        <d v="2023-07-23T00:00:00"/>
        <d v="2023-12-14T00:00:00"/>
        <d v="2024-03-04T00:00:00"/>
        <d v="2023-11-02T00:00:00"/>
        <d v="2024-08-17T00:00:00"/>
        <d v="2024-02-21T00:00:00"/>
        <d v="2024-09-18T00:00:00"/>
        <d v="2025-08-21T00:00:00"/>
        <d v="2023-03-04T00:00:00"/>
        <d v="2024-11-24T00:00:00"/>
        <d v="2024-04-07T00:00:00"/>
        <d v="2023-03-26T00:00:00"/>
        <d v="2024-06-16T00:00:00"/>
        <d v="2023-03-12T00:00:00"/>
        <d v="2024-06-14T00:00:00"/>
        <d v="2023-10-23T00:00:00"/>
        <d v="2024-07-15T00:00:00"/>
        <d v="2023-10-10T00:00:00"/>
        <d v="2023-03-09T00:00:00"/>
        <d v="2024-06-03T00:00:00"/>
        <d v="2025-05-04T00:00:00"/>
        <d v="2023-09-11T00:00:00"/>
        <d v="2023-04-16T00:00:00"/>
        <d v="2025-09-18T00:00:00"/>
        <d v="2024-10-11T00:00:00"/>
        <d v="2025-03-04T00:00:00"/>
        <d v="2023-08-23T00:00:00"/>
        <d v="2024-10-29T00:00:00"/>
        <d v="2023-07-21T00:00:00"/>
        <d v="2025-02-08T00:00:00"/>
        <d v="2023-02-28T00:00:00"/>
        <d v="2023-07-31T00:00:00"/>
        <d v="2024-02-19T00:00:00"/>
        <d v="2023-08-22T00:00:00"/>
        <d v="2024-09-03T00:00:00"/>
        <d v="2023-11-13T00:00:00"/>
        <d v="2023-05-26T00:00:00"/>
        <d v="2024-10-01T00:00:00"/>
        <d v="2024-03-03T00:00:00"/>
        <d v="2023-02-21T00:00:00"/>
        <d v="2023-05-13T00:00:00"/>
        <d v="2023-01-19T00:00:00"/>
        <d v="2024-01-29T00:00:00"/>
        <d v="2023-02-03T00:00:00"/>
        <d v="2025-02-25T00:00:00"/>
        <d v="2023-04-28T00:00:00"/>
        <d v="2025-02-14T00:00:00"/>
        <d v="2024-10-07T00:00:00"/>
        <d v="2025-08-07T00:00:00"/>
        <d v="2024-10-23T00:00:00"/>
        <d v="2025-08-04T00:00:00"/>
        <d v="2025-02-06T00:00:00"/>
        <d v="2023-11-28T00:00:00"/>
        <d v="2024-03-30T00:00:00"/>
        <d v="2024-01-14T00:00:00"/>
        <d v="2023-01-29T00:00:00"/>
        <d v="2024-11-09T00:00:00"/>
        <d v="2024-10-14T00:00:00"/>
        <d v="2025-09-24T00:00:00"/>
        <d v="2023-10-02T00:00:00"/>
        <d v="2023-09-10T00:00:00"/>
        <d v="2025-07-17T00:00:00"/>
        <d v="2023-05-07T00:00:00"/>
        <d v="2023-12-20T00:00:00"/>
        <d v="2023-08-07T00:00:00"/>
        <d v="2023-10-29T00:00:00"/>
        <d v="2025-08-30T00:00:00"/>
        <d v="2023-04-01T00:00:00"/>
        <d v="2023-06-10T00:00:00"/>
        <d v="2024-09-08T00:00:00"/>
        <d v="2023-03-30T00:00:00"/>
        <d v="2024-10-02T00:00:00"/>
        <d v="2025-07-23T00:00:00"/>
        <d v="2025-05-27T00:00:00"/>
        <d v="2025-08-08T00:00:00"/>
        <d v="2024-12-12T00:00:00"/>
        <d v="2024-03-26T00:00:00"/>
        <d v="2025-05-02T00:00:00"/>
        <d v="2023-03-24T00:00:00"/>
        <d v="2024-07-31T00:00:00"/>
        <d v="2024-11-20T00:00:00"/>
        <d v="2024-05-19T00:00:00"/>
        <d v="2023-10-06T00:00:00"/>
        <d v="2025-07-05T00:00:00"/>
        <d v="2023-10-13T00:00:00"/>
        <d v="2023-08-24T00:00:00"/>
        <d v="2025-06-27T00:00:00"/>
        <d v="2025-04-26T00:00:00"/>
        <d v="2025-09-11T00:00:00"/>
        <d v="2024-10-08T00:00:00"/>
        <d v="2024-01-01T00:00:00"/>
        <d v="2024-01-23T00:00:00"/>
        <d v="2023-08-14T00:00:00"/>
        <d v="2025-03-09T00:00:00"/>
        <d v="2024-04-17T00:00:00"/>
        <d v="2023-08-13T00:00:00"/>
        <d v="2024-04-13T00:00:00"/>
        <d v="2024-01-27T00:00:00"/>
        <d v="2024-04-11T00:00:00"/>
        <d v="2025-07-14T00:00:00"/>
        <d v="2024-07-03T00:00:00"/>
        <d v="2023-11-14T00:00:00"/>
        <d v="2023-06-23T00:00:00"/>
        <d v="2025-03-29T00:00:00"/>
        <d v="2024-02-05T00:00:00"/>
        <d v="2025-04-13T00:00:00"/>
        <d v="2024-09-07T00:00:00"/>
        <d v="2024-01-30T00:00:00"/>
        <d v="2023-08-10T00:00:00"/>
        <d v="2025-09-04T00:00:00"/>
        <d v="2025-04-07T00:00:00"/>
        <d v="2023-11-09T00:00:00"/>
        <d v="2023-09-22T00:00:00"/>
        <d v="2024-03-16T00:00:00"/>
        <d v="2023-07-08T00:00:00"/>
        <d v="2024-04-05T00:00:00"/>
        <d v="2025-01-22T00:00:00"/>
        <d v="2023-10-31T00:00:00"/>
        <d v="2023-07-22T00:00:00"/>
        <d v="2025-07-08T00:00:00"/>
        <d v="2024-06-20T00:00:00"/>
        <d v="2025-04-12T00:00:00"/>
        <d v="2025-03-26T00:00:00"/>
        <d v="2025-02-04T00:00:00"/>
        <d v="2024-11-05T00:00:00"/>
        <d v="2024-06-24T00:00:00"/>
        <d v="2025-06-06T00:00:00"/>
        <d v="2023-11-30T00:00:00"/>
        <d v="2025-04-27T00:00:00"/>
        <d v="2023-04-15T00:00:00"/>
        <d v="2024-06-18T00:00:00"/>
        <d v="2024-01-09T00:00:00"/>
        <d v="2023-03-07T00:00:00"/>
        <d v="2024-03-11T00:00:00"/>
        <d v="2023-05-29T00:00:00"/>
        <d v="2023-06-18T00:00:00"/>
        <d v="2025-05-26T00:00:00"/>
        <d v="2023-11-16T00:00:00"/>
        <d v="2025-09-26T00:00:00"/>
        <d v="2023-09-03T00:00:00"/>
        <d v="2023-12-06T00:00:00"/>
        <d v="2024-04-18T00:00:00"/>
        <d v="2023-08-19T00:00:00"/>
        <d v="2023-04-20T00:00:00"/>
        <d v="2024-11-04T00:00:00"/>
        <d v="2024-07-20T00:00:00"/>
        <d v="2023-12-18T00:00:00"/>
        <d v="2024-08-02T00:00:00"/>
        <d v="2023-05-16T00:00:00"/>
        <d v="2024-01-06T00:00:00"/>
        <d v="2023-03-08T00:00:00"/>
        <d v="2023-12-16T00:00:00"/>
        <d v="2024-08-20T00:00:00"/>
        <d v="2024-11-26T00:00:00"/>
        <d v="2024-04-21T00:00:00"/>
        <d v="2024-12-07T00:00:00"/>
        <d v="2024-02-03T00:00:00"/>
        <d v="2024-06-25T00:00:00"/>
        <d v="2023-06-28T00:00:00"/>
        <d v="2025-04-09T00:00:00"/>
        <d v="2024-06-15T00:00:00"/>
        <d v="2023-10-09T00:00:00"/>
        <d v="2024-01-03T00:00:00"/>
        <d v="2023-04-08T00:00:00"/>
        <d v="2025-04-10T00:00:00"/>
        <d v="2024-03-19T00:00:00"/>
        <d v="2025-07-11T00:00:00"/>
        <d v="2023-04-04T00:00:00"/>
        <d v="2025-01-20T00:00:00"/>
        <d v="2025-02-17T00:00:00"/>
        <d v="2025-09-06T00:00:00"/>
        <d v="2025-08-17T00:00:00"/>
        <d v="2024-08-07T00:00:00"/>
        <d v="2024-05-12T00:00:00"/>
        <d v="2023-10-03T00:00:00"/>
        <d v="2023-11-05T00:00:00"/>
        <d v="2025-06-30T00:00:00"/>
        <d v="2023-10-26T00:00:00"/>
        <d v="2023-06-20T00:00:00"/>
        <d v="2025-06-08T00:00:00"/>
        <d v="2025-09-14T00:00:00"/>
        <d v="2025-09-23T00:00:00"/>
        <d v="2024-10-04T00:00:00"/>
        <d v="2024-08-15T00:00:00"/>
        <d v="2024-08-08T00:00:00"/>
        <d v="2025-02-03T00:00:00"/>
        <d v="2025-03-21T00:00:00"/>
        <d v="2025-03-15T00:00:00"/>
        <d v="2023-12-19T00:00:00"/>
        <d v="2024-09-05T00:00:00"/>
        <d v="2024-05-21T00:00:00"/>
        <d v="2023-04-06T00:00:00"/>
        <d v="2023-09-13T00:00:00"/>
        <d v="2024-12-10T00:00:00"/>
        <d v="2025-06-14T00:00:00"/>
        <d v="2025-04-08T00:00:00"/>
        <d v="2024-02-11T00:00:00"/>
        <d v="2025-03-17T00:00:00"/>
        <d v="2025-07-06T00:00:00"/>
        <d v="2025-09-25T00:00:00"/>
        <d v="2024-03-06T00:00:00"/>
        <d v="2025-09-05T00:00:00"/>
        <d v="2024-09-12T00:00:00"/>
        <d v="2024-03-09T00:00:00"/>
        <d v="2024-11-12T00:00:00"/>
        <d v="2023-10-21T00:00:00"/>
        <d v="2024-12-19T00:00:00"/>
        <d v="2023-10-20T00:00:00"/>
        <d v="2025-01-13T00:00:00"/>
        <d v="2024-01-08T00:00:00"/>
        <d v="2023-06-03T00:00:00"/>
        <d v="2023-09-28T00:00:00"/>
        <d v="2024-10-03T00:00:00"/>
        <d v="2024-01-13T00:00:00"/>
        <d v="2025-04-29T00:00:00"/>
        <d v="2024-07-09T00:00:00"/>
        <d v="2023-07-29T00:00:00"/>
        <d v="2024-05-16T00:00:00"/>
        <d v="2025-06-24T00:00:00"/>
        <d v="2023-06-21T00:00:00"/>
        <d v="2024-12-29T00:00:00"/>
        <d v="2023-12-12T00:00:00"/>
        <d v="2023-05-19T00:00:00"/>
        <d v="2023-12-10T00:00:00"/>
        <d v="2024-05-18T00:00:00"/>
        <d v="2023-07-19T00:00:00"/>
        <d v="2023-06-15T00:00:00"/>
        <d v="2024-04-03T00:00:00"/>
        <d v="2025-04-19T00:00:00"/>
        <d v="2025-08-15T00:00:00"/>
        <d v="2024-06-28T00:00:00"/>
        <d v="2025-06-05T00:00:00"/>
        <d v="2023-05-22T00:00:00"/>
        <d v="2023-09-19T00:00:00"/>
        <d v="2024-02-28T00:00:00"/>
        <d v="2025-09-03T00:00:00"/>
        <d v="2023-05-25T00:00:00"/>
        <d v="2023-03-18T00:00:00"/>
        <d v="2023-04-19T00:00:00"/>
        <d v="2024-01-15T00:00:00"/>
        <d v="2025-05-19T00:00:00"/>
        <d v="2023-08-15T00:00:00"/>
        <d v="2024-12-08T00:00:00"/>
        <d v="2023-11-24T00:00:00"/>
        <d v="2024-11-28T00:00:00"/>
        <d v="2024-05-24T00:00:00"/>
        <d v="2024-03-08T00:00:00"/>
        <d v="2024-06-17T00:00:00"/>
        <d v="2023-07-04T00:00:00"/>
        <d v="2024-09-13T00:00:00"/>
        <d v="2023-10-28T00:00:00"/>
        <d v="2025-10-05T00:00:00"/>
        <d v="2024-05-03T00:00:00"/>
        <d v="2025-03-25T00:00:00"/>
        <d v="2025-03-27T00:00:00"/>
        <d v="2025-05-17T00:00:00"/>
        <d v="2024-10-28T00:00:00"/>
        <d v="2024-11-21T00:00:00"/>
        <d v="2024-03-23T00:00:00"/>
        <d v="2023-06-08T00:00:00"/>
        <d v="2025-01-05T00:00:00"/>
        <d v="2025-08-28T00:00:00"/>
        <d v="2023-10-30T00:00:00"/>
        <d v="2025-05-30T00:00:00"/>
        <d v="2024-05-26T00:00:00"/>
        <d v="2024-07-12T00:00:00"/>
        <d v="2024-05-10T00:00:00"/>
        <d v="2024-04-27T00:00:00"/>
        <d v="2023-01-26T00:00:00"/>
        <d v="2024-06-23T00:00:00"/>
        <d v="2023-09-20T00:00:00"/>
        <d v="2024-02-08T00:00:00"/>
        <d v="2025-05-12T00:00:00"/>
        <d v="2023-07-11T00:00:00"/>
        <d v="2024-08-26T00:00:00"/>
        <d v="2023-07-13T00:00:00"/>
        <d v="2023-02-15T00:00:00"/>
        <d v="2023-07-09T00:00:00"/>
        <d v="2024-06-09T00:00:00"/>
        <d v="2025-08-26T00:00:00"/>
        <d v="2023-03-06T00:00:00"/>
        <d v="2024-08-03T00:00:00"/>
        <d v="2025-08-23T00:00:00"/>
        <d v="2024-09-26T00:00:00"/>
        <d v="2023-05-20T00:00:00"/>
        <d v="2025-05-21T00:00:00"/>
        <d v="2024-03-29T00:00:00"/>
        <d v="2024-05-22T00:00:00"/>
        <d v="2024-01-12T00:00:00"/>
        <d v="2023-05-02T00:00:00"/>
        <d v="2024-02-04T00:00:00"/>
        <d v="2024-11-07T00:00:00"/>
        <d v="2024-02-20T00:00:00"/>
        <d v="2025-04-14T00:00:00"/>
        <d v="2023-06-01T00:00:00"/>
        <d v="2024-01-02T00:00:00"/>
        <d v="2023-04-26T00:00:00"/>
        <d v="2023-07-12T00:00:00"/>
        <d v="2025-08-03T00:00:00"/>
        <d v="2023-02-06T00:00:00"/>
        <d v="2024-08-09T00:00:00"/>
        <d v="2024-06-21T00:00:00"/>
        <d v="2025-02-27T00:00:00"/>
        <d v="2025-09-22T00:00:00"/>
        <d v="2024-07-21T00:00:00"/>
        <d v="2025-02-24T00:00:00"/>
        <d v="2024-08-24T00:00:00"/>
        <d v="2024-03-22T00:00:00"/>
        <d v="2024-09-02T00:00:00"/>
        <d v="2025-05-18T00:00:00"/>
        <d v="2023-04-25T00:00:00"/>
        <d v="2025-06-21T00:00:00"/>
        <d v="2024-12-24T00:00:00"/>
        <d v="2023-04-23T00:00:00"/>
        <d v="2024-02-01T00:00:00"/>
        <d v="2024-06-30T00:00:00"/>
        <d v="2023-10-11T00:00:00"/>
        <d v="2025-01-16T00:00:00"/>
        <d v="2025-07-16T00:00:00"/>
        <d v="2024-10-24T00:00:00"/>
        <d v="2023-09-14T00:00:00"/>
        <d v="2025-05-03T00:00:00"/>
        <d v="2024-08-23T00:00:00"/>
        <d v="2025-07-31T00:00:00"/>
        <d v="2024-01-16T00:00:00"/>
        <d v="2023-08-30T00:00:00"/>
        <d v="2023-07-18T00:00:00"/>
        <d v="2025-03-10T00:00:00"/>
      </sharedItems>
    </cacheField>
    <cacheField name="Lead Time days " numFmtId="0">
      <sharedItems containsSemiMixedTypes="0" containsString="0" containsNumber="1" containsInteger="1" minValue="0" maxValue="30" count="31">
        <n v="26"/>
        <n v="7"/>
        <n v="25"/>
        <n v="4"/>
        <n v="3"/>
        <n v="18"/>
        <n v="19"/>
        <n v="12"/>
        <n v="20"/>
        <n v="24"/>
        <n v="29"/>
        <n v="8"/>
        <n v="16"/>
        <n v="17"/>
        <n v="15"/>
        <n v="5"/>
        <n v="14"/>
        <n v="30"/>
        <n v="0"/>
        <n v="13"/>
        <n v="23"/>
        <n v="22"/>
        <n v="11"/>
        <n v="10"/>
        <n v="2"/>
        <n v="1"/>
        <n v="9"/>
        <n v="28"/>
        <n v="21"/>
        <n v="27"/>
        <n v="6"/>
      </sharedItems>
    </cacheField>
    <cacheField name="Gross Revenue " numFmtId="179">
      <sharedItems containsSemiMixedTypes="0" containsString="0" containsNumber="1" minValue="2362.97984" maxValue="16792061.89032" count="631">
        <n v="547396.2288"/>
        <n v="2348344.20249"/>
        <n v="36743.80248"/>
        <n v="562662.59104"/>
        <n v="414176"/>
        <n v="337890.56964"/>
        <n v="84831.10776"/>
        <n v="1518015.26934"/>
        <n v="7148968.14236"/>
        <n v="1610179.38344"/>
        <n v="1379283.15"/>
        <n v="547884.504"/>
        <n v="2158515"/>
        <n v="757884"/>
        <n v="765153.3672"/>
        <n v="2909105.6148"/>
        <n v="4320990.09104"/>
        <n v="4271005.52406"/>
        <n v="4079915.04292"/>
        <n v="2560903.82072"/>
        <n v="2319150.86504"/>
        <n v="1241348.592"/>
        <n v="2042747.7048"/>
        <n v="2506816.51056"/>
        <n v="1031472.21056"/>
        <n v="175670"/>
        <n v="454369.3275"/>
        <n v="391320"/>
        <n v="2329409.61372"/>
        <n v="1073091.59738"/>
        <n v="2867957.24432"/>
        <n v="1052323.30528"/>
        <n v="1321850"/>
        <n v="2733183"/>
        <n v="736923.95431"/>
        <n v="2498191.60689"/>
        <n v="1386439.87392"/>
        <n v="1811156.919"/>
        <n v="408450.41838"/>
        <n v="4267039.61097"/>
        <n v="1055874"/>
        <n v="4472841.1"/>
        <n v="1247149.49942"/>
        <n v="2188002.57456"/>
        <n v="3905129.1594"/>
        <n v="713557"/>
        <n v="10924400"/>
        <n v="4373270.66232"/>
        <n v="3936048.32236"/>
        <n v="2097656.904"/>
        <n v="84789.132"/>
        <n v="578580"/>
        <n v="307370.56558"/>
        <n v="25103.7984"/>
        <n v="3708584.35532"/>
        <n v="3072467.25995"/>
        <n v="560734.5068"/>
        <n v="29489.866"/>
        <n v="573645.6108"/>
        <n v="3819229.7018"/>
        <n v="3109112.2104"/>
        <n v="1365751.024"/>
        <n v="9728928.80745"/>
        <n v="3019549.476"/>
        <n v="1486630.55736"/>
        <n v="1970828.0816"/>
        <n v="1594736.76635"/>
        <n v="1087191.59544"/>
        <n v="939604.9625"/>
        <n v="1141683.1272"/>
        <n v="744057.93528"/>
        <n v="2470468.16305"/>
        <n v="983111.72022"/>
        <n v="671938.12"/>
        <n v="775016.47286"/>
        <n v="4081852.9778"/>
        <n v="3560175.82648"/>
        <n v="1403623.3932"/>
        <n v="598042.56798"/>
        <n v="7174700.1053"/>
        <n v="2399850.38832"/>
        <n v="581571.0696"/>
        <n v="66711.26175"/>
        <n v="2348293.23248"/>
        <n v="1412609.4807"/>
        <n v="1675555.6644"/>
        <n v="203421.8466"/>
        <n v="1220545.7264"/>
        <n v="66811.87504"/>
        <n v="898344.7326"/>
        <n v="2276017.808"/>
        <n v="1122976.90624"/>
        <n v="2226355.72362"/>
        <n v="652240.7424"/>
        <n v="4471461.18612"/>
        <n v="17188.86756"/>
        <n v="3413916"/>
        <n v="586298.10904"/>
        <n v="3591587.85048"/>
        <n v="5278007"/>
        <n v="734386.4176"/>
        <n v="1366981"/>
        <n v="725561.634"/>
        <n v="1481926.30485"/>
        <n v="1668508.6152"/>
        <n v="60016.66437"/>
        <n v="2697649.80444"/>
        <n v="166040"/>
        <n v="71146.7001"/>
        <n v="2767635"/>
        <n v="3051422.78532"/>
        <n v="3928.35906"/>
        <n v="240063.9835"/>
        <n v="149922"/>
        <n v="2746246.84672"/>
        <n v="90722.34195"/>
        <n v="7965626.2296"/>
        <n v="620579.0758"/>
        <n v="61930.35849"/>
        <n v="4500364.73439"/>
        <n v="2466969.61563"/>
        <n v="2011212.93288"/>
        <n v="1146466.1416"/>
        <n v="227341.48584"/>
        <n v="971874.93872"/>
        <n v="7018754.56614"/>
        <n v="103750.95277"/>
        <n v="324382.2687"/>
        <n v="1805805.32868"/>
        <n v="821666.02408"/>
        <n v="514167.84342"/>
        <n v="1066480.5696"/>
        <n v="429012.24408"/>
        <n v="1486187.03168"/>
        <n v="3018191.23086"/>
        <n v="978535.92384"/>
        <n v="588401.59275"/>
        <n v="4078284.21792"/>
        <n v="194764.2507"/>
        <n v="9898162.36992"/>
        <n v="829375.0542"/>
        <n v="3773607.23586"/>
        <n v="1317217.89015"/>
        <n v="2794234.84704"/>
        <n v="1449103.79808"/>
        <n v="436357.2429"/>
        <n v="1332114"/>
        <n v="1828755.464"/>
        <n v="4339824.44544"/>
        <n v="908072.86416"/>
        <n v="2257893.4905"/>
        <n v="506396.5128"/>
        <n v="3427604.11008"/>
        <n v="1347456.1104"/>
        <n v="1001099.54468"/>
        <n v="733452.9547"/>
        <n v="2476090.8225"/>
        <n v="1187797.57884"/>
        <n v="3566640.67452"/>
        <n v="2610944.3715"/>
        <n v="608416.6244"/>
        <n v="939297.07116"/>
        <n v="1416004.814"/>
        <n v="1209126.1264"/>
        <n v="9038263.18032"/>
        <n v="1795745.3987"/>
        <n v="1659846.25458"/>
        <n v="835786.9284"/>
        <n v="268646.0622"/>
        <n v="1945318.30912"/>
        <n v="1029678.3796"/>
        <n v="10175.2154"/>
        <n v="3419910.3876"/>
        <n v="199612.07568"/>
        <n v="12413265.25"/>
        <n v="1720816.63056"/>
        <n v="39047.76291"/>
        <n v="751543.8996"/>
        <n v="533609.25618"/>
        <n v="2362.97984"/>
        <n v="4410479.6462"/>
        <n v="954525.456"/>
        <n v="966639.70683"/>
        <n v="3113132.60841"/>
        <n v="1065213.63"/>
        <n v="611121.80646"/>
        <n v="3480696.03775"/>
        <n v="3179032.31016"/>
        <n v="869400.6594"/>
        <n v="2484198.46535"/>
        <n v="966340.785"/>
        <n v="3182862.67488"/>
        <n v="474024.45648"/>
        <n v="433188.41976"/>
        <n v="3702978.88716"/>
        <n v="2655170.8298"/>
        <n v="1192947.28644"/>
        <n v="1023795.19242"/>
        <n v="6602824.73375"/>
        <n v="1585921.50918"/>
        <n v="623427.3968"/>
        <n v="2529904"/>
        <n v="6320497.77758"/>
        <n v="2702616.7428"/>
        <n v="2690435.54736"/>
        <n v="696445.2502"/>
        <n v="3326761.09584"/>
        <n v="1981590.18937"/>
        <n v="2062920.6072"/>
        <n v="2126621.61432"/>
        <n v="197438.4072"/>
        <n v="799986.70464"/>
        <n v="2422305"/>
        <n v="930289.14936"/>
        <n v="1905182.8698"/>
        <n v="871501.08969"/>
        <n v="277023.96672"/>
        <n v="656161.75248"/>
        <n v="3833362.06124"/>
        <n v="1429851.1491"/>
        <n v="113842.287"/>
        <n v="496058.2364"/>
        <n v="7055279.9712"/>
        <n v="1631467.527"/>
        <n v="2525432.1495"/>
        <n v="3502818.28897"/>
        <n v="592702.623"/>
        <n v="1891523.56081"/>
        <n v="916454.6209"/>
        <n v="78188.11008"/>
        <n v="651891.66273"/>
        <n v="325412.0836"/>
        <n v="648337.33776"/>
        <n v="1587449.1486"/>
        <n v="1861373.4048"/>
        <n v="4232484.34176"/>
        <n v="16792061.89032"/>
        <n v="871696.6875"/>
        <n v="438912.6708"/>
        <n v="484990.54912"/>
        <n v="1069135.3556"/>
        <n v="3939411.10464"/>
        <n v="97958.30304"/>
        <n v="1482089.796"/>
        <n v="348740.62892"/>
        <n v="1322751.9888"/>
        <n v="71423.98668"/>
        <n v="403156.04"/>
        <n v="1321496.48416"/>
        <n v="1419946.5686"/>
        <n v="2185434.5436"/>
        <n v="2277396.303"/>
        <n v="2898954.95488"/>
        <n v="682665.99516"/>
        <n v="2500309.6056"/>
        <n v="2302305.10965"/>
        <n v="297564.64056"/>
        <n v="549231.762"/>
        <n v="878879.8432"/>
        <n v="2479916.15544"/>
        <n v="1803582.8538"/>
        <n v="1041884.6576"/>
        <n v="59390.12832"/>
        <n v="4586876.24462"/>
        <n v="1563784.96224"/>
        <n v="4748447.75016"/>
        <n v="1968107.86888"/>
        <n v="694680"/>
        <n v="906192.3114"/>
        <n v="834355.4635"/>
        <n v="860564.00864"/>
        <n v="4016720.98632"/>
        <n v="3527305.716"/>
        <n v="1318152.0891"/>
        <n v="989112.8925"/>
        <n v="8978223.156"/>
        <n v="713473.02648"/>
        <n v="3954379.044"/>
        <n v="1031948.9425"/>
        <n v="1961879.23152"/>
        <n v="1902908.098"/>
        <n v="66774"/>
        <n v="1318603.07688"/>
        <n v="1832123.7996"/>
        <n v="508960.8174"/>
        <n v="8780.21872"/>
        <n v="2309693.85738"/>
        <n v="2863744.68024"/>
        <n v="1291626.30688"/>
        <n v="2229298.46532"/>
        <n v="130003.87708"/>
        <n v="2941640.17406"/>
        <n v="784037.145"/>
        <n v="966995.784"/>
        <n v="2303592.99513"/>
        <n v="509592.33105"/>
        <n v="357334.66132"/>
        <n v="7586.96076"/>
        <n v="1269928"/>
        <n v="2707939.70408"/>
        <n v="1221733.23048"/>
        <n v="4550542.2182"/>
        <n v="978135.0784"/>
        <n v="644352.1056"/>
        <n v="170591.15072"/>
        <n v="4782420.792"/>
        <n v="441493.60128"/>
        <n v="628896.3142"/>
        <n v="1079963.97586"/>
        <n v="3772060.7538"/>
        <n v="92006.5784"/>
        <n v="1236126.2508"/>
        <n v="4032531"/>
        <n v="519183.00336"/>
        <n v="964030.5909"/>
        <n v="1053500.46692"/>
        <n v="1761552.84375"/>
        <n v="295643.6041"/>
        <n v="6237253.50414"/>
        <n v="2420259.204"/>
        <n v="952483.7476"/>
        <n v="4404240.95454"/>
        <n v="85194.7928"/>
        <n v="2739955.90946"/>
        <n v="1116854.96832"/>
        <n v="247699.92232"/>
        <n v="426000.15315"/>
        <n v="949702.32"/>
        <n v="3462614.892"/>
        <n v="271191.6108"/>
        <n v="1148943.44656"/>
        <n v="970707.9928"/>
        <n v="577008.3924"/>
        <n v="567171.40725"/>
        <n v="1923244.46496"/>
        <n v="3022387.90656"/>
        <n v="4867725.2651"/>
        <n v="396611.8416"/>
        <n v="3713060.65396"/>
        <n v="3911893.008"/>
        <n v="154881.9976"/>
        <n v="2005344"/>
        <n v="1206436.95966"/>
        <n v="341539.33478"/>
        <n v="1391281.688"/>
        <n v="8807252.17701"/>
        <n v="220680"/>
        <n v="3168199.21408"/>
        <n v="1378021.0746"/>
        <n v="507914.32252"/>
        <n v="1856662.59781"/>
        <n v="2761940.42298"/>
        <n v="4233208.968"/>
        <n v="128515.2896"/>
        <n v="2779865.85828"/>
        <n v="4390794"/>
        <n v="5934052.9314"/>
        <n v="407180"/>
        <n v="1794618.90192"/>
        <n v="3947085.4248"/>
        <n v="520685.54824"/>
        <n v="8367460.39152"/>
        <n v="1003849.08336"/>
        <n v="1463194.03104"/>
        <n v="2177875.97352"/>
        <n v="2414579.08992"/>
        <n v="2070937.2303"/>
        <n v="1540265.586"/>
        <n v="515742.2136"/>
        <n v="438519.51108"/>
        <n v="1687345"/>
        <n v="3610950.14474"/>
        <n v="426096.07806"/>
        <n v="4156703.52768"/>
        <n v="4097952.66232"/>
        <n v="4829120.43306"/>
        <n v="1780182.1026"/>
        <n v="723595.67896"/>
        <n v="3428658.47808"/>
        <n v="1351693.143"/>
        <n v="1560488.6976"/>
        <n v="4070822.28"/>
        <n v="5236313.073"/>
        <n v="1618754.57748"/>
        <n v="2718887.2803"/>
        <n v="1068843.24576"/>
        <n v="2262113.4627"/>
        <n v="1651515.69791"/>
        <n v="46782.29248"/>
        <n v="1628766.39783"/>
        <n v="281833.7635"/>
        <n v="7457794.295"/>
        <n v="1508994.39402"/>
        <n v="2320608.40896"/>
        <n v="1598403.02842"/>
        <n v="6256289.3778"/>
        <n v="2450104.98216"/>
        <n v="1436706.543"/>
        <n v="1475646.51222"/>
        <n v="1818173.343"/>
        <n v="2121438.5248"/>
        <n v="1893526.73184"/>
        <n v="599978.0739"/>
        <n v="880012.1011"/>
        <n v="1434690.21024"/>
        <n v="2431186.5438"/>
        <n v="2495509.43796"/>
        <n v="580913.17416"/>
        <n v="2366856"/>
        <n v="699757.51032"/>
        <n v="904519.02046"/>
        <n v="231610.3056"/>
        <n v="1757996.65069"/>
        <n v="3393397.99304"/>
        <n v="1901396.3584"/>
        <n v="1439328.9832"/>
        <n v="874976.8115"/>
        <n v="94486.51836"/>
        <n v="1225813.3866"/>
        <n v="1708576.1484"/>
        <n v="1017616.6161"/>
        <n v="12095208.66204"/>
        <n v="3554993.56032"/>
        <n v="7655280.35496"/>
        <n v="1854945.3832"/>
        <n v="4047936.795"/>
        <n v="2854060.056"/>
        <n v="1345074"/>
        <n v="4977729.702"/>
        <n v="1462251.47475"/>
        <n v="5805765"/>
        <n v="278194.124"/>
        <n v="1377290.91864"/>
        <n v="247561.08312"/>
        <n v="2724900"/>
        <n v="624599.40422"/>
        <n v="859273.00914"/>
        <n v="2934213.56928"/>
        <n v="291396.47844"/>
        <n v="2428385.949"/>
        <n v="1484713.36728"/>
        <n v="3732338.01501"/>
        <n v="622516.20288"/>
        <n v="2166444"/>
        <n v="198020.53872"/>
        <n v="1054451.12832"/>
        <n v="784868.57725"/>
        <n v="5078104.27336"/>
        <n v="1564114.2"/>
        <n v="1490070.32055"/>
        <n v="2100162.977"/>
        <n v="2548717.12512"/>
        <n v="1352667.64125"/>
        <n v="2352844.94835"/>
        <n v="1657629.98608"/>
        <n v="2079798"/>
        <n v="907871.61312"/>
        <n v="872424.105"/>
        <n v="2432157"/>
        <n v="185992.77456"/>
        <n v="106656.23574"/>
        <n v="477518.0676"/>
        <n v="215142.8916"/>
        <n v="242718.60592"/>
        <n v="10641139.7196"/>
        <n v="351962.1567"/>
        <n v="1534101.01439"/>
        <n v="3274152.09"/>
        <n v="1702803.34998"/>
        <n v="1095998.69736"/>
        <n v="4234221.69926"/>
        <n v="1659091.3632"/>
        <n v="951917.07132"/>
        <n v="2414330.4555"/>
        <n v="2837445.77204"/>
        <n v="110691.3969"/>
        <n v="503643.6146"/>
        <n v="5334653.20584"/>
        <n v="2307789.3498"/>
        <n v="4378573.75296"/>
        <n v="520815.6261"/>
        <n v="4160525.847"/>
        <n v="541111.05906"/>
        <n v="2495072.28165"/>
        <n v="667144.66172"/>
        <n v="661739.66936"/>
        <n v="3113943.975"/>
        <n v="500364.33656"/>
        <n v="1109995.4804"/>
        <n v="154735"/>
        <n v="666410"/>
        <n v="818017.48149"/>
        <n v="12673.2492"/>
        <n v="1237444.05512"/>
        <n v="527357.41198"/>
        <n v="3572132.35896"/>
        <n v="2634552.02322"/>
        <n v="916197.4696"/>
        <n v="2114886.47474"/>
        <n v="2119336.71554"/>
        <n v="890240.8109"/>
        <n v="1166668.44294"/>
        <n v="959784.63745"/>
        <n v="1094920.0191"/>
        <n v="3682490.95802"/>
        <n v="4538385.6714"/>
        <n v="1563353.2668"/>
        <n v="434293.9744"/>
        <n v="929200.3786"/>
        <n v="1164726.62306"/>
        <n v="399699.79056"/>
        <n v="5880911.3154"/>
        <n v="535973.4336"/>
        <n v="3330855"/>
        <n v="1085964"/>
        <n v="2629526.15223"/>
        <n v="113022.93592"/>
        <n v="1136223.84428"/>
        <n v="89937.90882"/>
        <n v="900751.7232"/>
        <n v="7125420.447"/>
        <n v="2252666"/>
        <n v="1777717.3734"/>
        <n v="774013.9356"/>
        <n v="1071993.57525"/>
        <n v="247821.98805"/>
        <n v="1140696"/>
        <n v="6215972.41122"/>
        <n v="3342110"/>
        <n v="962427.13866"/>
        <n v="70324.0998"/>
        <n v="60267.21696"/>
        <n v="1275827.3978"/>
        <n v="5628726.0544"/>
        <n v="1867473.0468"/>
        <n v="917954.20724"/>
        <n v="5576608.12632"/>
        <n v="2136169.6716"/>
        <n v="7412028.63424"/>
        <n v="366373.637"/>
        <n v="1958187"/>
        <n v="3530753.84352"/>
        <n v="503126.97984"/>
        <n v="1592975.9685"/>
        <n v="1366720.39712"/>
        <n v="631074.79962"/>
        <n v="1956897.16992"/>
        <n v="3624045.93393"/>
        <n v="1323439.92"/>
        <n v="3569037.3045"/>
        <n v="233869.14408"/>
        <n v="2230197.08472"/>
        <n v="2103856.0092"/>
        <n v="1735704.62208"/>
        <n v="3829712.8675"/>
        <n v="4645026"/>
        <n v="5340171.74922"/>
        <n v="1330491.72645"/>
        <n v="1491206.50584"/>
        <n v="1504042.98"/>
        <n v="790312.383"/>
        <n v="3497685.2145"/>
        <n v="985935.41544"/>
        <n v="1090088.2356"/>
        <n v="492810.27212"/>
        <n v="2004359.32112"/>
        <n v="4860461.25796"/>
        <n v="3117070.25069"/>
        <n v="3430716"/>
        <n v="347803.10784"/>
        <n v="498191.148"/>
        <n v="89793.49536"/>
        <n v="2408571.91424"/>
        <n v="1531657.79104"/>
        <n v="56471.5866"/>
        <n v="1301991.8904"/>
        <n v="1494892.9016"/>
        <n v="777265.2734"/>
        <n v="458500.59864"/>
        <n v="825330.12428"/>
        <n v="619918.002"/>
        <n v="232214.0076"/>
        <n v="4838375.57175"/>
        <n v="444496.37516"/>
        <n v="2363609.52261"/>
        <n v="37086"/>
        <n v="2768223.156"/>
        <n v="7647140.32425"/>
        <n v="1319084.18352"/>
        <n v="902235"/>
        <n v="1419181.3203"/>
        <n v="6052997.70192"/>
        <n v="707259.4496"/>
        <n v="908622.52"/>
        <n v="1607305.8096"/>
        <n v="849009.76875"/>
        <n v="361842.71"/>
        <n v="541361.75688"/>
        <n v="686760.39225"/>
        <n v="3424327.78276"/>
        <n v="887423.8464"/>
        <n v="114298.7902"/>
        <n v="4676542.648"/>
        <n v="672476.8617"/>
        <n v="867135.12314"/>
        <n v="1543171.89411"/>
        <n v="3227767.02603"/>
        <n v="326381.13018"/>
        <n v="235791.71"/>
        <n v="1143905.10016"/>
        <n v="2229394.56768"/>
        <n v="925614"/>
        <n v="8397062.2398"/>
        <n v="2227871.81352"/>
        <n v="1137721.69836"/>
        <n v="1082920.68144"/>
        <n v="94151.86704"/>
        <n v="2822288.34888"/>
        <n v="4344182.27425"/>
        <n v="123240.3174"/>
        <n v="288799.83132"/>
        <n v="3734152.63488"/>
        <n v="1204261.64488"/>
        <n v="5960637.8975"/>
        <n v="3687031.9864"/>
        <n v="1660109.22273"/>
        <n v="599385.55908"/>
        <n v="3301742"/>
        <n v="4312464.6132"/>
        <n v="1481026.50768"/>
        <n v="32130.31822"/>
      </sharedItems>
    </cacheField>
    <cacheField name="Cost of Goods " numFmtId="179">
      <sharedItems containsSemiMixedTypes="0" containsString="0" containsNumber="1" minValue="23.68" maxValue="168209.94" count="631">
        <n v="5480.1"/>
        <n v="23539.23"/>
        <n v="367.92"/>
        <n v="5630.68"/>
        <n v="4141.76"/>
        <n v="3383.88"/>
        <n v="849.96"/>
        <n v="15184.86"/>
        <n v="71596.36"/>
        <n v="16102.76"/>
        <n v="13827.4"/>
        <n v="5484"/>
        <n v="21585.15"/>
        <n v="7578.84"/>
        <n v="7657.2"/>
        <n v="29122.8"/>
        <n v="43289.12"/>
        <n v="42756.66"/>
        <n v="40814.66"/>
        <n v="25627.49"/>
        <n v="23224.72"/>
        <n v="12428.4"/>
        <n v="20429.52"/>
        <n v="25069.92"/>
        <n v="10332.08"/>
        <n v="1756.7"/>
        <n v="4549.38"/>
        <n v="3913.2"/>
        <n v="23326.52"/>
        <n v="10740.26"/>
        <n v="28705.12"/>
        <n v="10532.08"/>
        <n v="13218.5"/>
        <n v="27331.83"/>
        <n v="7376.69"/>
        <n v="25042.77"/>
        <n v="13883.28"/>
        <n v="18143.32"/>
        <n v="4089.78"/>
        <n v="42686.19"/>
        <n v="10558.74"/>
        <n v="44863"/>
        <n v="12489.73"/>
        <n v="21919.92"/>
        <n v="39117.4"/>
        <n v="7135.57"/>
        <n v="109244"/>
        <n v="43814.64"/>
        <n v="39410.14"/>
        <n v="21038"/>
        <n v="850.4"/>
        <n v="5785.8"/>
        <n v="3079.31"/>
        <n v="251.4"/>
        <n v="37140.44"/>
        <n v="30735.43"/>
        <n v="5615.6"/>
        <n v="295.12"/>
        <n v="5748.24"/>
        <n v="38237.8"/>
        <n v="31125.36"/>
        <n v="13684.88"/>
        <n v="97538.01"/>
        <n v="30234.8"/>
        <n v="14893.71"/>
        <n v="19745.6"/>
        <n v="15964.13"/>
        <n v="10894.14"/>
        <n v="9400.75"/>
        <n v="11424.6"/>
        <n v="7451.16"/>
        <n v="24750.47"/>
        <n v="9835.74"/>
        <n v="6739.6"/>
        <n v="7759.01"/>
        <n v="40873.3"/>
        <n v="35627.41"/>
        <n v="14072.4"/>
        <n v="5991.57"/>
        <n v="71862.7"/>
        <n v="24056.48"/>
        <n v="5820.6"/>
        <n v="668.55"/>
        <n v="23507.38"/>
        <n v="14135.99"/>
        <n v="16781.4"/>
        <n v="2038.05"/>
        <n v="12209.12"/>
        <n v="668.56"/>
        <n v="8990.1"/>
        <n v="22793"/>
        <n v="11240.56"/>
        <n v="22285.62"/>
        <n v="6532.86"/>
        <n v="44729.82"/>
        <n v="172.14"/>
        <n v="34139.16"/>
        <n v="5868.38"/>
        <n v="36021.06"/>
        <n v="52780.07"/>
        <n v="7354.16"/>
        <n v="13669.81"/>
        <n v="7268.7"/>
        <n v="14844.35"/>
        <n v="16731.6"/>
        <n v="600.99"/>
        <n v="27009.72"/>
        <n v="1660.4"/>
        <n v="713.1"/>
        <n v="27676.35"/>
        <n v="30517.89"/>
        <n v="39.33"/>
        <n v="2403.5"/>
        <n v="1499.22"/>
        <n v="27492.16"/>
        <n v="908.65"/>
        <n v="79803.1"/>
        <n v="6210.2"/>
        <n v="619.57"/>
        <n v="45059.07"/>
        <n v="24686.73"/>
        <n v="20153.04"/>
        <n v="11471.2"/>
        <n v="2275.44"/>
        <n v="9726.92"/>
        <n v="70238.82"/>
        <n v="1039.37"/>
        <n v="3249.9"/>
        <n v="18078.12"/>
        <n v="8221.84"/>
        <n v="5148.99"/>
        <n v="10688.32"/>
        <n v="4298.16"/>
        <n v="14890.46"/>
        <n v="30210.31"/>
        <n v="9786.24"/>
        <n v="5899.65"/>
        <n v="40835.52"/>
        <n v="1952.7"/>
        <n v="99098.56"/>
        <n v="8294.58"/>
        <n v="37793.14"/>
        <n v="13204.53"/>
        <n v="27965.28"/>
        <n v="14506.56"/>
        <n v="4371.66"/>
        <n v="13321.14"/>
        <n v="18322"/>
        <n v="43407.36"/>
        <n v="9092.64"/>
        <n v="22589.1"/>
        <n v="5073.3"/>
        <n v="34322.72"/>
        <n v="13499.4"/>
        <n v="10022.12"/>
        <n v="7335.85"/>
        <n v="24767.1"/>
        <n v="11893.08"/>
        <n v="35731.08"/>
        <n v="26150.5"/>
        <n v="6088.55"/>
        <n v="9405.48"/>
        <n v="14179.9"/>
        <n v="12093.68"/>
        <n v="90430.56"/>
        <n v="17992.9"/>
        <n v="16640.73"/>
        <n v="8373.36"/>
        <n v="2690.2"/>
        <n v="19502.72"/>
        <n v="10310.6"/>
        <n v="101.8"/>
        <n v="34225.8"/>
        <n v="1996.56"/>
        <n v="124450"/>
        <n v="17223.84"/>
        <n v="391.17"/>
        <n v="7519.65"/>
        <n v="5345.34"/>
        <n v="23.68"/>
        <n v="44132.6"/>
        <n v="9564"/>
        <n v="9676.17"/>
        <n v="31179.03"/>
        <n v="10654.8"/>
        <n v="6124.14"/>
        <n v="34888.25"/>
        <n v="31827.88"/>
        <n v="8695.05"/>
        <n v="24895.51"/>
        <n v="9672.5"/>
        <n v="31903.92"/>
        <n v="4743.66"/>
        <n v="4335.96"/>
        <n v="37088.76"/>
        <n v="26600.92"/>
        <n v="11935.56"/>
        <n v="10257.03"/>
        <n v="66130.75"/>
        <n v="15868.26"/>
        <n v="6250.4"/>
        <n v="25299.04"/>
        <n v="63358.94"/>
        <n v="27041.04"/>
        <n v="26912.16"/>
        <n v="6967.1"/>
        <n v="33316.92"/>
        <n v="19856.21"/>
        <n v="20657.3"/>
        <n v="21298.59"/>
        <n v="1976.4"/>
        <n v="8010.12"/>
        <n v="24223.05"/>
        <n v="9317.52"/>
        <n v="19090.2"/>
        <n v="8724.87"/>
        <n v="2775.68"/>
        <n v="6561.88"/>
        <n v="38435.86"/>
        <n v="14306.38"/>
        <n v="1140.75"/>
        <n v="4965.2"/>
        <n v="70588.8"/>
        <n v="16323"/>
        <n v="25291.5"/>
        <n v="35074.13"/>
        <n v="5931"/>
        <n v="18938.53"/>
        <n v="9181.9"/>
        <n v="783.04"/>
        <n v="6526.03"/>
        <n v="3257.9"/>
        <n v="6495.52"/>
        <n v="15890.7"/>
        <n v="18626.4"/>
        <n v="42378.24"/>
        <n v="168209.94"/>
        <n v="8737.5"/>
        <n v="4394.84"/>
        <n v="4854.08"/>
        <n v="10701.52"/>
        <n v="39447.76"/>
        <n v="981.92"/>
        <n v="14846.88"/>
        <n v="3493.24"/>
        <n v="13262.4"/>
        <n v="715.32"/>
        <n v="4036"/>
        <n v="13229.12"/>
        <n v="14219.8"/>
        <n v="21898.8"/>
        <n v="22825.32"/>
        <n v="29024.96"/>
        <n v="6830.28"/>
        <n v="25011.6"/>
        <n v="23062.95"/>
        <n v="2981.52"/>
        <n v="5503.6"/>
        <n v="8801.12"/>
        <n v="24818.52"/>
        <n v="18036.55"/>
        <n v="10441.4"/>
        <n v="594.24"/>
        <n v="45926.63"/>
        <n v="15668.56"/>
        <n v="47572.01"/>
        <n v="19702.16"/>
        <n v="6946.8"/>
        <n v="9075.9"/>
        <n v="8354.75"/>
        <n v="8620.64"/>
        <n v="40223.12"/>
        <n v="35331"/>
        <n v="13199.34"/>
        <n v="9904.5"/>
        <n v="89885.6"/>
        <n v="7145.52"/>
        <n v="39591.3"/>
        <n v="10333.75"/>
        <n v="19640.79"/>
        <n v="19086.34"/>
        <n v="667.74"/>
        <n v="13201.08"/>
        <n v="18349.68"/>
        <n v="5100.83"/>
        <n v="87.92"/>
        <n v="23127.93"/>
        <n v="28656.36"/>
        <n v="12941.11"/>
        <n v="22325.58"/>
        <n v="1302.07"/>
        <n v="29477.42"/>
        <n v="7845"/>
        <n v="9677.7"/>
        <n v="23061.99"/>
        <n v="5104.55"/>
        <n v="3577.21"/>
        <n v="75.96"/>
        <n v="12699.28"/>
        <n v="27094.57"/>
        <n v="12241.08"/>
        <n v="45564.2"/>
        <n v="9798.4"/>
        <n v="6448.68"/>
        <n v="1706.56"/>
        <n v="47872.08"/>
        <n v="4422.72"/>
        <n v="6298.6"/>
        <n v="10809.26"/>
        <n v="37790.52"/>
        <n v="920.48"/>
        <n v="12372.15"/>
        <n v="40325.31"/>
        <n v="5193.44"/>
        <n v="9648.99"/>
        <n v="10549.88"/>
        <n v="17628.75"/>
        <n v="2956.85"/>
        <n v="62466.86"/>
        <n v="24221"/>
        <n v="9545.36"/>
        <n v="44087.82"/>
        <n v="853.45"/>
        <n v="27413.54"/>
        <n v="11182.08"/>
        <n v="2478.04"/>
        <n v="4264.65"/>
        <n v="9525.6"/>
        <n v="34695.54"/>
        <n v="2713.68"/>
        <n v="11516.96"/>
        <n v="9733.36"/>
        <n v="5771.7"/>
        <n v="5679.95"/>
        <n v="19262.88"/>
        <n v="30243.84"/>
        <n v="48779.69"/>
        <n v="3975.66"/>
        <n v="37241.96"/>
        <n v="39236.64"/>
        <n v="1553.2"/>
        <n v="20053.44"/>
        <n v="12095.94"/>
        <n v="3417.82"/>
        <n v="13915.6"/>
        <n v="88163.33"/>
        <n v="2206.8"/>
        <n v="31727.68"/>
        <n v="13795.8"/>
        <n v="5088.71"/>
        <n v="18587.63"/>
        <n v="27630.18"/>
        <n v="42408"/>
        <n v="1286.8"/>
        <n v="27845.16"/>
        <n v="43907.94"/>
        <n v="59441.58"/>
        <n v="4071.8"/>
        <n v="17977.83"/>
        <n v="39514.32"/>
        <n v="5210.92"/>
        <n v="83686.32"/>
        <n v="10065.87"/>
        <n v="14651.28"/>
        <n v="21780.72"/>
        <n v="24192.24"/>
        <n v="20731.14"/>
        <n v="15419"/>
        <n v="5163.36"/>
        <n v="4387.74"/>
        <n v="16873.45"/>
        <n v="36148.18"/>
        <n v="4262.41"/>
        <n v="41673.72"/>
        <n v="41005.36"/>
        <n v="48339.06"/>
        <n v="17826.6"/>
        <n v="7242.62"/>
        <n v="34297.56"/>
        <n v="13539"/>
        <n v="15632.4"/>
        <n v="40740"/>
        <n v="52410.3"/>
        <n v="16196.94"/>
        <n v="27240.63"/>
        <n v="10699.56"/>
        <n v="22649.9"/>
        <n v="16539.47"/>
        <n v="468.16"/>
        <n v="16289.13"/>
        <n v="2821.3"/>
        <n v="74802.35"/>
        <n v="15128.37"/>
        <n v="23240.48"/>
        <n v="15999.71"/>
        <n v="62627.4"/>
        <n v="24560.24"/>
        <n v="14379"/>
        <n v="14774.49"/>
        <n v="18186.28"/>
        <n v="21252.64"/>
        <n v="18955.36"/>
        <n v="6007.35"/>
        <n v="8809.9"/>
        <n v="14356.09"/>
        <n v="24330.6"/>
        <n v="24989.58"/>
        <n v="5820.54"/>
        <n v="23668.56"/>
        <n v="7014.48"/>
        <n v="9066.86"/>
        <n v="2318.7"/>
        <n v="17594.57"/>
        <n v="33958.43"/>
        <n v="19020.05"/>
        <n v="14428.64"/>
        <n v="8757.65"/>
        <n v="946.92"/>
        <n v="12285.9"/>
        <n v="17111.6"/>
        <n v="10178.1"/>
        <n v="121142.28"/>
        <n v="35609.76"/>
        <n v="76739.28"/>
        <n v="18581.6"/>
        <n v="40580.82"/>
        <n v="28626.48"/>
        <n v="13450.74"/>
        <n v="49864.56"/>
        <n v="14639.35"/>
        <n v="58057.65"/>
        <n v="2783.5"/>
        <n v="13781.04"/>
        <n v="2480.92"/>
        <n v="27249"/>
        <n v="6253.06"/>
        <n v="8605.38"/>
        <n v="29393.28"/>
        <n v="2915.16"/>
        <n v="24320.34"/>
        <n v="14869.14"/>
        <n v="37382.07"/>
        <n v="6227.84"/>
        <n v="21664.44"/>
        <n v="1980.76"/>
        <n v="10552.32"/>
        <n v="7871.75"/>
        <n v="50833.91"/>
        <n v="15675"/>
        <n v="14925.33"/>
        <n v="21015.5"/>
        <n v="25505.28"/>
        <n v="13542.25"/>
        <n v="23532.45"/>
        <n v="16594.72"/>
        <n v="20797.98"/>
        <n v="9091.08"/>
        <n v="8735.16"/>
        <n v="24321.57"/>
        <n v="1861.92"/>
        <n v="1067.94"/>
        <n v="4782.45"/>
        <n v="2154.1"/>
        <n v="2433.44"/>
        <n v="106636.4"/>
        <n v="3527.7"/>
        <n v="15351.91"/>
        <n v="32817"/>
        <n v="17035.87"/>
        <n v="10965.36"/>
        <n v="42400.73"/>
        <n v="16603.2"/>
        <n v="9531.18"/>
        <n v="24192.9"/>
        <n v="28386.38"/>
        <n v="1107.9"/>
        <n v="5044.76"/>
        <n v="53462.01"/>
        <n v="23082.51"/>
        <n v="43819.04"/>
        <n v="5212.9"/>
        <n v="41660.25"/>
        <n v="5413.98"/>
        <n v="24981.45"/>
        <n v="6677.59"/>
        <n v="6632.12"/>
        <n v="31162.5"/>
        <n v="5013.52"/>
        <n v="11114.96"/>
        <n v="1547.35"/>
        <n v="6664.1"/>
        <n v="8186.97"/>
        <n v="126.9"/>
        <n v="12379.64"/>
        <n v="5279.54"/>
        <n v="35772.12"/>
        <n v="26356.59"/>
        <n v="9167.2"/>
        <n v="21195.07"/>
        <n v="21202.06"/>
        <n v="8917.3"/>
        <n v="11674.74"/>
        <n v="9607.55"/>
        <n v="10956.87"/>
        <n v="36870.26"/>
        <n v="45490.76"/>
        <n v="15636.66"/>
        <n v="4347.2"/>
        <n v="9302.05"/>
        <n v="11671.66"/>
        <n v="4001.76"/>
        <n v="58895.1"/>
        <n v="5361.45"/>
        <n v="33308.55"/>
        <n v="10859.64"/>
        <n v="26336.61"/>
        <n v="1131.44"/>
        <n v="11377.94"/>
        <n v="899.82"/>
        <n v="9023.76"/>
        <n v="71325.53"/>
        <n v="22526.66"/>
        <n v="17793.9"/>
        <n v="7753.32"/>
        <n v="10744.11"/>
        <n v="2481.57"/>
        <n v="11406.96"/>
        <n v="62196.42"/>
        <n v="33421.1"/>
        <n v="9627.93"/>
        <n v="704.1"/>
        <n v="603.36"/>
        <n v="12766.7"/>
        <n v="56427.2"/>
        <n v="18710.28"/>
        <n v="9193.24"/>
        <n v="55814.64"/>
        <n v="21371.1"/>
        <n v="74199.68"/>
        <n v="3667"/>
        <n v="19581.87"/>
        <n v="35354.56"/>
        <n v="5034.24"/>
        <n v="15948.1"/>
        <n v="13696.24"/>
        <n v="6325.74"/>
        <n v="19609.76"/>
        <n v="36285.09"/>
        <n v="13257.6"/>
        <n v="35751.15"/>
        <n v="2343.66"/>
        <n v="22337.04"/>
        <n v="21047.4"/>
        <n v="17372.16"/>
        <n v="38345.06"/>
        <n v="46450.26"/>
        <n v="53430.57"/>
        <n v="13333.05"/>
        <n v="14930.28"/>
        <n v="15058.5"/>
        <n v="7914.6"/>
        <n v="34996.1"/>
        <n v="9872.88"/>
        <n v="10908.3"/>
        <n v="4935.16"/>
        <n v="20068.88"/>
        <n v="48649.37"/>
        <n v="31232.23"/>
        <n v="34307.16"/>
        <n v="3479.04"/>
        <n v="4986"/>
        <n v="898.51"/>
        <n v="24135.68"/>
        <n v="15325.16"/>
        <n v="565.4"/>
        <n v="13029.3"/>
        <n v="14959.7"/>
        <n v="7783.16"/>
        <n v="4588.08"/>
        <n v="8264.21"/>
        <n v="6199.8"/>
        <n v="2327.4"/>
        <n v="48462.75"/>
        <n v="4451.24"/>
        <n v="23645.79"/>
        <n v="370.86"/>
        <n v="27708"/>
        <n v="76550.25"/>
        <n v="13202.46"/>
        <n v="9022.35"/>
        <n v="14216.55"/>
        <n v="60618.48"/>
        <n v="7086.2"/>
        <n v="9093.5"/>
        <n v="16084.8"/>
        <n v="8493.75"/>
        <n v="3623.5"/>
        <n v="5423.76"/>
        <n v="6876.75"/>
        <n v="34246.36"/>
        <n v="8888.46"/>
        <n v="1143.8"/>
        <n v="46835.68"/>
        <n v="6737.57"/>
        <n v="8687.51"/>
        <n v="15447.63"/>
        <n v="32309.01"/>
        <n v="3269.14"/>
        <n v="2360.75"/>
        <n v="11450.96"/>
        <n v="22337.28"/>
        <n v="9256.14"/>
        <n v="83989.1"/>
        <n v="22316.88"/>
        <n v="11386.44"/>
        <n v="10829.64"/>
        <n v="942.48"/>
        <n v="28253.68"/>
        <n v="43462.25"/>
        <n v="1234.44"/>
        <n v="2893.38"/>
        <n v="37413.36"/>
        <n v="12056.24"/>
        <n v="59702.5"/>
        <n v="36912.4"/>
        <n v="16627.53"/>
        <n v="6002.92"/>
        <n v="33017.42"/>
        <n v="43151.4"/>
        <n v="14830.88"/>
        <n v="321.86"/>
      </sharedItems>
    </cacheField>
    <cacheField name="Gross Profit" numFmtId="179">
      <sharedItems containsSemiMixedTypes="0" containsString="0" containsNumber="1" minValue="2339.29984" maxValue="16623851.95032" count="631">
        <n v="541916.1288"/>
        <n v="2324804.97249"/>
        <n v="36375.88248"/>
        <n v="557031.91104"/>
        <n v="410034.24"/>
        <n v="334506.68964"/>
        <n v="83981.14776"/>
        <n v="1502830.40934"/>
        <n v="7077371.78236"/>
        <n v="1594076.62344"/>
        <n v="1365455.75"/>
        <n v="542400.504"/>
        <n v="2136929.85"/>
        <n v="750305.16"/>
        <n v="757496.1672"/>
        <n v="2879982.8148"/>
        <n v="4277700.97104"/>
        <n v="4228248.86406"/>
        <n v="4039100.38292"/>
        <n v="2535276.33072"/>
        <n v="2295926.14504"/>
        <n v="1228920.192"/>
        <n v="2022318.1848"/>
        <n v="2481746.59056"/>
        <n v="1021140.13056"/>
        <n v="173913.3"/>
        <n v="449819.9475"/>
        <n v="387406.8"/>
        <n v="2306083.09372"/>
        <n v="1062351.33738"/>
        <n v="2839252.12432"/>
        <n v="1041791.22528"/>
        <n v="1308631.5"/>
        <n v="2705851.17"/>
        <n v="729547.26431"/>
        <n v="2473148.83689"/>
        <n v="1372556.59392"/>
        <n v="1793013.599"/>
        <n v="404360.63838"/>
        <n v="4224353.42097"/>
        <n v="1045315.26"/>
        <n v="4427978.1"/>
        <n v="1234659.76942"/>
        <n v="2166082.65456"/>
        <n v="3866011.7594"/>
        <n v="706421.43"/>
        <n v="10815156"/>
        <n v="4329456.02232"/>
        <n v="3896638.18236"/>
        <n v="2076618.904"/>
        <n v="83938.732"/>
        <n v="572794.2"/>
        <n v="304291.25558"/>
        <n v="24852.3984"/>
        <n v="3671443.91532"/>
        <n v="3041731.82995"/>
        <n v="555118.9068"/>
        <n v="29194.746"/>
        <n v="567897.3708"/>
        <n v="3780991.9018"/>
        <n v="3077986.8504"/>
        <n v="1352066.144"/>
        <n v="9631390.79745"/>
        <n v="2989314.676"/>
        <n v="1471736.84736"/>
        <n v="1951082.4816"/>
        <n v="1578772.63635"/>
        <n v="1076297.45544"/>
        <n v="930204.2125"/>
        <n v="1130258.5272"/>
        <n v="736606.77528"/>
        <n v="2445717.69305"/>
        <n v="973275.98022"/>
        <n v="665198.52"/>
        <n v="767257.46286"/>
        <n v="4040979.6778"/>
        <n v="3524548.41648"/>
        <n v="1389550.9932"/>
        <n v="592050.99798"/>
        <n v="7102837.4053"/>
        <n v="2375793.90832"/>
        <n v="575750.4696"/>
        <n v="66042.71175"/>
        <n v="2324785.85248"/>
        <n v="1398473.4907"/>
        <n v="1658774.2644"/>
        <n v="201383.7966"/>
        <n v="1208336.6064"/>
        <n v="66143.31504"/>
        <n v="889354.6326"/>
        <n v="2253224.808"/>
        <n v="1111736.34624"/>
        <n v="2204070.10362"/>
        <n v="645707.8824"/>
        <n v="4426731.36612"/>
        <n v="17016.72756"/>
        <n v="3379776.84"/>
        <n v="580429.72904"/>
        <n v="3555566.79048"/>
        <n v="5225226.93"/>
        <n v="727032.2576"/>
        <n v="1353311.19"/>
        <n v="718292.934"/>
        <n v="1467081.95485"/>
        <n v="1651777.0152"/>
        <n v="59415.67437"/>
        <n v="2670640.08444"/>
        <n v="164379.6"/>
        <n v="70433.6001"/>
        <n v="2739958.65"/>
        <n v="3020904.89532"/>
        <n v="3889.02906"/>
        <n v="237660.4835"/>
        <n v="148422.78"/>
        <n v="2718754.68672"/>
        <n v="89813.69195"/>
        <n v="7885823.1296"/>
        <n v="614368.8758"/>
        <n v="61310.78849"/>
        <n v="4455305.66439"/>
        <n v="2442282.88563"/>
        <n v="1991059.89288"/>
        <n v="1134994.9416"/>
        <n v="225066.04584"/>
        <n v="962148.01872"/>
        <n v="6948515.74614"/>
        <n v="102711.58277"/>
        <n v="321132.3687"/>
        <n v="1787727.20868"/>
        <n v="813444.18408"/>
        <n v="509018.85342"/>
        <n v="1055792.2496"/>
        <n v="424714.08408"/>
        <n v="1471296.57168"/>
        <n v="2987980.92086"/>
        <n v="968749.68384"/>
        <n v="582501.94275"/>
        <n v="4037448.69792"/>
        <n v="192811.5507"/>
        <n v="9799063.80992"/>
        <n v="821080.4742"/>
        <n v="3735814.09586"/>
        <n v="1304013.36015"/>
        <n v="2766269.56704"/>
        <n v="1434597.23808"/>
        <n v="431985.5829"/>
        <n v="1318792.86"/>
        <n v="1810433.464"/>
        <n v="4296417.08544"/>
        <n v="898980.22416"/>
        <n v="2235304.3905"/>
        <n v="501323.2128"/>
        <n v="3393281.39008"/>
        <n v="1333956.7104"/>
        <n v="991077.42468"/>
        <n v="726117.1047"/>
        <n v="2451323.7225"/>
        <n v="1175904.49884"/>
        <n v="3530909.59452"/>
        <n v="2584793.8715"/>
        <n v="602328.0744"/>
        <n v="929891.59116"/>
        <n v="1401824.914"/>
        <n v="1197032.4464"/>
        <n v="8947832.62032"/>
        <n v="1777752.4987"/>
        <n v="1643205.52458"/>
        <n v="827413.5684"/>
        <n v="265955.8622"/>
        <n v="1925815.58912"/>
        <n v="1019367.7796"/>
        <n v="10073.4154"/>
        <n v="3385684.5876"/>
        <n v="197615.51568"/>
        <n v="12288815.25"/>
        <n v="1703592.79056"/>
        <n v="38656.59291"/>
        <n v="744024.2496"/>
        <n v="528263.91618"/>
        <n v="2339.29984"/>
        <n v="4366347.0462"/>
        <n v="944961.456"/>
        <n v="956963.53683"/>
        <n v="3081953.57841"/>
        <n v="1054558.83"/>
        <n v="604997.66646"/>
        <n v="3445807.78775"/>
        <n v="3147204.43016"/>
        <n v="860705.6094"/>
        <n v="2459302.95535"/>
        <n v="956668.285"/>
        <n v="3150958.75488"/>
        <n v="469280.79648"/>
        <n v="428852.45976"/>
        <n v="3665890.12716"/>
        <n v="2628569.9098"/>
        <n v="1181011.72644"/>
        <n v="1013538.16242"/>
        <n v="6536693.98375"/>
        <n v="1570053.24918"/>
        <n v="617176.9968"/>
        <n v="2504604.96"/>
        <n v="6257138.83758"/>
        <n v="2675575.7028"/>
        <n v="2663523.38736"/>
        <n v="689478.1502"/>
        <n v="3293444.17584"/>
        <n v="1961733.97937"/>
        <n v="2042263.3072"/>
        <n v="2105323.02432"/>
        <n v="195462.0072"/>
        <n v="791976.58464"/>
        <n v="2398081.95"/>
        <n v="920971.62936"/>
        <n v="1886092.6698"/>
        <n v="862776.21969"/>
        <n v="274248.28672"/>
        <n v="649599.87248"/>
        <n v="3794926.20124"/>
        <n v="1415544.7691"/>
        <n v="112701.537"/>
        <n v="491093.0364"/>
        <n v="6984691.1712"/>
        <n v="1615144.527"/>
        <n v="2500140.6495"/>
        <n v="3467744.15897"/>
        <n v="586771.623"/>
        <n v="1872585.03081"/>
        <n v="907272.7209"/>
        <n v="77405.07008"/>
        <n v="645365.63273"/>
        <n v="322154.1836"/>
        <n v="641841.81776"/>
        <n v="1571558.4486"/>
        <n v="1842747.0048"/>
        <n v="4190106.10176"/>
        <n v="16623851.95032"/>
        <n v="862959.1875"/>
        <n v="434517.8308"/>
        <n v="480136.46912"/>
        <n v="1058433.8356"/>
        <n v="3899963.34464"/>
        <n v="96976.38304"/>
        <n v="1467242.916"/>
        <n v="345247.38892"/>
        <n v="1309489.5888"/>
        <n v="70708.66668"/>
        <n v="399120.04"/>
        <n v="1308267.36416"/>
        <n v="1405726.7686"/>
        <n v="2163535.7436"/>
        <n v="2254570.983"/>
        <n v="2869929.99488"/>
        <n v="675835.71516"/>
        <n v="2475298.0056"/>
        <n v="2279242.15965"/>
        <n v="294583.12056"/>
        <n v="543728.162"/>
        <n v="870078.7232"/>
        <n v="2455097.63544"/>
        <n v="1785546.3038"/>
        <n v="1031443.2576"/>
        <n v="58795.88832"/>
        <n v="4540949.61462"/>
        <n v="1548116.40224"/>
        <n v="4700875.74016"/>
        <n v="1948405.70888"/>
        <n v="687733.2"/>
        <n v="897116.4114"/>
        <n v="826000.7135"/>
        <n v="851943.36864"/>
        <n v="3976497.86632"/>
        <n v="3491974.716"/>
        <n v="1304952.7491"/>
        <n v="979208.3925"/>
        <n v="8888337.556"/>
        <n v="706327.50648"/>
        <n v="3914787.744"/>
        <n v="1021615.1925"/>
        <n v="1942238.44152"/>
        <n v="1883821.758"/>
        <n v="66106.26"/>
        <n v="1305401.99688"/>
        <n v="1813774.1196"/>
        <n v="503859.9874"/>
        <n v="8692.29872"/>
        <n v="2286565.92738"/>
        <n v="2835088.32024"/>
        <n v="1278685.19688"/>
        <n v="2206972.88532"/>
        <n v="128701.80708"/>
        <n v="2912162.75406"/>
        <n v="776192.145"/>
        <n v="957318.084"/>
        <n v="2280531.00513"/>
        <n v="504487.78105"/>
        <n v="353757.45132"/>
        <n v="7511.00076"/>
        <n v="1257228.72"/>
        <n v="2680845.13408"/>
        <n v="1209492.15048"/>
        <n v="4504978.0182"/>
        <n v="968336.6784"/>
        <n v="637903.4256"/>
        <n v="168884.59072"/>
        <n v="4734548.712"/>
        <n v="437070.88128"/>
        <n v="622597.7142"/>
        <n v="1069154.71586"/>
        <n v="3734270.2338"/>
        <n v="91086.0984"/>
        <n v="1223754.1008"/>
        <n v="3992205.69"/>
        <n v="513989.56336"/>
        <n v="954381.6009"/>
        <n v="1042950.58692"/>
        <n v="1743924.09375"/>
        <n v="292686.7541"/>
        <n v="6174786.64414"/>
        <n v="2396038.204"/>
        <n v="942938.3876"/>
        <n v="4360153.13454"/>
        <n v="84341.3428"/>
        <n v="2712542.36946"/>
        <n v="1105672.88832"/>
        <n v="245221.88232"/>
        <n v="421735.50315"/>
        <n v="940176.72"/>
        <n v="3427919.352"/>
        <n v="268477.9308"/>
        <n v="1137426.48656"/>
        <n v="960974.6328"/>
        <n v="571236.6924"/>
        <n v="561491.45725"/>
        <n v="1903981.58496"/>
        <n v="2992144.06656"/>
        <n v="4818945.5751"/>
        <n v="392636.1816"/>
        <n v="3675818.69396"/>
        <n v="3872656.368"/>
        <n v="153328.7976"/>
        <n v="1985290.56"/>
        <n v="1194341.01966"/>
        <n v="338121.51478"/>
        <n v="1377366.088"/>
        <n v="8719088.84701"/>
        <n v="218473.2"/>
        <n v="3136471.53408"/>
        <n v="1364225.2746"/>
        <n v="502825.61252"/>
        <n v="1838074.96781"/>
        <n v="2734310.24298"/>
        <n v="4190800.968"/>
        <n v="127228.4896"/>
        <n v="2752020.69828"/>
        <n v="4346886.06"/>
        <n v="5874611.3514"/>
        <n v="403108.2"/>
        <n v="1776641.07192"/>
        <n v="3907571.1048"/>
        <n v="515474.62824"/>
        <n v="8283774.07152"/>
        <n v="993783.21336"/>
        <n v="1448542.75104"/>
        <n v="2156095.25352"/>
        <n v="2390386.84992"/>
        <n v="2050206.0903"/>
        <n v="1524846.586"/>
        <n v="510578.8536"/>
        <n v="434131.77108"/>
        <n v="1670471.55"/>
        <n v="3574801.96474"/>
        <n v="421833.66806"/>
        <n v="4115029.80768"/>
        <n v="4056947.30232"/>
        <n v="4780781.37306"/>
        <n v="1762355.5026"/>
        <n v="716353.05896"/>
        <n v="3394360.91808"/>
        <n v="1338154.143"/>
        <n v="1544856.2976"/>
        <n v="4030082.28"/>
        <n v="5183902.773"/>
        <n v="1602557.63748"/>
        <n v="2691646.6503"/>
        <n v="1058143.68576"/>
        <n v="2239463.5627"/>
        <n v="1634976.22791"/>
        <n v="46314.13248"/>
        <n v="1612477.26783"/>
        <n v="279012.4635"/>
        <n v="7382991.945"/>
        <n v="1493866.02402"/>
        <n v="2297367.92896"/>
        <n v="1582403.31842"/>
        <n v="6193661.9778"/>
        <n v="2425544.74216"/>
        <n v="1422327.543"/>
        <n v="1460872.02222"/>
        <n v="1799987.063"/>
        <n v="2100185.8848"/>
        <n v="1874571.37184"/>
        <n v="593970.7239"/>
        <n v="871202.2011"/>
        <n v="1420334.12024"/>
        <n v="2406855.9438"/>
        <n v="2470519.85796"/>
        <n v="575092.63416"/>
        <n v="2343187.44"/>
        <n v="692743.03032"/>
        <n v="895452.16046"/>
        <n v="229291.6056"/>
        <n v="1740402.08069"/>
        <n v="3359439.56304"/>
        <n v="1882376.3084"/>
        <n v="1424900.3432"/>
        <n v="866219.1615"/>
        <n v="93539.59836"/>
        <n v="1213527.4866"/>
        <n v="1691464.5484"/>
        <n v="1007438.5161"/>
        <n v="11974066.38204"/>
        <n v="3519383.80032"/>
        <n v="7578541.07496"/>
        <n v="1836363.7832"/>
        <n v="4007355.975"/>
        <n v="2825433.576"/>
        <n v="1331623.26"/>
        <n v="4927865.142"/>
        <n v="1447612.12475"/>
        <n v="5747707.35"/>
        <n v="275410.624"/>
        <n v="1363509.87864"/>
        <n v="245080.16312"/>
        <n v="2697651"/>
        <n v="618346.34422"/>
        <n v="850667.62914"/>
        <n v="2904820.28928"/>
        <n v="288481.31844"/>
        <n v="2404065.609"/>
        <n v="1469844.22728"/>
        <n v="3694955.94501"/>
        <n v="616288.36288"/>
        <n v="2144779.56"/>
        <n v="196039.77872"/>
        <n v="1043898.80832"/>
        <n v="776996.82725"/>
        <n v="5027270.36336"/>
        <n v="1548439.2"/>
        <n v="1475144.99055"/>
        <n v="2079147.477"/>
        <n v="2523211.84512"/>
        <n v="1339125.39125"/>
        <n v="2329312.49835"/>
        <n v="1641035.26608"/>
        <n v="2059000.02"/>
        <n v="898780.53312"/>
        <n v="863688.945"/>
        <n v="2407835.43"/>
        <n v="184130.85456"/>
        <n v="105588.29574"/>
        <n v="472735.6176"/>
        <n v="212988.7916"/>
        <n v="240285.16592"/>
        <n v="10534503.3196"/>
        <n v="348434.4567"/>
        <n v="1518749.10439"/>
        <n v="3241335.09"/>
        <n v="1685767.47998"/>
        <n v="1085033.33736"/>
        <n v="4191820.96926"/>
        <n v="1642488.1632"/>
        <n v="942385.89132"/>
        <n v="2390137.5555"/>
        <n v="2809059.39204"/>
        <n v="109583.4969"/>
        <n v="498598.8546"/>
        <n v="5281191.19584"/>
        <n v="2284706.8398"/>
        <n v="4334754.71296"/>
        <n v="515602.7261"/>
        <n v="4118865.597"/>
        <n v="535697.07906"/>
        <n v="2470090.83165"/>
        <n v="660467.07172"/>
        <n v="655107.54936"/>
        <n v="3082781.475"/>
        <n v="495350.81656"/>
        <n v="1098880.5204"/>
        <n v="153187.65"/>
        <n v="659745.9"/>
        <n v="809830.51149"/>
        <n v="12546.3492"/>
        <n v="1225064.41512"/>
        <n v="522077.87198"/>
        <n v="3536360.23896"/>
        <n v="2608195.43322"/>
        <n v="907030.2696"/>
        <n v="2093691.40474"/>
        <n v="2098134.65554"/>
        <n v="881323.5109"/>
        <n v="1154993.70294"/>
        <n v="950177.08745"/>
        <n v="1083963.1491"/>
        <n v="3645620.69802"/>
        <n v="4492894.9114"/>
        <n v="1547716.6068"/>
        <n v="429946.7744"/>
        <n v="919898.3286"/>
        <n v="1153054.96306"/>
        <n v="395698.03056"/>
        <n v="5822016.2154"/>
        <n v="530611.9836"/>
        <n v="3297546.45"/>
        <n v="1075104.36"/>
        <n v="2603189.54223"/>
        <n v="111891.49592"/>
        <n v="1124845.90428"/>
        <n v="89038.08882"/>
        <n v="891727.9632"/>
        <n v="7054094.917"/>
        <n v="2230139.34"/>
        <n v="1759923.4734"/>
        <n v="766260.6156"/>
        <n v="1061249.46525"/>
        <n v="245340.41805"/>
        <n v="1129289.04"/>
        <n v="6153775.99122"/>
        <n v="3308688.9"/>
        <n v="952799.20866"/>
        <n v="69619.9998"/>
        <n v="59663.85696"/>
        <n v="1263060.6978"/>
        <n v="5572298.8544"/>
        <n v="1848762.7668"/>
        <n v="908760.96724"/>
        <n v="5520793.48632"/>
        <n v="2114798.5716"/>
        <n v="7337828.95424"/>
        <n v="362706.637"/>
        <n v="1938605.13"/>
        <n v="3495399.28352"/>
        <n v="498092.73984"/>
        <n v="1577027.8685"/>
        <n v="1353024.15712"/>
        <n v="624749.05962"/>
        <n v="1937287.40992"/>
        <n v="3587760.84393"/>
        <n v="1310182.32"/>
        <n v="3533286.1545"/>
        <n v="231525.48408"/>
        <n v="2207860.04472"/>
        <n v="2082808.6092"/>
        <n v="1718332.46208"/>
        <n v="3791367.8075"/>
        <n v="4598575.74"/>
        <n v="5286741.17922"/>
        <n v="1317158.67645"/>
        <n v="1476276.22584"/>
        <n v="1488984.48"/>
        <n v="782397.783"/>
        <n v="3462689.1145"/>
        <n v="976062.53544"/>
        <n v="1079179.9356"/>
        <n v="487875.11212"/>
        <n v="1984290.44112"/>
        <n v="4811811.88796"/>
        <n v="3085838.02069"/>
        <n v="3396408.84"/>
        <n v="344324.06784"/>
        <n v="493205.148"/>
        <n v="88894.98536"/>
        <n v="2384436.23424"/>
        <n v="1516332.63104"/>
        <n v="55906.1866"/>
        <n v="1288962.5904"/>
        <n v="1479933.2016"/>
        <n v="769482.1134"/>
        <n v="453912.51864"/>
        <n v="817065.91428"/>
        <n v="613718.202"/>
        <n v="229886.6076"/>
        <n v="4789912.82175"/>
        <n v="440045.13516"/>
        <n v="2339963.73261"/>
        <n v="36715.14"/>
        <n v="2740515.156"/>
        <n v="7570590.07425"/>
        <n v="1305881.72352"/>
        <n v="893212.65"/>
        <n v="1404964.7703"/>
        <n v="5992379.22192"/>
        <n v="700173.2496"/>
        <n v="899529.02"/>
        <n v="1591221.0096"/>
        <n v="840516.01875"/>
        <n v="358219.21"/>
        <n v="535937.99688"/>
        <n v="679883.64225"/>
        <n v="3390081.42276"/>
        <n v="878535.3864"/>
        <n v="113154.9902"/>
        <n v="4629706.968"/>
        <n v="665739.2917"/>
        <n v="858447.61314"/>
        <n v="1527724.26411"/>
        <n v="3195458.01603"/>
        <n v="323111.99018"/>
        <n v="233430.96"/>
        <n v="1132454.14016"/>
        <n v="2207057.28768"/>
        <n v="916357.86"/>
        <n v="8313073.1398"/>
        <n v="2205554.93352"/>
        <n v="1126335.25836"/>
        <n v="1072091.04144"/>
        <n v="93209.38704"/>
        <n v="2794034.66888"/>
        <n v="4300720.02425"/>
        <n v="122005.8774"/>
        <n v="285906.45132"/>
        <n v="3696739.27488"/>
        <n v="1192205.40488"/>
        <n v="5900935.3975"/>
        <n v="3650119.5864"/>
        <n v="1643481.69273"/>
        <n v="593382.63908"/>
        <n v="3268724.58"/>
        <n v="4269313.2132"/>
        <n v="1466195.62768"/>
        <n v="31808.45822"/>
      </sharedItems>
    </cacheField>
    <cacheField name="Margin %" numFmtId="2">
      <sharedItems containsSemiMixedTypes="0" containsString="0" containsNumber="1" minValue="0.989969909729188" maxValue="0.99" count="240">
        <n v="0.989988787441935"/>
        <n v="0.989976243697563"/>
        <n v="0.98998688281649"/>
        <n v="0.989992794812265"/>
        <n v="0.99"/>
        <n v="0.989985278359188"/>
        <n v="0.989980562290844"/>
        <n v="0.989996899038702"/>
        <n v="0.989985077765871"/>
        <n v="0.989999399963998"/>
        <n v="0.989974937343359"/>
        <n v="0.989990591155686"/>
        <n v="0.989992594519945"/>
        <n v="0.989989088106036"/>
        <n v="0.989981666449603"/>
        <n v="0.989996198555451"/>
        <n v="0.989985679521716"/>
        <n v="0.989987985582699"/>
        <n v="0.98999899989999"/>
        <n v="0.989999299950997"/>
        <n v="0.989983171728504"/>
        <n v="0.989987484355444"/>
        <n v="0.989986080652107"/>
        <n v="0.989991292424409"/>
        <n v="0.989991092071944"/>
        <n v="0.989991592938068"/>
        <n v="0.989989889788687"/>
        <n v="0.989975640807161"/>
        <n v="0.989986381478811"/>
        <n v="0.989982469321312"/>
        <n v="0.989987083337505"/>
        <n v="0.989996298630493"/>
        <n v="0.989969909729188"/>
        <n v="0.989985378652833"/>
        <n v="0.989981766815605"/>
        <n v="0.98998307139065"/>
        <n v="0.989981264965486"/>
        <n v="0.989987384103971"/>
        <n v="0.9899707144863"/>
        <n v="0.989970412717517"/>
        <n v="0.989985579234097"/>
        <n v="0.989996498774571"/>
        <n v="0.989992494370778"/>
        <n v="0.989979457888672"/>
        <n v="0.989988085822128"/>
        <n v="0.989988987886675"/>
        <n v="0.98997995991984"/>
        <n v="0.989974434808762"/>
        <n v="0.989986983078002"/>
        <n v="0.98998156608159"/>
        <n v="0.98998106421136"/>
        <n v="0.989989488963412"/>
        <n v="0.98997955829893"/>
        <n v="0.989994997498749"/>
        <n v="0.989993195372854"/>
        <n v="0.989985779807326"/>
        <n v="0.989981465711566"/>
        <n v="0.989995297789961"/>
        <n v="0.989988586989168"/>
        <n v="0.989986582019907"/>
        <n v="0.989974233780817"/>
        <n v="0.989981365339532"/>
        <n v="0.9899838740372"/>
        <n v="0.989975841778687"/>
        <n v="0.989978453675402"/>
        <n v="0.98998958917274"/>
        <n v="0.989992995096568"/>
        <n v="0.989984576247421"/>
        <n v="0.989981164589428"/>
        <n v="0.98999699909973"/>
        <n v="0.989993395641123"/>
        <n v="0.989990390775144"/>
        <n v="0.989990090189287"/>
        <n v="0.989983974358974"/>
        <n v="0.989996598843607"/>
        <n v="0.989990791528206"/>
        <n v="0.989985980372522"/>
        <n v="0.989981967541575"/>
        <n v="0.989972122500552"/>
        <n v="0.989986281205251"/>
        <n v="0.989987684852368"/>
        <n v="0.989977047438634"/>
        <n v="0.989998799855983"/>
        <n v="0.98998818605955"/>
        <n v="0.989989188323389"/>
        <n v="0.98998427531224"/>
        <n v="0.989992894955418"/>
        <n v="0.989995698150205"/>
        <n v="0.989993095235713"/>
        <n v="0.989979658707176"/>
        <n v="0.989994296749147"/>
        <n v="0.989992694667107"/>
        <n v="0.989982067901544"/>
        <n v="0.989988887665309"/>
        <n v="0.989993696028498"/>
        <n v="0.989977951493285"/>
        <n v="0.989980763065085"/>
        <n v="0.989999099918993"/>
        <n v="0.989973429588409"/>
        <n v="0.989974032744809"/>
        <n v="0.989984877164519"/>
        <n v="0.989975439827578"/>
        <n v="0.989991793270482"/>
        <n v="0.989989288538736"/>
        <n v="0.989997899558907"/>
        <n v="0.989995497974088"/>
        <n v="0.989998199675942"/>
        <n v="0.989997499374844"/>
        <n v="0.98998728385049"/>
        <n v="0.989981867179595"/>
        <n v="0.989986682287442"/>
        <n v="0.98999799959992"/>
        <n v="0.98999469718951"/>
        <n v="0.989980261114395"/>
        <n v="0.989974535319712"/>
        <n v="0.989986080652106"/>
        <n v="0.989992193911251"/>
        <n v="0.989997799515894"/>
        <n v="0.989990891711457"/>
        <n v="0.989982268615449"/>
        <n v="0.989994396862243"/>
        <n v="0.989982670019133"/>
        <n v="0.989978754960516"/>
        <n v="0.989980361508557"/>
        <n v="0.98998467655513"/>
        <n v="0.989978855384862"/>
        <n v="0.989976645584211"/>
        <n v="0.989976344172247"/>
        <n v="0.989984074678739"/>
        <n v="0.989994897397673"/>
        <n v="0.989984475937704"/>
        <n v="0.989974133263821"/>
        <n v="0.989994496973335"/>
        <n v="0.989997099158756"/>
        <n v="0.989985178063534"/>
        <n v="0.989984776860829"/>
        <n v="0.989989789585377"/>
        <n v="0.989987183595002"/>
        <n v="0.989979859517631"/>
        <n v="0.989988687216555"/>
        <n v="0.989999599983999"/>
        <n v="0.989973329055287"/>
        <n v="0.989990691342949"/>
        <n v="0.98999329550799"/>
        <n v="0.989988386528373"/>
        <n v="0.989982770365028"/>
        <n v="0.989976444644916"/>
        <n v="0.989986983078001"/>
        <n v="0.989991392597634"/>
        <n v="0.989990490966418"/>
        <n v="0.989976143220866"/>
        <n v="0.989983272064348"/>
        <n v="0.989973630648606"/>
        <n v="0.989984877164518"/>
        <n v="0.989977449260837"/>
        <n v="0.989987785097819"/>
        <n v="0.989978353243005"/>
        <n v="0.989989288538737"/>
        <n v="0.989982569671228"/>
        <n v="0.989983573059818"/>
        <n v="0.989986481750363"/>
        <n v="0.989988486759774"/>
        <n v="0.989986180929683"/>
        <n v="0.989984375625977"/>
        <n v="0.989979257062119"/>
        <n v="0.989994096516945"/>
        <n v="0.989991993594876"/>
        <n v="0.98998998998999"/>
        <n v="0.989982368969386"/>
        <n v="0.989984676555129"/>
        <n v="0.989991192249179"/>
        <n v="0.989990991892704"/>
        <n v="0.989985880090928"/>
        <n v="0.989998599803973"/>
        <n v="0.989992394219607"/>
        <n v="0.989989689380061"/>
        <n v="0.989987885341263"/>
        <n v="0.989995798235259"/>
        <n v="0.989993495772252"/>
        <n v="0.989976042742154"/>
        <n v="0.989972926902637"/>
        <n v="0.989997199215781"/>
        <n v="0.98998547894447"/>
        <n v="0.989984174996495"/>
        <n v="0.989978955807195"/>
        <n v="0.989975942261428"/>
        <n v="0.989970010330889"/>
        <n v="0.989971720251108"/>
        <n v="0.989973831700739"/>
        <n v="0.989989689380062"/>
        <n v="0.989996098478407"/>
        <n v="0.989982971050786"/>
        <n v="0.989972725814215"/>
        <n v="0.98998678255297"/>
        <n v="0.989989388752077"/>
        <n v="0.989994196634048"/>
        <n v="0.989974334295797"/>
        <n v="0.989990090189288"/>
        <n v="0.989996798975672"/>
        <n v="0.989983673387622"/>
        <n v="0.989980963831279"/>
        <n v="0.989990190386579"/>
        <n v="0.989991693105277"/>
        <n v="0.989993595901377"/>
        <n v="0.989992294066431"/>
        <n v="0.989978252808595"/>
        <n v="0.989977348808307"/>
        <n v="0.989998099638931"/>
        <n v="0.989974937343358"/>
        <n v="0.989978554105786"/>
        <n v="0.989995898318311"/>
        <n v="0.989984977466199"/>
        <n v="0.98999719921578"/>
        <n v="0.989970613898723"/>
        <n v="0.989983472730004"/>
        <n v="0.989998299710951"/>
        <n v="0.989984776860828"/>
        <n v="0.98998758460491"/>
        <n v="0.989977047438635"/>
        <n v="0.98997694697805"/>
        <n v="0.989995397883026"/>
        <n v="0.989995097597823"/>
        <n v="0.989983472730005"/>
        <n v="0.989994697189511"/>
        <n v="0.989977750606346"/>
        <n v="0.989991693105278"/>
        <n v="0.989978152372171"/>
        <n v="0.989979056227516"/>
        <n v="0.989990591155687"/>
        <n v="0.989975138343091"/>
        <n v="0.989995598063148"/>
        <n v="0.989979156645823"/>
        <n v="0.989994597082424"/>
        <n v="0.989983974358975"/>
        <n v="0.98998096383128"/>
        <n v="0.989990290581865"/>
        <n v="0.989982870708912"/>
        <n v="0.989991893433681"/>
        <n v="0.989999599984"/>
        <n v="0.989993796153615"/>
      </sharedItems>
    </cacheField>
    <cacheField name="MMM-YYY" numFmtId="0">
      <sharedItems count="33">
        <s v="Mar-2024"/>
        <s v="Oct-2024"/>
        <s v="Feb-2023"/>
        <s v="Mar-2025"/>
        <s v="Jan-2023"/>
        <s v="Dec-2024"/>
        <s v="May-2024"/>
        <s v="May-2025"/>
        <s v="Jan-2024"/>
        <s v="Jan-2025"/>
        <s v="Sep-2025"/>
        <s v="Apr-2023"/>
        <s v="Jul-2025"/>
        <s v="Jul-2024"/>
        <s v="May-2023"/>
        <s v="Jun-2025"/>
        <s v="Jun-2024"/>
        <s v="Nov-2024"/>
        <s v="Apr-2025"/>
        <s v="Apr-2024"/>
        <s v="Aug-2024"/>
        <s v="Mar-2023"/>
        <s v="Jun-2023"/>
        <s v="Jul-2023"/>
        <s v="Aug-2023"/>
        <s v="Feb-2025"/>
        <s v="Dec-2023"/>
        <s v="Sep-2023"/>
        <s v="Aug-2025"/>
        <s v="Sep-2024"/>
        <s v="Nov-2023"/>
        <s v="Feb-2024"/>
        <s v="Oct-2023"/>
      </sharedItems>
    </cacheField>
    <cacheField name="Quarters" numFmtId="0">
      <sharedItems count="11">
        <s v="Q1-2024"/>
        <s v="Q4-2024"/>
        <s v="Q1-2023"/>
        <s v="Q1-2025"/>
        <s v="Q2-2024"/>
        <s v="Q2-2025"/>
        <s v="Q3-2025"/>
        <s v="Q2-2023"/>
        <s v="Q3-2024"/>
        <s v="Q3-2023"/>
        <s v="Q4-2023"/>
      </sharedItems>
    </cacheField>
    <cacheField name="Region Hierarchy " numFmtId="0">
      <sharedItems count="45">
        <s v="Africa → Kenya → Kisumu"/>
        <s v="Africa → Nigeria → Port Harcourt"/>
        <s v="Africa → Kenya → Nairobi"/>
        <s v="Africa → Nigeria → Lagos"/>
        <s v="Americas → Canada → Toronto"/>
        <s v="Asia → India → Bengaluru"/>
        <s v="Africa → Nigeria → Abuja"/>
        <s v="Americas → Brazil → São Paulo"/>
        <s v="Europe → Germany → Berlin"/>
        <s v="Asia → Japan → Osaka"/>
        <s v="Americas → Brazil → Brasília"/>
        <s v="Europe → France → Marseille"/>
        <s v="Europe → United Kingdom → Birmingham"/>
        <s v="Africa → Kenya → Mombasa"/>
        <s v="Asia → China → Shenzhen"/>
        <s v="Americas → USA → Chicago"/>
        <s v="Africa → Kenya → Nakuru"/>
        <s v="Europe → France → Lyon"/>
        <s v="Asia → India → Delhi"/>
        <s v="Americas → Canada → Montreal"/>
        <s v="Africa → South Africa → Johannesburg"/>
        <s v="Europe → United Kingdom → London"/>
        <s v="Europe → Germany → Munich"/>
        <s v="Asia → China → Shanghai"/>
        <s v="Americas → USA → San Francisco"/>
        <s v="Africa → South Africa → Durban"/>
        <s v="Americas → Canada → Vancouver"/>
        <s v="Asia → Japan → Tokyo"/>
        <s v="Europe → France → Paris"/>
        <s v="Asia → India → Mumbai"/>
        <s v="Americas → Brazil → Rio de Janeiro"/>
        <s v="Europe → United Kingdom → Manchester"/>
        <s v="Asia → Japan → Nagoya"/>
        <s v="Africa → South Africa → Cape Town"/>
        <s v="Asia → India → Hyderabad"/>
        <s v="Asia → India → Unknown City "/>
        <s v="Americas → USA → Austin"/>
        <s v="Europe → Germany → Frankfurt"/>
        <s v="Asia → China → Beijing"/>
        <s v="Europe → United Kingdom → Unknown City "/>
        <s v="Americas → USA → New York"/>
        <s v="Americas → Brazil → Unknown City "/>
        <s v="Africa → Nigeria → Unknown City "/>
        <s v="Asia → China → Unknown City "/>
        <s v="Americas → Canada → Unknown City "/>
      </sharedItems>
    </cacheField>
    <cacheField name="Category Groups " numFmtId="0">
      <sharedItems count="3">
        <s v="Support"/>
        <s v="Peripherals"/>
        <s v="Devices"/>
      </sharedItems>
    </cacheField>
    <cacheField name="Price Band " numFmtId="0">
      <sharedItems count="3">
        <s v="Medium"/>
        <s v="Low"/>
        <s v="High"/>
      </sharedItems>
    </cacheField>
    <cacheField name="Clean country" numFmtId="0">
      <sharedItems count="12">
        <s v="KENYA"/>
        <s v="NIGERIA"/>
        <s v="CANADA"/>
        <s v="INDIA"/>
        <s v="BRAZIL"/>
        <s v="GERMANY"/>
        <s v="JAPAN"/>
        <s v="FRANCE"/>
        <s v="UNITED KINGDOM"/>
        <s v="CHINA"/>
        <s v="USA"/>
        <s v="SOUTH AFRICA"/>
      </sharedItems>
    </cacheField>
    <cacheField name="Country start Date " numFmtId="58">
      <sharedItems containsSemiMixedTypes="0" containsString="0" containsNonDate="0" containsDate="1" minDate="2023-01-02T00:00:00" maxDate="2023-03-03T00:00:00" count="11">
        <d v="2023-01-20T00:00:00"/>
        <d v="2023-01-15T00:00:00"/>
        <d v="2023-01-02T00:00:00"/>
        <d v="2023-01-29T00:00:00"/>
        <d v="2023-01-22T00:00:00"/>
        <d v="2023-03-03T00:00:00"/>
        <d v="2023-01-10T00:00:00"/>
        <d v="2023-01-19T00:00:00"/>
        <d v="2023-01-12T00:00:00"/>
        <d v="2023-01-13T00:00:00"/>
        <d v="2023-01-07T00:00:00"/>
      </sharedItems>
    </cacheField>
    <cacheField name="Country Start Month" numFmtId="0">
      <sharedItems count="2">
        <s v="Jan-2023"/>
        <s v="Mar-2023"/>
      </sharedItems>
    </cacheField>
    <cacheField name="Order Month date " numFmtId="17">
      <sharedItems containsSemiMixedTypes="0" containsString="0" containsNonDate="0" containsDate="1" minDate="2023-01-31T00:00:00" maxDate="2025-09-30T00:00:00" count="33">
        <d v="2024-03-31T00:00:00"/>
        <d v="2024-10-31T00:00:00"/>
        <d v="2023-02-28T00:00:00"/>
        <d v="2025-03-31T00:00:00"/>
        <d v="2023-01-31T00:00:00"/>
        <d v="2024-12-31T00:00:00"/>
        <d v="2024-05-31T00:00:00"/>
        <d v="2025-05-31T00:00:00"/>
        <d v="2024-01-31T00:00:00"/>
        <d v="2025-01-31T00:00:00"/>
        <d v="2025-09-30T00:00:00"/>
        <d v="2023-04-30T00:00:00"/>
        <d v="2025-07-31T00:00:00"/>
        <d v="2024-07-31T00:00:00"/>
        <d v="2023-05-31T00:00:00"/>
        <d v="2025-06-30T00:00:00"/>
        <d v="2024-06-30T00:00:00"/>
        <d v="2024-11-30T00:00:00"/>
        <d v="2025-04-30T00:00:00"/>
        <d v="2024-04-30T00:00:00"/>
        <d v="2024-08-31T00:00:00"/>
        <d v="2023-03-31T00:00:00"/>
        <d v="2023-06-30T00:00:00"/>
        <d v="2023-07-31T00:00:00"/>
        <d v="2023-08-31T00:00:00"/>
        <d v="2025-02-28T00:00:00"/>
        <d v="2023-12-31T00:00:00"/>
        <d v="2023-09-30T00:00:00"/>
        <d v="2025-08-31T00:00:00"/>
        <d v="2024-09-30T00:00:00"/>
        <d v="2023-11-30T00:00:00"/>
        <d v="2024-02-29T00:00:00"/>
        <d v="2023-10-31T00:00:00"/>
      </sharedItems>
    </cacheField>
    <cacheField name="On Time Flag" numFmtId="0">
      <sharedItems containsSemiMixedTypes="0" containsString="0" containsNumber="1" containsInteger="1" minValue="0" maxValue="1" count="2">
        <n v="0"/>
        <n v="1"/>
      </sharedItems>
    </cacheField>
    <cacheField name="Flagged Discount %" numFmtId="0">
      <sharedItems containsSemiMixedTypes="0" containsString="0" containsNumber="1" containsInteger="1" minValue="0" maxValue="1" count="2">
        <n v="0"/>
        <n v="1"/>
      </sharedItems>
    </cacheField>
    <cacheField name="What-if  Discount " numFmtId="10">
      <sharedItems containsSemiMixedTypes="0" containsString="0" containsNumber="1" minValue="0" maxValue="0.25" count="203">
        <n v="0.112"/>
        <n v="0.237"/>
        <n v="0.131"/>
        <n v="0.072"/>
        <n v="0"/>
        <n v="0.147"/>
        <n v="0.194"/>
        <n v="0.031"/>
        <n v="0.149"/>
        <n v="0.006"/>
        <n v="0.25"/>
        <n v="0.094"/>
        <n v="0.074"/>
        <n v="0.109"/>
        <n v="0.183"/>
        <n v="0.038"/>
        <n v="0.143"/>
        <n v="0.12"/>
        <n v="0.01"/>
        <n v="0.007"/>
        <n v="0.168"/>
        <n v="0.125"/>
        <n v="0.139"/>
        <n v="0.087"/>
        <n v="0.089"/>
        <n v="0.084"/>
        <n v="0.101"/>
        <n v="0.243"/>
        <n v="0.136"/>
        <n v="0.175"/>
        <n v="0.129"/>
        <n v="0.037"/>
        <n v="0.146"/>
        <n v="0.182"/>
        <n v="0.169"/>
        <n v="0.187"/>
        <n v="0.126"/>
        <n v="0.144"/>
        <n v="0.035"/>
        <n v="0.075"/>
        <n v="0.205"/>
        <n v="0.119"/>
        <n v="0.11"/>
        <n v="0.2"/>
        <n v="0.13"/>
        <n v="0.184"/>
        <n v="0.189"/>
        <n v="0.105"/>
        <n v="0.204"/>
        <n v="0.05"/>
        <n v="0.068"/>
        <n v="0.142"/>
        <n v="0.185"/>
        <n v="0.047"/>
        <n v="0.114"/>
        <n v="0.134"/>
        <n v="0.186"/>
        <n v="0.161"/>
        <n v="0.241"/>
        <n v="0.215"/>
        <n v="0.104"/>
        <n v="0.07"/>
        <n v="0.154"/>
        <n v="0.188"/>
        <n v="0.03"/>
        <n v="0.066"/>
        <n v="0.096"/>
        <n v="0.099"/>
        <n v="0.16"/>
        <n v="0.034"/>
        <n v="0.092"/>
        <n v="0.14"/>
        <n v="0.18"/>
        <n v="0.137"/>
        <n v="0.123"/>
        <n v="0.229"/>
        <n v="0.012"/>
        <n v="0.118"/>
        <n v="0.108"/>
        <n v="0.157"/>
        <n v="0.071"/>
        <n v="0.043"/>
        <n v="0.069"/>
        <n v="0.203"/>
        <n v="0.057"/>
        <n v="0.073"/>
        <n v="0.179"/>
        <n v="0.111"/>
        <n v="0.063"/>
        <n v="0.22"/>
        <n v="0.192"/>
        <n v="0.009"/>
        <n v="0.151"/>
        <n v="0.245"/>
        <n v="0.082"/>
        <n v="0.107"/>
        <n v="0.021"/>
        <n v="0.045"/>
        <n v="0.018"/>
        <n v="0.025"/>
        <n v="0.127"/>
        <n v="0.181"/>
        <n v="0.133"/>
        <n v="0.02"/>
        <n v="0.053"/>
        <n v="0.197"/>
        <n v="0.078"/>
        <n v="0.022"/>
        <n v="0.091"/>
        <n v="0.177"/>
        <n v="0.056"/>
        <n v="0.173"/>
        <n v="0.212"/>
        <n v="0.196"/>
        <n v="0.153"/>
        <n v="0.211"/>
        <n v="0.233"/>
        <n v="0.236"/>
        <n v="0.159"/>
        <n v="0.051"/>
        <n v="0.155"/>
        <n v="0.055"/>
        <n v="0.029"/>
        <n v="0.148"/>
        <n v="0.152"/>
        <n v="0.102"/>
        <n v="0.128"/>
        <n v="0.201"/>
        <n v="0.113"/>
        <n v="0.004"/>
        <n v="0.093"/>
        <n v="0.067"/>
        <n v="0.116"/>
        <n v="0.172"/>
        <n v="0.235"/>
        <n v="0.086"/>
        <n v="0.095"/>
        <n v="0.238"/>
        <n v="0.167"/>
        <n v="0.225"/>
        <n v="0.122"/>
        <n v="0.216"/>
        <n v="0.174"/>
        <n v="0.164"/>
        <n v="0.135"/>
        <n v="0.115"/>
        <n v="0.138"/>
        <n v="0.156"/>
        <n v="0.207"/>
        <n v="0.059"/>
        <n v="0.08"/>
        <n v="0.1"/>
        <n v="0.176"/>
        <n v="0.088"/>
        <n v="0.09"/>
        <n v="0.141"/>
        <n v="0.014"/>
        <n v="0.076"/>
        <n v="0.103"/>
        <n v="0.121"/>
        <n v="0.042"/>
        <n v="0.065"/>
        <n v="0.239"/>
        <n v="0.028"/>
        <n v="0.145"/>
        <n v="0.158"/>
        <n v="0.21"/>
        <n v="0.24"/>
        <n v="0.039"/>
        <n v="0.17"/>
        <n v="0.132"/>
        <n v="0.106"/>
        <n v="0.058"/>
        <n v="0.032"/>
        <n v="0.163"/>
        <n v="0.19"/>
        <n v="0.098"/>
        <n v="0.083"/>
        <n v="0.064"/>
        <n v="0.077"/>
        <n v="0.217"/>
        <n v="0.226"/>
        <n v="0.019"/>
        <n v="0.214"/>
        <n v="0.041"/>
        <n v="0.15"/>
        <n v="0.165"/>
        <n v="0.017"/>
        <n v="0.124"/>
        <n v="0.23"/>
        <n v="0.046"/>
        <n v="0.049"/>
        <n v="0.222"/>
        <n v="0.218"/>
        <n v="0.209"/>
        <n v="0.248"/>
        <n v="0.044"/>
        <n v="0.208"/>
        <n v="0.054"/>
        <n v="0.097"/>
        <n v="0.171"/>
        <n v="0.081"/>
        <n v="0.062"/>
      </sharedItems>
    </cacheField>
    <cacheField name="What if Cost " numFmtId="179">
      <sharedItems containsSemiMixedTypes="0" containsString="0" containsNumber="1" minValue="6.141" maxValue="1720.1585" count="631">
        <n v="321.126"/>
        <n v="1247.0485"/>
        <n v="1679.874"/>
        <n v="298.9195"/>
        <n v="363.2505"/>
        <n v="673.9805"/>
        <n v="32.637"/>
        <n v="1489.641"/>
        <n v="1531.087"/>
        <n v="740.7955"/>
        <n v="1044.89"/>
        <n v="381.3055"/>
        <n v="740.0595"/>
        <n v="897.6785"/>
        <n v="869.9865"/>
        <n v="1024.742"/>
        <n v="1409.4055"/>
        <n v="1228.3955"/>
        <n v="1167.434"/>
        <n v="1718.56"/>
        <n v="1530.8685"/>
        <n v="840.6385"/>
        <n v="1465.7785"/>
        <n v="1090.8325"/>
        <n v="1715.6275"/>
        <n v="135.286"/>
        <n v="985.826"/>
        <n v="240.6375"/>
        <n v="867.9855"/>
        <n v="569.9285"/>
        <n v="1429.059"/>
        <n v="1683.485"/>
        <n v="742.1295"/>
        <n v="1647.398"/>
        <n v="205.3095"/>
        <n v="819.766"/>
        <n v="870.7685"/>
        <n v="995.1295"/>
        <n v="361.0885"/>
        <n v="1177.6115"/>
        <n v="1387.13"/>
        <n v="1605.952"/>
        <n v="555.9905"/>
        <n v="776.7445"/>
        <n v="950.5325"/>
        <n v="388.4125"/>
        <n v="1634.311"/>
        <n v="988.2525"/>
        <n v="1499.094"/>
        <n v="1672.2265"/>
        <n v="83.881"/>
        <n v="613.249"/>
        <n v="234.7265"/>
        <n v="51.083"/>
        <n v="984.147"/>
        <n v="1327.836"/>
        <n v="398.843"/>
        <n v="1409.325"/>
        <n v="1216.24"/>
        <n v="1353.044"/>
        <n v="1690.6725"/>
        <n v="693.9675"/>
        <n v="1418.617"/>
        <n v="573.275"/>
        <n v="1498.5765"/>
        <n v="1244.4955"/>
        <n v="774.962"/>
        <n v="568.8015"/>
        <n v="1014.6795"/>
        <n v="1047.2245"/>
        <n v="303.8185"/>
        <n v="1582.9865"/>
        <n v="825.1825"/>
        <n v="1055.562"/>
        <n v="949.486"/>
        <n v="1603.8475"/>
        <n v="1279.927"/>
        <n v="410.964"/>
        <n v="1291.082"/>
        <n v="1621.5575"/>
        <n v="1361.5425"/>
        <n v="195.9485"/>
        <n v="26.726"/>
        <n v="1634.3685"/>
        <n v="1364.107"/>
        <n v="1571.452"/>
        <n v="691.7365"/>
        <n v="602.255"/>
        <n v="63.9975"/>
        <n v="794.8685"/>
        <n v="606.4295"/>
        <n v="924.6115"/>
        <n v="473.9035"/>
        <n v="1160.902"/>
        <n v="1247.5085"/>
        <n v="28.106"/>
        <n v="1411.142"/>
        <n v="629.418"/>
        <n v="1380.897"/>
        <n v="1441.203"/>
        <n v="360.64"/>
        <n v="991.392"/>
        <n v="123.0845"/>
        <n v="1616.394"/>
        <n v="1331.1365"/>
        <n v="14.7775"/>
        <n v="1309.62"/>
        <n v="94.461"/>
        <n v="336.881"/>
        <n v="632.753"/>
        <n v="1365.1995"/>
        <n v="6.164"/>
        <n v="163.4035"/>
        <n v="407.376"/>
        <n v="1694.617"/>
        <n v="86.457"/>
        <n v="1600.7885"/>
        <n v="390.5515"/>
        <n v="66.654"/>
        <n v="921.426"/>
        <n v="1492.033"/>
        <n v="1604.8135"/>
        <n v="1568.0365"/>
        <n v="204.9185"/>
        <n v="1093.3855"/>
        <n v="1223.968"/>
        <n v="48.024"/>
        <n v="181.447"/>
        <n v="475.548"/>
        <n v="477.1925"/>
        <n v="639.3425"/>
        <n v="1082.38"/>
        <n v="350.497"/>
        <n v="804.5055"/>
        <n v="1250.9815"/>
        <n v="1623.9725"/>
        <n v="349.853"/>
        <n v="1384.117"/>
        <n v="75.8195"/>
        <n v="1683.508"/>
        <n v="577.0815"/>
        <n v="1450.702"/>
        <n v="939.8145"/>
        <n v="665.6775"/>
        <n v="316.894"/>
        <n v="1025.179"/>
        <n v="785.933"/>
        <n v="433.3545"/>
        <n v="1491.55"/>
        <n v="877.818"/>
        <n v="1152.254"/>
        <n v="1262.2285"/>
        <n v="1067.982"/>
        <n v="998.0735"/>
        <n v="502.067"/>
        <n v="754.63"/>
        <n v="1031.2625"/>
        <n v="938.2045"/>
        <n v="1403.4715"/>
        <n v="344.7125"/>
        <n v="932.7075"/>
        <n v="1176.7605"/>
        <n v="155.388"/>
        <n v="1056.183"/>
        <n v="1420.0315"/>
        <n v="378.3845"/>
        <n v="1704.001"/>
        <n v="1042.8315"/>
        <n v="395.4275"/>
        <n v="922.0355"/>
        <n v="972.4745"/>
        <n v="7.8775"/>
        <n v="1453.416"/>
        <n v="208.0235"/>
        <n v="1625.9505"/>
        <n v="1085.3585"/>
        <n v="45.1145"/>
        <n v="245.065"/>
        <n v="405.559"/>
        <n v="6.325"/>
        <n v="1302.5015"/>
        <n v="881.5785"/>
        <n v="909.2245"/>
        <n v="1176.519"/>
        <n v="844.491"/>
        <n v="683.951"/>
        <n v="1451.415"/>
        <n v="1534.836"/>
        <n v="1237.285"/>
        <n v="1142.8125"/>
        <n v="513.6935"/>
        <n v="917.47"/>
        <n v="1134.406"/>
        <n v="287.1665"/>
        <n v="1585.62"/>
        <n v="1617.36"/>
        <n v="594.389"/>
        <n v="1314.312"/>
        <n v="1518.3795"/>
        <n v="958.6055"/>
        <n v="567.824"/>
        <n v="678.8795"/>
        <n v="1017.014"/>
        <n v="1168.768"/>
        <n v="1355.183"/>
        <n v="158.079"/>
        <n v="1185.006"/>
        <n v="1435.6485"/>
        <n v="1385.6925"/>
        <n v="1259.9515"/>
        <n v="103.845"/>
        <n v="1341.107"/>
        <n v="1662.0605"/>
        <n v="446.7865"/>
        <n v="265.7765"/>
        <n v="1248.4515"/>
        <n v="173.489"/>
        <n v="450.386"/>
        <n v="445.004"/>
        <n v="677.511"/>
        <n v="167.417"/>
        <n v="277.311"/>
        <n v="1378.735"/>
        <n v="1252.5225"/>
        <n v="1242.4945"/>
        <n v="1555.306"/>
        <n v="1425.816"/>
        <n v="1073.2835"/>
        <n v="1177.715"/>
        <n v="62.813"/>
        <n v="453.2495"/>
        <n v="227.2745"/>
        <n v="224.871"/>
        <n v="1506.2355"/>
        <n v="1423.332"/>
        <n v="1539.8385"/>
        <n v="1569.6235"/>
        <n v="804.2295"/>
        <n v="184.943"/>
        <n v="443.118"/>
        <n v="1055.838"/>
        <n v="1409.831"/>
        <n v="82.869"/>
        <n v="1165.571"/>
        <n v="75.486"/>
        <n v="1553.627"/>
        <n v="23.1725"/>
        <n v="923.772"/>
        <n v="1394.9385"/>
        <n v="532.381"/>
        <n v="553.9665"/>
        <n v="745.936"/>
        <n v="918.8155"/>
        <n v="364.8375"/>
        <n v="769.3155"/>
        <n v="1690.799"/>
        <n v="594.504"/>
        <n v="362.1695"/>
        <n v="823.331"/>
        <n v="1288.069"/>
        <n v="1692.317"/>
        <n v="670.312"/>
        <n v="107.9965"/>
        <n v="1676.056"/>
        <n v="1388.7745"/>
        <n v="1274.3265"/>
        <n v="1460.0975"/>
        <n v="605.4635"/>
        <n v="828"/>
        <n v="267.6395"/>
        <n v="374.7505"/>
        <n v="1179.3365"/>
        <n v="1244.737"/>
        <n v="330.7515"/>
        <n v="1622.6155"/>
        <n v="1539.1025"/>
        <n v="442.842"/>
        <n v="1349.9045"/>
        <n v="1096.479"/>
        <n v="1261.6535"/>
        <n v="1273.004"/>
        <n v="105.6275"/>
        <n v="716.91"/>
        <n v="1170.6195"/>
        <n v="637.974"/>
        <n v="8.073"/>
        <n v="1226.6475"/>
        <n v="918.2175"/>
        <n v="1462.294"/>
        <n v="599.219"/>
        <n v="82.363"/>
        <n v="1313.852"/>
        <n v="241.2815"/>
        <n v="904.13"/>
        <n v="1566.6565"/>
        <n v="285.476"/>
        <n v="387.55"/>
        <n v="6.509"/>
        <n v="680.478"/>
        <n v="992.3235"/>
        <n v="747.3965"/>
        <n v="1459.9825"/>
        <n v="1026.6395"/>
        <n v="266.3745"/>
        <n v="99.682"/>
        <n v="1667.9945"/>
        <n v="440.404"/>
        <n v="140.6335"/>
        <n v="461.909"/>
        <n v="1609.678"/>
        <n v="58.7995"/>
        <n v="542.133"/>
        <n v="966.782"/>
        <n v="687.5275"/>
        <n v="436.3675"/>
        <n v="334.857"/>
        <n v="1170.608"/>
        <n v="180.0325"/>
        <n v="1006.664"/>
        <n v="1134.8775"/>
        <n v="465.4855"/>
        <n v="1494.7815"/>
        <n v="92.552"/>
        <n v="1161.8795"/>
        <n v="751.939"/>
        <n v="356.523"/>
        <n v="1028.3645"/>
        <n v="441.3355"/>
        <n v="1579.3065"/>
        <n v="115.7935"/>
        <n v="488.9225"/>
        <n v="1244.5875"/>
        <n v="1362.7385"/>
        <n v="553.518"/>
        <n v="1482.1775"/>
        <n v="744.349"/>
        <n v="717.8645"/>
        <n v="582.8545"/>
        <n v="713.851"/>
        <n v="760.6675"/>
        <n v="36.915"/>
        <n v="926.6815"/>
        <n v="1416.57"/>
        <n v="120.8995"/>
        <n v="1720.1585"/>
        <n v="1134.8315"/>
        <n v="89.401"/>
        <n v="1072.5015"/>
        <n v="1130.3695"/>
        <n v="353.4755"/>
        <n v="1010.942"/>
        <n v="1099.837"/>
        <n v="1418.364"/>
        <n v="63.6525"/>
        <n v="756.0675"/>
        <n v="1383.473"/>
        <n v="1353.1935"/>
        <n v="885.385"/>
        <n v="766.1645"/>
        <n v="1094.156"/>
        <n v="628.8545"/>
        <n v="959.399"/>
        <n v="1184.1205"/>
        <n v="696.693"/>
        <n v="1213.7675"/>
        <n v="1489.457"/>
        <n v="1076.2045"/>
        <n v="1471.494"/>
        <n v="293.71"/>
        <n v="566.6625"/>
        <n v="1396.6635"/>
        <n v="828.4025"/>
        <n v="333.661"/>
        <n v="1706.8645"/>
        <n v="1137.1545"/>
        <n v="1411.855"/>
        <n v="1280.755"/>
        <n v="496.9495"/>
        <n v="962.9985"/>
        <n v="434.999"/>
        <n v="958.7895"/>
        <n v="1313.369"/>
        <n v="1317.3595"/>
        <n v="1082.5525"/>
        <n v="1335.38"/>
        <n v="368.138"/>
        <n v="1338.5885"/>
        <n v="1172.264"/>
        <n v="23.437"/>
        <n v="1710.7285"/>
        <n v="264.454"/>
        <n v="1301.8345"/>
        <n v="1308.0215"/>
        <n v="1489.6985"/>
        <n v="751.64"/>
        <n v="1607.3205"/>
        <n v="1382.8405"/>
        <n v="1506.845"/>
        <n v="1350.2955"/>
        <n v="1286.896"/>
        <n v="978.305"/>
        <n v="1173.46"/>
        <n v="576.725"/>
        <n v="1120.2265"/>
        <n v="1295.2335"/>
        <n v="1565.541"/>
        <n v="1652.9985"/>
        <n v="547.009"/>
        <n v="1627.3075"/>
        <n v="536.084"/>
        <n v="763.209"/>
        <n v="796.007"/>
        <n v="1376.3545"/>
        <n v="1441.2375"/>
        <n v="1480.786"/>
        <n v="979.2135"/>
        <n v="711.4935"/>
        <n v="92.6785"/>
        <n v="580.6695"/>
        <n v="1267.5185"/>
        <n v="1386.049"/>
        <n v="1510.295"/>
        <n v="1712.2465"/>
        <n v="1699.516"/>
        <n v="1190.4685"/>
        <n v="1461.765"/>
        <n v="1327.1345"/>
        <n v="370.806"/>
        <n v="1076.377"/>
        <n v="689.816"/>
        <n v="1381.5065"/>
        <n v="441.8185"/>
        <n v="561.982"/>
        <n v="209.001"/>
        <n v="890.238"/>
        <n v="145.0725"/>
        <n v="698.096"/>
        <n v="990.265"/>
        <n v="405.5475"/>
        <n v="1126.5285"/>
        <n v="439.5415"/>
        <n v="1566.369"/>
        <n v="103.546"/>
        <n v="641.9185"/>
        <n v="284.1305"/>
        <n v="719.1755"/>
        <n v="223.79"/>
        <n v="1386.325"/>
        <n v="1029.871"/>
        <n v="1089.0385"/>
        <n v="1004.019"/>
        <n v="1036.3685"/>
        <n v="460.4485"/>
        <n v="936.0655"/>
        <n v="1318.728"/>
        <n v="353.5445"/>
        <n v="821.422"/>
        <n v="200.951"/>
        <n v="1453.646"/>
        <n v="162.449"/>
        <n v="47.0235"/>
        <n v="848.884"/>
        <n v="130.801"/>
        <n v="316.7445"/>
        <n v="1536.124"/>
        <n v="278.6565"/>
        <n v="1619.545"/>
        <n v="1347.133"/>
        <n v="763.1515"/>
        <n v="496.8115"/>
        <n v="902.129"/>
        <n v="744.464"/>
        <n v="960.1695"/>
        <n v="693.9905"/>
        <n v="794.0635"/>
        <n v="242.374"/>
        <n v="543.1795"/>
        <n v="1194.8845"/>
        <n v="636.6515"/>
        <n v="1401.919"/>
        <n v="49.7145"/>
        <n v="1479.544"/>
        <n v="403.374"/>
        <n v="1503.648"/>
        <n v="296.056"/>
        <n v="331.0275"/>
        <n v="1159.384"/>
        <n v="127.673"/>
        <n v="1686.475"/>
        <n v="215.303"/>
        <n v="342.2285"/>
        <n v="1030.5035"/>
        <n v="6.141"/>
        <n v="534.773"/>
        <n v="405.7085"/>
        <n v="1486.789"/>
        <n v="1303.042"/>
        <n v="585.7065"/>
        <n v="759.897"/>
        <n v="546.6755"/>
        <n v="1417.6855"/>
        <n v="885.6265"/>
        <n v="1302.9845"/>
        <n v="1146.2395"/>
        <n v="454.3305"/>
        <n v="1072.099"/>
        <n v="1531.5355"/>
        <n v="261.073"/>
        <n v="1038.9215"/>
        <n v="715.99"/>
        <n v="258.7615"/>
        <n v="1597.879"/>
        <n v="924.7955"/>
        <n v="1642.5795"/>
        <n v="734.321"/>
        <n v="746.4995"/>
        <n v="76.36"/>
        <n v="1070.3165"/>
        <n v="377.1655"/>
        <n v="1221.737"/>
        <n v="1479.084"/>
        <n v="860.6485"/>
        <n v="590.3065"/>
        <n v="1220.5755"/>
        <n v="461.495"/>
        <n v="104.282"/>
        <n v="1245.5535"/>
        <n v="1390.051"/>
        <n v="1609.586"/>
        <n v="1077.734"/>
        <n v="134.5155"/>
        <n v="68.4365"/>
        <n v="777.8255"/>
        <n v="1323.719"/>
        <n v="834.463"/>
        <n v="551.425"/>
        <n v="1485.455"/>
        <n v="704.4785"/>
        <n v="1313.07"/>
        <n v="566.513"/>
        <n v="1447.528"/>
        <n v="1575.822"/>
        <n v="1086.3015"/>
        <n v="529.2415"/>
        <n v="1500.6925"/>
        <n v="507.242"/>
        <n v="1493.8845"/>
        <n v="1012.023"/>
        <n v="808.427"/>
        <n v="1190.526"/>
        <n v="99.636"/>
        <n v="1346.8455"/>
        <n v="839.983"/>
        <n v="1337.289"/>
        <n v="1367.3845"/>
        <n v="1659.772"/>
        <n v="1016.025"/>
        <n v="817.627"/>
        <n v="986.033"/>
        <n v="922.668"/>
        <n v="513.659"/>
        <n v="1375.377"/>
        <n v="771.7075"/>
        <n v="674.1415"/>
        <n v="604.141"/>
        <n v="1418.548"/>
        <n v="1345.6725"/>
        <n v="851.782"/>
        <n v="1618.1075"/>
        <n v="159.735"/>
        <n v="769.7755"/>
        <n v="27.4045"/>
        <n v="511.0715"/>
        <n v="984.515"/>
        <n v="93.7135"/>
        <n v="803.459"/>
        <n v="201.687"/>
        <n v="863.972"/>
        <n v="189.2095"/>
        <n v="448.4195"/>
        <n v="989.46"/>
        <n v="48.116"/>
        <n v="1573.3955"/>
        <n v="739.6915"/>
        <n v="827.3215"/>
        <n v="74.175"/>
        <n v="1417.697"/>
        <n v="1572.1995"/>
        <n v="1181.349"/>
        <n v="909.121"/>
        <n v="763.485"/>
        <n v="1168.2965"/>
        <n v="1440.398"/>
        <n v="366.6545"/>
        <n v="866.4445"/>
        <n v="1303.4905"/>
        <n v="343.873"/>
        <n v="901.278"/>
        <n v="190.095"/>
        <n v="1133.2675"/>
        <n v="1537.5615"/>
        <n v="478.584"/>
        <n v="1316.037"/>
        <n v="466.509"/>
        <n v="792.7295"/>
        <n v="1390.603"/>
        <n v="1686.2105"/>
        <n v="164.8295"/>
        <n v="126.2125"/>
        <n v="1264.0225"/>
        <n v="821.5945"/>
        <n v="1083.323"/>
        <n v="1522.0825"/>
        <n v="1631.2865"/>
        <n v="1515.217"/>
        <n v="449.834"/>
        <n v="831.3005"/>
        <n v="1069.5345"/>
        <n v="939.205"/>
        <n v="288.6845"/>
        <n v="193.982"/>
        <n v="1540.126"/>
        <n v="712.586"/>
        <n v="1175.2655"/>
        <n v="1551.396"/>
        <n v="1548.8315"/>
        <n v="259.946"/>
        <n v="928.073"/>
        <n v="1232.7885"/>
        <n v="928.1765"/>
        <n v="59.639"/>
      </sharedItems>
    </cacheField>
    <cacheField name="What If Quantity" numFmtId="0">
      <sharedItems containsSemiMixedTypes="0" containsString="0" containsNumber="1" minValue="2.4" maxValue="73.2" count="52">
        <n v="10.8"/>
        <n v="37.2"/>
        <n v="14.4"/>
        <n v="26.4"/>
        <n v="8.4"/>
        <n v="4.8"/>
        <n v="21.6"/>
        <n v="7.2"/>
        <n v="27.6"/>
        <n v="24"/>
        <n v="12"/>
        <n v="18"/>
        <n v="33.6"/>
        <n v="19.2"/>
        <n v="22.8"/>
        <n v="9.6"/>
        <n v="16.8"/>
        <n v="20.4"/>
        <n v="44.4"/>
        <n v="32.4"/>
        <n v="15.6"/>
        <n v="13.2"/>
        <n v="28.8"/>
        <n v="45.6"/>
        <n v="67.2"/>
        <n v="61.2"/>
        <n v="48"/>
        <n v="6"/>
        <n v="3.6"/>
        <n v="31.2"/>
        <n v="30"/>
        <n v="36"/>
        <n v="46.8"/>
        <n v="2.4"/>
        <n v="52.8"/>
        <n v="60"/>
        <n v="56.4"/>
        <n v="55.2"/>
        <n v="43.2"/>
        <n v="49.2"/>
        <n v="72"/>
        <n v="73.2"/>
        <n v="25.2"/>
        <n v="63.6"/>
        <n v="51.6"/>
        <n v="40.8"/>
        <n v="42"/>
        <n v="50.4"/>
        <n v="38.4"/>
        <n v="39.6"/>
        <n v="66"/>
        <n v="34.8"/>
      </sharedItems>
    </cacheField>
    <cacheField name="What if Revenue " numFmtId="179">
      <sharedItems containsSemiMixedTypes="0" containsString="0" containsNumber="1" minValue="-1015.616448" maxValue="167133.396384" count="631">
        <n v="5839.59456"/>
        <n v="21552.518988"/>
        <n v="-383.666976"/>
        <n v="6270.325248"/>
        <n v="4970.112"/>
        <n v="3463.739568"/>
        <n v="822.081312"/>
        <n v="17656.955208"/>
        <n v="73114.202832"/>
        <n v="19207.372128"/>
        <n v="12444.66"/>
        <n v="5962.2048"/>
        <n v="25902.18"/>
        <n v="9094.608"/>
        <n v="8508.68064"/>
        <n v="31138.09776"/>
        <n v="42440.653248"/>
        <n v="45715.420872"/>
        <n v="47116.443504"/>
        <n v="28538.772864"/>
        <n v="23884.302048"/>
        <n v="13124.3904"/>
        <n v="24270.26976"/>
        <n v="29873.316672"/>
        <n v="10315.548672"/>
        <n v="2108.04"/>
        <n v="4776.849"/>
        <n v="4695.84"/>
        <n v="24100.960464"/>
        <n v="11767.028856"/>
        <n v="31380.437184"/>
        <n v="11576.862336"/>
        <n v="15862.2"/>
        <n v="32798.196"/>
        <n v="7957.973172"/>
        <n v="22748.852268"/>
        <n v="14394.184704"/>
        <n v="17961.8868"/>
        <n v="4274.638056"/>
        <n v="49328.161164"/>
        <n v="12670.488"/>
        <n v="40376.7"/>
        <n v="12799.475304"/>
        <n v="21516.593472"/>
        <n v="39007.87128"/>
        <n v="8562.684"/>
        <n v="131092.8"/>
        <n v="42745.562784"/>
        <n v="41333.354832"/>
        <n v="18934.2"/>
        <n v="765.36"/>
        <n v="6942.96"/>
        <n v="3022.650696"/>
        <n v="258.23808"/>
        <n v="38016.954384"/>
        <n v="35591.62794"/>
        <n v="5748.12816"/>
        <n v="-327.5832"/>
        <n v="5483.82096"/>
        <n v="40425.00216"/>
        <n v="33241.88448"/>
        <n v="13137.4848"/>
        <n v="87784.209"/>
        <n v="31565.1312"/>
        <n v="14583.920832"/>
        <n v="19216.41792"/>
        <n v="17145.47562"/>
        <n v="10406.082528"/>
        <n v="10716.855"/>
        <n v="12777.27264"/>
        <n v="7671.714336"/>
        <n v="24205.95966"/>
        <n v="11248.152264"/>
        <n v="6065.64"/>
        <n v="8249.379432"/>
        <n v="42475.53336"/>
        <n v="39674.683776"/>
        <n v="12665.16"/>
        <n v="5852.565576"/>
        <n v="72351.36636"/>
        <n v="21910.641984"/>
        <n v="6398.00352"/>
        <n v="629.7741"/>
        <n v="25275.134976"/>
        <n v="15775.76484"/>
        <n v="17036.47728"/>
        <n v="1985.87592"/>
        <n v="14211.41568"/>
        <n v="749.322048"/>
        <n v="9989.79912"/>
        <n v="23412.9696"/>
        <n v="12193.759488"/>
        <n v="24095.212344"/>
        <n v="6585.12288"/>
        <n v="51850.807344"/>
        <n v="176.409072"/>
        <n v="40966.992"/>
        <n v="6394.186848"/>
        <n v="32418.954"/>
        <n v="63336.084"/>
        <n v="7589.49312"/>
        <n v="16403.772"/>
        <n v="7152.4008"/>
        <n v="14802.78582"/>
        <n v="15058.44"/>
        <n v="622.385244"/>
        <n v="28425.029328"/>
        <n v="1992.48"/>
        <n v="659.76012"/>
        <n v="33211.62"/>
        <n v="36182.010384"/>
        <n v="41.626872"/>
        <n v="2540.9802"/>
        <n v="1799.064"/>
        <n v="29427.608064"/>
        <n v="919.19034"/>
        <n v="78143.19552"/>
        <n v="6923.13096"/>
        <n v="711.514188"/>
        <n v="47420.165268"/>
        <n v="27580.014756"/>
        <n v="19274.367456"/>
        <n v="12980.80992"/>
        <n v="2487.511008"/>
        <n v="10691.830464"/>
        <n v="78133.663368"/>
        <n v="1023.987324"/>
        <n v="3170.60244"/>
        <n v="19285.738416"/>
        <n v="9244.636896"/>
        <n v="5301.400104"/>
        <n v="10004.26752"/>
        <n v="4193.284896"/>
        <n v="14437.790016"/>
        <n v="32844.649032"/>
        <n v="11637.796608"/>
        <n v="5309.685"/>
        <n v="42681.285504"/>
        <n v="1757.43"/>
        <n v="104885.915904"/>
        <n v="9853.96104"/>
        <n v="38503.651032"/>
        <n v="11963.30418"/>
        <n v="30806.552448"/>
        <n v="15545.229696"/>
        <n v="4275.48348"/>
        <n v="15985.368"/>
        <n v="17852.9568"/>
        <n v="50994.966528"/>
        <n v="9481.804992"/>
        <n v="25887.1086"/>
        <n v="4967.77536"/>
        <n v="35585.796096"/>
        <n v="13218.61248"/>
        <n v="10691.597616"/>
        <n v="8644.56564"/>
        <n v="28977.507"/>
        <n v="12459.190608"/>
        <n v="35116.505424"/>
        <n v="26453.8458"/>
        <n v="6780.20928"/>
        <n v="9785.461392"/>
        <n v="14633.6568"/>
        <n v="14222.16768"/>
        <n v="102765.288384"/>
        <n v="17337.95844"/>
        <n v="14976.657"/>
        <n v="8189.14608"/>
        <n v="2779.51464"/>
        <n v="17552.448"/>
        <n v="10714.77552"/>
        <n v="116.41848"/>
        <n v="37867.42512"/>
        <n v="2343.162816"/>
        <n v="112005"/>
        <n v="18787.764672"/>
        <n v="386.319492"/>
        <n v="8518.25952"/>
        <n v="5304.715416"/>
        <n v="22.391808"/>
        <n v="49622.69544"/>
        <n v="9227.3472"/>
        <n v="10438.652196"/>
        <n v="31690.366092"/>
        <n v="12466.116"/>
        <n v="5798.335752"/>
        <n v="32111.1453"/>
        <n v="33686.628192"/>
        <n v="10308.85128"/>
        <n v="23451.57042"/>
        <n v="10515.942"/>
        <n v="29249.513856"/>
        <n v="5282.539776"/>
        <n v="4714.055712"/>
        <n v="37429.976592"/>
        <n v="26015.69976"/>
        <n v="13592.215728"/>
        <n v="10019.066904"/>
        <n v="67056.5805"/>
        <n v="17956.523016"/>
        <n v="5625.36"/>
        <n v="30358.848"/>
        <n v="57555.261096"/>
        <n v="30664.53936"/>
        <n v="31358.048832"/>
        <n v="8042.82024"/>
        <n v="34063.219008"/>
        <n v="18990.479244"/>
        <n v="21417.48864"/>
        <n v="21673.445184"/>
        <n v="2129.76864"/>
        <n v="8381.789568"/>
        <n v="29067.66"/>
        <n v="9425.603232"/>
        <n v="18303.68376"/>
        <n v="9286.751628"/>
        <n v="2677.976064"/>
        <n v="7842.758976"/>
        <n v="34592.274"/>
        <n v="16223.43492"/>
        <n v="1089.6444"/>
        <n v="5404.12368"/>
        <n v="80386.52544"/>
        <n v="18588.6324"/>
        <n v="25888.3794"/>
        <n v="36575.302764"/>
        <n v="6640.3476"/>
        <n v="19930.908972"/>
        <n v="8935.82508"/>
        <n v="800.580096"/>
        <n v="6977.631276"/>
        <n v="3455.98032"/>
        <n v="6337.029312"/>
        <n v="17123.81832"/>
        <n v="20831.76576"/>
        <n v="44446.298112"/>
        <n v="167133.396384"/>
        <n v="8021.025"/>
        <n v="4588.21296"/>
        <n v="5323.954944"/>
        <n v="11621.85072"/>
        <n v="40899.437568"/>
        <n v="897.867648"/>
        <n v="14698.4112"/>
        <n v="3491.842704"/>
        <n v="11936.16"/>
        <n v="728.768016"/>
        <n v="4310.448"/>
        <n v="14176.324992"/>
        <n v="14623.64232"/>
        <n v="20944.01232"/>
        <n v="21227.5476"/>
        <n v="30580.697856"/>
        <n v="7761.930192"/>
        <n v="28993.44672"/>
        <n v="22887.67158"/>
        <n v="2872.992672"/>
        <n v="5250.4344"/>
        <n v="9082.75584"/>
        <n v="27459.210528"/>
        <n v="21557.28456"/>
        <n v="9823.26912"/>
        <n v="672.441984"/>
        <n v="48167.849544"/>
        <n v="15117.026688"/>
        <n v="46582.512192"/>
        <n v="21112.834656"/>
        <n v="8336.16"/>
        <n v="9213.85368"/>
        <n v="8682.2562"/>
        <n v="8544.778368"/>
        <n v="41558.527584"/>
        <n v="35444.0592"/>
        <n v="13700.91492"/>
        <n v="10280.871"/>
        <n v="95458.5072"/>
        <n v="7279.855776"/>
        <n v="41808.4128"/>
        <n v="10689.231"/>
        <n v="20929.225824"/>
        <n v="17177.706"/>
        <n v="801.288"/>
        <n v="14035.388256"/>
        <n v="18606.57552"/>
        <n v="4774.37688"/>
        <n v="91.366464"/>
        <n v="24034.544856"/>
        <n v="32118.048288"/>
        <n v="12547.700256"/>
        <n v="22879.254384"/>
        <n v="1318.736496"/>
        <n v="28050.712872"/>
        <n v="8858.574"/>
        <n v="10684.1808"/>
        <n v="24547.182156"/>
        <n v="5090.25726"/>
        <n v="3829.045584"/>
        <n v="80.304912"/>
        <n v="15239.136"/>
        <n v="30692.728896"/>
        <n v="11839.572576"/>
        <n v="47623.70184"/>
        <n v="9712.17408"/>
        <n v="7119.34272"/>
        <n v="1970.052864"/>
        <n v="51701.8464"/>
        <n v="4373.185536"/>
        <n v="6401.89704"/>
        <n v="11816.683032"/>
        <n v="36959.12856"/>
        <n v="1054.87008"/>
        <n v="13540.08096"/>
        <n v="48390.372"/>
        <n v="6038.932032"/>
        <n v="10536.69708"/>
        <n v="10874.816304"/>
        <n v="19567.9125"/>
        <n v="3498.54492"/>
        <n v="63641.236968"/>
        <n v="26856.2448"/>
        <n v="8991.72912"/>
        <n v="47456.129448"/>
        <n v="843.89136"/>
        <n v="31218.539352"/>
        <n v="11794.857984"/>
        <n v="2848.754784"/>
        <n v="4559.76378"/>
        <n v="8573.04"/>
        <n v="33307.7184"/>
        <n v="3044.74896"/>
        <n v="10517.287872"/>
        <n v="8760.024"/>
        <n v="6732.11088"/>
        <n v="5827.6287"/>
        <n v="19463.213952"/>
        <n v="33897.295872"/>
        <n v="46243.14612"/>
        <n v="3625.80192"/>
        <n v="33517.764"/>
        <n v="35312.976"/>
        <n v="1397.88"/>
        <n v="24064.128"/>
        <n v="10886.346"/>
        <n v="3810.185736"/>
        <n v="16364.7456"/>
        <n v="94899.008412"/>
        <n v="2648.16"/>
        <n v="32590.672896"/>
        <n v="14684.24952"/>
        <n v="4958.439024"/>
        <n v="19784.673372"/>
        <n v="31863.123576"/>
        <n v="41780.3616"/>
        <n v="1346.50752"/>
        <n v="27834.021936"/>
        <n v="52689.528"/>
        <n v="59203.81368"/>
        <n v="4886.16"/>
        <n v="17776.478304"/>
        <n v="42201.29376"/>
        <n v="5765.361888"/>
        <n v="99017.653824"/>
        <n v="9059.283"/>
        <n v="15260.773248"/>
        <n v="25901.632224"/>
        <n v="23456.795904"/>
        <n v="22265.24436"/>
        <n v="16541.5032"/>
        <n v="5483.48832"/>
        <n v="4959.901296"/>
        <n v="20248.14"/>
        <n v="38736.389688"/>
        <n v="4940.985672"/>
        <n v="37506.348"/>
        <n v="46106.426784"/>
        <n v="52264.191672"/>
        <n v="18418.44312"/>
        <n v="7891.558752"/>
        <n v="39840.045696"/>
        <n v="13598.5716"/>
        <n v="15457.31712"/>
        <n v="45074.736"/>
        <n v="57232.0476"/>
        <n v="18309.020976"/>
        <n v="26477.89236"/>
        <n v="11504.166912"/>
        <n v="23728.03524"/>
        <n v="16929.801492"/>
        <n v="521.342976"/>
        <n v="19371.033396"/>
        <n v="3030.0762"/>
        <n v="67322.115"/>
        <n v="13615.533"/>
        <n v="23761.066752"/>
        <n v="17318.086104"/>
        <n v="67412.13336"/>
        <n v="22369.466592"/>
        <n v="15822.6516"/>
        <n v="15566.402664"/>
        <n v="21277.9476"/>
        <n v="20912.59776"/>
        <n v="20335.310208"/>
        <n v="6300.50868"/>
        <n v="9398.40132"/>
        <n v="16124.760288"/>
        <n v="26948.57256"/>
        <n v="25849.221552"/>
        <n v="5615.656992"/>
        <n v="28402.272"/>
        <n v="6388.788384"/>
        <n v="8279.856552"/>
        <n v="2470.80672"/>
        <n v="19361.064828"/>
        <n v="37816.107648"/>
        <n v="22093.69008"/>
        <n v="13072.34784"/>
        <n v="9563.3538"/>
        <n v="889.726032"/>
        <n v="11411.14392"/>
        <n v="17433.29808"/>
        <n v="11981.65932"/>
        <n v="122547.530448"/>
        <n v="35552.784384"/>
        <n v="69709.961952"/>
        <n v="18440.37984"/>
        <n v="36522.738"/>
        <n v="25763.832"/>
        <n v="16140.888"/>
        <n v="49365.9144"/>
        <n v="15546.9897"/>
        <n v="69669.18"/>
        <n v="3153.1488"/>
        <n v="15561.550368"/>
        <n v="2340.003744"/>
        <n v="32698.8"/>
        <n v="6655.757064"/>
        <n v="8808.466968"/>
        <n v="29134.619136"/>
        <n v="3354.766128"/>
        <n v="24806.7468"/>
        <n v="15202.208736"/>
        <n v="37815.702012"/>
        <n v="7152.051456"/>
        <n v="25997.328"/>
        <n v="2310.358464"/>
        <n v="11725.737984"/>
        <n v="7084.575"/>
        <n v="54656.620032"/>
        <n v="14747.04"/>
        <n v="14955.18066"/>
        <n v="23554.1724"/>
        <n v="28433.286144"/>
        <n v="14381.8695"/>
        <n v="27758.87802"/>
        <n v="17703.247296"/>
        <n v="24957.576"/>
        <n v="9425.631744"/>
        <n v="9171.918"/>
        <n v="29185.884"/>
        <n v="1995.233472"/>
        <n v="1116.210888"/>
        <n v="4866.62112"/>
        <n v="2264.38992"/>
        <n v="2190.096"/>
        <n v="100963.34352"/>
        <n v="3263.82804"/>
        <n v="17114.309268"/>
        <n v="30322.908"/>
        <n v="19502.663976"/>
        <n v="12513.668832"/>
        <n v="43859.315112"/>
        <n v="18449.47584"/>
        <n v="9996.301584"/>
        <n v="23080.0266"/>
        <n v="32632.982448"/>
        <n v="1211.15628"/>
        <n v="5054.84952"/>
        <n v="50297.059008"/>
        <n v="27145.03176"/>
        <n v="48586.551552"/>
        <n v="5686.23132"/>
        <n v="43393.3164"/>
        <n v="6152.446872"/>
        <n v="26290.47798"/>
        <n v="7275.902064"/>
        <n v="6191.747232"/>
        <n v="34627.77"/>
        <n v="4831.027872"/>
        <n v="11537.32848"/>
        <n v="1856.82"/>
        <n v="7996.92"/>
        <n v="9008.941788"/>
        <n v="132.17904"/>
        <n v="14231.634144"/>
        <n v="5619.542376"/>
        <n v="36830.974752"/>
        <n v="30299.535864"/>
        <n v="10373.60352"/>
        <n v="19889.453688"/>
        <n v="24399.330648"/>
        <n v="8913.73308"/>
        <n v="13043.019528"/>
        <n v="10364.62494"/>
        <n v="12227.86692"/>
        <n v="38802.261624"/>
        <n v="41760.51768"/>
        <n v="18388.71216"/>
        <n v="4705.40928"/>
        <n v="9956.91432"/>
        <n v="11078.739672"/>
        <n v="4230.660672"/>
        <n v="60355.69848"/>
        <n v="6227.86032"/>
        <n v="39970.26"/>
        <n v="13031.568"/>
        <n v="26642.114676"/>
        <n v="1212.451104"/>
        <n v="11769.341136"/>
        <n v="1026.874584"/>
        <n v="8879.37984"/>
        <n v="77031.5724"/>
        <n v="27031.992"/>
        <n v="19345.52808"/>
        <n v="7722.30672"/>
        <n v="9992.0223"/>
        <n v="2575.86966"/>
        <n v="13688.352"/>
        <n v="70232.197464"/>
        <n v="40105.32"/>
        <n v="11114.482392"/>
        <n v="741.83976"/>
        <n v="641.492352"/>
        <n v="14308.91736"/>
        <n v="50919.90528"/>
        <n v="18186.39216"/>
        <n v="9388.136688"/>
        <n v="61150.519584"/>
        <n v="24516.92592"/>
        <n v="79512.377088"/>
        <n v="4008.7644"/>
        <n v="23498.244"/>
        <n v="36782.884224"/>
        <n v="5684.663808"/>
        <n v="16936.8822"/>
        <n v="12951.164544"/>
        <n v="5791.847544"/>
        <n v="18637.115904"/>
        <n v="38186.428716"/>
        <n v="13125.024"/>
        <n v="35608.1454"/>
        <n v="2216.164896"/>
        <n v="22596.149664"/>
        <n v="24196.09104"/>
        <n v="19032.938496"/>
        <n v="40262.313"/>
        <n v="55740.312"/>
        <n v="60654.383064"/>
        <n v="12623.73174"/>
        <n v="15730.543008"/>
        <n v="15901.776"/>
        <n v="8120.3796"/>
        <n v="39685.5774"/>
        <n v="10224.354528"/>
        <n v="12199.84272"/>
        <n v="5075.318544"/>
        <n v="21048.241344"/>
        <n v="53008.353552"/>
        <n v="30095.376828"/>
        <n v="41168.592"/>
        <n v="4053.777408"/>
        <n v="5492.5776"/>
        <n v="1009.206432"/>
        <n v="22967.513088"/>
        <n v="17360.341248"/>
        <n v="596.38392"/>
        <n v="14509.42848"/>
        <n v="16659.12192"/>
        <n v="8078.92008"/>
        <n v="5136.814368"/>
        <n v="8608.001136"/>
        <n v="7365.3624"/>
        <n v="2161.68912"/>
        <n v="48675.9861"/>
        <n v="4588.338192"/>
        <n v="27211.575132"/>
        <n v="445.032"/>
        <n v="30157.3872"/>
        <n v="82398.6891"/>
        <n v="14448.772224"/>
        <n v="10826.82"/>
        <n v="14091.44436"/>
        <n v="62121.818304"/>
        <n v="6870.77952"/>
        <n v="10039.224"/>
        <n v="17892.73152"/>
        <n v="9754.2225"/>
        <n v="3739.452"/>
        <n v="5291.420256"/>
        <n v="7154.5707"/>
        <n v="40725.771312"/>
        <n v="8959.56768"/>
        <n v="1275.10824"/>
        <n v="47772.3936"/>
        <n v="6548.91804"/>
        <n v="8485.959768"/>
        <n v="16627.828932"/>
        <n v="35010.043236"/>
        <n v="3283.524216"/>
        <n v="2492.952"/>
        <n v="12312.072192"/>
        <n v="21604.617216"/>
        <n v="11107.368"/>
        <n v="98569.60776"/>
        <n v="22200.832224"/>
        <n v="12556.966032"/>
        <n v="12943.585728"/>
        <n v="-1015.616448"/>
        <n v="30208.834656"/>
        <n v="49703.4291"/>
        <n v="1236.90888"/>
        <n v="2826.253584"/>
        <n v="36275.993856"/>
        <n v="12832.661856"/>
        <n v="60108.477"/>
        <n v="39245.26368"/>
        <n v="16780.503276"/>
        <n v="6115.774896"/>
        <n v="39620.904"/>
        <n v="48571.21584"/>
        <n v="15323.265216"/>
        <n v="319.413864"/>
      </sharedItems>
    </cacheField>
    <cacheField name="What if Profit " numFmtId="179">
      <sharedItems containsSemiMixedTypes="0" containsString="0" containsNumber="1" minValue="-95034.2232" maxValue="70296.4308" count="631">
        <n v="2371.43376"/>
        <n v="-24837.685212"/>
        <n v="-24573.852576"/>
        <n v="-1621.149552"/>
        <n v="1918.8078"/>
        <n v="228.633168"/>
        <n v="117.122112"/>
        <n v="6931.540008"/>
        <n v="16157.766432"/>
        <n v="-1238.583672"/>
        <n v="-12632.7"/>
        <n v="1386.5388"/>
        <n v="12581.109"/>
        <n v="-3831.9624"/>
        <n v="-887.17356"/>
        <n v="-3293.23344"/>
        <n v="15380.067648"/>
        <n v="19182.078072"/>
        <n v="20498.948304"/>
        <n v="14102.868864"/>
        <n v="9187.964448"/>
        <n v="3036.7284"/>
        <n v="10198.79616"/>
        <n v="14165.328672"/>
        <n v="2080.536672"/>
        <n v="484.608"/>
        <n v="-2321.0982"/>
        <n v="2096.955"/>
        <n v="9518.804064"/>
        <n v="140.487456000003"/>
        <n v="3942.504384"/>
        <n v="3496.134336"/>
        <n v="6956.646"/>
        <n v="15006.2976"/>
        <n v="-1157.768628"/>
        <n v="-3811.566132"/>
        <n v="6034.807104"/>
        <n v="2437.8666"/>
        <n v="374.882256"/>
        <n v="11173.548564"/>
        <n v="2683.152"/>
        <n v="13396.7064"/>
        <n v="5460.400704"/>
        <n v="1010.538672"/>
        <n v="7069.97928"/>
        <n v="2503.449"/>
        <n v="70296.4308"/>
        <n v="14283.890784"/>
        <n v="1757.273232"/>
        <n v="2880.8256"/>
        <n v="-39.8975999999999"/>
        <n v="-4095.522"/>
        <n v="-639.082703999999"/>
        <n v="-109.55952"/>
        <n v="-6860.148816"/>
        <n v="18064.19274"/>
        <n v="1919.23536"/>
        <n v="-95034.2232"/>
        <n v="-354.131039999999"/>
        <n v="7951.94616"/>
        <n v="8896.20048000001"/>
        <n v="3977.1138"/>
        <n v="964.848600000012"/>
        <n v="4047.9312"/>
        <n v="-8793.87256799999"/>
        <n v="-4677.89568"/>
        <n v="5056.06842"/>
        <n v="-1880.029872"/>
        <n v="4628.778"/>
        <n v="1467.24804"/>
        <n v="3296.727936"/>
        <n v="-8086.96494"/>
        <n v="-6575.789736"/>
        <n v="-267.731999999999"/>
        <n v="273.697032000001"/>
        <n v="17455.51236"/>
        <n v="13564.172976"/>
        <n v="2802.024"/>
        <n v="1204.670376"/>
        <n v="21758.77236"/>
        <n v="-4230.974016"/>
        <n v="2870.93052"/>
        <n v="148.7061"/>
        <n v="-221.013623999999"/>
        <n v="-2230.44756"/>
        <n v="-1820.94672"/>
        <n v="-504.37548"/>
        <n v="6261.64968"/>
        <n v="134.946048"/>
        <n v="3312.90372"/>
        <n v="5220.0846"/>
        <n v="3317.489088"/>
        <n v="11015.475744"/>
        <n v="-1773.37152"/>
        <n v="24904.623744"/>
        <n v="-25.954128"/>
        <n v="10486.3248"/>
        <n v="-4180.035552"/>
        <n v="2591.5788"/>
        <n v="33935.5428"/>
        <n v="-1931.40288"/>
        <n v="8076.0792"/>
        <n v="2721.3588"/>
        <n v="5104.42182"/>
        <n v="-4109.9256"/>
        <n v="-69.2017559999999"/>
        <n v="9566.501328"/>
        <n v="858.948"/>
        <n v="-148.75428"/>
        <n v="12710.4228"/>
        <n v="8331.940584"/>
        <n v="-24.944328"/>
        <n v="384.054"/>
        <n v="-1134.0432"/>
        <n v="13159.284864"/>
        <n v="-844.53246"/>
        <n v="33961.43292"/>
        <n v="2236.51296"/>
        <n v="151.620588"/>
        <n v="21988.807668"/>
        <n v="11466.058356"/>
        <n v="-3834.946944"/>
        <n v="-2072.34048"/>
        <n v="520.293408"/>
        <n v="-7677.045936"/>
        <n v="22320.722568"/>
        <n v="-301.475076"/>
        <n v="1210.97484"/>
        <n v="9013.901616"/>
        <n v="4663.588896"/>
        <n v="-3137.920896"/>
        <n v="-10777.42848"/>
        <n v="828.513696"/>
        <n v="-10662.781584"/>
        <n v="13329.337632"/>
        <n v="-54.8053920000015"/>
        <n v="-987.669"/>
        <n v="6140.59670400001"/>
        <n v="-335.1882"/>
        <n v="15996.693504"/>
        <n v="3621.48084"/>
        <n v="-1535.724168"/>
        <n v="1813.30758"/>
        <n v="8439.788448"/>
        <n v="6798.955296"/>
        <n v="-3105.80532"/>
        <n v="2781.6936"/>
        <n v="4852.3218"/>
        <n v="18777.486528"/>
        <n v="-7372.300608"/>
        <n v="998.4222"/>
        <n v="-4120.26984"/>
        <n v="15080.541696"/>
        <n v="1241.73048"/>
        <n v="-755.529983999998"/>
        <n v="4116.78564"/>
        <n v="10414.782"/>
        <n v="5704.118208"/>
        <n v="11538.184224"/>
        <n v="5771.0958"/>
        <n v="1183.96428"/>
        <n v="-99.3268079999989"/>
        <n v="5869.7736"/>
        <n v="4082.81088"/>
        <n v="27787.625184"/>
        <n v="-3548.86596"/>
        <n v="-3426.5538"/>
        <n v="680.759280000002"/>
        <n v="406.94964"/>
        <n v="-150.633599999998"/>
        <n v="4879.92852"/>
        <n v="21.88848"/>
        <n v="11705.93712"/>
        <n v="346.137216"/>
        <n v="37861.6572"/>
        <n v="7065.892872"/>
        <n v="-317.466708"/>
        <n v="4107.08952"/>
        <n v="-1022.004984"/>
        <n v="-7.968192"/>
        <n v="18362.65944"/>
        <n v="3937.8762"/>
        <n v="2801.166396"/>
        <n v="-781.558307999996"/>
        <n v="305.4456"/>
        <n v="873.888552000001"/>
        <n v="-11431.3047"/>
        <n v="7901.383392"/>
        <n v="-84.3427199999999"/>
        <n v="-2604.55458"/>
        <n v="4351.62"/>
        <n v="-10385.190144"/>
        <n v="-2885.183424"/>
        <n v="578.858112"/>
        <n v="1277.840592"/>
        <n v="-6978.44424"/>
        <n v="3606.480528"/>
        <n v="-1021.153896"/>
        <n v="21505.1955"/>
        <n v="-2749.355784"/>
        <n v="-1188.528"/>
        <n v="9177.8076"/>
        <n v="7518.172296"/>
        <n v="13834.28016"/>
        <n v="13469.633232"/>
        <n v="1024.11264"/>
        <n v="15577.125408"/>
        <n v="39.9190439999958"/>
        <n v="4789.17864"/>
        <n v="8065.968984"/>
        <n v="260.55864"/>
        <n v="-1274.180832"/>
        <n v="11117.4066"/>
        <n v="2991.877632"/>
        <n v="-832.224240000001"/>
        <n v="-1200.240972"/>
        <n v="1012.481664"/>
        <n v="816.737376"/>
        <n v="12698.0772"/>
        <n v="7280.28972"/>
        <n v="85.1424000000001"/>
        <n v="2076.39168"/>
        <n v="40678.95744"/>
        <n v="-3956.7726"/>
        <n v="10978.4454"/>
        <n v="12312.529164"/>
        <n v="-203.569199999998"/>
        <n v="3187.686372"/>
        <n v="-5196.75492"/>
        <n v="-405.429504"/>
        <n v="3170.335476"/>
        <n v="728.686320000001"/>
        <n v="2019.506112"/>
        <n v="-951.007679999997"/>
        <n v="-1372.21344"/>
        <n v="98.9493120000036"/>
        <n v="52236.956184"/>
        <n v="-1629.729"/>
        <n v="815.37576"/>
        <n v="1070.022144"/>
        <n v="1485.80592"/>
        <n v="3679.899168"/>
        <n v="102.325248"/>
        <n v="-7680.552"/>
        <n v="1408.429104"/>
        <n v="750.045600000002"/>
        <n v="228.242016"/>
        <n v="-123.6576"/>
        <n v="784.915392000001"/>
        <n v="5679.64152"/>
        <n v="4989.77712"/>
        <n v="-3835.90199999999"/>
        <n v="12939.440256"/>
        <n v="3821.685192"/>
        <n v="15145.76772"/>
        <n v="4627.04238"/>
        <n v="19.3734719999997"/>
        <n v="1773.6072"/>
        <n v="-6725.19936"/>
        <n v="8911.01692800001"/>
        <n v="7341.82176"/>
        <n v="1779.52512"/>
        <n v="-105.132816"/>
        <n v="1908.703944"/>
        <n v="-13213.973112"/>
        <n v="17527.867992"/>
        <n v="7095.898656"/>
        <n v="-1835.6268"/>
        <n v="-722.146319999999"/>
        <n v="653.071200000002"/>
        <n v="1349.568768"/>
        <n v="1932.82118400001"/>
        <n v="5570.37119999999"/>
        <n v="5365.97712"/>
        <n v="-1401.9606"/>
        <n v="21581.5872"/>
        <n v="3028.572576"/>
        <n v="14270.361"/>
        <n v="4110.357"/>
        <n v="7303.368024"/>
        <n v="6484.4724"/>
        <n v="40.7700000000002"/>
        <n v="3711.884256"/>
        <n v="1749.65472"/>
        <n v="-584.604719999999"/>
        <n v="-44.259936"/>
        <n v="10786.751856"/>
        <n v="12284.550288"/>
        <n v="-10264.086144"/>
        <n v="9936.123984"/>
        <n v="231.544896"/>
        <n v="5977.99927200001"/>
        <n v="4515.507"/>
        <n v="919.5768"/>
        <n v="11387.267556"/>
        <n v="1321.97406"/>
        <n v="573.625584"/>
        <n v="-60.289488"/>
        <n v="-2725.4832"/>
        <n v="8067.753096"/>
        <n v="3767.690376"/>
        <n v="9080.16384"/>
        <n v="-2607.49992"/>
        <n v="3283.54992"/>
        <n v="1013.105664"/>
        <n v="3663.60480000001"/>
        <n v="145.307136000001"/>
        <n v="1676.61144"/>
        <n v="4056.611832"/>
        <n v="13779.76536"/>
        <n v="-74.08032"/>
        <n v="3781.68696"/>
        <n v="17066.6352"/>
        <n v="263.701032"/>
        <n v="3729.36408"/>
        <n v="2034.591504"/>
        <n v="-1503.0315"/>
        <n v="690.03792"/>
        <n v="-382.593432000008"/>
        <n v="13237.7148"/>
        <n v="-3297.08808"/>
        <n v="22343.800248"/>
        <n v="-599.91984"/>
        <n v="15881.729952"/>
        <n v="966.936384"/>
        <n v="1137.444384"/>
        <n v="857.65158"/>
        <n v="3277.014"/>
        <n v="12460.8726"/>
        <n v="1377.32256"/>
        <n v="2890.096872"/>
        <n v="2786.004"/>
        <n v="-1444.32012"/>
        <n v="2506.5207"/>
        <n v="7012.922952"/>
        <n v="14246.482272"/>
        <n v="14369.96232"/>
        <n v="-2669.02668"/>
        <n v="9532.3704"/>
        <n v="13405.752"/>
        <n v="423.324"/>
        <n v="11831.9322"/>
        <n v="687.042000000001"/>
        <n v="1779.074136"/>
        <n v="6043.7946"/>
        <n v="36341.703012"/>
        <n v="1038.942"/>
        <n v="11998.644096"/>
        <n v="6545.58912"/>
        <n v="292.562424000001"/>
        <n v="-838.543427999999"/>
        <n v="6786.839976"/>
        <n v="7739.62560000001"/>
        <n v="582.67752"/>
        <n v="8781.120936"/>
        <n v="22806.5112"/>
        <n v="15360.34428"/>
        <n v="-426.149999999999"/>
        <n v="5824.312104"/>
        <n v="10689.60096"/>
        <n v="-4044.768312"/>
        <n v="44907.550224"/>
        <n v="-3729.2184"/>
        <n v="-623.827151999999"/>
        <n v="-315.745776000001"/>
        <n v="9158.00870400001"/>
        <n v="10642.23576"/>
        <n v="7712.5392"/>
        <n v="-155.74368"/>
        <n v="879.931296"/>
        <n v="1812.1818"/>
        <n v="15872.480688"/>
        <n v="-1865.698728"/>
        <n v="12927.4992"/>
        <n v="-289.47681599999"/>
        <n v="14991.219672"/>
        <n v="1512.47712"/>
        <n v="3717.182952"/>
        <n v="19039.278096"/>
        <n v="548.601599999998"/>
        <n v="-650.34648"/>
        <n v="945.537600000003"/>
        <n v="-7582.03979999999"/>
        <n v="-5074.113024"/>
        <n v="-23198.24364"/>
        <n v="3552.386112"/>
        <n v="1239.74844"/>
        <n v="-6984.384108"/>
        <n v="211.974576"/>
        <n v="-3210.582804"/>
        <n v="1443.3522"/>
        <n v="12645.066"/>
        <n v="-511.099200000001"/>
        <n v="9459.961152"/>
        <n v="180.694104000002"/>
        <n v="28836.44136"/>
        <n v="-5840.479608"/>
        <n v="6781.5816"/>
        <n v="983.211264"/>
        <n v="-341.9052"/>
        <n v="-1392.75624"/>
        <n v="-2195.121792"/>
        <n v="2840.15868"/>
        <n v="-4044.31668"/>
        <n v="5244.798888"/>
        <n v="647.483760000008"/>
        <n v="-9855.546048"/>
        <n v="-1604.861808"/>
        <n v="4969.044"/>
        <n v="1242.381984"/>
        <n v="-1794.502248"/>
        <n v="560.38992"/>
        <n v="7799.687028"/>
        <n v="18791.772648"/>
        <n v="9655.08768"/>
        <n v="-5728.55136"/>
        <n v="171.639599999999"/>
        <n v="222.440832"/>
        <n v="959.092920000001"/>
        <n v="2223.07608"/>
        <n v="2002.10652"/>
        <n v="46428.662448"/>
        <n v="-13759.914816"/>
        <n v="20763.901152"/>
        <n v="7011.88224"/>
        <n v="-313.739999999995"/>
        <n v="-2902.2732"/>
        <n v="1012.0032"/>
        <n v="18366.2568"/>
        <n v="6441.4185"/>
        <n v="34855.2162"/>
        <n v="-2148.6732"/>
        <n v="6120.252768"/>
        <n v="-920.411856"/>
        <n v="650.232"/>
        <n v="2825.843064"/>
        <n v="2944.460568"/>
        <n v="614.987136000002"/>
        <n v="434.824128"/>
        <n v="9936.5706"/>
        <n v="1488.513936"/>
        <n v="17139.631212"/>
        <n v="3175.885056"/>
        <n v="9820.9818"/>
        <n v="946.532064"/>
        <n v="4821.653184"/>
        <n v="370.875000000001"/>
        <n v="16394.050032"/>
        <n v="-3790.638"/>
        <n v="5807.25726"/>
        <n v="11505.9444"/>
        <n v="13509.579744"/>
        <n v="3883.6437"/>
        <n v="10909.69902"/>
        <n v="5043.458496"/>
        <n v="7138.9332"/>
        <n v="-2402.845056"/>
        <n v="4107.9528"/>
        <n v="6509.0064"/>
        <n v="240.784272"/>
        <n v="156.931488"/>
        <n v="-226.682879999999"/>
        <n v="223.89432"/>
        <n v="669.7224"/>
        <n v="27229.39152"/>
        <n v="1257.50124"/>
        <n v="3510.131268"/>
        <n v="6074.514"/>
        <n v="3934.373376"/>
        <n v="5359.583232"/>
        <n v="18960.554712"/>
        <n v="7729.19424"/>
        <n v="3083.081184"/>
        <n v="8089.8318"/>
        <n v="11669.706048"/>
        <n v="-243.08772"/>
        <n v="-4070.56608"/>
        <n v="20185.969608"/>
        <n v="1933.63236"/>
        <n v="21669.706752"/>
        <n v="2405.07432"/>
        <n v="16761.5244"/>
        <n v="827.910072"/>
        <n v="2833.56918"/>
        <n v="-895.243535999999"/>
        <n v="1822.184232"/>
        <n v="13758.858"/>
        <n v="388.007472"/>
        <n v="3442.24848"/>
        <n v="565.002"/>
        <n v="3890.178"/>
        <n v="-4593.704412"/>
        <n v="58.48704"/>
        <n v="2038.809744"/>
        <n v="2211.590976"/>
        <n v="15421.213152"/>
        <n v="-11919.024936"/>
        <n v="4750.82112"/>
        <n v="8035.060488"/>
        <n v="9967.097448"/>
        <n v="-8098.49292"/>
        <n v="5603.756928"/>
        <n v="2546.71794"/>
        <n v="-151.519679999998"/>
        <n v="18084.790824"/>
        <n v="5737.99128"/>
        <n v="7361.65656"/>
        <n v="1572.53328"/>
        <n v="3723.38532"/>
        <n v="-949.892328"/>
        <n v="504.495072000001"/>
        <n v="-2920.30991999999"/>
        <n v="679.08732"/>
        <n v="18288.2106"/>
        <n v="3338.5308"/>
        <n v="2455.530876"/>
        <n v="479.395104"/>
        <n v="2778.682536"/>
        <n v="-330.921216"/>
        <n v="82.8734399999996"/>
        <n v="36208.854"/>
        <n v="3278.0934"/>
        <n v="8720.01108"/>
        <n v="1863.54432"/>
        <n v="2792.7003"/>
        <n v="-52.0367399999999"/>
        <n v="1731.0384"/>
        <n v="5177.81066400001"/>
        <n v="20790.288"/>
        <n v="-525.044808"/>
        <n v="-65.2532399999999"/>
        <n v="-97.6218479999999"/>
        <n v="4975.01136"/>
        <n v="19150.64928"/>
        <n v="6170.12496"/>
        <n v="124.196688"/>
        <n v="23717.053584"/>
        <n v="11836.31292"/>
        <n v="29090.489088"/>
        <n v="-2789.3916"/>
        <n v="11339.0088"/>
        <n v="6527.101824"/>
        <n v="-2136.706992"/>
        <n v="8045.625"/>
        <n v="-1455.483456"/>
        <n v="2139.705144"/>
        <n v="4295.824704"/>
        <n v="2968.028316"/>
        <n v="1483.6752"/>
        <n v="14178.6774"/>
        <n v="900.969696"/>
        <n v="4817.789064"/>
        <n v="2020.53984"/>
        <n v="-224.023103999994"/>
        <n v="18931.1148"/>
        <n v="19889.2368"/>
        <n v="27735.173064"/>
        <n v="3793.36014"/>
        <n v="5081.386608"/>
        <n v="-11778.264"/>
        <n v="-1125.4824"/>
        <n v="8326.9818"/>
        <n v="4668.060528"/>
        <n v="65.2957200000012"/>
        <n v="2175.441744"/>
        <n v="-1081.107456"/>
        <n v="15867.792552"/>
        <n v="12719.024028"/>
        <n v="17867.844"/>
        <n v="1753.593408"/>
        <n v="873.924600000001"/>
        <n v="384.383832"/>
        <n v="3342.367488"/>
        <n v="-2723.764752"/>
        <n v="34.1029200000001"/>
        <n v="47.1664800000021"/>
        <n v="6252.07272"/>
        <n v="821.555280000002"/>
        <n v="1958.094768"/>
        <n v="-539.756663999999"/>
        <n v="3803.3064"/>
        <n v="602.73072"/>
        <n v="9026.4195"/>
        <n v="1037.818992"/>
        <n v="6363.073332"/>
        <n v="178.002"/>
        <n v="2937.6048"/>
        <n v="35232.7041"/>
        <n v="5943.059424"/>
        <n v="-5537.358"/>
        <n v="348.714360000002"/>
        <n v="25670.967504"/>
        <n v="-1771.60848"/>
        <n v="4319.4138"/>
        <n v="8535.13092"/>
        <n v="1933.2795"/>
        <n v="1676.214"/>
        <n v="965.285856000001"/>
        <n v="1451.7207"/>
        <n v="14887.272312"/>
        <n v="-3955.94892"/>
        <n v="126.50664"/>
        <n v="20925.2388"/>
        <n v="2630.24244"/>
        <n v="-3880.620432"/>
        <n v="-1728.130668"/>
        <n v="16798.969836"/>
        <n v="514.388616"/>
        <n v="-384.693"/>
        <n v="177.456191999999"/>
        <n v="7801.829616"/>
        <n v="-592.520399999998"/>
        <n v="51080.63376"/>
        <n v="6540.481824"/>
        <n v="1647.403632"/>
        <n v="6465.976128"/>
        <n v="-28947.313248"/>
        <n v="-3160.641744"/>
        <n v="1240.4511"/>
        <n v="197.64468"/>
        <n v="1196.804784"/>
        <n v="-8079.63494399999"/>
        <n v="861.217056000002"/>
        <n v="23440.1934"/>
        <n v="13181.81088"/>
        <n v="-14815.659324"/>
        <n v="2684.487696"/>
        <n v="14006.0892"/>
        <n v="21942.98424"/>
        <n v="6412.770816"/>
        <n v="-181.55373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">
  <r>
    <s v="ORD-2024-275203"/>
    <d v="2024-03-11T00:00:00"/>
    <d v="2024-04-06T00:00:00"/>
    <x v="0"/>
    <x v="0"/>
    <s v="Kisumu"/>
    <s v="Corporate"/>
    <x v="0"/>
    <x v="0"/>
    <s v="Components"/>
    <x v="0"/>
    <n v="279.24"/>
    <n v="608.9"/>
    <n v="0.112"/>
    <n v="9"/>
    <s v="Valid"/>
    <n v="608.9"/>
    <b v="0"/>
    <n v="0.112"/>
    <n v="26"/>
    <d v="2024-04-06T00:00:00"/>
    <n v="26"/>
    <n v="547396.22879999992"/>
    <n v="5480.0999999999995"/>
    <n v="541916.12879999995"/>
    <n v="0.98998878744193497"/>
    <s v="Mar-2024"/>
    <s v="Q1-2024"/>
    <s v="Africa → Kenya → Kisumu"/>
    <x v="0"/>
    <s v="Medium"/>
    <s v="KENYA"/>
    <d v="2023-01-20T00:00:00"/>
    <x v="0"/>
    <x v="0"/>
  </r>
  <r>
    <s v="ORD-2024-358795"/>
    <d v="2024-10-23T00:00:00"/>
    <d v="2024-10-22T00:00:00"/>
    <x v="0"/>
    <x v="1"/>
    <s v="Port Harcourt"/>
    <s v="Education"/>
    <x v="1"/>
    <x v="1"/>
    <s v="Printers"/>
    <x v="1"/>
    <n v="1084.3900000000001"/>
    <n v="759.33"/>
    <n v="0.23699999999999999"/>
    <n v="31"/>
    <s v="Valid"/>
    <n v="759.33"/>
    <b v="0"/>
    <n v="0.23699999999999999"/>
    <n v="-1"/>
    <d v="2024-10-30T00:00:00"/>
    <n v="7"/>
    <n v="2348344.2024900001"/>
    <n v="23539.23"/>
    <n v="2324804.9724900001"/>
    <n v="0.98997624369756321"/>
    <s v="Oct-2024"/>
    <s v="Q4-2024"/>
    <s v="Africa → Nigeria → Port Harcourt"/>
    <x v="1"/>
    <s v="Medium"/>
    <s v="NIGERIA"/>
    <d v="2023-01-15T00:00:00"/>
    <x v="0"/>
    <x v="1"/>
  </r>
  <r>
    <s v="ORD-2023-373538"/>
    <d v="2023-02-28T00:00:00"/>
    <d v="2023-03-25T00:00:00"/>
    <x v="0"/>
    <x v="0"/>
    <s v="Nairobi"/>
    <s v="Corporate"/>
    <x v="0"/>
    <x v="2"/>
    <s v="Networking"/>
    <x v="2"/>
    <n v="1460.76"/>
    <n v="-30.66"/>
    <n v="0.13100000000000001"/>
    <n v="12"/>
    <b v="0"/>
    <n v="30.66"/>
    <b v="0"/>
    <n v="0.13100000000000001"/>
    <n v="25"/>
    <d v="2023-03-25T00:00:00"/>
    <n v="25"/>
    <n v="36743.802479999998"/>
    <n v="367.92"/>
    <n v="36375.88248"/>
    <n v="0.98998688281648961"/>
    <s v="Feb-2023"/>
    <s v="Q1-2023"/>
    <s v="Africa → Kenya → Nairobi"/>
    <x v="0"/>
    <s v="Low"/>
    <s v="KENYA"/>
    <d v="2023-01-20T00:00:00"/>
    <x v="0"/>
    <x v="2"/>
  </r>
  <r>
    <s v="ORD-2025-168148"/>
    <d v="2025-03-29T00:00:00"/>
    <d v="2025-04-02T00:00:00"/>
    <x v="0"/>
    <x v="1"/>
    <s v="Lagos"/>
    <s v="Non-Profit"/>
    <x v="2"/>
    <x v="3"/>
    <s v="Phones"/>
    <x v="3"/>
    <n v="259.93"/>
    <n v="255.94"/>
    <n v="7.1999999999999995E-2"/>
    <n v="22"/>
    <s v="Valid"/>
    <n v="255.94"/>
    <b v="0"/>
    <n v="7.1999999999999995E-2"/>
    <n v="4"/>
    <d v="2025-04-02T00:00:00"/>
    <n v="4"/>
    <n v="562662.59103999997"/>
    <n v="5630.68"/>
    <n v="557031.91103999992"/>
    <n v="0.98999279481226476"/>
    <s v="Mar-2025"/>
    <s v="Q1-2025"/>
    <s v="Africa → Nigeria → Lagos"/>
    <x v="2"/>
    <s v="High"/>
    <s v="NIGERIA"/>
    <d v="2023-01-15T00:00:00"/>
    <x v="0"/>
    <x v="3"/>
  </r>
  <r>
    <s v="ORD-2023-723587"/>
    <d v="2023-01-02T00:00:00"/>
    <d v="2023-01-05T00:00:00"/>
    <x v="1"/>
    <x v="2"/>
    <s v="Toronto"/>
    <s v="Corporate"/>
    <x v="3"/>
    <x v="4"/>
    <s v="Laptops"/>
    <x v="4"/>
    <n v="315.87"/>
    <n v="591.67999999999995"/>
    <n v="0"/>
    <n v="7"/>
    <s v="Valid"/>
    <n v="591.67999999999995"/>
    <b v="0"/>
    <n v="0"/>
    <n v="3"/>
    <d v="2023-01-05T00:00:00"/>
    <n v="3"/>
    <n v="414175.99999999994"/>
    <n v="4141.7599999999993"/>
    <n v="410034.23999999993"/>
    <n v="0.99"/>
    <s v="Jan-2023"/>
    <s v="Q1-2023"/>
    <s v="Americas → Canada → Toronto"/>
    <x v="2"/>
    <s v="Low"/>
    <s v="CANADA"/>
    <d v="2023-01-02T00:00:00"/>
    <x v="0"/>
    <x v="4"/>
  </r>
  <r>
    <s v="ORD-2024-336584"/>
    <d v="2024-12-27T00:00:00"/>
    <d v="2025-01-14T00:00:00"/>
    <x v="2"/>
    <x v="3"/>
    <s v="Bengaluru"/>
    <s v="Small Business"/>
    <x v="2"/>
    <x v="5"/>
    <s v="Monitors"/>
    <x v="5"/>
    <n v="586.07000000000005"/>
    <n v="845.97"/>
    <n v="0.14699999999999999"/>
    <n v="4"/>
    <s v="Valid"/>
    <n v="845.97"/>
    <b v="0"/>
    <n v="0.14699999999999999"/>
    <n v="18"/>
    <d v="2025-01-14T00:00:00"/>
    <n v="18"/>
    <n v="337890.56964"/>
    <n v="3383.88"/>
    <n v="334506.68964"/>
    <n v="0.98998527835918804"/>
    <s v="Dec-2024"/>
    <s v="Q4-2024"/>
    <s v="Asia → India → Bengaluru"/>
    <x v="1"/>
    <s v="High"/>
    <s v="INDIA"/>
    <d v="2023-01-29T00:00:00"/>
    <x v="0"/>
    <x v="5"/>
  </r>
  <r>
    <s v="ORD-2023-112666"/>
    <d v="2023-01-15T00:00:00"/>
    <d v="2023-01-13T00:00:00"/>
    <x v="0"/>
    <x v="1"/>
    <s v="Abuja"/>
    <s v="Education"/>
    <x v="1"/>
    <x v="6"/>
    <s v="Printers"/>
    <x v="6"/>
    <n v="28.38"/>
    <n v="47.22"/>
    <n v="0.19400000000000001"/>
    <n v="18"/>
    <s v="Valid"/>
    <n v="47.22"/>
    <b v="0"/>
    <n v="0.19400000000000001"/>
    <n v="-2"/>
    <d v="2023-01-22T00:00:00"/>
    <n v="7"/>
    <n v="84831.107759999999"/>
    <n v="849.96"/>
    <n v="83981.147759999993"/>
    <n v="0.98998056229084419"/>
    <s v="Jan-2023"/>
    <s v="Q1-2023"/>
    <s v="Africa → Nigeria → Abuja"/>
    <x v="1"/>
    <s v="Low"/>
    <s v="NIGERIA"/>
    <d v="2023-01-15T00:00:00"/>
    <x v="0"/>
    <x v="4"/>
  </r>
  <r>
    <s v="ORD-2024-589570"/>
    <d v="2024-05-04T00:00:00"/>
    <d v="2024-05-29T00:00:00"/>
    <x v="0"/>
    <x v="1"/>
    <s v="Abuja"/>
    <s v="Non-Profit"/>
    <x v="2"/>
    <x v="6"/>
    <s v="Monitors"/>
    <x v="7"/>
    <n v="1295.3399999999999"/>
    <n v="2530.81"/>
    <n v="3.1E-2"/>
    <n v="6"/>
    <s v="Valid"/>
    <n v="2530.81"/>
    <b v="0"/>
    <n v="3.1E-2"/>
    <n v="25"/>
    <d v="2024-05-29T00:00:00"/>
    <n v="25"/>
    <n v="1518015.2693399999"/>
    <n v="15184.86"/>
    <n v="1502830.4093399998"/>
    <n v="0.98999689903870192"/>
    <s v="May-2024"/>
    <s v="Q2-2024"/>
    <s v="Africa → Nigeria → Abuja"/>
    <x v="1"/>
    <s v="Medium"/>
    <s v="NIGERIA"/>
    <d v="2023-01-15T00:00:00"/>
    <x v="0"/>
    <x v="6"/>
  </r>
  <r>
    <s v="ORD-2025-997421"/>
    <d v="2025-05-21T00:00:00"/>
    <d v="2025-06-09T00:00:00"/>
    <x v="1"/>
    <x v="4"/>
    <s v="São Paulo"/>
    <s v="Non-Profit"/>
    <x v="1"/>
    <x v="7"/>
    <s v="Components"/>
    <x v="8"/>
    <n v="1331.38"/>
    <n v="2309.56"/>
    <n v="0.14899999999999999"/>
    <n v="31"/>
    <s v="Valid"/>
    <n v="2309.56"/>
    <b v="0"/>
    <n v="0.14899999999999999"/>
    <n v="19"/>
    <d v="2025-06-09T00:00:00"/>
    <n v="19"/>
    <n v="7148968.1423599999"/>
    <n v="71596.36"/>
    <n v="7077371.7823599996"/>
    <n v="0.98998507776587108"/>
    <s v="May-2025"/>
    <s v="Q2-2025"/>
    <s v="Americas → Brazil → São Paulo"/>
    <x v="0"/>
    <s v="High"/>
    <s v="BRAZIL"/>
    <d v="2023-01-29T00:00:00"/>
    <x v="0"/>
    <x v="7"/>
  </r>
  <r>
    <s v="ORD-2024-210687"/>
    <d v="2024-01-28T00:00:00"/>
    <d v="2024-02-09T00:00:00"/>
    <x v="3"/>
    <x v="5"/>
    <s v="Berlin"/>
    <s v="Corporate"/>
    <x v="1"/>
    <x v="3"/>
    <s v="Accessories"/>
    <x v="9"/>
    <n v="644.16999999999996"/>
    <n v="700.12"/>
    <n v="6.0000000000000001E-3"/>
    <n v="23"/>
    <s v="Valid"/>
    <n v="700.12"/>
    <b v="0"/>
    <n v="6.0000000000000001E-3"/>
    <n v="12"/>
    <d v="2024-02-09T00:00:00"/>
    <n v="12"/>
    <n v="1610179.38344"/>
    <n v="16102.76"/>
    <n v="1594076.62344"/>
    <n v="0.98999939996399788"/>
    <s v="Jan-2024"/>
    <s v="Q1-2024"/>
    <s v="Europe → Germany → Berlin"/>
    <x v="0"/>
    <s v="Medium"/>
    <s v="GERMANY"/>
    <d v="2023-01-22T00:00:00"/>
    <x v="0"/>
    <x v="8"/>
  </r>
  <r>
    <s v="ORD-2025-515515"/>
    <d v="2025-01-03T00:00:00"/>
    <d v="2025-01-23T00:00:00"/>
    <x v="2"/>
    <x v="6"/>
    <s v="Osaka"/>
    <s v="Corporate"/>
    <x v="3"/>
    <x v="8"/>
    <s v="Phones"/>
    <x v="10"/>
    <n v="908.6"/>
    <n v="691.37"/>
    <n v="0.25"/>
    <n v="20"/>
    <s v="Valid"/>
    <n v="691.37"/>
    <b v="0"/>
    <n v="0.25"/>
    <n v="20"/>
    <d v="2025-01-23T00:00:00"/>
    <n v="20"/>
    <n v="1379283.15"/>
    <n v="13827.4"/>
    <n v="1365455.75"/>
    <n v="0.98997493734335851"/>
    <s v="Jan-2025"/>
    <s v="Q1-2025"/>
    <s v="Asia → Japan → Osaka"/>
    <x v="2"/>
    <s v="High"/>
    <s v="JAPAN"/>
    <d v="2023-03-03T00:00:00"/>
    <x v="1"/>
    <x v="9"/>
  </r>
  <r>
    <s v="ORD-2025-487261"/>
    <d v="2025-03-06T00:00:00"/>
    <d v="2025-03-31T00:00:00"/>
    <x v="1"/>
    <x v="4"/>
    <s v="Brasília"/>
    <s v="Non-Profit"/>
    <x v="1"/>
    <x v="1"/>
    <s v="Components"/>
    <x v="11"/>
    <n v="331.57"/>
    <n v="548.4"/>
    <n v="9.4E-2"/>
    <n v="10"/>
    <s v="Valid"/>
    <n v="548.4"/>
    <b v="0"/>
    <n v="9.4E-2"/>
    <n v="25"/>
    <d v="2025-03-31T00:00:00"/>
    <n v="25"/>
    <n v="547884.50400000007"/>
    <n v="5484"/>
    <n v="542400.50400000007"/>
    <n v="0.98999059115568633"/>
    <s v="Mar-2025"/>
    <s v="Q1-2025"/>
    <s v="Americas → Brazil → Brasília"/>
    <x v="0"/>
    <s v="High"/>
    <s v="BRAZIL"/>
    <d v="2023-01-29T00:00:00"/>
    <x v="0"/>
    <x v="3"/>
  </r>
  <r>
    <s v="ORD-2024-890180"/>
    <d v="2024-01-20T00:00:00"/>
    <d v="2024-02-13T00:00:00"/>
    <x v="3"/>
    <x v="7"/>
    <s v="Marseille"/>
    <s v="Corporate"/>
    <x v="0"/>
    <x v="9"/>
    <s v="Printers"/>
    <x v="12"/>
    <n v="643.53"/>
    <n v="1439.01"/>
    <n v="0"/>
    <n v="15"/>
    <s v="Valid"/>
    <n v="1439.01"/>
    <b v="0"/>
    <n v="0"/>
    <n v="24"/>
    <d v="2024-02-13T00:00:00"/>
    <n v="24"/>
    <n v="2158515"/>
    <n v="21585.15"/>
    <n v="2136929.85"/>
    <n v="0.99"/>
    <s v="Jan-2024"/>
    <s v="Q1-2024"/>
    <s v="Europe → France → Marseille"/>
    <x v="1"/>
    <s v="Medium"/>
    <s v="FRANCE"/>
    <d v="2023-01-10T00:00:00"/>
    <x v="0"/>
    <x v="8"/>
  </r>
  <r>
    <s v="ORD-2025-840976"/>
    <d v="2025-09-01T00:00:00"/>
    <d v="2025-09-30T00:00:00"/>
    <x v="1"/>
    <x v="4"/>
    <s v="Brasília"/>
    <s v="Education"/>
    <x v="0"/>
    <x v="10"/>
    <s v="Accessories"/>
    <x v="13"/>
    <n v="780.59"/>
    <n v="631.57000000000005"/>
    <n v="0"/>
    <n v="12"/>
    <s v="Valid"/>
    <n v="631.57000000000005"/>
    <b v="0"/>
    <n v="0"/>
    <n v="29"/>
    <d v="2025-09-30T00:00:00"/>
    <n v="29"/>
    <n v="757884"/>
    <n v="7578.84"/>
    <n v="750305.16"/>
    <n v="0.99"/>
    <s v="Sep-2025"/>
    <s v="Q3-2025"/>
    <s v="Americas → Brazil → Brasília"/>
    <x v="0"/>
    <s v="High"/>
    <s v="BRAZIL"/>
    <d v="2023-01-29T00:00:00"/>
    <x v="0"/>
    <x v="10"/>
  </r>
  <r>
    <s v="ORD-2023-937291"/>
    <d v="2023-04-23T00:00:00"/>
    <d v="2023-04-22T00:00:00"/>
    <x v="0"/>
    <x v="0"/>
    <s v="Nairobi"/>
    <s v="Small Business"/>
    <x v="4"/>
    <x v="5"/>
    <s v="Laptops"/>
    <x v="14"/>
    <n v="756.51"/>
    <n v="850.8"/>
    <n v="7.3999999999999996E-2"/>
    <n v="9"/>
    <s v="Valid"/>
    <n v="850.8"/>
    <b v="0"/>
    <n v="7.3999999999999996E-2"/>
    <n v="-1"/>
    <d v="2023-04-30T00:00:00"/>
    <n v="7"/>
    <n v="765153.36719999998"/>
    <n v="7657.2"/>
    <n v="757496.16720000003"/>
    <n v="0.98999259451994481"/>
    <s v="Apr-2023"/>
    <s v="Q2-2023"/>
    <s v="Africa → Kenya → Nairobi"/>
    <x v="2"/>
    <s v="Low"/>
    <s v="KENYA"/>
    <d v="2023-01-20T00:00:00"/>
    <x v="0"/>
    <x v="11"/>
  </r>
  <r>
    <s v="ORD-2024-206081"/>
    <d v="2024-12-10T00:00:00"/>
    <d v="2025-01-08T00:00:00"/>
    <x v="3"/>
    <x v="7"/>
    <s v="Marseille"/>
    <s v="Small Business"/>
    <x v="0"/>
    <x v="10"/>
    <s v="Printers"/>
    <x v="15"/>
    <n v="891.08"/>
    <n v="1040.0999999999999"/>
    <n v="0.109"/>
    <n v="28"/>
    <s v="Valid"/>
    <n v="1040.0999999999999"/>
    <b v="0"/>
    <n v="0.109"/>
    <n v="29"/>
    <d v="2025-01-08T00:00:00"/>
    <n v="29"/>
    <n v="2909105.6147999996"/>
    <n v="29122.799999999996"/>
    <n v="2879982.8147999998"/>
    <n v="0.98998908810603559"/>
    <s v="Dec-2024"/>
    <s v="Q4-2024"/>
    <s v="Europe → France → Marseille"/>
    <x v="1"/>
    <s v="High"/>
    <s v="FRANCE"/>
    <d v="2023-01-10T00:00:00"/>
    <x v="0"/>
    <x v="5"/>
  </r>
  <r>
    <s v="ORD-2025-233883"/>
    <d v="2025-09-08T00:00:00"/>
    <d v="2025-09-16T00:00:00"/>
    <x v="2"/>
    <x v="6"/>
    <s v="Osaka"/>
    <s v="Corporate"/>
    <x v="3"/>
    <x v="0"/>
    <s v="Phones"/>
    <x v="16"/>
    <n v="1225.57"/>
    <n v="2705.57"/>
    <n v="0.183"/>
    <n v="16"/>
    <s v="Valid"/>
    <n v="2705.57"/>
    <b v="0"/>
    <n v="0.183"/>
    <n v="8"/>
    <d v="2025-09-16T00:00:00"/>
    <n v="8"/>
    <n v="4320990.0910400003"/>
    <n v="43289.120000000003"/>
    <n v="4277700.9710400002"/>
    <n v="0.98998166644960273"/>
    <s v="Sep-2025"/>
    <s v="Q3-2025"/>
    <s v="Asia → Japan → Osaka"/>
    <x v="2"/>
    <s v="High"/>
    <s v="JAPAN"/>
    <d v="2023-03-03T00:00:00"/>
    <x v="1"/>
    <x v="10"/>
  </r>
  <r>
    <s v="ORD-2025-843974"/>
    <d v="2025-07-20T00:00:00"/>
    <d v="2025-08-05T00:00:00"/>
    <x v="1"/>
    <x v="4"/>
    <s v="Brasília"/>
    <s v="Enterprise"/>
    <x v="2"/>
    <x v="3"/>
    <s v="Accessories"/>
    <x v="17"/>
    <n v="1068.17"/>
    <n v="2375.37"/>
    <n v="0.109"/>
    <n v="18"/>
    <s v="Valid"/>
    <n v="2375.37"/>
    <b v="0"/>
    <n v="0.109"/>
    <n v="16"/>
    <d v="2025-08-05T00:00:00"/>
    <n v="16"/>
    <n v="4271005.5240599997"/>
    <n v="42756.659999999996"/>
    <n v="4228248.8640599996"/>
    <n v="0.98998908810603559"/>
    <s v="Jul-2025"/>
    <s v="Q3-2025"/>
    <s v="Americas → Brazil → Brasília"/>
    <x v="0"/>
    <s v="High"/>
    <s v="BRAZIL"/>
    <d v="2023-01-29T00:00:00"/>
    <x v="0"/>
    <x v="12"/>
  </r>
  <r>
    <s v="ORD-2025-745263"/>
    <d v="2025-05-21T00:00:00"/>
    <d v="2025-05-19T00:00:00"/>
    <x v="3"/>
    <x v="8"/>
    <s v="Birmingham"/>
    <s v="Enterprise"/>
    <x v="1"/>
    <x v="11"/>
    <s v="Laptops"/>
    <x v="18"/>
    <n v="1015.16"/>
    <n v="2148.14"/>
    <n v="3.7999999999999999E-2"/>
    <n v="19"/>
    <s v="Valid"/>
    <n v="2148.14"/>
    <b v="0"/>
    <n v="3.7999999999999999E-2"/>
    <n v="-2"/>
    <d v="2025-05-28T00:00:00"/>
    <n v="7"/>
    <n v="4079915.0429199999"/>
    <n v="40814.659999999996"/>
    <n v="4039100.3829199998"/>
    <n v="0.98999619855545107"/>
    <s v="May-2025"/>
    <s v="Q2-2025"/>
    <s v="Europe → United Kingdom → Birmingham"/>
    <x v="2"/>
    <s v="High"/>
    <s v="UNITED KINGDOM"/>
    <d v="2023-01-19T00:00:00"/>
    <x v="0"/>
    <x v="7"/>
  </r>
  <r>
    <s v="ORD-2024-798002"/>
    <d v="2024-07-25T00:00:00"/>
    <d v="2024-07-24T00:00:00"/>
    <x v="0"/>
    <x v="0"/>
    <s v="Mombasa"/>
    <s v="Non-Profit"/>
    <x v="4"/>
    <x v="1"/>
    <s v="Laptops"/>
    <x v="19"/>
    <n v="1494.4"/>
    <n v="3661.07"/>
    <n v="7.1999999999999995E-2"/>
    <n v="7"/>
    <s v="Valid"/>
    <n v="3661.07"/>
    <b v="0"/>
    <n v="7.1999999999999995E-2"/>
    <n v="-1"/>
    <d v="2024-08-01T00:00:00"/>
    <n v="7"/>
    <n v="2560903.8207200002"/>
    <n v="25627.49"/>
    <n v="2535276.33072"/>
    <n v="0.98999279481226476"/>
    <s v="Jul-2024"/>
    <s v="Q3-2024"/>
    <s v="Africa → Kenya → Mombasa"/>
    <x v="2"/>
    <s v="Medium"/>
    <s v="KENYA"/>
    <d v="2023-01-20T00:00:00"/>
    <x v="0"/>
    <x v="13"/>
  </r>
  <r>
    <s v="ORD-2023-867836"/>
    <d v="2023-05-11T00:00:00"/>
    <d v="2023-05-28T00:00:00"/>
    <x v="2"/>
    <x v="9"/>
    <s v="Shenzhen"/>
    <s v="Enterprise"/>
    <x v="2"/>
    <x v="5"/>
    <s v="Networking"/>
    <x v="20"/>
    <n v="1331.19"/>
    <n v="2903.09"/>
    <n v="0.14299999999999999"/>
    <n v="8"/>
    <s v="Valid"/>
    <n v="2903.09"/>
    <b v="0"/>
    <n v="0.14299999999999999"/>
    <n v="17"/>
    <d v="2023-05-28T00:00:00"/>
    <n v="17"/>
    <n v="2319150.8650400001"/>
    <n v="23224.720000000001"/>
    <n v="2295926.1450399999"/>
    <n v="0.98998567952171601"/>
    <s v="May-2023"/>
    <s v="Q2-2023"/>
    <s v="Asia → China → Shenzhen"/>
    <x v="0"/>
    <s v="Low"/>
    <s v="CHINA"/>
    <d v="2023-01-12T00:00:00"/>
    <x v="0"/>
    <x v="14"/>
  </r>
  <r>
    <s v="ORD-2025-580047"/>
    <d v="2025-06-14T00:00:00"/>
    <d v="2025-06-29T00:00:00"/>
    <x v="0"/>
    <x v="1"/>
    <s v="Port Harcourt"/>
    <s v="Consumer"/>
    <x v="2"/>
    <x v="11"/>
    <s v="Accessories"/>
    <x v="21"/>
    <n v="730.99"/>
    <n v="1242.8399999999999"/>
    <n v="0.12"/>
    <n v="10"/>
    <s v="Valid"/>
    <n v="1242.8399999999999"/>
    <b v="0"/>
    <n v="0.12"/>
    <n v="15"/>
    <d v="2025-06-29T00:00:00"/>
    <n v="15"/>
    <n v="1241348.5919999999"/>
    <n v="12428.4"/>
    <n v="1228920.192"/>
    <n v="0.98998798558269929"/>
    <s v="Jun-2025"/>
    <s v="Q2-2025"/>
    <s v="Africa → Nigeria → Port Harcourt"/>
    <x v="0"/>
    <s v="High"/>
    <s v="NIGERIA"/>
    <d v="2023-01-15T00:00:00"/>
    <x v="0"/>
    <x v="15"/>
  </r>
  <r>
    <s v="ORD-2024-500109"/>
    <d v="2024-05-18T00:00:00"/>
    <d v="2024-05-23T00:00:00"/>
    <x v="1"/>
    <x v="10"/>
    <s v="Chicago"/>
    <s v="Enterprise"/>
    <x v="0"/>
    <x v="9"/>
    <s v="Laptops"/>
    <x v="22"/>
    <n v="1274.5899999999999"/>
    <n v="2553.69"/>
    <n v="0.01"/>
    <n v="8"/>
    <s v="Valid"/>
    <n v="2553.69"/>
    <b v="0"/>
    <n v="0.01"/>
    <n v="5"/>
    <d v="2024-05-23T00:00:00"/>
    <n v="5"/>
    <n v="2042747.7047999999"/>
    <n v="20429.52"/>
    <n v="2022318.1847999999"/>
    <n v="0.98999899989998996"/>
    <s v="May-2024"/>
    <s v="Q2-2024"/>
    <s v="Americas → USA → Chicago"/>
    <x v="2"/>
    <s v="Medium"/>
    <s v="USA"/>
    <d v="2023-01-13T00:00:00"/>
    <x v="0"/>
    <x v="6"/>
  </r>
  <r>
    <s v="ORD-2023-271836"/>
    <d v="2023-02-07T00:00:00"/>
    <d v="2023-02-12T00:00:00"/>
    <x v="1"/>
    <x v="4"/>
    <s v="São Paulo"/>
    <s v="Education"/>
    <x v="1"/>
    <x v="12"/>
    <s v="Components"/>
    <x v="23"/>
    <n v="948.55"/>
    <n v="2089.16"/>
    <n v="7.0000000000000001E-3"/>
    <n v="12"/>
    <s v="Valid"/>
    <n v="2089.16"/>
    <b v="0"/>
    <n v="7.0000000000000001E-3"/>
    <n v="5"/>
    <d v="2023-02-12T00:00:00"/>
    <n v="5"/>
    <n v="2506816.5105599998"/>
    <n v="25069.919999999998"/>
    <n v="2481746.5905599999"/>
    <n v="0.98999929995099656"/>
    <s v="Feb-2023"/>
    <s v="Q1-2023"/>
    <s v="Americas → Brazil → São Paulo"/>
    <x v="0"/>
    <s v="Low"/>
    <s v="BRAZIL"/>
    <d v="2023-01-29T00:00:00"/>
    <x v="0"/>
    <x v="2"/>
  </r>
  <r>
    <s v="ORD-2024-215294"/>
    <d v="2024-06-30T00:00:00"/>
    <d v="2024-07-14T00:00:00"/>
    <x v="1"/>
    <x v="4"/>
    <s v="Brasília"/>
    <s v="Education"/>
    <x v="0"/>
    <x v="0"/>
    <s v="Accessories"/>
    <x v="24"/>
    <n v="1491.85"/>
    <n v="2583.02"/>
    <n v="0.16800000000000001"/>
    <n v="4"/>
    <s v="Valid"/>
    <n v="2583.02"/>
    <b v="0"/>
    <n v="0.16800000000000001"/>
    <n v="14"/>
    <d v="2024-07-14T00:00:00"/>
    <n v="14"/>
    <n v="1031472.2105599999"/>
    <n v="10332.08"/>
    <n v="1021140.13056"/>
    <n v="0.98998317172850392"/>
    <s v="Jun-2024"/>
    <s v="Q2-2024"/>
    <s v="Americas → Brazil → Brasília"/>
    <x v="0"/>
    <s v="Medium"/>
    <s v="BRAZIL"/>
    <d v="2023-01-29T00:00:00"/>
    <x v="0"/>
    <x v="16"/>
  </r>
  <r>
    <s v="ORD-2024-788105"/>
    <d v="2024-11-30T00:00:00"/>
    <d v="2024-12-30T00:00:00"/>
    <x v="3"/>
    <x v="7"/>
    <s v="Marseille"/>
    <s v="Consumer"/>
    <x v="2"/>
    <x v="8"/>
    <s v="Printers"/>
    <x v="25"/>
    <n v="117.64"/>
    <n v="175.67"/>
    <n v="0"/>
    <n v="10"/>
    <s v="Valid"/>
    <n v="175.67"/>
    <b v="0"/>
    <n v="0"/>
    <n v="30"/>
    <d v="2024-12-30T00:00:00"/>
    <n v="30"/>
    <n v="175669.99999999997"/>
    <n v="1756.6999999999998"/>
    <n v="173913.29999999996"/>
    <n v="0.98999999999999988"/>
    <s v="Nov-2024"/>
    <s v="Q4-2024"/>
    <s v="Europe → France → Marseille"/>
    <x v="1"/>
    <s v="High"/>
    <s v="FRANCE"/>
    <d v="2023-01-10T00:00:00"/>
    <x v="0"/>
    <x v="17"/>
  </r>
  <r>
    <s v="ORD-2024-855073"/>
    <d v="2024-07-19T00:00:00"/>
    <d v="2024-07-19T00:00:00"/>
    <x v="0"/>
    <x v="0"/>
    <s v="Kisumu"/>
    <s v="Small Business"/>
    <x v="0"/>
    <x v="7"/>
    <s v="Phones"/>
    <x v="26"/>
    <n v="857.24"/>
    <n v="758.23"/>
    <n v="0.125"/>
    <n v="6"/>
    <s v="Valid"/>
    <n v="758.23"/>
    <b v="0"/>
    <n v="0.125"/>
    <n v="0"/>
    <d v="2024-07-19T00:00:00"/>
    <n v="0"/>
    <n v="454369.32750000001"/>
    <n v="4549.38"/>
    <n v="449819.94750000001"/>
    <n v="0.98998748435544426"/>
    <s v="Jul-2024"/>
    <s v="Q3-2024"/>
    <s v="Africa → Kenya → Kisumu"/>
    <x v="2"/>
    <s v="Medium"/>
    <s v="KENYA"/>
    <d v="2023-01-20T00:00:00"/>
    <x v="0"/>
    <x v="13"/>
  </r>
  <r>
    <s v="ORD-2023-897079"/>
    <d v="2023-04-14T00:00:00"/>
    <d v="2023-05-14T00:00:00"/>
    <x v="0"/>
    <x v="0"/>
    <s v="Nakuru"/>
    <s v="Consumer"/>
    <x v="2"/>
    <x v="11"/>
    <s v="Phones"/>
    <x v="27"/>
    <n v="209.25"/>
    <n v="434.8"/>
    <n v="0"/>
    <n v="9"/>
    <s v="Valid"/>
    <n v="434.8"/>
    <b v="0"/>
    <n v="0"/>
    <n v="30"/>
    <d v="2023-05-14T00:00:00"/>
    <n v="30"/>
    <n v="391320"/>
    <n v="3913.2000000000003"/>
    <n v="387406.8"/>
    <n v="0.99"/>
    <s v="Apr-2023"/>
    <s v="Q2-2023"/>
    <s v="Africa → Kenya → Nakuru"/>
    <x v="2"/>
    <s v="Low"/>
    <s v="KENYA"/>
    <d v="2023-01-20T00:00:00"/>
    <x v="0"/>
    <x v="11"/>
  </r>
  <r>
    <s v="ORD-2025-548982"/>
    <d v="2025-04-07T00:00:00"/>
    <d v="2025-04-11T00:00:00"/>
    <x v="3"/>
    <x v="7"/>
    <s v="Lyon"/>
    <s v="Education"/>
    <x v="0"/>
    <x v="5"/>
    <s v="Networking"/>
    <x v="28"/>
    <n v="754.77"/>
    <n v="1666.18"/>
    <n v="0.13900000000000001"/>
    <n v="14"/>
    <s v="Valid"/>
    <n v="1666.18"/>
    <b v="0"/>
    <n v="0.13900000000000001"/>
    <n v="4"/>
    <d v="2025-04-11T00:00:00"/>
    <n v="4"/>
    <n v="2329409.6137200003"/>
    <n v="23326.52"/>
    <n v="2306083.0937200002"/>
    <n v="0.98998608065210647"/>
    <s v="Apr-2025"/>
    <s v="Q2-2025"/>
    <s v="Europe → France → Lyon"/>
    <x v="0"/>
    <s v="High"/>
    <s v="FRANCE"/>
    <d v="2023-01-10T00:00:00"/>
    <x v="0"/>
    <x v="18"/>
  </r>
  <r>
    <s v="ORD-2024-170313"/>
    <d v="2024-12-27T00:00:00"/>
    <d v="2025-01-15T00:00:00"/>
    <x v="2"/>
    <x v="3"/>
    <s v="Delhi"/>
    <s v="Non-Profit"/>
    <x v="3"/>
    <x v="3"/>
    <s v="Components"/>
    <x v="29"/>
    <n v="495.59"/>
    <n v="631.78"/>
    <n v="8.6999999999999994E-2"/>
    <n v="17"/>
    <s v="Valid"/>
    <n v="631.78"/>
    <b v="0"/>
    <n v="8.6999999999999994E-2"/>
    <n v="19"/>
    <d v="2025-01-15T00:00:00"/>
    <n v="19"/>
    <n v="1073091.5973799999"/>
    <n v="10740.26"/>
    <n v="1062351.3373799999"/>
    <n v="0.9899912924244092"/>
    <s v="Dec-2024"/>
    <s v="Q4-2024"/>
    <s v="Asia → India → Delhi"/>
    <x v="0"/>
    <s v="High"/>
    <s v="INDIA"/>
    <d v="2023-01-29T00:00:00"/>
    <x v="0"/>
    <x v="5"/>
  </r>
  <r>
    <s v="ORD-2023-562894"/>
    <d v="2023-02-23T00:00:00"/>
    <d v="2023-03-25T00:00:00"/>
    <x v="1"/>
    <x v="2"/>
    <s v="Montreal"/>
    <s v="Enterprise"/>
    <x v="1"/>
    <x v="13"/>
    <s v="Phones"/>
    <x v="30"/>
    <n v="1242.6600000000001"/>
    <n v="1794.07"/>
    <n v="8.8999999999999996E-2"/>
    <n v="16"/>
    <s v="Valid"/>
    <n v="1794.07"/>
    <b v="0"/>
    <n v="8.8999999999999996E-2"/>
    <n v="30"/>
    <d v="2023-03-25T00:00:00"/>
    <n v="30"/>
    <n v="2867957.2443200001"/>
    <n v="28705.119999999999"/>
    <n v="2839252.1243199999"/>
    <n v="0.98999109207194402"/>
    <s v="Feb-2023"/>
    <s v="Q1-2023"/>
    <s v="Americas → Canada → Montreal"/>
    <x v="2"/>
    <s v="Low"/>
    <s v="CANADA"/>
    <d v="2023-01-02T00:00:00"/>
    <x v="0"/>
    <x v="2"/>
  </r>
  <r>
    <s v="ORD-2025-474710"/>
    <d v="2025-07-24T00:00:00"/>
    <d v="2025-08-06T00:00:00"/>
    <x v="0"/>
    <x v="11"/>
    <s v="Johannesburg"/>
    <s v="Education"/>
    <x v="2"/>
    <x v="13"/>
    <s v="Networking"/>
    <x v="31"/>
    <n v="1463.9"/>
    <n v="2633.02"/>
    <n v="8.4000000000000005E-2"/>
    <n v="4"/>
    <s v="Valid"/>
    <n v="2633.02"/>
    <b v="0"/>
    <n v="8.4000000000000005E-2"/>
    <n v="13"/>
    <d v="2025-08-06T00:00:00"/>
    <n v="13"/>
    <n v="1052323.30528"/>
    <n v="10532.08"/>
    <n v="1041791.22528"/>
    <n v="0.98999159293806804"/>
    <s v="Jul-2025"/>
    <s v="Q3-2025"/>
    <s v="Africa → South Africa → Johannesburg"/>
    <x v="0"/>
    <s v="High"/>
    <s v="SOUTH AFRICA"/>
    <d v="2023-01-07T00:00:00"/>
    <x v="0"/>
    <x v="12"/>
  </r>
  <r>
    <s v="ORD-2024-629525"/>
    <d v="2024-04-18T00:00:00"/>
    <d v="2024-05-08T00:00:00"/>
    <x v="3"/>
    <x v="8"/>
    <s v="London"/>
    <s v="Non-Profit"/>
    <x v="5"/>
    <x v="13"/>
    <s v="Laptops"/>
    <x v="32"/>
    <n v="645.33000000000004"/>
    <n v="1321.85"/>
    <n v="0"/>
    <n v="10"/>
    <s v="Valid"/>
    <n v="1321.85"/>
    <b v="0"/>
    <n v="0"/>
    <n v="20"/>
    <d v="2024-05-08T00:00:00"/>
    <n v="20"/>
    <n v="1321850"/>
    <n v="13218.5"/>
    <n v="1308631.5"/>
    <n v="0.99"/>
    <s v="Apr-2024"/>
    <s v="Q2-2024"/>
    <s v="Europe → United Kingdom → London"/>
    <x v="2"/>
    <s v="Medium"/>
    <s v="UNITED KINGDOM"/>
    <d v="2023-01-19T00:00:00"/>
    <x v="0"/>
    <x v="19"/>
  </r>
  <r>
    <s v="ORD-2024-167215"/>
    <d v="2024-08-23T00:00:00"/>
    <d v="2024-08-21T00:00:00"/>
    <x v="0"/>
    <x v="11"/>
    <s v="Johannesburg"/>
    <s v="Education"/>
    <x v="0"/>
    <x v="5"/>
    <s v="Components"/>
    <x v="33"/>
    <n v="1432.52"/>
    <n v="3036.87"/>
    <n v="0"/>
    <n v="9"/>
    <s v="Valid"/>
    <n v="3036.87"/>
    <b v="0"/>
    <n v="0"/>
    <n v="-2"/>
    <d v="2024-08-30T00:00:00"/>
    <n v="7"/>
    <n v="2733183"/>
    <n v="27331.829999999998"/>
    <n v="2705851.17"/>
    <n v="0.99"/>
    <s v="Aug-2024"/>
    <s v="Q3-2024"/>
    <s v="Africa → South Africa → Johannesburg"/>
    <x v="0"/>
    <s v="Medium"/>
    <s v="SOUTH AFRICA"/>
    <d v="2023-01-07T00:00:00"/>
    <x v="0"/>
    <x v="20"/>
  </r>
  <r>
    <s v="ORD-2023-864121"/>
    <d v="2023-03-27T00:00:00"/>
    <d v="2023-04-22T00:00:00"/>
    <x v="2"/>
    <x v="3"/>
    <s v="Delhi"/>
    <s v="Non-Profit"/>
    <x v="2"/>
    <x v="1"/>
    <s v="Printers"/>
    <x v="34"/>
    <n v="178.53"/>
    <n v="199.37"/>
    <n v="0.10100000000000001"/>
    <n v="37"/>
    <s v="Valid"/>
    <n v="199.37"/>
    <b v="0"/>
    <n v="0.10100000000000001"/>
    <n v="26"/>
    <d v="2023-04-22T00:00:00"/>
    <n v="26"/>
    <n v="736923.95431000006"/>
    <n v="7376.6900000000005"/>
    <n v="729547.26431000012"/>
    <n v="0.98998988978868663"/>
    <s v="Mar-2023"/>
    <s v="Q1-2023"/>
    <s v="Asia → India → Delhi"/>
    <x v="1"/>
    <s v="Low"/>
    <s v="INDIA"/>
    <d v="2023-01-29T00:00:00"/>
    <x v="0"/>
    <x v="21"/>
  </r>
  <r>
    <s v="ORD-2024-692673"/>
    <d v="2024-03-07T00:00:00"/>
    <d v="2024-03-25T00:00:00"/>
    <x v="3"/>
    <x v="5"/>
    <s v="Munich"/>
    <s v="Corporate"/>
    <x v="1"/>
    <x v="4"/>
    <s v="Components"/>
    <x v="35"/>
    <n v="712.84"/>
    <n v="927.51"/>
    <n v="0.24299999999999999"/>
    <n v="27"/>
    <s v="Valid"/>
    <n v="927.51"/>
    <b v="0"/>
    <n v="0.24299999999999999"/>
    <n v="18"/>
    <d v="2024-03-25T00:00:00"/>
    <n v="18"/>
    <n v="2498191.6068899999"/>
    <n v="25042.77"/>
    <n v="2473148.8368899999"/>
    <n v="0.98997564080716138"/>
    <s v="Mar-2024"/>
    <s v="Q1-2024"/>
    <s v="Europe → Germany → Munich"/>
    <x v="0"/>
    <s v="Medium"/>
    <s v="GERMANY"/>
    <d v="2023-01-22T00:00:00"/>
    <x v="0"/>
    <x v="0"/>
  </r>
  <r>
    <s v="ORD-2025-718992"/>
    <d v="2025-06-24T00:00:00"/>
    <d v="2025-07-10T00:00:00"/>
    <x v="2"/>
    <x v="9"/>
    <s v="Shanghai"/>
    <s v="Enterprise"/>
    <x v="4"/>
    <x v="12"/>
    <s v="Components"/>
    <x v="36"/>
    <n v="757.19"/>
    <n v="1735.41"/>
    <n v="0.13600000000000001"/>
    <n v="8"/>
    <s v="Valid"/>
    <n v="1735.41"/>
    <b v="0"/>
    <n v="0.13600000000000001"/>
    <n v="16"/>
    <d v="2025-07-10T00:00:00"/>
    <n v="16"/>
    <n v="1386439.8739200002"/>
    <n v="13883.28"/>
    <n v="1372556.5939200001"/>
    <n v="0.98998638147881113"/>
    <s v="Jun-2025"/>
    <s v="Q2-2025"/>
    <s v="Asia → China → Shanghai"/>
    <x v="0"/>
    <s v="High"/>
    <s v="CHINA"/>
    <d v="2023-01-12T00:00:00"/>
    <x v="0"/>
    <x v="15"/>
  </r>
  <r>
    <s v="ORD-2024-599522"/>
    <d v="2024-04-19T00:00:00"/>
    <d v="2024-05-06T00:00:00"/>
    <x v="0"/>
    <x v="1"/>
    <s v="Port Harcourt"/>
    <s v="Non-Profit"/>
    <x v="1"/>
    <x v="7"/>
    <s v="Printers"/>
    <x v="37"/>
    <n v="865.33"/>
    <n v="1395.64"/>
    <n v="0.17499999999999999"/>
    <n v="13"/>
    <s v="Valid"/>
    <n v="1395.64"/>
    <b v="0"/>
    <n v="0.17499999999999999"/>
    <n v="17"/>
    <d v="2024-05-06T00:00:00"/>
    <n v="17"/>
    <n v="1811156.919"/>
    <n v="18143.32"/>
    <n v="1793013.5989999999"/>
    <n v="0.98998246932131229"/>
    <s v="Apr-2024"/>
    <s v="Q2-2024"/>
    <s v="Africa → Nigeria → Port Harcourt"/>
    <x v="1"/>
    <s v="Medium"/>
    <s v="NIGERIA"/>
    <d v="2023-01-15T00:00:00"/>
    <x v="0"/>
    <x v="19"/>
  </r>
  <r>
    <s v="ORD-2023-651638"/>
    <d v="2023-06-17T00:00:00"/>
    <d v="2023-06-24T00:00:00"/>
    <x v="1"/>
    <x v="10"/>
    <s v="San Francisco"/>
    <s v="Corporate"/>
    <x v="0"/>
    <x v="2"/>
    <s v="Printers"/>
    <x v="38"/>
    <n v="313.99"/>
    <n v="454.42"/>
    <n v="0.129"/>
    <n v="9"/>
    <s v="Valid"/>
    <n v="454.42"/>
    <b v="0"/>
    <n v="0.129"/>
    <n v="7"/>
    <d v="2023-06-24T00:00:00"/>
    <n v="7"/>
    <n v="408450.41837999999"/>
    <n v="4089.78"/>
    <n v="404360.63837999996"/>
    <n v="0.98998708333750529"/>
    <s v="Jun-2023"/>
    <s v="Q2-2023"/>
    <s v="Americas → USA → San Francisco"/>
    <x v="1"/>
    <s v="Low"/>
    <s v="USA"/>
    <d v="2023-01-13T00:00:00"/>
    <x v="0"/>
    <x v="22"/>
  </r>
  <r>
    <s v="ORD-2024-635626"/>
    <d v="2024-08-27T00:00:00"/>
    <d v="2024-09-19T00:00:00"/>
    <x v="3"/>
    <x v="5"/>
    <s v="Berlin"/>
    <s v="Small Business"/>
    <x v="4"/>
    <x v="13"/>
    <s v="Monitors"/>
    <x v="39"/>
    <n v="1024.01"/>
    <n v="1580.97"/>
    <n v="3.6999999999999998E-2"/>
    <n v="27"/>
    <s v="Valid"/>
    <n v="1580.97"/>
    <b v="0"/>
    <n v="3.6999999999999998E-2"/>
    <n v="23"/>
    <d v="2024-09-19T00:00:00"/>
    <n v="23"/>
    <n v="4267039.6109699998"/>
    <n v="42686.19"/>
    <n v="4224353.4209699994"/>
    <n v="0.98999629863049321"/>
    <s v="Aug-2024"/>
    <s v="Q3-2024"/>
    <s v="Europe → Germany → Berlin"/>
    <x v="1"/>
    <s v="Medium"/>
    <s v="GERMANY"/>
    <d v="2023-01-22T00:00:00"/>
    <x v="0"/>
    <x v="20"/>
  </r>
  <r>
    <s v="ORD-2024-296582"/>
    <d v="2024-01-11T00:00:00"/>
    <d v="2024-02-02T00:00:00"/>
    <x v="0"/>
    <x v="11"/>
    <s v="Durban"/>
    <s v="Consumer"/>
    <x v="1"/>
    <x v="10"/>
    <s v="Networking"/>
    <x v="40"/>
    <n v="1206.2"/>
    <n v="1759.79"/>
    <n v="0"/>
    <n v="6"/>
    <s v="Valid"/>
    <n v="1759.79"/>
    <b v="0"/>
    <n v="0"/>
    <n v="22"/>
    <d v="2024-02-02T00:00:00"/>
    <n v="22"/>
    <n v="1055874"/>
    <n v="10558.74"/>
    <n v="1045315.26"/>
    <n v="0.99"/>
    <s v="Jan-2024"/>
    <s v="Q1-2024"/>
    <s v="Africa → South Africa → Durban"/>
    <x v="0"/>
    <s v="Medium"/>
    <s v="SOUTH AFRICA"/>
    <d v="2023-01-07T00:00:00"/>
    <x v="0"/>
    <x v="8"/>
  </r>
  <r>
    <s v="ORD-2024-998320"/>
    <d v="2024-10-25T00:00:00"/>
    <d v="2024-11-14T00:00:00"/>
    <x v="0"/>
    <x v="0"/>
    <s v="Mombasa"/>
    <s v="Corporate"/>
    <x v="4"/>
    <x v="9"/>
    <s v="Printers"/>
    <x v="41"/>
    <n v="1396.48"/>
    <n v="3204.5"/>
    <n v="0.318"/>
    <n v="14"/>
    <s v="Valid"/>
    <n v="3204.5"/>
    <s v="Excess"/>
    <n v="0.3"/>
    <n v="20"/>
    <d v="2024-11-14T00:00:00"/>
    <n v="20"/>
    <n v="4472841.1000000006"/>
    <n v="44863"/>
    <n v="4427978.1000000006"/>
    <n v="0.98996990972918752"/>
    <s v="Oct-2024"/>
    <s v="Q4-2024"/>
    <s v="Africa → Kenya → Mombasa"/>
    <x v="1"/>
    <s v="High"/>
    <s v="KENYA"/>
    <d v="2023-01-20T00:00:00"/>
    <x v="0"/>
    <x v="1"/>
  </r>
  <r>
    <s v="ORD-2025-820255"/>
    <d v="2025-05-29T00:00:00"/>
    <d v="2025-06-20T00:00:00"/>
    <x v="3"/>
    <x v="5"/>
    <s v="Berlin"/>
    <s v="Corporate"/>
    <x v="4"/>
    <x v="7"/>
    <s v="Printers"/>
    <x v="42"/>
    <n v="483.47"/>
    <n v="1135.43"/>
    <n v="0.14599999999999999"/>
    <n v="11"/>
    <s v="Valid"/>
    <n v="1135.43"/>
    <b v="0"/>
    <n v="0.14599999999999999"/>
    <n v="22"/>
    <d v="2025-06-20T00:00:00"/>
    <n v="22"/>
    <n v="1247149.4994200002"/>
    <n v="12489.730000000001"/>
    <n v="1234659.7694200003"/>
    <n v="0.9899853786528332"/>
    <s v="May-2025"/>
    <s v="Q2-2025"/>
    <s v="Europe → Germany → Berlin"/>
    <x v="1"/>
    <s v="High"/>
    <s v="GERMANY"/>
    <d v="2023-01-22T00:00:00"/>
    <x v="0"/>
    <x v="7"/>
  </r>
  <r>
    <s v="ORD-2024-389336"/>
    <d v="2024-05-20T00:00:00"/>
    <d v="2024-06-02T00:00:00"/>
    <x v="1"/>
    <x v="2"/>
    <s v="Vancouver"/>
    <s v="Enterprise"/>
    <x v="2"/>
    <x v="10"/>
    <s v="Components"/>
    <x v="43"/>
    <n v="675.43"/>
    <n v="996.36"/>
    <n v="0.182"/>
    <n v="22"/>
    <s v="Valid"/>
    <n v="996.36"/>
    <b v="0"/>
    <n v="0.182"/>
    <n v="13"/>
    <d v="2024-06-02T00:00:00"/>
    <n v="13"/>
    <n v="2188002.5745600001"/>
    <n v="21919.920000000002"/>
    <n v="2166082.6545600002"/>
    <n v="0.98998176681560446"/>
    <s v="May-2024"/>
    <s v="Q2-2024"/>
    <s v="Americas → Canada → Vancouver"/>
    <x v="0"/>
    <s v="Medium"/>
    <s v="CANADA"/>
    <d v="2023-01-02T00:00:00"/>
    <x v="0"/>
    <x v="6"/>
  </r>
  <r>
    <s v="ORD-2023-308124"/>
    <d v="2023-04-19T00:00:00"/>
    <d v="2023-04-30T00:00:00"/>
    <x v="2"/>
    <x v="3"/>
    <s v="Delhi"/>
    <s v="Small Business"/>
    <x v="0"/>
    <x v="7"/>
    <s v="Networking"/>
    <x v="44"/>
    <n v="826.55"/>
    <n v="1397.05"/>
    <n v="0.16900000000000001"/>
    <n v="28"/>
    <s v="Valid"/>
    <n v="1397.05"/>
    <b v="0"/>
    <n v="0.16900000000000001"/>
    <n v="11"/>
    <d v="2023-04-30T00:00:00"/>
    <n v="11"/>
    <n v="3905129.1594000002"/>
    <n v="39117.4"/>
    <n v="3866011.7594000003"/>
    <n v="0.98998307139065023"/>
    <s v="Apr-2023"/>
    <s v="Q2-2023"/>
    <s v="Asia → India → Delhi"/>
    <x v="0"/>
    <s v="Low"/>
    <s v="INDIA"/>
    <d v="2023-01-29T00:00:00"/>
    <x v="0"/>
    <x v="11"/>
  </r>
  <r>
    <s v="ORD-2023-128295"/>
    <d v="2023-06-23T00:00:00"/>
    <d v="2023-07-03T00:00:00"/>
    <x v="0"/>
    <x v="1"/>
    <s v="Abuja"/>
    <s v="Consumer"/>
    <x v="1"/>
    <x v="1"/>
    <s v="Printers"/>
    <x v="45"/>
    <n v="337.75"/>
    <n v="548.89"/>
    <n v="0"/>
    <n v="13"/>
    <s v="Valid"/>
    <n v="548.89"/>
    <b v="0"/>
    <n v="0"/>
    <n v="10"/>
    <d v="2023-07-03T00:00:00"/>
    <n v="10"/>
    <n v="713557"/>
    <n v="7135.57"/>
    <n v="706421.43"/>
    <n v="0.9900000000000001"/>
    <s v="Jun-2023"/>
    <s v="Q2-2023"/>
    <s v="Africa → Nigeria → Abuja"/>
    <x v="1"/>
    <s v="Low"/>
    <s v="NIGERIA"/>
    <d v="2023-01-15T00:00:00"/>
    <x v="0"/>
    <x v="22"/>
  </r>
  <r>
    <s v="ORD-2024-548345"/>
    <d v="2024-05-14T00:00:00"/>
    <d v="2024-05-28T00:00:00"/>
    <x v="3"/>
    <x v="8"/>
    <s v="Birmingham"/>
    <s v="Consumer"/>
    <x v="0"/>
    <x v="4"/>
    <s v="Networking"/>
    <x v="46"/>
    <n v="1421.14"/>
    <n v="3524"/>
    <n v="0"/>
    <n v="31"/>
    <s v="Valid"/>
    <n v="3524"/>
    <b v="0"/>
    <n v="0"/>
    <n v="14"/>
    <d v="2024-05-28T00:00:00"/>
    <n v="14"/>
    <n v="10924400"/>
    <n v="109244"/>
    <n v="10815156"/>
    <n v="0.99"/>
    <s v="May-2024"/>
    <s v="Q2-2024"/>
    <s v="Europe → United Kingdom → Birmingham"/>
    <x v="0"/>
    <s v="Medium"/>
    <s v="UNITED KINGDOM"/>
    <d v="2023-01-19T00:00:00"/>
    <x v="0"/>
    <x v="6"/>
  </r>
  <r>
    <s v="ORD-2024-966651"/>
    <d v="2024-10-14T00:00:00"/>
    <d v="2024-11-08T00:00:00"/>
    <x v="0"/>
    <x v="1"/>
    <s v="Lagos"/>
    <s v="Enterprise"/>
    <x v="1"/>
    <x v="6"/>
    <s v="Networking"/>
    <x v="47"/>
    <n v="859.35"/>
    <n v="1825.61"/>
    <n v="0.187"/>
    <n v="24"/>
    <s v="Valid"/>
    <n v="1825.61"/>
    <b v="0"/>
    <n v="0.187"/>
    <n v="25"/>
    <d v="2024-11-08T00:00:00"/>
    <n v="25"/>
    <n v="4373270.6623200001"/>
    <n v="43814.64"/>
    <n v="4329456.0223200005"/>
    <n v="0.98998126496548555"/>
    <s v="Oct-2024"/>
    <s v="Q4-2024"/>
    <s v="Africa → Nigeria → Lagos"/>
    <x v="0"/>
    <s v="Medium"/>
    <s v="NIGERIA"/>
    <d v="2023-01-15T00:00:00"/>
    <x v="0"/>
    <x v="1"/>
  </r>
  <r>
    <s v="ORD-2023-292714"/>
    <d v="2023-07-10T00:00:00"/>
    <d v="2023-08-01T00:00:00"/>
    <x v="3"/>
    <x v="7"/>
    <s v="Marseille"/>
    <s v="Consumer"/>
    <x v="2"/>
    <x v="4"/>
    <s v="Printers"/>
    <x v="48"/>
    <n v="1303.56"/>
    <n v="1791.37"/>
    <n v="0.126"/>
    <n v="22"/>
    <s v="Valid"/>
    <n v="1791.37"/>
    <b v="0"/>
    <n v="0.126"/>
    <n v="22"/>
    <d v="2023-08-01T00:00:00"/>
    <n v="22"/>
    <n v="3936048.3223599996"/>
    <n v="39410.14"/>
    <n v="3896638.1823599995"/>
    <n v="0.98998738410397102"/>
    <s v="Jul-2023"/>
    <s v="Q3-2023"/>
    <s v="Europe → France → Marseille"/>
    <x v="1"/>
    <s v="Low"/>
    <s v="FRANCE"/>
    <d v="2023-01-10T00:00:00"/>
    <x v="0"/>
    <x v="23"/>
  </r>
  <r>
    <s v="ORD-2024-468501"/>
    <d v="2024-11-06T00:00:00"/>
    <d v="2024-11-22T00:00:00"/>
    <x v="1"/>
    <x v="2"/>
    <s v="Toronto"/>
    <s v="Non-Profit"/>
    <x v="3"/>
    <x v="13"/>
    <s v="Accessories"/>
    <x v="49"/>
    <n v="1454.11"/>
    <n v="2629.75"/>
    <n v="0.29199999999999998"/>
    <n v="8"/>
    <s v="Valid"/>
    <n v="2629.75"/>
    <b v="0"/>
    <n v="0.29199999999999998"/>
    <n v="16"/>
    <d v="2024-11-22T00:00:00"/>
    <n v="16"/>
    <n v="2097656.9040000001"/>
    <n v="21038"/>
    <n v="2076618.9040000001"/>
    <n v="0.98997071448630003"/>
    <s v="Nov-2024"/>
    <s v="Q4-2024"/>
    <s v="Americas → Canada → Toronto"/>
    <x v="0"/>
    <s v="High"/>
    <s v="CANADA"/>
    <d v="2023-01-02T00:00:00"/>
    <x v="0"/>
    <x v="17"/>
  </r>
  <r>
    <s v="ORD-2024-260775"/>
    <d v="2024-10-17T00:00:00"/>
    <d v="2024-11-06T00:00:00"/>
    <x v="2"/>
    <x v="3"/>
    <s v="Bengaluru"/>
    <s v="Enterprise"/>
    <x v="3"/>
    <x v="6"/>
    <s v="Monitors"/>
    <x v="50"/>
    <n v="72.94"/>
    <n v="106.3"/>
    <n v="0.29499999999999998"/>
    <n v="8"/>
    <s v="Valid"/>
    <n v="106.3"/>
    <b v="0"/>
    <n v="0.29499999999999998"/>
    <n v="20"/>
    <d v="2024-11-06T00:00:00"/>
    <n v="20"/>
    <n v="84789.131999999998"/>
    <n v="850.4"/>
    <n v="83938.732000000004"/>
    <n v="0.98997041271751673"/>
    <s v="Oct-2024"/>
    <s v="Q4-2024"/>
    <s v="Asia → India → Bengaluru"/>
    <x v="1"/>
    <s v="Medium"/>
    <s v="INDIA"/>
    <d v="2023-01-29T00:00:00"/>
    <x v="0"/>
    <x v="1"/>
  </r>
  <r>
    <s v="ORD-2023-419187"/>
    <d v="2023-03-31T00:00:00"/>
    <d v="2023-04-05T00:00:00"/>
    <x v="0"/>
    <x v="0"/>
    <s v="Nakuru"/>
    <s v="Education"/>
    <x v="2"/>
    <x v="4"/>
    <s v="Laptops"/>
    <x v="51"/>
    <n v="533.26"/>
    <n v="385.72"/>
    <n v="0"/>
    <n v="15"/>
    <s v="Valid"/>
    <n v="385.72"/>
    <b v="0"/>
    <n v="0"/>
    <n v="5"/>
    <d v="2023-04-05T00:00:00"/>
    <n v="5"/>
    <n v="578580"/>
    <n v="5785.8"/>
    <n v="572794.19999999995"/>
    <n v="0.98999999999999988"/>
    <s v="Mar-2023"/>
    <s v="Q1-2023"/>
    <s v="Africa → Kenya → Nakuru"/>
    <x v="2"/>
    <s v="Low"/>
    <s v="KENYA"/>
    <d v="2023-01-20T00:00:00"/>
    <x v="0"/>
    <x v="21"/>
  </r>
  <r>
    <s v="ORD-2025-578007"/>
    <d v="2025-01-21T00:00:00"/>
    <d v="2025-02-16T00:00:00"/>
    <x v="3"/>
    <x v="7"/>
    <s v="Lyon"/>
    <s v="Corporate"/>
    <x v="3"/>
    <x v="6"/>
    <s v="Laptops"/>
    <x v="52"/>
    <n v="204.11"/>
    <n v="236.87"/>
    <n v="0.182"/>
    <n v="13"/>
    <s v="Valid"/>
    <n v="236.87"/>
    <b v="0"/>
    <n v="0.182"/>
    <n v="26"/>
    <d v="2025-02-16T00:00:00"/>
    <n v="26"/>
    <n v="307370.56557999999"/>
    <n v="3079.31"/>
    <n v="304291.25558"/>
    <n v="0.98998176681560446"/>
    <s v="Jan-2025"/>
    <s v="Q1-2025"/>
    <s v="Europe → France → Lyon"/>
    <x v="2"/>
    <s v="High"/>
    <s v="FRANCE"/>
    <d v="2023-01-10T00:00:00"/>
    <x v="0"/>
    <x v="9"/>
  </r>
  <r>
    <s v="ORD-2023-235230"/>
    <d v="2023-08-30T00:00:00"/>
    <d v="2023-09-01T00:00:00"/>
    <x v="3"/>
    <x v="5"/>
    <s v="Munich"/>
    <s v="Corporate"/>
    <x v="4"/>
    <x v="12"/>
    <s v="Networking"/>
    <x v="53"/>
    <n v="44.42"/>
    <n v="41.9"/>
    <n v="0.14399999999999999"/>
    <n v="6"/>
    <s v="Valid"/>
    <n v="41.9"/>
    <b v="0"/>
    <n v="0.14399999999999999"/>
    <n v="2"/>
    <d v="2023-09-01T00:00:00"/>
    <n v="2"/>
    <n v="25103.798399999996"/>
    <n v="251.39999999999998"/>
    <n v="24852.398399999995"/>
    <n v="0.98998557923409702"/>
    <s v="Aug-2023"/>
    <s v="Q3-2023"/>
    <s v="Europe → Germany → Munich"/>
    <x v="0"/>
    <s v="Low"/>
    <s v="GERMANY"/>
    <d v="2023-01-22T00:00:00"/>
    <x v="0"/>
    <x v="24"/>
  </r>
  <r>
    <s v="ORD-2025-765220"/>
    <d v="2025-04-06T00:00:00"/>
    <d v="2025-04-30T00:00:00"/>
    <x v="1"/>
    <x v="4"/>
    <s v="Brasília"/>
    <s v="Education"/>
    <x v="1"/>
    <x v="10"/>
    <s v="Monitors"/>
    <x v="54"/>
    <n v="855.78"/>
    <n v="977.38"/>
    <n v="0.14699999999999999"/>
    <n v="38"/>
    <s v="Valid"/>
    <n v="977.38"/>
    <b v="0"/>
    <n v="0.14699999999999999"/>
    <n v="24"/>
    <d v="2025-04-30T00:00:00"/>
    <n v="24"/>
    <n v="3708584.3553200001"/>
    <n v="37140.44"/>
    <n v="3671443.9153200001"/>
    <n v="0.98998527835918804"/>
    <s v="Apr-2025"/>
    <s v="Q2-2025"/>
    <s v="Americas → Brazil → Brasília"/>
    <x v="1"/>
    <s v="High"/>
    <s v="BRAZIL"/>
    <d v="2023-01-29T00:00:00"/>
    <x v="0"/>
    <x v="18"/>
  </r>
  <r>
    <s v="ORD-2025-931538"/>
    <d v="2025-02-09T00:00:00"/>
    <d v="2025-03-01T00:00:00"/>
    <x v="1"/>
    <x v="4"/>
    <s v="São Paulo"/>
    <s v="Corporate"/>
    <x v="3"/>
    <x v="4"/>
    <s v="Laptops"/>
    <x v="55"/>
    <n v="1154.6400000000001"/>
    <n v="2794.13"/>
    <n v="3.5000000000000003E-2"/>
    <n v="11"/>
    <s v="Valid"/>
    <n v="2794.13"/>
    <b v="0"/>
    <n v="3.5000000000000003E-2"/>
    <n v="20"/>
    <d v="2025-03-01T00:00:00"/>
    <n v="20"/>
    <n v="3072467.2599500003"/>
    <n v="30735.43"/>
    <n v="3041731.8299500002"/>
    <n v="0.98999649877457108"/>
    <s v="Feb-2025"/>
    <s v="Q1-2025"/>
    <s v="Americas → Brazil → São Paulo"/>
    <x v="2"/>
    <s v="High"/>
    <s v="BRAZIL"/>
    <d v="2023-01-29T00:00:00"/>
    <x v="0"/>
    <x v="25"/>
  </r>
  <r>
    <s v="ORD-2024-289089"/>
    <d v="2024-12-17T00:00:00"/>
    <d v="2024-12-18T00:00:00"/>
    <x v="3"/>
    <x v="5"/>
    <s v="Munich"/>
    <s v="Education"/>
    <x v="0"/>
    <x v="14"/>
    <s v="Accessories"/>
    <x v="56"/>
    <n v="346.82"/>
    <n v="701.95"/>
    <n v="0.14699999999999999"/>
    <n v="8"/>
    <s v="Valid"/>
    <n v="701.95"/>
    <b v="0"/>
    <n v="0.14699999999999999"/>
    <n v="1"/>
    <d v="2024-12-18T00:00:00"/>
    <n v="1"/>
    <n v="560734.50679999997"/>
    <n v="5615.6"/>
    <n v="555118.9068"/>
    <n v="0.98998527835918804"/>
    <s v="Dec-2024"/>
    <s v="Q4-2024"/>
    <s v="Europe → Germany → Munich"/>
    <x v="0"/>
    <s v="High"/>
    <s v="GERMANY"/>
    <d v="2023-01-22T00:00:00"/>
    <x v="0"/>
    <x v="5"/>
  </r>
  <r>
    <s v="ORD-2025-639542"/>
    <d v="2025-06-09T00:00:00"/>
    <d v="2025-06-18T00:00:00"/>
    <x v="3"/>
    <x v="7"/>
    <s v="Marseille"/>
    <s v="Small Business"/>
    <x v="2"/>
    <x v="9"/>
    <s v="Accessories"/>
    <x v="57"/>
    <n v="1225.5"/>
    <n v="-5.27"/>
    <n v="7.4999999999999997E-2"/>
    <n v="56"/>
    <b v="0"/>
    <n v="5.27"/>
    <b v="0"/>
    <n v="7.4999999999999997E-2"/>
    <n v="9"/>
    <d v="2025-06-18T00:00:00"/>
    <n v="9"/>
    <n v="29489.865999999998"/>
    <n v="295.12"/>
    <n v="29194.745999999999"/>
    <n v="0.98999249437077808"/>
    <s v="Jun-2025"/>
    <s v="Q2-2025"/>
    <s v="Europe → France → Marseille"/>
    <x v="0"/>
    <s v="High"/>
    <s v="FRANCE"/>
    <d v="2023-01-10T00:00:00"/>
    <x v="0"/>
    <x v="15"/>
  </r>
  <r>
    <s v="ORD-2025-762301"/>
    <d v="2025-05-02T00:00:00"/>
    <d v="2025-05-13T00:00:00"/>
    <x v="0"/>
    <x v="0"/>
    <s v="Nakuru"/>
    <s v="Small Business"/>
    <x v="1"/>
    <x v="7"/>
    <s v="Accessories"/>
    <x v="58"/>
    <n v="1057.5999999999999"/>
    <n v="1437.06"/>
    <n v="0.20499999999999999"/>
    <n v="4"/>
    <s v="Valid"/>
    <n v="1437.06"/>
    <b v="0"/>
    <n v="0.20499999999999999"/>
    <n v="11"/>
    <d v="2025-05-13T00:00:00"/>
    <n v="11"/>
    <n v="573645.61080000002"/>
    <n v="5748.24"/>
    <n v="567897.37080000003"/>
    <n v="0.98997945788867181"/>
    <s v="May-2025"/>
    <s v="Q2-2025"/>
    <s v="Africa → Kenya → Nakuru"/>
    <x v="0"/>
    <s v="High"/>
    <s v="KENYA"/>
    <d v="2023-01-20T00:00:00"/>
    <x v="0"/>
    <x v="7"/>
  </r>
  <r>
    <s v="ORD-2024-906395"/>
    <d v="2024-03-10T00:00:00"/>
    <d v="2024-04-09T00:00:00"/>
    <x v="3"/>
    <x v="7"/>
    <s v="Lyon"/>
    <s v="Corporate"/>
    <x v="4"/>
    <x v="2"/>
    <s v="Components"/>
    <x v="59"/>
    <n v="1176.56"/>
    <n v="1911.89"/>
    <n v="0.11899999999999999"/>
    <n v="20"/>
    <s v="Valid"/>
    <n v="1911.89"/>
    <b v="0"/>
    <n v="0.11899999999999999"/>
    <n v="30"/>
    <d v="2024-04-09T00:00:00"/>
    <n v="30"/>
    <n v="3819229.7018000004"/>
    <n v="38237.800000000003"/>
    <n v="3780991.9018000006"/>
    <n v="0.98998808582212838"/>
    <s v="Mar-2024"/>
    <s v="Q1-2024"/>
    <s v="Europe → France → Lyon"/>
    <x v="0"/>
    <s v="Medium"/>
    <s v="FRANCE"/>
    <d v="2023-01-10T00:00:00"/>
    <x v="0"/>
    <x v="0"/>
  </r>
  <r>
    <s v="ORD-2025-779574"/>
    <d v="2025-09-10T00:00:00"/>
    <d v="2025-09-12T00:00:00"/>
    <x v="2"/>
    <x v="6"/>
    <s v="Tokyo"/>
    <s v="Consumer"/>
    <x v="1"/>
    <x v="6"/>
    <s v="Components"/>
    <x v="60"/>
    <n v="1470.15"/>
    <n v="2593.7800000000002"/>
    <n v="0.11"/>
    <n v="12"/>
    <s v="Valid"/>
    <n v="2593.7800000000002"/>
    <b v="0"/>
    <n v="0.11"/>
    <n v="2"/>
    <d v="2025-09-12T00:00:00"/>
    <n v="2"/>
    <n v="3109112.2104000002"/>
    <n v="31125.360000000001"/>
    <n v="3077986.8504000003"/>
    <n v="0.98998898788667533"/>
    <s v="Sep-2025"/>
    <s v="Q3-2025"/>
    <s v="Asia → Japan → Tokyo"/>
    <x v="0"/>
    <s v="High"/>
    <s v="JAPAN"/>
    <d v="2023-03-03T00:00:00"/>
    <x v="1"/>
    <x v="10"/>
  </r>
  <r>
    <s v="ORD-2025-526650"/>
    <d v="2025-04-27T00:00:00"/>
    <d v="2025-05-25T00:00:00"/>
    <x v="3"/>
    <x v="7"/>
    <s v="Paris"/>
    <s v="Small Business"/>
    <x v="2"/>
    <x v="2"/>
    <s v="Phones"/>
    <x v="61"/>
    <n v="603.45000000000005"/>
    <n v="1244.08"/>
    <n v="0.2"/>
    <n v="11"/>
    <s v="Valid"/>
    <n v="1244.08"/>
    <b v="0"/>
    <n v="0.2"/>
    <n v="28"/>
    <d v="2025-05-25T00:00:00"/>
    <n v="28"/>
    <n v="1365751.024"/>
    <n v="13684.88"/>
    <n v="1352066.1440000001"/>
    <n v="0.98997995991983978"/>
    <s v="Apr-2025"/>
    <s v="Q2-2025"/>
    <s v="Europe → France → Paris"/>
    <x v="2"/>
    <s v="High"/>
    <s v="FRANCE"/>
    <d v="2023-01-10T00:00:00"/>
    <x v="0"/>
    <x v="18"/>
  </r>
  <r>
    <s v="ORD-2024-247979"/>
    <d v="2024-11-02T00:00:00"/>
    <d v="2024-11-18T00:00:00"/>
    <x v="2"/>
    <x v="3"/>
    <s v="Mumbai"/>
    <s v="Small Business"/>
    <x v="3"/>
    <x v="6"/>
    <s v="Monitors"/>
    <x v="62"/>
    <n v="1233.58"/>
    <n v="1912.51"/>
    <n v="0.255"/>
    <n v="51"/>
    <s v="Valid"/>
    <n v="1912.51"/>
    <b v="0"/>
    <n v="0.255"/>
    <n v="16"/>
    <d v="2024-11-18T00:00:00"/>
    <n v="16"/>
    <n v="9728928.8074500002"/>
    <n v="97538.01"/>
    <n v="9631390.7974500004"/>
    <n v="0.98997443480876235"/>
    <s v="Nov-2024"/>
    <s v="Q4-2024"/>
    <s v="Asia → India → Mumbai"/>
    <x v="1"/>
    <s v="High"/>
    <s v="INDIA"/>
    <d v="2023-01-29T00:00:00"/>
    <x v="0"/>
    <x v="17"/>
  </r>
  <r>
    <s v="ORD-2023-480975"/>
    <d v="2023-02-15T00:00:00"/>
    <d v="2023-02-26T00:00:00"/>
    <x v="0"/>
    <x v="11"/>
    <s v="Johannesburg"/>
    <s v="Non-Profit"/>
    <x v="0"/>
    <x v="10"/>
    <s v="Laptops"/>
    <x v="63"/>
    <n v="498.5"/>
    <n v="755.87"/>
    <n v="0.13"/>
    <n v="40"/>
    <s v="Valid"/>
    <n v="755.87"/>
    <b v="0"/>
    <n v="0.13"/>
    <n v="11"/>
    <d v="2023-02-26T00:00:00"/>
    <n v="11"/>
    <n v="3019549.4760000003"/>
    <n v="30234.799999999999"/>
    <n v="2989314.6760000004"/>
    <n v="0.98998698307800148"/>
    <s v="Feb-2023"/>
    <s v="Q1-2023"/>
    <s v="Africa → South Africa → Johannesburg"/>
    <x v="2"/>
    <s v="Low"/>
    <s v="SOUTH AFRICA"/>
    <d v="2023-01-07T00:00:00"/>
    <x v="0"/>
    <x v="2"/>
  </r>
  <r>
    <s v="ORD-2023-239789"/>
    <d v="2023-12-03T00:00:00"/>
    <d v="2023-12-26T00:00:00"/>
    <x v="1"/>
    <x v="4"/>
    <s v="Rio de Janeiro"/>
    <s v="Education"/>
    <x v="0"/>
    <x v="6"/>
    <s v="Phones"/>
    <x v="64"/>
    <n v="1303.1099999999999"/>
    <n v="1145.67"/>
    <n v="0.184"/>
    <n v="13"/>
    <s v="Valid"/>
    <n v="1145.67"/>
    <b v="0"/>
    <n v="0.184"/>
    <n v="23"/>
    <d v="2023-12-26T00:00:00"/>
    <n v="23"/>
    <n v="1486630.5573600002"/>
    <n v="14893.710000000001"/>
    <n v="1471736.8473600002"/>
    <n v="0.98998156608159016"/>
    <s v="Dec-2023"/>
    <s v="Q4-2023"/>
    <s v="Americas → Brazil → Rio de Janeiro"/>
    <x v="2"/>
    <s v="Low"/>
    <s v="BRAZIL"/>
    <d v="2023-01-29T00:00:00"/>
    <x v="0"/>
    <x v="26"/>
  </r>
  <r>
    <s v="ORD-2023-548874"/>
    <d v="2023-03-19T00:00:00"/>
    <d v="2023-04-09T00:00:00"/>
    <x v="3"/>
    <x v="8"/>
    <s v="Manchester"/>
    <s v="Consumer"/>
    <x v="0"/>
    <x v="14"/>
    <s v="Accessories"/>
    <x v="65"/>
    <n v="1082.17"/>
    <n v="1234.0999999999999"/>
    <n v="0.189"/>
    <n v="16"/>
    <s v="Valid"/>
    <n v="1234.0999999999999"/>
    <b v="0"/>
    <n v="0.189"/>
    <n v="21"/>
    <d v="2023-04-09T00:00:00"/>
    <n v="21"/>
    <n v="1970828.0815999999"/>
    <n v="19745.599999999999"/>
    <n v="1951082.4815999998"/>
    <n v="0.98998106421135945"/>
    <s v="Mar-2023"/>
    <s v="Q1-2023"/>
    <s v="Europe → United Kingdom → Manchester"/>
    <x v="0"/>
    <s v="Low"/>
    <s v="UNITED KINGDOM"/>
    <d v="2023-01-19T00:00:00"/>
    <x v="0"/>
    <x v="21"/>
  </r>
  <r>
    <s v="ORD-2024-347736"/>
    <d v="2024-05-22T00:00:00"/>
    <d v="2024-06-06T00:00:00"/>
    <x v="2"/>
    <x v="6"/>
    <s v="Nagoya"/>
    <s v="Corporate"/>
    <x v="3"/>
    <x v="0"/>
    <s v="Monitors"/>
    <x v="66"/>
    <n v="673.88"/>
    <n v="1228.01"/>
    <n v="0.105"/>
    <n v="13"/>
    <s v="Valid"/>
    <n v="1228.01"/>
    <b v="0"/>
    <n v="0.105"/>
    <n v="15"/>
    <d v="2024-06-06T00:00:00"/>
    <n v="15"/>
    <n v="1594736.7663499999"/>
    <n v="15964.13"/>
    <n v="1578772.63635"/>
    <n v="0.98998948896341166"/>
    <s v="May-2024"/>
    <s v="Q2-2024"/>
    <s v="Asia → Japan → Nagoya"/>
    <x v="1"/>
    <s v="Medium"/>
    <s v="JAPAN"/>
    <d v="2023-03-03T00:00:00"/>
    <x v="1"/>
    <x v="6"/>
  </r>
  <r>
    <s v="ORD-2023-749324"/>
    <d v="2023-08-19T00:00:00"/>
    <d v="2023-09-07T00:00:00"/>
    <x v="0"/>
    <x v="11"/>
    <s v="Johannesburg"/>
    <s v="Enterprise"/>
    <x v="0"/>
    <x v="13"/>
    <s v="Monitors"/>
    <x v="67"/>
    <n v="494.61"/>
    <n v="605.23"/>
    <n v="0.20399999999999999"/>
    <n v="18"/>
    <s v="Valid"/>
    <n v="605.23"/>
    <b v="0"/>
    <n v="0.20399999999999999"/>
    <n v="19"/>
    <d v="2023-09-07T00:00:00"/>
    <n v="19"/>
    <n v="1087191.5954400001"/>
    <n v="10894.14"/>
    <n v="1076297.4554400002"/>
    <n v="0.98997955829892992"/>
    <s v="Aug-2023"/>
    <s v="Q3-2023"/>
    <s v="Africa → South Africa → Johannesburg"/>
    <x v="1"/>
    <s v="Low"/>
    <s v="SOUTH AFRICA"/>
    <d v="2023-01-07T00:00:00"/>
    <x v="0"/>
    <x v="24"/>
  </r>
  <r>
    <s v="ORD-2023-809913"/>
    <d v="2023-04-21T00:00:00"/>
    <d v="2023-05-10T00:00:00"/>
    <x v="2"/>
    <x v="9"/>
    <s v="Shanghai"/>
    <s v="Corporate"/>
    <x v="0"/>
    <x v="7"/>
    <s v="Components"/>
    <x v="68"/>
    <n v="882.33"/>
    <n v="1880.15"/>
    <n v="0.05"/>
    <n v="5"/>
    <s v="Valid"/>
    <n v="1880.15"/>
    <b v="0"/>
    <n v="0.05"/>
    <n v="19"/>
    <d v="2023-05-10T00:00:00"/>
    <n v="19"/>
    <n v="939604.96250000002"/>
    <n v="9400.75"/>
    <n v="930204.21250000002"/>
    <n v="0.98999499749874942"/>
    <s v="Apr-2023"/>
    <s v="Q2-2023"/>
    <s v="Asia → China → Shanghai"/>
    <x v="0"/>
    <s v="Low"/>
    <s v="CHINA"/>
    <d v="2023-01-12T00:00:00"/>
    <x v="0"/>
    <x v="11"/>
  </r>
  <r>
    <s v="ORD-2024-287210"/>
    <d v="2024-03-18T00:00:00"/>
    <d v="2024-03-21T00:00:00"/>
    <x v="3"/>
    <x v="5"/>
    <s v="Munich"/>
    <s v="Small Business"/>
    <x v="1"/>
    <x v="11"/>
    <s v="Accessories"/>
    <x v="69"/>
    <n v="910.63"/>
    <n v="1269.4000000000001"/>
    <n v="6.8000000000000005E-2"/>
    <n v="9"/>
    <s v="Valid"/>
    <n v="1269.4000000000001"/>
    <b v="0"/>
    <n v="6.8000000000000005E-2"/>
    <n v="3"/>
    <d v="2024-03-21T00:00:00"/>
    <n v="3"/>
    <n v="1141683.1272"/>
    <n v="11424.6"/>
    <n v="1130258.5271999999"/>
    <n v="0.98999319537285346"/>
    <s v="Mar-2024"/>
    <s v="Q1-2024"/>
    <s v="Europe → Germany → Munich"/>
    <x v="0"/>
    <s v="Medium"/>
    <s v="GERMANY"/>
    <d v="2023-01-22T00:00:00"/>
    <x v="0"/>
    <x v="0"/>
  </r>
  <r>
    <s v="ORD-2025-640677"/>
    <d v="2025-04-09T00:00:00"/>
    <d v="2025-05-06T00:00:00"/>
    <x v="1"/>
    <x v="4"/>
    <s v="Brasília"/>
    <s v="Enterprise"/>
    <x v="2"/>
    <x v="8"/>
    <s v="Laptops"/>
    <x v="70"/>
    <n v="264.19"/>
    <n v="620.92999999999995"/>
    <n v="0.14199999999999999"/>
    <n v="12"/>
    <s v="Valid"/>
    <n v="620.92999999999995"/>
    <b v="0"/>
    <n v="0.14199999999999999"/>
    <n v="27"/>
    <d v="2025-05-06T00:00:00"/>
    <n v="27"/>
    <n v="744057.93527999998"/>
    <n v="7451.16"/>
    <n v="736606.77527999994"/>
    <n v="0.98998577980732638"/>
    <s v="Apr-2025"/>
    <s v="Q2-2025"/>
    <s v="Americas → Brazil → Brasília"/>
    <x v="2"/>
    <s v="High"/>
    <s v="BRAZIL"/>
    <d v="2023-01-29T00:00:00"/>
    <x v="0"/>
    <x v="18"/>
  </r>
  <r>
    <s v="ORD-2024-939873"/>
    <d v="2024-04-12T00:00:00"/>
    <d v="2024-05-07T00:00:00"/>
    <x v="0"/>
    <x v="11"/>
    <s v="Johannesburg"/>
    <s v="Education"/>
    <x v="3"/>
    <x v="7"/>
    <s v="Laptops"/>
    <x v="71"/>
    <n v="1376.51"/>
    <n v="1455.91"/>
    <n v="0.185"/>
    <n v="17"/>
    <s v="Valid"/>
    <n v="1455.91"/>
    <b v="0"/>
    <n v="0.185"/>
    <n v="25"/>
    <d v="2024-05-07T00:00:00"/>
    <n v="25"/>
    <n v="2470468.1630500001"/>
    <n v="24750.47"/>
    <n v="2445717.6930499999"/>
    <n v="0.98998146571156631"/>
    <s v="Apr-2024"/>
    <s v="Q2-2024"/>
    <s v="Africa → South Africa → Johannesburg"/>
    <x v="2"/>
    <s v="Medium"/>
    <s v="SOUTH AFRICA"/>
    <d v="2023-01-07T00:00:00"/>
    <x v="0"/>
    <x v="19"/>
  </r>
  <r>
    <s v="ORD-2024-800947"/>
    <d v="2024-12-15T00:00:00"/>
    <d v="2024-12-20T00:00:00"/>
    <x v="2"/>
    <x v="9"/>
    <s v="Shenzhen"/>
    <s v="Small Business"/>
    <x v="4"/>
    <x v="1"/>
    <s v="Networking"/>
    <x v="72"/>
    <n v="717.55"/>
    <n v="546.42999999999995"/>
    <n v="4.7E-2"/>
    <n v="18"/>
    <s v="Valid"/>
    <n v="546.42999999999995"/>
    <b v="0"/>
    <n v="4.7E-2"/>
    <n v="5"/>
    <d v="2024-12-20T00:00:00"/>
    <n v="5"/>
    <n v="983111.72022000002"/>
    <n v="9835.74"/>
    <n v="973275.98022000003"/>
    <n v="0.98999529778996131"/>
    <s v="Dec-2024"/>
    <s v="Q4-2024"/>
    <s v="Asia → China → Shenzhen"/>
    <x v="0"/>
    <s v="High"/>
    <s v="CHINA"/>
    <d v="2023-01-12T00:00:00"/>
    <x v="0"/>
    <x v="5"/>
  </r>
  <r>
    <s v="ORD-2023-382272"/>
    <d v="2023-05-20T00:00:00"/>
    <d v="2023-05-18T00:00:00"/>
    <x v="0"/>
    <x v="11"/>
    <s v="Durban"/>
    <s v="Corporate"/>
    <x v="3"/>
    <x v="7"/>
    <s v="Components"/>
    <x v="73"/>
    <n v="917.88"/>
    <n v="1347.92"/>
    <n v="0.34300000000000003"/>
    <n v="5"/>
    <s v="Valid"/>
    <n v="1347.92"/>
    <s v="Excess"/>
    <n v="0.3"/>
    <n v="-2"/>
    <d v="2023-05-27T00:00:00"/>
    <n v="7"/>
    <n v="671938.12000000011"/>
    <n v="6739.6"/>
    <n v="665198.52000000014"/>
    <n v="0.98996990972918764"/>
    <s v="May-2023"/>
    <s v="Q2-2023"/>
    <s v="Africa → South Africa → Durban"/>
    <x v="0"/>
    <s v="Low"/>
    <s v="SOUTH AFRICA"/>
    <d v="2023-01-07T00:00:00"/>
    <x v="0"/>
    <x v="14"/>
  </r>
  <r>
    <s v="ORD-2023-722117"/>
    <d v="2023-09-18T00:00:00"/>
    <d v="2023-10-08T00:00:00"/>
    <x v="2"/>
    <x v="3"/>
    <s v="Delhi"/>
    <s v="Small Business"/>
    <x v="4"/>
    <x v="4"/>
    <s v="Components"/>
    <x v="74"/>
    <n v="825.64"/>
    <n v="1108.43"/>
    <n v="0.114"/>
    <n v="7"/>
    <s v="Valid"/>
    <n v="1108.43"/>
    <b v="0"/>
    <n v="0.114"/>
    <n v="20"/>
    <d v="2023-10-08T00:00:00"/>
    <n v="20"/>
    <n v="775016.47285999998"/>
    <n v="7759.01"/>
    <n v="767257.46285999997"/>
    <n v="0.98998858698916758"/>
    <s v="Sep-2023"/>
    <s v="Q3-2023"/>
    <s v="Asia → India → Delhi"/>
    <x v="0"/>
    <s v="Low"/>
    <s v="INDIA"/>
    <d v="2023-01-29T00:00:00"/>
    <x v="0"/>
    <x v="27"/>
  </r>
  <r>
    <s v="ORD-2024-446699"/>
    <d v="2024-08-28T00:00:00"/>
    <d v="2024-09-25T00:00:00"/>
    <x v="1"/>
    <x v="4"/>
    <s v="Rio de Janeiro"/>
    <s v="Non-Profit"/>
    <x v="1"/>
    <x v="15"/>
    <s v="Accessories"/>
    <x v="75"/>
    <n v="1394.65"/>
    <n v="3144.1"/>
    <n v="0.13400000000000001"/>
    <n v="13"/>
    <s v="Valid"/>
    <n v="3144.1"/>
    <b v="0"/>
    <n v="0.13400000000000001"/>
    <n v="28"/>
    <d v="2024-09-25T00:00:00"/>
    <n v="28"/>
    <n v="4081852.9777999995"/>
    <n v="40873.299999999996"/>
    <n v="4040979.6777999997"/>
    <n v="0.98998658201990675"/>
    <s v="Aug-2024"/>
    <s v="Q3-2024"/>
    <s v="Americas → Brazil → Rio de Janeiro"/>
    <x v="0"/>
    <s v="Medium"/>
    <s v="BRAZIL"/>
    <d v="2023-01-29T00:00:00"/>
    <x v="0"/>
    <x v="20"/>
  </r>
  <r>
    <s v="ORD-2024-451005"/>
    <d v="2024-06-30T00:00:00"/>
    <d v="2024-06-28T00:00:00"/>
    <x v="1"/>
    <x v="4"/>
    <s v="Rio de Janeiro"/>
    <s v="Small Business"/>
    <x v="4"/>
    <x v="14"/>
    <s v="Accessories"/>
    <x v="76"/>
    <n v="1112.98"/>
    <n v="2095.73"/>
    <n v="7.1999999999999995E-2"/>
    <n v="17"/>
    <s v="Valid"/>
    <n v="2095.73"/>
    <b v="0"/>
    <n v="7.1999999999999995E-2"/>
    <n v="-2"/>
    <d v="2024-07-07T00:00:00"/>
    <n v="7"/>
    <n v="3560175.8264800003"/>
    <n v="35627.410000000003"/>
    <n v="3524548.4164800001"/>
    <n v="0.98999279481226476"/>
    <s v="Jun-2024"/>
    <s v="Q2-2024"/>
    <s v="Americas → Brazil → Rio de Janeiro"/>
    <x v="0"/>
    <s v="Medium"/>
    <s v="BRAZIL"/>
    <d v="2023-01-29T00:00:00"/>
    <x v="0"/>
    <x v="16"/>
  </r>
  <r>
    <s v="ORD-2023-290279"/>
    <d v="2023-06-14T00:00:00"/>
    <d v="2023-06-16T00:00:00"/>
    <x v="3"/>
    <x v="8"/>
    <s v="Manchester"/>
    <s v="Non-Profit"/>
    <x v="4"/>
    <x v="10"/>
    <s v="Components"/>
    <x v="77"/>
    <n v="357.36"/>
    <n v="703.62"/>
    <n v="0.25700000000000001"/>
    <n v="20"/>
    <s v="Valid"/>
    <n v="703.62"/>
    <b v="0"/>
    <n v="0.25700000000000001"/>
    <n v="2"/>
    <d v="2023-06-16T00:00:00"/>
    <n v="2"/>
    <n v="1403623.3931999998"/>
    <n v="14072.4"/>
    <n v="1389550.9931999999"/>
    <n v="0.98997423378081673"/>
    <s v="Jun-2023"/>
    <s v="Q2-2023"/>
    <s v="Europe → United Kingdom → Manchester"/>
    <x v="0"/>
    <s v="Low"/>
    <s v="UNITED KINGDOM"/>
    <d v="2023-01-19T00:00:00"/>
    <x v="0"/>
    <x v="22"/>
  </r>
  <r>
    <s v="ORD-2024-192263"/>
    <d v="2024-11-21T00:00:00"/>
    <d v="2024-12-21T00:00:00"/>
    <x v="3"/>
    <x v="7"/>
    <s v="Marseille"/>
    <s v="Small Business"/>
    <x v="4"/>
    <x v="2"/>
    <s v="Monitors"/>
    <x v="78"/>
    <n v="1122.68"/>
    <n v="1997.19"/>
    <n v="0.186"/>
    <n v="3"/>
    <s v="Valid"/>
    <n v="1997.19"/>
    <b v="0"/>
    <n v="0.186"/>
    <n v="30"/>
    <d v="2024-12-21T00:00:00"/>
    <n v="30"/>
    <n v="598042.56797999993"/>
    <n v="5991.57"/>
    <n v="592050.99797999999"/>
    <n v="0.98998136533953163"/>
    <s v="Nov-2024"/>
    <s v="Q4-2024"/>
    <s v="Europe → France → Marseille"/>
    <x v="1"/>
    <s v="High"/>
    <s v="FRANCE"/>
    <d v="2023-01-10T00:00:00"/>
    <x v="0"/>
    <x v="17"/>
  </r>
  <r>
    <s v="ORD-2023-159379"/>
    <d v="2023-02-08T00:00:00"/>
    <d v="2023-02-11T00:00:00"/>
    <x v="0"/>
    <x v="11"/>
    <s v="Cape Town"/>
    <s v="Corporate"/>
    <x v="4"/>
    <x v="11"/>
    <s v="Networking"/>
    <x v="79"/>
    <n v="1410.05"/>
    <n v="2763.95"/>
    <n v="0.161"/>
    <n v="26"/>
    <s v="Valid"/>
    <n v="2763.95"/>
    <b v="0"/>
    <n v="0.161"/>
    <n v="3"/>
    <d v="2023-02-11T00:00:00"/>
    <n v="3"/>
    <n v="7174700.1052999999"/>
    <n v="71862.7"/>
    <n v="7102837.4052999998"/>
    <n v="0.9899838740371999"/>
    <s v="Feb-2023"/>
    <s v="Q1-2023"/>
    <s v="Africa → South Africa → Cape Town"/>
    <x v="0"/>
    <s v="Low"/>
    <s v="SOUTH AFRICA"/>
    <d v="2023-01-07T00:00:00"/>
    <x v="0"/>
    <x v="2"/>
  </r>
  <r>
    <s v="ORD-2023-343322"/>
    <d v="2023-08-19T00:00:00"/>
    <d v="2023-09-12T00:00:00"/>
    <x v="1"/>
    <x v="2"/>
    <s v="Vancouver"/>
    <s v="Enterprise"/>
    <x v="0"/>
    <x v="2"/>
    <s v="Printers"/>
    <x v="80"/>
    <n v="1183.95"/>
    <n v="1503.53"/>
    <n v="0.24099999999999999"/>
    <n v="16"/>
    <s v="Valid"/>
    <n v="1503.53"/>
    <b v="0"/>
    <n v="0.24099999999999999"/>
    <n v="24"/>
    <d v="2023-09-12T00:00:00"/>
    <n v="24"/>
    <n v="2399850.3883199999"/>
    <n v="24056.48"/>
    <n v="2375793.9083199999"/>
    <n v="0.98997584177868669"/>
    <s v="Aug-2023"/>
    <s v="Q3-2023"/>
    <s v="Americas → Canada → Vancouver"/>
    <x v="1"/>
    <s v="Low"/>
    <s v="CANADA"/>
    <d v="2023-01-02T00:00:00"/>
    <x v="0"/>
    <x v="24"/>
  </r>
  <r>
    <s v="ORD-2025-114382"/>
    <d v="2025-05-14T00:00:00"/>
    <d v="2025-05-24T00:00:00"/>
    <x v="3"/>
    <x v="7"/>
    <s v="Paris"/>
    <s v="Small Business"/>
    <x v="2"/>
    <x v="10"/>
    <s v="Components"/>
    <x v="81"/>
    <n v="170.39"/>
    <n v="388.04"/>
    <n v="8.4000000000000005E-2"/>
    <n v="15"/>
    <s v="Valid"/>
    <n v="388.04"/>
    <b v="0"/>
    <n v="8.4000000000000005E-2"/>
    <n v="10"/>
    <d v="2025-05-24T00:00:00"/>
    <n v="10"/>
    <n v="581571.06960000005"/>
    <n v="5820.6"/>
    <n v="575750.46960000007"/>
    <n v="0.98999159293806804"/>
    <s v="May-2025"/>
    <s v="Q2-2025"/>
    <s v="Europe → France → Paris"/>
    <x v="0"/>
    <s v="High"/>
    <s v="FRANCE"/>
    <d v="2023-01-10T00:00:00"/>
    <x v="0"/>
    <x v="7"/>
  </r>
  <r>
    <s v="ORD-2025-488349"/>
    <d v="2025-04-23T00:00:00"/>
    <d v="2025-04-22T00:00:00"/>
    <x v="1"/>
    <x v="10"/>
    <s v="San Francisco"/>
    <s v="Non-Profit"/>
    <x v="3"/>
    <x v="13"/>
    <s v="Monitors"/>
    <x v="82"/>
    <n v="23.24"/>
    <n v="44.57"/>
    <n v="0.215"/>
    <n v="15"/>
    <s v="Valid"/>
    <n v="44.57"/>
    <b v="0"/>
    <n v="0.215"/>
    <n v="-1"/>
    <d v="2025-04-30T00:00:00"/>
    <n v="7"/>
    <n v="66711.261749999991"/>
    <n v="668.55"/>
    <n v="66042.711749999988"/>
    <n v="0.98997845367540205"/>
    <s v="Apr-2025"/>
    <s v="Q2-2025"/>
    <s v="Americas → USA → San Francisco"/>
    <x v="1"/>
    <s v="High"/>
    <s v="USA"/>
    <d v="2023-01-13T00:00:00"/>
    <x v="0"/>
    <x v="18"/>
  </r>
  <r>
    <s v="ORD-2025-330203"/>
    <d v="2025-03-25T00:00:00"/>
    <d v="2025-04-17T00:00:00"/>
    <x v="3"/>
    <x v="8"/>
    <s v="London"/>
    <s v="Consumer"/>
    <x v="0"/>
    <x v="9"/>
    <s v="Networking"/>
    <x v="83"/>
    <n v="1421.19"/>
    <n v="1808.26"/>
    <n v="0.104"/>
    <n v="13"/>
    <s v="Valid"/>
    <n v="1808.26"/>
    <b v="0"/>
    <n v="0.104"/>
    <n v="23"/>
    <d v="2025-04-17T00:00:00"/>
    <n v="23"/>
    <n v="2348293.2324800002"/>
    <n v="23507.38"/>
    <n v="2324785.8524800004"/>
    <n v="0.98998958917273971"/>
    <s v="Mar-2025"/>
    <s v="Q1-2025"/>
    <s v="Europe → United Kingdom → London"/>
    <x v="0"/>
    <s v="High"/>
    <s v="UNITED KINGDOM"/>
    <d v="2023-01-19T00:00:00"/>
    <x v="0"/>
    <x v="3"/>
  </r>
  <r>
    <s v="ORD-2023-841426"/>
    <d v="2023-12-22T00:00:00"/>
    <d v="2023-12-23T00:00:00"/>
    <x v="0"/>
    <x v="11"/>
    <s v="Cape Town"/>
    <s v="Non-Profit"/>
    <x v="2"/>
    <x v="13"/>
    <s v="Components"/>
    <x v="84"/>
    <n v="1186.18"/>
    <n v="1285.0899999999999"/>
    <n v="7.0000000000000007E-2"/>
    <n v="11"/>
    <s v="Valid"/>
    <n v="1285.0899999999999"/>
    <b v="0"/>
    <n v="7.0000000000000007E-2"/>
    <n v="1"/>
    <d v="2023-12-23T00:00:00"/>
    <n v="1"/>
    <n v="1412609.4807000002"/>
    <n v="14135.99"/>
    <n v="1398473.4907000002"/>
    <n v="0.98999299509656757"/>
    <s v="Dec-2023"/>
    <s v="Q4-2023"/>
    <s v="Africa → South Africa → Cape Town"/>
    <x v="0"/>
    <s v="Medium"/>
    <s v="SOUTH AFRICA"/>
    <d v="2023-01-07T00:00:00"/>
    <x v="0"/>
    <x v="26"/>
  </r>
  <r>
    <s v="ORD-2024-594592"/>
    <d v="2024-04-06T00:00:00"/>
    <d v="2024-04-25T00:00:00"/>
    <x v="2"/>
    <x v="9"/>
    <s v="Shanghai"/>
    <s v="Corporate"/>
    <x v="0"/>
    <x v="10"/>
    <s v="Components"/>
    <x v="85"/>
    <n v="1366.48"/>
    <n v="1678.14"/>
    <n v="0.154"/>
    <n v="10"/>
    <s v="Valid"/>
    <n v="1678.14"/>
    <b v="0"/>
    <n v="0.154"/>
    <n v="19"/>
    <d v="2024-04-25T00:00:00"/>
    <n v="19"/>
    <n v="1675555.6644000001"/>
    <n v="16781.400000000001"/>
    <n v="1658774.2644000002"/>
    <n v="0.98998457624742109"/>
    <s v="Apr-2024"/>
    <s v="Q2-2024"/>
    <s v="Asia → China → Shanghai"/>
    <x v="0"/>
    <s v="Medium"/>
    <s v="CHINA"/>
    <d v="2023-01-12T00:00:00"/>
    <x v="0"/>
    <x v="19"/>
  </r>
  <r>
    <s v="ORD-2025-863978"/>
    <d v="2025-08-07T00:00:00"/>
    <d v="2025-08-19T00:00:00"/>
    <x v="0"/>
    <x v="0"/>
    <s v="Nakuru"/>
    <s v="Corporate"/>
    <x v="5"/>
    <x v="11"/>
    <s v="Components"/>
    <x v="86"/>
    <n v="601.51"/>
    <n v="679.35"/>
    <n v="0.188"/>
    <n v="3"/>
    <s v="Valid"/>
    <n v="679.35"/>
    <b v="0"/>
    <n v="0.188"/>
    <n v="12"/>
    <d v="2025-08-19T00:00:00"/>
    <n v="12"/>
    <n v="203421.84660000002"/>
    <n v="2038.0500000000002"/>
    <n v="201383.79660000003"/>
    <n v="0.9899811645894282"/>
    <s v="Aug-2025"/>
    <s v="Q3-2025"/>
    <s v="Africa → Kenya → Nakuru"/>
    <x v="0"/>
    <s v="High"/>
    <s v="KENYA"/>
    <d v="2023-01-20T00:00:00"/>
    <x v="0"/>
    <x v="28"/>
  </r>
  <r>
    <s v="ORD-2024-604471"/>
    <d v="2024-01-21T00:00:00"/>
    <d v="2024-01-25T00:00:00"/>
    <x v="2"/>
    <x v="3"/>
    <s v="Delhi"/>
    <s v="Consumer"/>
    <x v="4"/>
    <x v="0"/>
    <s v="Monitors"/>
    <x v="87"/>
    <n v="523.70000000000005"/>
    <n v="1109.92"/>
    <n v="0.03"/>
    <n v="11"/>
    <s v="Valid"/>
    <n v="1109.92"/>
    <b v="0"/>
    <n v="0.03"/>
    <n v="4"/>
    <d v="2024-01-25T00:00:00"/>
    <n v="4"/>
    <n v="1220545.7264"/>
    <n v="12209.12"/>
    <n v="1208336.6063999999"/>
    <n v="0.98999699909972982"/>
    <s v="Jan-2024"/>
    <s v="Q1-2024"/>
    <s v="Asia → India → Delhi"/>
    <x v="1"/>
    <s v="Medium"/>
    <s v="INDIA"/>
    <d v="2023-01-29T00:00:00"/>
    <x v="0"/>
    <x v="8"/>
  </r>
  <r>
    <s v="ORD-2023-258768"/>
    <d v="2023-06-29T00:00:00"/>
    <d v="2023-07-02T00:00:00"/>
    <x v="2"/>
    <x v="6"/>
    <s v="Nagoya"/>
    <s v="Education"/>
    <x v="2"/>
    <x v="8"/>
    <s v="Monitors"/>
    <x v="88"/>
    <n v="55.65"/>
    <n v="83.57"/>
    <n v="6.6000000000000003E-2"/>
    <n v="8"/>
    <s v="Valid"/>
    <n v="83.57"/>
    <b v="0"/>
    <n v="6.6000000000000003E-2"/>
    <n v="3"/>
    <d v="2023-07-02T00:00:00"/>
    <n v="3"/>
    <n v="66811.875039999999"/>
    <n v="668.56"/>
    <n v="66143.315040000001"/>
    <n v="0.98999339564112321"/>
    <s v="Jun-2023"/>
    <s v="Q2-2023"/>
    <s v="Asia → Japan → Nagoya"/>
    <x v="1"/>
    <s v="Low"/>
    <s v="JAPAN"/>
    <d v="2023-03-03T00:00:00"/>
    <x v="1"/>
    <x v="22"/>
  </r>
  <r>
    <s v="ORD-2025-626047"/>
    <d v="2025-04-28T00:00:00"/>
    <d v="2025-05-15T00:00:00"/>
    <x v="2"/>
    <x v="6"/>
    <s v="Nagoya"/>
    <s v="Education"/>
    <x v="4"/>
    <x v="12"/>
    <s v="Networking"/>
    <x v="89"/>
    <n v="691.19"/>
    <n v="1284.3"/>
    <n v="7.3999999999999996E-2"/>
    <n v="7"/>
    <s v="Valid"/>
    <n v="1284.3"/>
    <b v="0"/>
    <n v="7.3999999999999996E-2"/>
    <n v="17"/>
    <d v="2025-05-15T00:00:00"/>
    <n v="17"/>
    <n v="898344.7326000001"/>
    <n v="8990.1"/>
    <n v="889354.63260000013"/>
    <n v="0.98999259451994481"/>
    <s v="Apr-2025"/>
    <s v="Q2-2025"/>
    <s v="Asia → Japan → Nagoya"/>
    <x v="0"/>
    <s v="High"/>
    <s v="JAPAN"/>
    <d v="2023-03-03T00:00:00"/>
    <x v="1"/>
    <x v="18"/>
  </r>
  <r>
    <s v="ORD-2025-526752"/>
    <d v="2025-06-09T00:00:00"/>
    <d v="2025-06-25T00:00:00"/>
    <x v="2"/>
    <x v="3"/>
    <s v="Hyderabad"/>
    <s v="Enterprise"/>
    <x v="3"/>
    <x v="11"/>
    <s v="Phones"/>
    <x v="90"/>
    <n v="527.33000000000004"/>
    <n v="911.72"/>
    <n v="0.14399999999999999"/>
    <n v="25"/>
    <s v="Valid"/>
    <n v="911.72"/>
    <b v="0"/>
    <n v="0.14399999999999999"/>
    <n v="16"/>
    <d v="2025-06-25T00:00:00"/>
    <n v="16"/>
    <n v="2276017.8079999997"/>
    <n v="22793"/>
    <n v="2253224.8079999997"/>
    <n v="0.98998557923409713"/>
    <s v="Jun-2025"/>
    <s v="Q2-2025"/>
    <s v="Asia → India → Hyderabad"/>
    <x v="2"/>
    <s v="High"/>
    <s v="INDIA"/>
    <d v="2023-01-29T00:00:00"/>
    <x v="0"/>
    <x v="15"/>
  </r>
  <r>
    <s v="ORD-2023-374486"/>
    <d v="2023-06-24T00:00:00"/>
    <d v="2023-06-23T00:00:00"/>
    <x v="1"/>
    <x v="4"/>
    <s v="Rio de Janeiro"/>
    <s v="Non-Profit"/>
    <x v="0"/>
    <x v="5"/>
    <s v="Printers"/>
    <x v="91"/>
    <n v="804.01"/>
    <n v="1405.07"/>
    <n v="9.6000000000000002E-2"/>
    <n v="8"/>
    <s v="Valid"/>
    <n v="1405.07"/>
    <b v="0"/>
    <n v="9.6000000000000002E-2"/>
    <n v="-1"/>
    <d v="2023-07-01T00:00:00"/>
    <n v="7"/>
    <n v="1122976.9062399999"/>
    <n v="11240.56"/>
    <n v="1111736.3462399999"/>
    <n v="0.98999039077514406"/>
    <s v="Jun-2023"/>
    <s v="Q2-2023"/>
    <s v="Americas → Brazil → Rio de Janeiro"/>
    <x v="1"/>
    <s v="Low"/>
    <s v="BRAZIL"/>
    <d v="2023-01-29T00:00:00"/>
    <x v="0"/>
    <x v="22"/>
  </r>
  <r>
    <s v="ORD-2024-997336"/>
    <d v="2024-10-04T00:00:00"/>
    <d v="2024-11-02T00:00:00"/>
    <x v="0"/>
    <x v="1"/>
    <s v="Abuja"/>
    <s v="Corporate"/>
    <x v="3"/>
    <x v="8"/>
    <s v="Accessories"/>
    <x v="92"/>
    <n v="412.09"/>
    <n v="968.94"/>
    <n v="9.9000000000000005E-2"/>
    <n v="23"/>
    <s v="Valid"/>
    <n v="968.94"/>
    <b v="0"/>
    <n v="9.9000000000000005E-2"/>
    <n v="29"/>
    <d v="2024-11-02T00:00:00"/>
    <n v="29"/>
    <n v="2226355.7236200003"/>
    <n v="22285.620000000003"/>
    <n v="2204070.1036200002"/>
    <n v="0.9899900901892873"/>
    <s v="Oct-2024"/>
    <s v="Q4-2024"/>
    <s v="Africa → Nigeria → Abuja"/>
    <x v="0"/>
    <s v="Medium"/>
    <s v="NIGERIA"/>
    <d v="2023-01-15T00:00:00"/>
    <x v="0"/>
    <x v="1"/>
  </r>
  <r>
    <s v="ORD-2025-725646"/>
    <d v="2025-09-10T00:00:00"/>
    <d v="2025-09-30T00:00:00"/>
    <x v="0"/>
    <x v="0"/>
    <s v="Mombasa"/>
    <s v="Corporate"/>
    <x v="4"/>
    <x v="14"/>
    <s v="Phones"/>
    <x v="93"/>
    <n v="1009.48"/>
    <n v="1088.81"/>
    <n v="0.16"/>
    <n v="6"/>
    <s v="Valid"/>
    <n v="1088.81"/>
    <b v="0"/>
    <n v="0.16"/>
    <n v="20"/>
    <d v="2025-09-30T00:00:00"/>
    <n v="20"/>
    <n v="652240.74239999999"/>
    <n v="6532.86"/>
    <n v="645707.8824"/>
    <n v="0.98998397435897434"/>
    <s v="Sep-2025"/>
    <s v="Q3-2025"/>
    <s v="Africa → Kenya → Mombasa"/>
    <x v="2"/>
    <s v="High"/>
    <s v="KENYA"/>
    <d v="2023-01-20T00:00:00"/>
    <x v="0"/>
    <x v="10"/>
  </r>
  <r>
    <s v="ORD-2023-868734"/>
    <d v="2023-04-06T00:00:00"/>
    <d v="2023-04-27T00:00:00"/>
    <x v="3"/>
    <x v="8"/>
    <s v="Manchester"/>
    <s v="Enterprise"/>
    <x v="3"/>
    <x v="2"/>
    <s v="Printers"/>
    <x v="94"/>
    <n v="1084.79"/>
    <n v="2484.9899999999998"/>
    <n v="3.4000000000000002E-2"/>
    <n v="18"/>
    <s v="Valid"/>
    <n v="2484.9899999999998"/>
    <b v="0"/>
    <n v="3.4000000000000002E-2"/>
    <n v="21"/>
    <d v="2023-04-27T00:00:00"/>
    <n v="21"/>
    <n v="4471461.1861199988"/>
    <n v="44729.819999999992"/>
    <n v="4426731.3661199985"/>
    <n v="0.9899965988436068"/>
    <s v="Apr-2023"/>
    <s v="Q2-2023"/>
    <s v="Europe → United Kingdom → Manchester"/>
    <x v="1"/>
    <s v="Low"/>
    <s v="UNITED KINGDOM"/>
    <d v="2023-01-19T00:00:00"/>
    <x v="0"/>
    <x v="11"/>
  </r>
  <r>
    <s v="ORD-2025-262491"/>
    <d v="2025-08-01T00:00:00"/>
    <d v="2025-08-16T00:00:00"/>
    <x v="2"/>
    <x v="3"/>
    <s v="Unknown City "/>
    <s v="Enterprise"/>
    <x v="4"/>
    <x v="6"/>
    <s v="Monitors"/>
    <x v="95"/>
    <n v="24.44"/>
    <n v="28.69"/>
    <n v="0.14599999999999999"/>
    <n v="6"/>
    <s v="Valid"/>
    <n v="28.69"/>
    <b v="0"/>
    <n v="0.14599999999999999"/>
    <n v="15"/>
    <d v="2025-08-16T00:00:00"/>
    <n v="15"/>
    <n v="17188.867560000002"/>
    <n v="172.14000000000001"/>
    <n v="17016.727560000003"/>
    <n v="0.9899853786528332"/>
    <s v="Aug-2025"/>
    <s v="Q3-2025"/>
    <s v="Asia → India → Unknown City "/>
    <x v="1"/>
    <s v="High"/>
    <s v="INDIA"/>
    <d v="2023-01-29T00:00:00"/>
    <x v="0"/>
    <x v="28"/>
  </r>
  <r>
    <s v="ORD-2024-638884"/>
    <d v="2024-05-28T00:00:00"/>
    <d v="2024-05-26T00:00:00"/>
    <x v="0"/>
    <x v="1"/>
    <s v="Abuja"/>
    <s v="Enterprise"/>
    <x v="1"/>
    <x v="8"/>
    <s v="Accessories"/>
    <x v="96"/>
    <n v="1227.08"/>
    <n v="1896.62"/>
    <n v="0"/>
    <n v="18"/>
    <s v="Valid"/>
    <n v="1896.62"/>
    <b v="0"/>
    <n v="0"/>
    <n v="-2"/>
    <d v="2024-06-04T00:00:00"/>
    <n v="7"/>
    <n v="3413915.9999999995"/>
    <n v="34139.159999999996"/>
    <n v="3379776.8399999994"/>
    <n v="0.99"/>
    <s v="May-2024"/>
    <s v="Q2-2024"/>
    <s v="Africa → Nigeria → Abuja"/>
    <x v="0"/>
    <s v="Medium"/>
    <s v="NIGERIA"/>
    <d v="2023-01-15T00:00:00"/>
    <x v="0"/>
    <x v="6"/>
  </r>
  <r>
    <s v="ORD-2025-541501"/>
    <d v="2025-07-22T00:00:00"/>
    <d v="2025-08-18T00:00:00"/>
    <x v="2"/>
    <x v="9"/>
    <s v="Shenzhen"/>
    <s v="Non-Profit"/>
    <x v="2"/>
    <x v="11"/>
    <s v="Networking"/>
    <x v="97"/>
    <n v="547.32000000000005"/>
    <n v="419.17"/>
    <n v="9.1999999999999998E-2"/>
    <n v="14"/>
    <s v="Valid"/>
    <n v="419.17"/>
    <b v="0"/>
    <n v="9.1999999999999998E-2"/>
    <n v="27"/>
    <d v="2025-08-18T00:00:00"/>
    <n v="27"/>
    <n v="586298.10904000001"/>
    <n v="5868.38"/>
    <n v="580429.72904000001"/>
    <n v="0.9899907915282059"/>
    <s v="Jul-2025"/>
    <s v="Q3-2025"/>
    <s v="Asia → China → Shenzhen"/>
    <x v="0"/>
    <s v="High"/>
    <s v="CHINA"/>
    <d v="2023-01-12T00:00:00"/>
    <x v="0"/>
    <x v="12"/>
  </r>
  <r>
    <s v="ORD-2023-422918"/>
    <d v="2023-02-28T00:00:00"/>
    <d v="2023-03-20T00:00:00"/>
    <x v="3"/>
    <x v="5"/>
    <s v="Berlin"/>
    <s v="Small Business"/>
    <x v="4"/>
    <x v="9"/>
    <s v="Laptops"/>
    <x v="98"/>
    <n v="1200.78"/>
    <n v="2001.17"/>
    <n v="0.29199999999999998"/>
    <n v="18"/>
    <s v="Valid"/>
    <n v="2001.17"/>
    <b v="0"/>
    <n v="0.29199999999999998"/>
    <n v="20"/>
    <d v="2023-03-20T00:00:00"/>
    <n v="20"/>
    <n v="3591587.8504799996"/>
    <n v="36021.06"/>
    <n v="3555566.7904799995"/>
    <n v="0.98997071448630003"/>
    <s v="Feb-2023"/>
    <s v="Q1-2023"/>
    <s v="Europe → Germany → Berlin"/>
    <x v="2"/>
    <s v="Low"/>
    <s v="GERMANY"/>
    <d v="2023-01-22T00:00:00"/>
    <x v="0"/>
    <x v="2"/>
  </r>
  <r>
    <s v="ORD-2025-328504"/>
    <d v="2025-01-27T00:00:00"/>
    <d v="2025-02-15T00:00:00"/>
    <x v="2"/>
    <x v="9"/>
    <s v="Shenzhen"/>
    <s v="Non-Profit"/>
    <x v="4"/>
    <x v="14"/>
    <s v="Phones"/>
    <x v="99"/>
    <n v="1253.22"/>
    <n v="3104.71"/>
    <n v="0"/>
    <n v="17"/>
    <s v="Valid"/>
    <n v="3104.71"/>
    <b v="0"/>
    <n v="0"/>
    <n v="19"/>
    <d v="2025-02-15T00:00:00"/>
    <n v="19"/>
    <n v="5278007"/>
    <n v="52780.07"/>
    <n v="5225226.93"/>
    <n v="0.99"/>
    <s v="Jan-2025"/>
    <s v="Q1-2025"/>
    <s v="Asia → China → Shenzhen"/>
    <x v="2"/>
    <s v="High"/>
    <s v="CHINA"/>
    <d v="2023-01-12T00:00:00"/>
    <x v="0"/>
    <x v="9"/>
  </r>
  <r>
    <s v="ORD-2024-851883"/>
    <d v="2024-01-13T00:00:00"/>
    <d v="2024-01-22T00:00:00"/>
    <x v="2"/>
    <x v="3"/>
    <s v="Mumbai"/>
    <s v="Enterprise"/>
    <x v="2"/>
    <x v="1"/>
    <s v="Components"/>
    <x v="100"/>
    <n v="313.60000000000002"/>
    <n v="334.28"/>
    <n v="0.14000000000000001"/>
    <n v="22"/>
    <s v="Valid"/>
    <n v="334.28"/>
    <b v="0"/>
    <n v="0.14000000000000001"/>
    <n v="9"/>
    <d v="2024-01-22T00:00:00"/>
    <n v="9"/>
    <n v="734386.41759999993"/>
    <n v="7354.16"/>
    <n v="727032.2575999999"/>
    <n v="0.9899859803725215"/>
    <s v="Jan-2024"/>
    <s v="Q1-2024"/>
    <s v="Asia → India → Mumbai"/>
    <x v="0"/>
    <s v="Medium"/>
    <s v="INDIA"/>
    <d v="2023-01-29T00:00:00"/>
    <x v="0"/>
    <x v="8"/>
  </r>
  <r>
    <s v="ORD-2025-662997"/>
    <d v="2025-03-31T00:00:00"/>
    <d v="2025-04-04T00:00:00"/>
    <x v="0"/>
    <x v="0"/>
    <s v="Nakuru"/>
    <s v="Corporate"/>
    <x v="4"/>
    <x v="0"/>
    <s v="Laptops"/>
    <x v="101"/>
    <n v="862.08"/>
    <n v="1952.83"/>
    <n v="0"/>
    <n v="7"/>
    <s v="Valid"/>
    <n v="1952.83"/>
    <b v="0"/>
    <n v="0"/>
    <n v="4"/>
    <d v="2025-04-04T00:00:00"/>
    <n v="4"/>
    <n v="1366981"/>
    <n v="13669.81"/>
    <n v="1353311.19"/>
    <n v="0.99"/>
    <s v="Mar-2025"/>
    <s v="Q1-2025"/>
    <s v="Africa → Kenya → Nakuru"/>
    <x v="2"/>
    <s v="High"/>
    <s v="KENYA"/>
    <d v="2023-01-20T00:00:00"/>
    <x v="0"/>
    <x v="3"/>
  </r>
  <r>
    <s v="ORD-2024-478165"/>
    <d v="2024-12-05T00:00:00"/>
    <d v="2024-12-28T00:00:00"/>
    <x v="1"/>
    <x v="2"/>
    <s v="Vancouver"/>
    <s v="Corporate"/>
    <x v="4"/>
    <x v="8"/>
    <s v="Accessories"/>
    <x v="102"/>
    <n v="107.03"/>
    <n v="242.29"/>
    <n v="0.18"/>
    <n v="30"/>
    <s v="Valid"/>
    <n v="242.29"/>
    <b v="0"/>
    <n v="0.18"/>
    <n v="23"/>
    <d v="2024-12-28T00:00:00"/>
    <n v="23"/>
    <n v="725561.63399999996"/>
    <n v="7268.7"/>
    <n v="718292.93400000001"/>
    <n v="0.98998196754157486"/>
    <s v="Dec-2024"/>
    <s v="Q4-2024"/>
    <s v="Americas → Canada → Vancouver"/>
    <x v="0"/>
    <s v="High"/>
    <s v="CANADA"/>
    <d v="2023-01-02T00:00:00"/>
    <x v="0"/>
    <x v="5"/>
  </r>
  <r>
    <s v="ORD-2024-771210"/>
    <d v="2024-09-14T00:00:00"/>
    <d v="2024-10-05T00:00:00"/>
    <x v="2"/>
    <x v="9"/>
    <s v="Shanghai"/>
    <s v="Small Business"/>
    <x v="1"/>
    <x v="9"/>
    <s v="Laptops"/>
    <x v="103"/>
    <n v="1405.56"/>
    <n v="2968.87"/>
    <n v="0.16900000000000001"/>
    <n v="5"/>
    <s v="Valid"/>
    <n v="2968.87"/>
    <b v="0"/>
    <n v="0.16900000000000001"/>
    <n v="21"/>
    <d v="2024-10-05T00:00:00"/>
    <n v="21"/>
    <n v="1481926.30485"/>
    <n v="14844.349999999999"/>
    <n v="1467081.9548499999"/>
    <n v="0.98998307139065012"/>
    <s v="Sep-2024"/>
    <s v="Q3-2024"/>
    <s v="Asia → China → Shanghai"/>
    <x v="2"/>
    <s v="Medium"/>
    <s v="CHINA"/>
    <d v="2023-01-12T00:00:00"/>
    <x v="0"/>
    <x v="29"/>
  </r>
  <r>
    <s v="ORD-2024-155337"/>
    <d v="2024-05-21T00:00:00"/>
    <d v="2024-05-27T00:00:00"/>
    <x v="0"/>
    <x v="11"/>
    <s v="Johannesburg"/>
    <s v="Non-Profit"/>
    <x v="1"/>
    <x v="11"/>
    <s v="Components"/>
    <x v="104"/>
    <n v="1157.51"/>
    <n v="1394.3"/>
    <n v="0.27800000000000002"/>
    <n v="12"/>
    <s v="Valid"/>
    <n v="1394.3"/>
    <b v="0"/>
    <n v="0.27800000000000002"/>
    <n v="6"/>
    <d v="2024-05-27T00:00:00"/>
    <n v="6"/>
    <n v="1668508.6151999997"/>
    <n v="16731.599999999999"/>
    <n v="1651777.0151999996"/>
    <n v="0.98997212250055144"/>
    <s v="May-2024"/>
    <s v="Q2-2024"/>
    <s v="Africa → South Africa → Johannesburg"/>
    <x v="0"/>
    <s v="Medium"/>
    <s v="SOUTH AFRICA"/>
    <d v="2023-01-07T00:00:00"/>
    <x v="0"/>
    <x v="6"/>
  </r>
  <r>
    <s v="ORD-2023-251563"/>
    <d v="2023-05-11T00:00:00"/>
    <d v="2023-06-07T00:00:00"/>
    <x v="0"/>
    <x v="0"/>
    <s v="Mombasa"/>
    <s v="Corporate"/>
    <x v="1"/>
    <x v="1"/>
    <s v="Phones"/>
    <x v="105"/>
    <n v="12.85"/>
    <n v="15.41"/>
    <n v="0.13700000000000001"/>
    <n v="39"/>
    <s v="Valid"/>
    <n v="15.41"/>
    <b v="0"/>
    <n v="0.13700000000000001"/>
    <n v="27"/>
    <d v="2023-06-07T00:00:00"/>
    <n v="27"/>
    <n v="60016.664369999999"/>
    <n v="600.99"/>
    <n v="59415.674370000001"/>
    <n v="0.98998628120525123"/>
    <s v="May-2023"/>
    <s v="Q2-2023"/>
    <s v="Africa → Kenya → Mombasa"/>
    <x v="2"/>
    <s v="Low"/>
    <s v="KENYA"/>
    <d v="2023-01-20T00:00:00"/>
    <x v="0"/>
    <x v="14"/>
  </r>
  <r>
    <s v="ORD-2024-286833"/>
    <d v="2024-08-14T00:00:00"/>
    <d v="2024-09-04T00:00:00"/>
    <x v="3"/>
    <x v="8"/>
    <s v="Manchester"/>
    <s v="Non-Profit"/>
    <x v="1"/>
    <x v="1"/>
    <s v="Phones"/>
    <x v="106"/>
    <n v="1138.8"/>
    <n v="2250.81"/>
    <n v="0.123"/>
    <n v="12"/>
    <s v="Valid"/>
    <n v="2250.81"/>
    <b v="0"/>
    <n v="0.123"/>
    <n v="21"/>
    <d v="2024-09-04T00:00:00"/>
    <n v="21"/>
    <n v="2697649.8044400001"/>
    <n v="27009.72"/>
    <n v="2670640.0844399999"/>
    <n v="0.98998768485236832"/>
    <s v="Aug-2024"/>
    <s v="Q3-2024"/>
    <s v="Europe → United Kingdom → Manchester"/>
    <x v="2"/>
    <s v="Medium"/>
    <s v="UNITED KINGDOM"/>
    <d v="2023-01-19T00:00:00"/>
    <x v="0"/>
    <x v="20"/>
  </r>
  <r>
    <s v="ORD-2024-792558"/>
    <d v="2024-10-16T00:00:00"/>
    <d v="2024-11-08T00:00:00"/>
    <x v="2"/>
    <x v="6"/>
    <s v="Osaka"/>
    <s v="Small Business"/>
    <x v="0"/>
    <x v="1"/>
    <s v="Networking"/>
    <x v="107"/>
    <n v="82.14"/>
    <n v="166.04"/>
    <n v="0"/>
    <n v="10"/>
    <s v="Valid"/>
    <n v="166.04"/>
    <b v="0"/>
    <n v="0"/>
    <n v="23"/>
    <d v="2024-11-08T00:00:00"/>
    <n v="23"/>
    <n v="166040"/>
    <n v="1660.3999999999999"/>
    <n v="164379.6"/>
    <n v="0.99"/>
    <s v="Oct-2024"/>
    <s v="Q4-2024"/>
    <s v="Asia → Japan → Osaka"/>
    <x v="0"/>
    <s v="Medium"/>
    <s v="JAPAN"/>
    <d v="2023-03-03T00:00:00"/>
    <x v="1"/>
    <x v="1"/>
  </r>
  <r>
    <s v="ORD-2024-166150"/>
    <d v="2024-06-02T00:00:00"/>
    <d v="2024-06-08T00:00:00"/>
    <x v="0"/>
    <x v="0"/>
    <s v="Kisumu"/>
    <s v="Consumer"/>
    <x v="2"/>
    <x v="7"/>
    <s v="Accessories"/>
    <x v="108"/>
    <n v="292.94"/>
    <n v="356.55"/>
    <n v="0.22900000000000001"/>
    <n v="2"/>
    <s v="Valid"/>
    <n v="356.55"/>
    <b v="0"/>
    <n v="0.22900000000000001"/>
    <n v="6"/>
    <d v="2024-06-08T00:00:00"/>
    <n v="6"/>
    <n v="71146.700100000002"/>
    <n v="713.1"/>
    <n v="70433.600099999996"/>
    <n v="0.98997704743863435"/>
    <s v="Jun-2024"/>
    <s v="Q2-2024"/>
    <s v="Africa → Kenya → Kisumu"/>
    <x v="0"/>
    <s v="Medium"/>
    <s v="KENYA"/>
    <d v="2023-01-20T00:00:00"/>
    <x v="0"/>
    <x v="16"/>
  </r>
  <r>
    <s v="ORD-2024-909942"/>
    <d v="2024-06-09T00:00:00"/>
    <d v="2024-07-07T00:00:00"/>
    <x v="2"/>
    <x v="9"/>
    <s v="Shenzhen"/>
    <s v="Corporate"/>
    <x v="1"/>
    <x v="1"/>
    <s v="Components"/>
    <x v="109"/>
    <n v="550.22"/>
    <n v="1025.05"/>
    <n v="0"/>
    <n v="27"/>
    <s v="Valid"/>
    <n v="1025.05"/>
    <b v="0"/>
    <n v="0"/>
    <n v="28"/>
    <d v="2024-07-07T00:00:00"/>
    <n v="28"/>
    <n v="2767635"/>
    <n v="27676.35"/>
    <n v="2739958.65"/>
    <n v="0.99"/>
    <s v="Jun-2024"/>
    <s v="Q2-2024"/>
    <s v="Asia → China → Shenzhen"/>
    <x v="0"/>
    <s v="Medium"/>
    <s v="CHINA"/>
    <d v="2023-01-12T00:00:00"/>
    <x v="0"/>
    <x v="16"/>
  </r>
  <r>
    <s v="ORD-2024-223618"/>
    <d v="2024-06-10T00:00:00"/>
    <d v="2024-06-11T00:00:00"/>
    <x v="3"/>
    <x v="8"/>
    <s v="Birmingham"/>
    <s v="Small Business"/>
    <x v="2"/>
    <x v="11"/>
    <s v="Laptops"/>
    <x v="110"/>
    <n v="1187.1300000000001"/>
    <n v="1795.17"/>
    <n v="1.2E-2"/>
    <n v="17"/>
    <s v="Valid"/>
    <n v="1795.17"/>
    <b v="0"/>
    <n v="1.2E-2"/>
    <n v="1"/>
    <d v="2024-06-11T00:00:00"/>
    <n v="1"/>
    <n v="3051422.7853199998"/>
    <n v="30517.89"/>
    <n v="3020904.8953199997"/>
    <n v="0.98999879985598271"/>
    <s v="Jun-2024"/>
    <s v="Q2-2024"/>
    <s v="Europe → United Kingdom → Birmingham"/>
    <x v="2"/>
    <s v="Medium"/>
    <s v="UNITED KINGDOM"/>
    <d v="2023-01-19T00:00:00"/>
    <x v="0"/>
    <x v="16"/>
  </r>
  <r>
    <s v="ORD-2024-919471"/>
    <d v="2024-06-29T00:00:00"/>
    <d v="2024-07-26T00:00:00"/>
    <x v="0"/>
    <x v="11"/>
    <s v="Durban"/>
    <s v="Enterprise"/>
    <x v="3"/>
    <x v="4"/>
    <s v="Networking"/>
    <x v="111"/>
    <n v="5.36"/>
    <n v="4.37"/>
    <n v="0.11799999999999999"/>
    <n v="9"/>
    <s v="Valid"/>
    <n v="4.37"/>
    <b v="0"/>
    <n v="0.11799999999999999"/>
    <n v="27"/>
    <d v="2024-07-26T00:00:00"/>
    <n v="27"/>
    <n v="3928.3590600000002"/>
    <n v="39.33"/>
    <n v="3889.0290600000003"/>
    <n v="0.9899881860595503"/>
    <s v="Jun-2024"/>
    <s v="Q2-2024"/>
    <s v="Africa → South Africa → Durban"/>
    <x v="0"/>
    <s v="Medium"/>
    <s v="SOUTH AFRICA"/>
    <d v="2023-01-07T00:00:00"/>
    <x v="0"/>
    <x v="16"/>
  </r>
  <r>
    <s v="ORD-2025-649239"/>
    <d v="2025-01-17T00:00:00"/>
    <d v="2025-01-24T00:00:00"/>
    <x v="1"/>
    <x v="10"/>
    <s v="Austin"/>
    <s v="Enterprise"/>
    <x v="1"/>
    <x v="3"/>
    <s v="Accessories"/>
    <x v="112"/>
    <n v="142.09"/>
    <n v="218.5"/>
    <n v="0.11899999999999999"/>
    <n v="11"/>
    <s v="Valid"/>
    <n v="218.5"/>
    <b v="0"/>
    <n v="0.11899999999999999"/>
    <n v="7"/>
    <d v="2025-01-24T00:00:00"/>
    <n v="7"/>
    <n v="240063.9835"/>
    <n v="2403.5"/>
    <n v="237660.4835"/>
    <n v="0.98998808582212838"/>
    <s v="Jan-2025"/>
    <s v="Q1-2025"/>
    <s v="Americas → USA → Austin"/>
    <x v="0"/>
    <s v="High"/>
    <s v="USA"/>
    <d v="2023-01-13T00:00:00"/>
    <x v="0"/>
    <x v="9"/>
  </r>
  <r>
    <s v="ORD-2023-975863"/>
    <d v="2023-11-20T00:00:00"/>
    <d v="2023-12-05T00:00:00"/>
    <x v="2"/>
    <x v="6"/>
    <s v="Tokyo"/>
    <s v="Enterprise"/>
    <x v="0"/>
    <x v="14"/>
    <s v="Networking"/>
    <x v="113"/>
    <n v="354.24"/>
    <n v="249.87"/>
    <n v="0"/>
    <n v="6"/>
    <s v="Valid"/>
    <n v="249.87"/>
    <b v="0"/>
    <n v="0"/>
    <n v="15"/>
    <d v="2023-12-05T00:00:00"/>
    <n v="15"/>
    <n v="149922"/>
    <n v="1499.22"/>
    <n v="148422.78"/>
    <n v="0.99"/>
    <s v="Nov-2023"/>
    <s v="Q4-2023"/>
    <s v="Asia → Japan → Tokyo"/>
    <x v="0"/>
    <s v="Low"/>
    <s v="JAPAN"/>
    <d v="2023-03-03T00:00:00"/>
    <x v="1"/>
    <x v="30"/>
  </r>
  <r>
    <s v="ORD-2023-869884"/>
    <d v="2023-03-02T00:00:00"/>
    <d v="2023-03-05T00:00:00"/>
    <x v="1"/>
    <x v="4"/>
    <s v="Brasília"/>
    <s v="Enterprise"/>
    <x v="4"/>
    <x v="3"/>
    <s v="Monitors"/>
    <x v="114"/>
    <n v="1473.58"/>
    <n v="3436.52"/>
    <n v="0.108"/>
    <n v="8"/>
    <s v="Valid"/>
    <n v="3436.52"/>
    <b v="0"/>
    <n v="0.108"/>
    <n v="3"/>
    <d v="2023-03-05T00:00:00"/>
    <n v="3"/>
    <n v="2746246.8467199998"/>
    <n v="27492.16"/>
    <n v="2718754.6867199996"/>
    <n v="0.98998918832338922"/>
    <s v="Mar-2023"/>
    <s v="Q1-2023"/>
    <s v="Americas → Brazil → Brasília"/>
    <x v="1"/>
    <s v="Low"/>
    <s v="BRAZIL"/>
    <d v="2023-01-29T00:00:00"/>
    <x v="0"/>
    <x v="21"/>
  </r>
  <r>
    <s v="ORD-2025-698069"/>
    <d v="2025-06-03T00:00:00"/>
    <d v="2025-06-10T00:00:00"/>
    <x v="1"/>
    <x v="2"/>
    <s v="Toronto"/>
    <s v="Consumer"/>
    <x v="3"/>
    <x v="6"/>
    <s v="Printers"/>
    <x v="115"/>
    <n v="75.180000000000007"/>
    <n v="53.45"/>
    <n v="0.157"/>
    <n v="17"/>
    <s v="Valid"/>
    <n v="53.45"/>
    <b v="0"/>
    <n v="0.157"/>
    <n v="7"/>
    <d v="2025-06-10T00:00:00"/>
    <n v="7"/>
    <n v="90722.341950000016"/>
    <n v="908.65000000000009"/>
    <n v="89813.691950000022"/>
    <n v="0.98998427531224031"/>
    <s v="Jun-2025"/>
    <s v="Q2-2025"/>
    <s v="Americas → Canada → Toronto"/>
    <x v="1"/>
    <s v="High"/>
    <s v="CANADA"/>
    <d v="2023-01-02T00:00:00"/>
    <x v="0"/>
    <x v="15"/>
  </r>
  <r>
    <s v="ORD-2024-474999"/>
    <d v="2024-12-27T00:00:00"/>
    <d v="2025-01-02T00:00:00"/>
    <x v="3"/>
    <x v="5"/>
    <s v="Frankfurt"/>
    <s v="Education"/>
    <x v="4"/>
    <x v="8"/>
    <s v="Laptops"/>
    <x v="116"/>
    <n v="1391.99"/>
    <n v="3469.7"/>
    <n v="0.184"/>
    <n v="23"/>
    <s v="Valid"/>
    <n v="3469.7"/>
    <b v="0"/>
    <n v="0.184"/>
    <n v="6"/>
    <d v="2025-01-02T00:00:00"/>
    <n v="6"/>
    <n v="7965626.2295999993"/>
    <n v="79803.099999999991"/>
    <n v="7885823.1295999996"/>
    <n v="0.98998156608159016"/>
    <s v="Dec-2024"/>
    <s v="Q4-2024"/>
    <s v="Europe → Germany → Frankfurt"/>
    <x v="2"/>
    <s v="High"/>
    <s v="GERMANY"/>
    <d v="2023-01-22T00:00:00"/>
    <x v="0"/>
    <x v="5"/>
  </r>
  <r>
    <s v="ORD-2023-427304"/>
    <d v="2023-06-09T00:00:00"/>
    <d v="2023-06-19T00:00:00"/>
    <x v="2"/>
    <x v="9"/>
    <s v="Beijing"/>
    <s v="Enterprise"/>
    <x v="0"/>
    <x v="8"/>
    <s v="Monitors"/>
    <x v="117"/>
    <n v="339.61"/>
    <n v="621.02"/>
    <n v="7.0999999999999994E-2"/>
    <n v="10"/>
    <s v="Valid"/>
    <n v="621.02"/>
    <b v="0"/>
    <n v="7.0999999999999994E-2"/>
    <n v="10"/>
    <d v="2023-06-19T00:00:00"/>
    <n v="10"/>
    <n v="620579.07579999999"/>
    <n v="6210.2"/>
    <n v="614368.87580000004"/>
    <n v="0.98999289495541842"/>
    <s v="Jun-2023"/>
    <s v="Q2-2023"/>
    <s v="Asia → China → Beijing"/>
    <x v="1"/>
    <s v="Low"/>
    <s v="CHINA"/>
    <d v="2023-01-12T00:00:00"/>
    <x v="0"/>
    <x v="22"/>
  </r>
  <r>
    <s v="ORD-2025-956101"/>
    <d v="2025-07-09T00:00:00"/>
    <d v="2025-07-18T00:00:00"/>
    <x v="1"/>
    <x v="2"/>
    <s v="Vancouver"/>
    <s v="Education"/>
    <x v="3"/>
    <x v="2"/>
    <s v="Laptops"/>
    <x v="118"/>
    <n v="57.96"/>
    <n v="88.51"/>
    <n v="4.2999999999999997E-2"/>
    <n v="7"/>
    <s v="Valid"/>
    <n v="88.51"/>
    <b v="0"/>
    <n v="4.2999999999999997E-2"/>
    <n v="9"/>
    <d v="2025-07-18T00:00:00"/>
    <n v="9"/>
    <n v="61930.358489999999"/>
    <n v="619.57000000000005"/>
    <n v="61310.788489999999"/>
    <n v="0.98999569815020461"/>
    <s v="Jul-2025"/>
    <s v="Q3-2025"/>
    <s v="Americas → Canada → Vancouver"/>
    <x v="2"/>
    <s v="High"/>
    <s v="CANADA"/>
    <d v="2023-01-02T00:00:00"/>
    <x v="0"/>
    <x v="12"/>
  </r>
  <r>
    <s v="ORD-2025-184082"/>
    <d v="2025-06-19T00:00:00"/>
    <d v="2025-07-12T00:00:00"/>
    <x v="3"/>
    <x v="8"/>
    <s v="Unknown City "/>
    <s v="Non-Profit"/>
    <x v="4"/>
    <x v="15"/>
    <s v="Networking"/>
    <x v="119"/>
    <n v="801.24"/>
    <n v="1959.09"/>
    <n v="0.123"/>
    <n v="23"/>
    <s v="Valid"/>
    <n v="1959.09"/>
    <b v="0"/>
    <n v="0.123"/>
    <n v="23"/>
    <d v="2025-07-12T00:00:00"/>
    <n v="23"/>
    <n v="4500364.7343899999"/>
    <n v="45059.07"/>
    <n v="4455305.6643899996"/>
    <n v="0.98998768485236832"/>
    <s v="Jun-2025"/>
    <s v="Q2-2025"/>
    <s v="Europe → United Kingdom → Unknown City "/>
    <x v="0"/>
    <s v="High"/>
    <s v="UNITED KINGDOM"/>
    <d v="2023-01-19T00:00:00"/>
    <x v="0"/>
    <x v="15"/>
  </r>
  <r>
    <s v="ORD-2023-576840"/>
    <d v="2023-11-19T00:00:00"/>
    <d v="2023-12-13T00:00:00"/>
    <x v="3"/>
    <x v="7"/>
    <s v="Lyon"/>
    <s v="Non-Profit"/>
    <x v="4"/>
    <x v="9"/>
    <s v="Monitors"/>
    <x v="120"/>
    <n v="1297.42"/>
    <n v="2742.97"/>
    <n v="6.9000000000000006E-2"/>
    <n v="9"/>
    <s v="Valid"/>
    <n v="2742.97"/>
    <b v="0"/>
    <n v="6.9000000000000006E-2"/>
    <n v="24"/>
    <d v="2023-12-13T00:00:00"/>
    <n v="24"/>
    <n v="2466969.6156299999"/>
    <n v="24686.73"/>
    <n v="2442282.8856299999"/>
    <n v="0.98999309523571266"/>
    <s v="Nov-2023"/>
    <s v="Q4-2023"/>
    <s v="Europe → France → Lyon"/>
    <x v="1"/>
    <s v="Low"/>
    <s v="FRANCE"/>
    <d v="2023-01-10T00:00:00"/>
    <x v="0"/>
    <x v="30"/>
  </r>
  <r>
    <s v="ORD-2023-178249"/>
    <d v="2023-12-29T00:00:00"/>
    <d v="2024-01-20T00:00:00"/>
    <x v="0"/>
    <x v="0"/>
    <s v="Kisumu"/>
    <s v="Corporate"/>
    <x v="4"/>
    <x v="14"/>
    <s v="Phones"/>
    <x v="121"/>
    <n v="1395.49"/>
    <n v="1679.42"/>
    <n v="0.20300000000000001"/>
    <n v="12"/>
    <s v="Valid"/>
    <n v="1679.42"/>
    <b v="0"/>
    <n v="0.20300000000000001"/>
    <n v="22"/>
    <d v="2024-01-20T00:00:00"/>
    <n v="22"/>
    <n v="2011212.93288"/>
    <n v="20153.04"/>
    <n v="1991059.8928799999"/>
    <n v="0.98997965870717552"/>
    <s v="Dec-2023"/>
    <s v="Q4-2023"/>
    <s v="Africa → Kenya → Kisumu"/>
    <x v="2"/>
    <s v="Medium"/>
    <s v="KENYA"/>
    <d v="2023-01-20T00:00:00"/>
    <x v="0"/>
    <x v="26"/>
  </r>
  <r>
    <s v="ORD-2024-588972"/>
    <d v="2024-11-02T00:00:00"/>
    <d v="2024-11-29T00:00:00"/>
    <x v="1"/>
    <x v="4"/>
    <s v="Brasília"/>
    <s v="Small Business"/>
    <x v="4"/>
    <x v="2"/>
    <s v="Networking"/>
    <x v="122"/>
    <n v="1363.51"/>
    <n v="1433.9"/>
    <n v="5.7000000000000002E-2"/>
    <n v="8"/>
    <s v="Valid"/>
    <n v="1433.9"/>
    <b v="0"/>
    <n v="5.7000000000000002E-2"/>
    <n v="27"/>
    <d v="2024-11-29T00:00:00"/>
    <n v="27"/>
    <n v="1146466.1416"/>
    <n v="11471.2"/>
    <n v="1134994.9416"/>
    <n v="0.98999429674914707"/>
    <s v="Nov-2024"/>
    <s v="Q4-2024"/>
    <s v="Americas → Brazil → Brasília"/>
    <x v="0"/>
    <s v="High"/>
    <s v="BRAZIL"/>
    <d v="2023-01-29T00:00:00"/>
    <x v="0"/>
    <x v="17"/>
  </r>
  <r>
    <s v="ORD-2023-603238"/>
    <d v="2023-08-21T00:00:00"/>
    <d v="2023-09-04T00:00:00"/>
    <x v="1"/>
    <x v="2"/>
    <s v="Montreal"/>
    <s v="Education"/>
    <x v="3"/>
    <x v="8"/>
    <s v="Components"/>
    <x v="123"/>
    <n v="178.19"/>
    <n v="284.43"/>
    <n v="8.8999999999999996E-2"/>
    <n v="8"/>
    <s v="Valid"/>
    <n v="284.43"/>
    <b v="0"/>
    <n v="8.8999999999999996E-2"/>
    <n v="14"/>
    <d v="2023-09-04T00:00:00"/>
    <n v="14"/>
    <n v="227341.48584000001"/>
    <n v="2275.44"/>
    <n v="225066.04584000001"/>
    <n v="0.98999109207194402"/>
    <s v="Aug-2023"/>
    <s v="Q3-2023"/>
    <s v="Americas → Canada → Montreal"/>
    <x v="0"/>
    <s v="Low"/>
    <s v="CANADA"/>
    <d v="2023-01-02T00:00:00"/>
    <x v="0"/>
    <x v="24"/>
  </r>
  <r>
    <s v="ORD-2023-883066"/>
    <d v="2023-08-12T00:00:00"/>
    <d v="2023-09-06T00:00:00"/>
    <x v="2"/>
    <x v="9"/>
    <s v="Shanghai"/>
    <s v="Small Business"/>
    <x v="0"/>
    <x v="4"/>
    <s v="Components"/>
    <x v="124"/>
    <n v="950.77"/>
    <n v="694.78"/>
    <n v="8.4000000000000005E-2"/>
    <n v="14"/>
    <s v="Valid"/>
    <n v="694.78"/>
    <b v="0"/>
    <n v="8.4000000000000005E-2"/>
    <n v="25"/>
    <d v="2023-09-06T00:00:00"/>
    <n v="25"/>
    <n v="971874.93871999998"/>
    <n v="9726.92"/>
    <n v="962148.01871999993"/>
    <n v="0.98999159293806793"/>
    <s v="Aug-2023"/>
    <s v="Q3-2023"/>
    <s v="Asia → China → Shanghai"/>
    <x v="0"/>
    <s v="Low"/>
    <s v="CHINA"/>
    <d v="2023-01-12T00:00:00"/>
    <x v="0"/>
    <x v="24"/>
  </r>
  <r>
    <s v="ORD-2024-584090"/>
    <d v="2024-06-07T00:00:00"/>
    <d v="2024-06-26T00:00:00"/>
    <x v="3"/>
    <x v="5"/>
    <s v="Berlin"/>
    <s v="Non-Profit"/>
    <x v="2"/>
    <x v="11"/>
    <s v="Components"/>
    <x v="125"/>
    <n v="1064.32"/>
    <n v="1848.39"/>
    <n v="7.2999999999999995E-2"/>
    <n v="38"/>
    <s v="Valid"/>
    <n v="1848.39"/>
    <b v="0"/>
    <n v="7.2999999999999995E-2"/>
    <n v="19"/>
    <d v="2024-06-26T00:00:00"/>
    <n v="19"/>
    <n v="7018754.5661400007"/>
    <n v="70238.820000000007"/>
    <n v="6948515.7461400004"/>
    <n v="0.98999269466710693"/>
    <s v="Jun-2024"/>
    <s v="Q2-2024"/>
    <s v="Europe → Germany → Berlin"/>
    <x v="0"/>
    <s v="Medium"/>
    <s v="GERMANY"/>
    <d v="2023-01-22T00:00:00"/>
    <x v="0"/>
    <x v="16"/>
  </r>
  <r>
    <s v="ORD-2025-537785"/>
    <d v="2025-08-05T00:00:00"/>
    <d v="2025-08-14T00:00:00"/>
    <x v="3"/>
    <x v="8"/>
    <s v="London"/>
    <s v="Non-Profit"/>
    <x v="4"/>
    <x v="5"/>
    <s v="Components"/>
    <x v="126"/>
    <n v="41.76"/>
    <n v="45.19"/>
    <n v="0.17899999999999999"/>
    <n v="23"/>
    <s v="Valid"/>
    <n v="45.19"/>
    <b v="0"/>
    <n v="0.17899999999999999"/>
    <n v="9"/>
    <d v="2025-08-14T00:00:00"/>
    <n v="9"/>
    <n v="103750.95276999999"/>
    <n v="1039.3699999999999"/>
    <n v="102711.58276999999"/>
    <n v="0.98998206790154386"/>
    <s v="Aug-2025"/>
    <s v="Q3-2025"/>
    <s v="Europe → United Kingdom → London"/>
    <x v="0"/>
    <s v="High"/>
    <s v="UNITED KINGDOM"/>
    <d v="2023-01-19T00:00:00"/>
    <x v="0"/>
    <x v="28"/>
  </r>
  <r>
    <s v="ORD-2024-605518"/>
    <d v="2024-05-30T00:00:00"/>
    <d v="2024-06-13T00:00:00"/>
    <x v="1"/>
    <x v="10"/>
    <s v="San Francisco"/>
    <s v="Small Business"/>
    <x v="0"/>
    <x v="8"/>
    <s v="Phones"/>
    <x v="127"/>
    <n v="157.78"/>
    <n v="361.1"/>
    <n v="0.187"/>
    <n v="9"/>
    <s v="Valid"/>
    <n v="361.1"/>
    <b v="0"/>
    <n v="0.187"/>
    <n v="14"/>
    <d v="2024-06-13T00:00:00"/>
    <n v="14"/>
    <n v="324382.26870000002"/>
    <n v="3249.9"/>
    <n v="321132.36869999999"/>
    <n v="0.98998126496548544"/>
    <s v="May-2024"/>
    <s v="Q2-2024"/>
    <s v="Americas → USA → San Francisco"/>
    <x v="2"/>
    <s v="Medium"/>
    <s v="USA"/>
    <d v="2023-01-13T00:00:00"/>
    <x v="0"/>
    <x v="6"/>
  </r>
  <r>
    <s v="ORD-2023-521818"/>
    <d v="2023-01-22T00:00:00"/>
    <d v="2023-01-30T00:00:00"/>
    <x v="1"/>
    <x v="10"/>
    <s v="San Francisco"/>
    <s v="Small Business"/>
    <x v="1"/>
    <x v="7"/>
    <s v="Networking"/>
    <x v="128"/>
    <n v="413.52"/>
    <n v="1004.34"/>
    <n v="0.111"/>
    <n v="18"/>
    <s v="Valid"/>
    <n v="1004.34"/>
    <b v="0"/>
    <n v="0.111"/>
    <n v="8"/>
    <d v="2023-01-30T00:00:00"/>
    <n v="8"/>
    <n v="1805805.3286799998"/>
    <n v="18078.12"/>
    <n v="1787727.2086799997"/>
    <n v="0.98998888766530846"/>
    <s v="Jan-2023"/>
    <s v="Q1-2023"/>
    <s v="Americas → USA → San Francisco"/>
    <x v="0"/>
    <s v="Low"/>
    <s v="USA"/>
    <d v="2023-01-13T00:00:00"/>
    <x v="0"/>
    <x v="4"/>
  </r>
  <r>
    <s v="ORD-2025-650719"/>
    <d v="2025-02-12T00:00:00"/>
    <d v="2025-02-28T00:00:00"/>
    <x v="1"/>
    <x v="4"/>
    <s v="São Paulo"/>
    <s v="Non-Profit"/>
    <x v="4"/>
    <x v="4"/>
    <s v="Monitors"/>
    <x v="129"/>
    <n v="414.95"/>
    <n v="1027.73"/>
    <n v="6.3E-2"/>
    <n v="8"/>
    <s v="Valid"/>
    <n v="1027.73"/>
    <b v="0"/>
    <n v="6.3E-2"/>
    <n v="16"/>
    <d v="2025-02-28T00:00:00"/>
    <n v="16"/>
    <n v="821666.02408"/>
    <n v="8221.84"/>
    <n v="813444.18408000004"/>
    <n v="0.98999369602849796"/>
    <s v="Feb-2025"/>
    <s v="Q1-2025"/>
    <s v="Americas → Brazil → São Paulo"/>
    <x v="1"/>
    <s v="High"/>
    <s v="BRAZIL"/>
    <d v="2023-01-29T00:00:00"/>
    <x v="0"/>
    <x v="25"/>
  </r>
  <r>
    <s v="ORD-2025-501927"/>
    <d v="2025-03-03T00:00:00"/>
    <d v="2025-03-24T00:00:00"/>
    <x v="0"/>
    <x v="1"/>
    <s v="Abuja"/>
    <s v="Enterprise"/>
    <x v="4"/>
    <x v="9"/>
    <s v="Accessories"/>
    <x v="130"/>
    <n v="555.95000000000005"/>
    <n v="468.09"/>
    <n v="0.14199999999999999"/>
    <n v="11"/>
    <s v="Valid"/>
    <n v="468.09"/>
    <b v="0"/>
    <n v="0.14199999999999999"/>
    <n v="21"/>
    <d v="2025-03-24T00:00:00"/>
    <n v="21"/>
    <n v="514167.84341999999"/>
    <n v="5148.99"/>
    <n v="509018.85342"/>
    <n v="0.98998577980732638"/>
    <s v="Mar-2025"/>
    <s v="Q1-2025"/>
    <s v="Africa → Nigeria → Abuja"/>
    <x v="0"/>
    <s v="High"/>
    <s v="NIGERIA"/>
    <d v="2023-01-15T00:00:00"/>
    <x v="0"/>
    <x v="3"/>
  </r>
  <r>
    <s v="ORD-2023-430904"/>
    <d v="2023-01-27T00:00:00"/>
    <d v="2023-01-31T00:00:00"/>
    <x v="3"/>
    <x v="8"/>
    <s v="Manchester"/>
    <s v="Enterprise"/>
    <x v="1"/>
    <x v="12"/>
    <s v="Laptops"/>
    <x v="131"/>
    <n v="941.2"/>
    <n v="668.02"/>
    <n v="0.22"/>
    <n v="16"/>
    <s v="Valid"/>
    <n v="668.02"/>
    <b v="0"/>
    <n v="0.22"/>
    <n v="4"/>
    <d v="2023-01-31T00:00:00"/>
    <n v="4"/>
    <n v="1066480.5696"/>
    <n v="10688.32"/>
    <n v="1055792.2496"/>
    <n v="0.98997795149328516"/>
    <s v="Jan-2023"/>
    <s v="Q1-2023"/>
    <s v="Europe → United Kingdom → Manchester"/>
    <x v="2"/>
    <s v="Low"/>
    <s v="UNITED KINGDOM"/>
    <d v="2023-01-19T00:00:00"/>
    <x v="0"/>
    <x v="4"/>
  </r>
  <r>
    <s v="ORD-2025-354346"/>
    <d v="2025-01-09T00:00:00"/>
    <d v="2025-01-15T00:00:00"/>
    <x v="2"/>
    <x v="9"/>
    <s v="Beijing"/>
    <s v="Education"/>
    <x v="1"/>
    <x v="0"/>
    <s v="Phones"/>
    <x v="132"/>
    <n v="304.77999999999997"/>
    <n v="537.27"/>
    <n v="0.187"/>
    <n v="8"/>
    <s v="Valid"/>
    <n v="537.27"/>
    <b v="0"/>
    <n v="0.187"/>
    <n v="6"/>
    <d v="2025-01-15T00:00:00"/>
    <n v="6"/>
    <n v="429012.24407999997"/>
    <n v="4298.16"/>
    <n v="424714.08408"/>
    <n v="0.98998126496548555"/>
    <s v="Jan-2025"/>
    <s v="Q1-2025"/>
    <s v="Asia → China → Beijing"/>
    <x v="2"/>
    <s v="High"/>
    <s v="CHINA"/>
    <d v="2023-01-12T00:00:00"/>
    <x v="0"/>
    <x v="9"/>
  </r>
  <r>
    <s v="ORD-2024-164288"/>
    <d v="2024-12-21T00:00:00"/>
    <d v="2024-12-26T00:00:00"/>
    <x v="1"/>
    <x v="10"/>
    <s v="San Francisco"/>
    <s v="Consumer"/>
    <x v="2"/>
    <x v="11"/>
    <s v="Printers"/>
    <x v="133"/>
    <n v="699.57"/>
    <n v="572.71"/>
    <n v="0.192"/>
    <n v="26"/>
    <s v="Valid"/>
    <n v="572.71"/>
    <b v="0"/>
    <n v="0.192"/>
    <n v="5"/>
    <d v="2024-12-26T00:00:00"/>
    <n v="5"/>
    <n v="1486187.0316800002"/>
    <n v="14890.460000000001"/>
    <n v="1471296.5716800003"/>
    <n v="0.98998076306508498"/>
    <s v="Dec-2024"/>
    <s v="Q4-2024"/>
    <s v="Americas → USA → San Francisco"/>
    <x v="1"/>
    <s v="High"/>
    <s v="USA"/>
    <d v="2023-01-13T00:00:00"/>
    <x v="0"/>
    <x v="5"/>
  </r>
  <r>
    <s v="ORD-2023-867285"/>
    <d v="2023-04-12T00:00:00"/>
    <d v="2023-04-17T00:00:00"/>
    <x v="3"/>
    <x v="7"/>
    <s v="Lyon"/>
    <s v="Enterprise"/>
    <x v="4"/>
    <x v="5"/>
    <s v="Monitors"/>
    <x v="134"/>
    <n v="1087.81"/>
    <n v="2323.87"/>
    <n v="9.4E-2"/>
    <n v="13"/>
    <s v="Valid"/>
    <n v="2323.87"/>
    <b v="0"/>
    <n v="9.4E-2"/>
    <n v="5"/>
    <d v="2023-04-17T00:00:00"/>
    <n v="5"/>
    <n v="3018191.23086"/>
    <n v="30210.309999999998"/>
    <n v="2987980.92086"/>
    <n v="0.98999059115568633"/>
    <s v="Apr-2023"/>
    <s v="Q2-2023"/>
    <s v="Europe → France → Lyon"/>
    <x v="1"/>
    <s v="Low"/>
    <s v="FRANCE"/>
    <d v="2023-01-10T00:00:00"/>
    <x v="0"/>
    <x v="11"/>
  </r>
  <r>
    <s v="ORD-2024-836421"/>
    <d v="2024-12-14T00:00:00"/>
    <d v="2025-01-12T00:00:00"/>
    <x v="2"/>
    <x v="9"/>
    <s v="Shenzhen"/>
    <s v="Education"/>
    <x v="1"/>
    <x v="1"/>
    <s v="Components"/>
    <x v="135"/>
    <n v="1412.15"/>
    <n v="1631.04"/>
    <n v="8.9999999999999993E-3"/>
    <n v="6"/>
    <s v="Valid"/>
    <n v="1631.04"/>
    <b v="0"/>
    <n v="8.9999999999999993E-3"/>
    <n v="29"/>
    <d v="2025-01-12T00:00:00"/>
    <n v="29"/>
    <n v="978535.92383999994"/>
    <n v="9786.24"/>
    <n v="968749.68383999995"/>
    <n v="0.98999909991899271"/>
    <s v="Dec-2024"/>
    <s v="Q4-2024"/>
    <s v="Asia → China → Shenzhen"/>
    <x v="0"/>
    <s v="High"/>
    <s v="CHINA"/>
    <d v="2023-01-12T00:00:00"/>
    <x v="0"/>
    <x v="5"/>
  </r>
  <r>
    <s v="ORD-2023-613287"/>
    <d v="2023-03-31T00:00:00"/>
    <d v="2023-04-12T00:00:00"/>
    <x v="0"/>
    <x v="0"/>
    <s v="Mombasa"/>
    <s v="Small Business"/>
    <x v="1"/>
    <x v="0"/>
    <s v="Phones"/>
    <x v="136"/>
    <n v="304.22000000000003"/>
    <n v="393.31"/>
    <n v="0.26500000000000001"/>
    <n v="15"/>
    <s v="Valid"/>
    <n v="393.31"/>
    <b v="0"/>
    <n v="0.26500000000000001"/>
    <n v="12"/>
    <d v="2023-04-12T00:00:00"/>
    <n v="12"/>
    <n v="588401.59274999995"/>
    <n v="5899.65"/>
    <n v="582501.94274999993"/>
    <n v="0.98997342958840928"/>
    <s v="Mar-2023"/>
    <s v="Q1-2023"/>
    <s v="Africa → Kenya → Mombasa"/>
    <x v="2"/>
    <s v="Low"/>
    <s v="KENYA"/>
    <d v="2023-01-20T00:00:00"/>
    <x v="0"/>
    <x v="21"/>
  </r>
  <r>
    <s v="ORD-2024-783321"/>
    <d v="2024-11-20T00:00:00"/>
    <d v="2024-12-15T00:00:00"/>
    <x v="3"/>
    <x v="7"/>
    <s v="Paris"/>
    <s v="Corporate"/>
    <x v="1"/>
    <x v="3"/>
    <s v="Printers"/>
    <x v="137"/>
    <n v="1203.58"/>
    <n v="1856.16"/>
    <n v="0.129"/>
    <n v="22"/>
    <s v="Valid"/>
    <n v="1856.16"/>
    <b v="0"/>
    <n v="0.129"/>
    <n v="25"/>
    <d v="2024-12-15T00:00:00"/>
    <n v="25"/>
    <n v="4078284.2179200002"/>
    <n v="40835.520000000004"/>
    <n v="4037448.6979200002"/>
    <n v="0.9899870833375054"/>
    <s v="Nov-2024"/>
    <s v="Q4-2024"/>
    <s v="Europe → France → Paris"/>
    <x v="1"/>
    <s v="High"/>
    <s v="FRANCE"/>
    <d v="2023-01-10T00:00:00"/>
    <x v="0"/>
    <x v="17"/>
  </r>
  <r>
    <s v="ORD-2024-232632"/>
    <d v="2024-02-14T00:00:00"/>
    <d v="2024-02-14T00:00:00"/>
    <x v="2"/>
    <x v="9"/>
    <s v="Beijing"/>
    <s v="Corporate"/>
    <x v="3"/>
    <x v="14"/>
    <s v="Accessories"/>
    <x v="138"/>
    <n v="65.930000000000007"/>
    <n v="84.9"/>
    <n v="0.25900000000000001"/>
    <n v="23"/>
    <s v="Valid"/>
    <n v="84.9"/>
    <b v="0"/>
    <n v="0.25900000000000001"/>
    <n v="0"/>
    <d v="2024-02-14T00:00:00"/>
    <n v="0"/>
    <n v="194764.2507"/>
    <n v="1952.7"/>
    <n v="192811.55069999999"/>
    <n v="0.989974032744809"/>
    <s v="Feb-2024"/>
    <s v="Q1-2024"/>
    <s v="Asia → China → Beijing"/>
    <x v="0"/>
    <s v="Medium"/>
    <s v="CHINA"/>
    <d v="2023-01-12T00:00:00"/>
    <x v="0"/>
    <x v="31"/>
  </r>
  <r>
    <s v="ORD-2023-906481"/>
    <d v="2023-05-02T00:00:00"/>
    <d v="2023-05-18T00:00:00"/>
    <x v="2"/>
    <x v="3"/>
    <s v="Delhi"/>
    <s v="Small Business"/>
    <x v="2"/>
    <x v="10"/>
    <s v="Monitors"/>
    <x v="139"/>
    <n v="1463.92"/>
    <n v="2252.2399999999998"/>
    <n v="0.11799999999999999"/>
    <n v="44"/>
    <s v="Valid"/>
    <n v="2252.2399999999998"/>
    <b v="0"/>
    <n v="0.11799999999999999"/>
    <n v="16"/>
    <d v="2023-05-18T00:00:00"/>
    <n v="16"/>
    <n v="9898162.3699200004"/>
    <n v="99098.559999999998"/>
    <n v="9799063.8099199999"/>
    <n v="0.98998818605955019"/>
    <s v="May-2023"/>
    <s v="Q2-2023"/>
    <s v="Asia → India → Delhi"/>
    <x v="1"/>
    <s v="Low"/>
    <s v="INDIA"/>
    <d v="2023-01-29T00:00:00"/>
    <x v="0"/>
    <x v="14"/>
  </r>
  <r>
    <s v="ORD-2024-902741"/>
    <d v="2024-12-23T00:00:00"/>
    <d v="2025-01-11T00:00:00"/>
    <x v="3"/>
    <x v="5"/>
    <s v="Berlin"/>
    <s v="Education"/>
    <x v="0"/>
    <x v="10"/>
    <s v="Phones"/>
    <x v="140"/>
    <n v="501.81"/>
    <n v="921.62"/>
    <n v="0.01"/>
    <n v="9"/>
    <s v="Valid"/>
    <n v="921.62"/>
    <b v="0"/>
    <n v="0.01"/>
    <n v="19"/>
    <d v="2025-01-11T00:00:00"/>
    <n v="19"/>
    <n v="829375.0541999999"/>
    <n v="8294.58"/>
    <n v="821080.47419999994"/>
    <n v="0.98999899989999007"/>
    <s v="Dec-2024"/>
    <s v="Q4-2024"/>
    <s v="Europe → Germany → Berlin"/>
    <x v="2"/>
    <s v="High"/>
    <s v="GERMANY"/>
    <d v="2023-01-22T00:00:00"/>
    <x v="0"/>
    <x v="5"/>
  </r>
  <r>
    <s v="ORD-2023-912395"/>
    <d v="2023-07-26T00:00:00"/>
    <d v="2023-08-25T00:00:00"/>
    <x v="1"/>
    <x v="10"/>
    <s v="New York"/>
    <s v="Consumer"/>
    <x v="0"/>
    <x v="11"/>
    <s v="Accessories"/>
    <x v="141"/>
    <n v="1261.48"/>
    <n v="1643.18"/>
    <n v="0.151"/>
    <n v="23"/>
    <s v="Valid"/>
    <n v="1643.18"/>
    <b v="0"/>
    <n v="0.151"/>
    <n v="30"/>
    <d v="2023-08-25T00:00:00"/>
    <n v="30"/>
    <n v="3773607.2358599999"/>
    <n v="37793.14"/>
    <n v="3735814.0958599998"/>
    <n v="0.98998487716451844"/>
    <s v="Jul-2023"/>
    <s v="Q3-2023"/>
    <s v="Americas → USA → New York"/>
    <x v="0"/>
    <s v="Low"/>
    <s v="USA"/>
    <d v="2023-01-13T00:00:00"/>
    <x v="0"/>
    <x v="23"/>
  </r>
  <r>
    <s v="ORD-2024-389102"/>
    <d v="2024-06-15T00:00:00"/>
    <d v="2024-07-06T00:00:00"/>
    <x v="1"/>
    <x v="2"/>
    <s v="Toronto"/>
    <s v="Enterprise"/>
    <x v="3"/>
    <x v="14"/>
    <s v="Printers"/>
    <x v="142"/>
    <n v="817.23"/>
    <n v="1467.17"/>
    <n v="0.245"/>
    <n v="9"/>
    <s v="Valid"/>
    <n v="1467.17"/>
    <b v="0"/>
    <n v="0.245"/>
    <n v="21"/>
    <d v="2024-07-06T00:00:00"/>
    <n v="21"/>
    <n v="1317217.8901500001"/>
    <n v="13204.53"/>
    <n v="1304013.3601500001"/>
    <n v="0.98997543982757752"/>
    <s v="Jun-2024"/>
    <s v="Q2-2024"/>
    <s v="Americas → Canada → Toronto"/>
    <x v="1"/>
    <s v="Medium"/>
    <s v="CANADA"/>
    <d v="2023-01-02T00:00:00"/>
    <x v="0"/>
    <x v="16"/>
  </r>
  <r>
    <s v="ORD-2023-309373"/>
    <d v="2023-07-05T00:00:00"/>
    <d v="2023-07-14T00:00:00"/>
    <x v="1"/>
    <x v="4"/>
    <s v="Brasília"/>
    <s v="Enterprise"/>
    <x v="4"/>
    <x v="4"/>
    <s v="Networking"/>
    <x v="143"/>
    <n v="578.85"/>
    <n v="998.76"/>
    <n v="8.2000000000000003E-2"/>
    <n v="28"/>
    <s v="Valid"/>
    <n v="998.76"/>
    <b v="0"/>
    <n v="8.2000000000000003E-2"/>
    <n v="9"/>
    <d v="2023-07-14T00:00:00"/>
    <n v="9"/>
    <n v="2794234.8470399999"/>
    <n v="27965.279999999999"/>
    <n v="2766269.5670400001"/>
    <n v="0.98999179327048192"/>
    <s v="Jul-2023"/>
    <s v="Q3-2023"/>
    <s v="Americas → Brazil → Brasília"/>
    <x v="0"/>
    <s v="Low"/>
    <s v="BRAZIL"/>
    <d v="2023-01-29T00:00:00"/>
    <x v="0"/>
    <x v="23"/>
  </r>
  <r>
    <s v="ORD-2023-825495"/>
    <d v="2023-11-30T00:00:00"/>
    <d v="2023-11-29T00:00:00"/>
    <x v="0"/>
    <x v="11"/>
    <s v="Durban"/>
    <s v="Small Business"/>
    <x v="2"/>
    <x v="5"/>
    <s v="Laptops"/>
    <x v="144"/>
    <n v="275.56"/>
    <n v="630.72"/>
    <n v="0.107"/>
    <n v="23"/>
    <s v="Valid"/>
    <n v="630.72"/>
    <b v="0"/>
    <n v="0.107"/>
    <n v="-1"/>
    <d v="2023-12-07T00:00:00"/>
    <n v="7"/>
    <n v="1449103.7980800001"/>
    <n v="14506.560000000001"/>
    <n v="1434597.23808"/>
    <n v="0.98998928853873636"/>
    <s v="Nov-2023"/>
    <s v="Q4-2023"/>
    <s v="Africa → South Africa → Durban"/>
    <x v="2"/>
    <s v="Low"/>
    <s v="SOUTH AFRICA"/>
    <d v="2023-01-07T00:00:00"/>
    <x v="0"/>
    <x v="30"/>
  </r>
  <r>
    <s v="ORD-2025-244832"/>
    <d v="2025-09-11T00:00:00"/>
    <d v="2025-09-28T00:00:00"/>
    <x v="0"/>
    <x v="0"/>
    <s v="Nairobi"/>
    <s v="Non-Profit"/>
    <x v="3"/>
    <x v="1"/>
    <s v="Laptops"/>
    <x v="145"/>
    <n v="891.46"/>
    <n v="728.61"/>
    <n v="0.185"/>
    <n v="6"/>
    <s v="Valid"/>
    <n v="728.61"/>
    <b v="0"/>
    <n v="0.185"/>
    <n v="17"/>
    <d v="2025-09-28T00:00:00"/>
    <n v="17"/>
    <n v="436357.24289999995"/>
    <n v="4371.66"/>
    <n v="431985.58289999998"/>
    <n v="0.98998146571156642"/>
    <s v="Sep-2025"/>
    <s v="Q3-2025"/>
    <s v="Africa → Kenya → Nairobi"/>
    <x v="2"/>
    <s v="High"/>
    <s v="KENYA"/>
    <d v="2023-01-20T00:00:00"/>
    <x v="0"/>
    <x v="10"/>
  </r>
  <r>
    <s v="ORD-2024-211453"/>
    <d v="2024-04-04T00:00:00"/>
    <d v="2024-04-24T00:00:00"/>
    <x v="3"/>
    <x v="5"/>
    <s v="Frankfurt"/>
    <s v="Non-Profit"/>
    <x v="4"/>
    <x v="6"/>
    <s v="Accessories"/>
    <x v="146"/>
    <n v="683.42"/>
    <n v="951.51"/>
    <n v="0"/>
    <n v="14"/>
    <s v="Valid"/>
    <n v="951.51"/>
    <b v="0"/>
    <n v="0"/>
    <n v="20"/>
    <d v="2024-04-24T00:00:00"/>
    <n v="20"/>
    <n v="1332114"/>
    <n v="13321.14"/>
    <n v="1318792.8600000001"/>
    <n v="0.9900000000000001"/>
    <s v="Apr-2024"/>
    <s v="Q2-2024"/>
    <s v="Europe → Germany → Frankfurt"/>
    <x v="0"/>
    <s v="Medium"/>
    <s v="GERMANY"/>
    <d v="2023-01-22T00:00:00"/>
    <x v="0"/>
    <x v="19"/>
  </r>
  <r>
    <s v="ORD-2023-192324"/>
    <d v="2023-09-14T00:00:00"/>
    <d v="2023-09-16T00:00:00"/>
    <x v="3"/>
    <x v="7"/>
    <s v="Lyon"/>
    <s v="Non-Profit"/>
    <x v="4"/>
    <x v="4"/>
    <s v="Printers"/>
    <x v="147"/>
    <n v="376.83"/>
    <n v="732.88"/>
    <n v="0.188"/>
    <n v="25"/>
    <s v="Valid"/>
    <n v="732.88"/>
    <b v="0"/>
    <n v="0.188"/>
    <n v="2"/>
    <d v="2023-09-16T00:00:00"/>
    <n v="2"/>
    <n v="1828755.4639999999"/>
    <n v="18322"/>
    <n v="1810433.4639999999"/>
    <n v="0.98998116458942809"/>
    <s v="Sep-2023"/>
    <s v="Q3-2023"/>
    <s v="Europe → France → Lyon"/>
    <x v="1"/>
    <s v="Low"/>
    <s v="FRANCE"/>
    <d v="2023-01-10T00:00:00"/>
    <x v="0"/>
    <x v="27"/>
  </r>
  <r>
    <s v="ORD-2024-438404"/>
    <d v="2024-09-23T00:00:00"/>
    <d v="2024-10-18T00:00:00"/>
    <x v="1"/>
    <x v="2"/>
    <s v="Vancouver"/>
    <s v="Small Business"/>
    <x v="1"/>
    <x v="12"/>
    <s v="Phones"/>
    <x v="148"/>
    <n v="1297"/>
    <n v="2411.52"/>
    <n v="2.1000000000000001E-2"/>
    <n v="18"/>
    <s v="Valid"/>
    <n v="2411.52"/>
    <b v="0"/>
    <n v="2.1000000000000001E-2"/>
    <n v="25"/>
    <d v="2024-10-18T00:00:00"/>
    <n v="25"/>
    <n v="4339824.4454399999"/>
    <n v="43407.360000000001"/>
    <n v="4296417.0854399996"/>
    <n v="0.98999789955890727"/>
    <s v="Sep-2024"/>
    <s v="Q3-2024"/>
    <s v="Americas → Canada → Vancouver"/>
    <x v="2"/>
    <s v="Medium"/>
    <s v="CANADA"/>
    <d v="2023-01-02T00:00:00"/>
    <x v="0"/>
    <x v="29"/>
  </r>
  <r>
    <s v="ORD-2025-246470"/>
    <d v="2025-04-16T00:00:00"/>
    <d v="2025-05-16T00:00:00"/>
    <x v="1"/>
    <x v="2"/>
    <s v="Montreal"/>
    <s v="Enterprise"/>
    <x v="3"/>
    <x v="10"/>
    <s v="Printers"/>
    <x v="149"/>
    <n v="763.32"/>
    <n v="568.29"/>
    <n v="0.13100000000000001"/>
    <n v="16"/>
    <s v="Valid"/>
    <n v="568.29"/>
    <b v="0"/>
    <n v="0.13100000000000001"/>
    <n v="30"/>
    <d v="2025-05-16T00:00:00"/>
    <n v="30"/>
    <n v="908072.86416"/>
    <n v="9092.64"/>
    <n v="898980.22415999998"/>
    <n v="0.98998688281648961"/>
    <s v="Apr-2025"/>
    <s v="Q2-2025"/>
    <s v="Americas → Canada → Montreal"/>
    <x v="1"/>
    <s v="High"/>
    <s v="CANADA"/>
    <d v="2023-01-02T00:00:00"/>
    <x v="0"/>
    <x v="18"/>
  </r>
  <r>
    <s v="ORD-2023-497686"/>
    <d v="2023-07-03T00:00:00"/>
    <d v="2023-07-23T00:00:00"/>
    <x v="0"/>
    <x v="11"/>
    <s v="Johannesburg"/>
    <s v="Small Business"/>
    <x v="3"/>
    <x v="8"/>
    <s v="Laptops"/>
    <x v="150"/>
    <n v="1001.96"/>
    <n v="1254.95"/>
    <n v="4.4999999999999998E-2"/>
    <n v="18"/>
    <s v="Valid"/>
    <n v="1254.95"/>
    <b v="0"/>
    <n v="4.4999999999999998E-2"/>
    <n v="20"/>
    <d v="2023-07-23T00:00:00"/>
    <n v="20"/>
    <n v="2257893.4905000003"/>
    <n v="22589.100000000002"/>
    <n v="2235304.3905000002"/>
    <n v="0.98999549797408826"/>
    <s v="Jul-2023"/>
    <s v="Q3-2023"/>
    <s v="Africa → South Africa → Johannesburg"/>
    <x v="2"/>
    <s v="Low"/>
    <s v="SOUTH AFRICA"/>
    <d v="2023-01-07T00:00:00"/>
    <x v="0"/>
    <x v="23"/>
  </r>
  <r>
    <s v="ORD-2023-596758"/>
    <d v="2023-12-07T00:00:00"/>
    <d v="2023-12-05T00:00:00"/>
    <x v="2"/>
    <x v="6"/>
    <s v="Tokyo"/>
    <s v="Non-Profit"/>
    <x v="2"/>
    <x v="9"/>
    <s v="Printers"/>
    <x v="151"/>
    <n v="1097.5899999999999"/>
    <n v="845.55"/>
    <n v="0.184"/>
    <n v="6"/>
    <s v="Valid"/>
    <n v="845.55"/>
    <b v="0"/>
    <n v="0.184"/>
    <n v="-2"/>
    <d v="2023-12-14T00:00:00"/>
    <n v="7"/>
    <n v="506396.51279999997"/>
    <n v="5073.2999999999993"/>
    <n v="501323.21279999998"/>
    <n v="0.98998156608159016"/>
    <s v="Dec-2023"/>
    <s v="Q4-2023"/>
    <s v="Asia → Japan → Tokyo"/>
    <x v="1"/>
    <s v="Medium"/>
    <s v="JAPAN"/>
    <d v="2023-03-03T00:00:00"/>
    <x v="1"/>
    <x v="26"/>
  </r>
  <r>
    <s v="ORD-2024-201376"/>
    <d v="2024-02-18T00:00:00"/>
    <d v="2024-03-04T00:00:00"/>
    <x v="0"/>
    <x v="0"/>
    <s v="Kisumu"/>
    <s v="Education"/>
    <x v="4"/>
    <x v="10"/>
    <s v="Printers"/>
    <x v="152"/>
    <n v="928.68"/>
    <n v="2145.17"/>
    <n v="0.13600000000000001"/>
    <n v="16"/>
    <s v="Valid"/>
    <n v="2145.17"/>
    <b v="0"/>
    <n v="0.13600000000000001"/>
    <n v="15"/>
    <d v="2024-03-04T00:00:00"/>
    <n v="15"/>
    <n v="3427604.1100800005"/>
    <n v="34322.720000000001"/>
    <n v="3393281.3900800003"/>
    <n v="0.98998638147881113"/>
    <s v="Feb-2024"/>
    <s v="Q1-2024"/>
    <s v="Africa → Kenya → Kisumu"/>
    <x v="1"/>
    <s v="Medium"/>
    <s v="KENYA"/>
    <d v="2023-01-20T00:00:00"/>
    <x v="0"/>
    <x v="31"/>
  </r>
  <r>
    <s v="ORD-2023-842488"/>
    <d v="2023-10-31T00:00:00"/>
    <d v="2023-11-02T00:00:00"/>
    <x v="0"/>
    <x v="0"/>
    <s v="Kisumu"/>
    <s v="Education"/>
    <x v="0"/>
    <x v="6"/>
    <s v="Accessories"/>
    <x v="153"/>
    <n v="867.89"/>
    <n v="1349.94"/>
    <n v="0.184"/>
    <n v="10"/>
    <s v="Valid"/>
    <n v="1349.94"/>
    <b v="0"/>
    <n v="0.184"/>
    <n v="2"/>
    <d v="2023-11-02T00:00:00"/>
    <n v="2"/>
    <n v="1347456.1104000001"/>
    <n v="13499.400000000001"/>
    <n v="1333956.7104000002"/>
    <n v="0.98998156608159016"/>
    <s v="Oct-2023"/>
    <s v="Q4-2023"/>
    <s v="Africa → Kenya → Kisumu"/>
    <x v="0"/>
    <s v="Low"/>
    <s v="KENYA"/>
    <d v="2023-01-20T00:00:00"/>
    <x v="0"/>
    <x v="32"/>
  </r>
  <r>
    <s v="ORD-2024-136321"/>
    <d v="2024-08-07T00:00:00"/>
    <d v="2024-08-17T00:00:00"/>
    <x v="2"/>
    <x v="6"/>
    <s v="Osaka"/>
    <s v="Consumer"/>
    <x v="1"/>
    <x v="10"/>
    <s v="Networking"/>
    <x v="154"/>
    <n v="436.58"/>
    <n v="527.48"/>
    <n v="0.111"/>
    <n v="19"/>
    <s v="Valid"/>
    <n v="527.48"/>
    <b v="0"/>
    <n v="0.111"/>
    <n v="10"/>
    <d v="2024-08-17T00:00:00"/>
    <n v="10"/>
    <n v="1001099.54468"/>
    <n v="10022.120000000001"/>
    <n v="991077.42468000005"/>
    <n v="0.98998888766530846"/>
    <s v="Aug-2024"/>
    <s v="Q3-2024"/>
    <s v="Asia → Japan → Osaka"/>
    <x v="0"/>
    <s v="Medium"/>
    <s v="JAPAN"/>
    <d v="2023-03-03T00:00:00"/>
    <x v="1"/>
    <x v="20"/>
  </r>
  <r>
    <s v="ORD-2024-764468"/>
    <d v="2024-02-01T00:00:00"/>
    <d v="2024-02-21T00:00:00"/>
    <x v="3"/>
    <x v="7"/>
    <s v="Paris"/>
    <s v="Small Business"/>
    <x v="2"/>
    <x v="7"/>
    <s v="Networking"/>
    <x v="155"/>
    <n v="656.2"/>
    <n v="1467.17"/>
    <n v="1.7999999999999999E-2"/>
    <n v="5"/>
    <s v="Valid"/>
    <n v="1467.17"/>
    <b v="0"/>
    <n v="1.7999999999999999E-2"/>
    <n v="20"/>
    <d v="2024-02-21T00:00:00"/>
    <n v="20"/>
    <n v="733452.9547"/>
    <n v="7335.85"/>
    <n v="726117.10470000003"/>
    <n v="0.98999819967594171"/>
    <s v="Feb-2024"/>
    <s v="Q1-2024"/>
    <s v="Europe → France → Paris"/>
    <x v="0"/>
    <s v="Medium"/>
    <s v="FRANCE"/>
    <d v="2023-01-10T00:00:00"/>
    <x v="0"/>
    <x v="31"/>
  </r>
  <r>
    <s v="ORD-2024-553449"/>
    <d v="2024-08-27T00:00:00"/>
    <d v="2024-09-18T00:00:00"/>
    <x v="2"/>
    <x v="3"/>
    <s v="Delhi"/>
    <s v="Consumer"/>
    <x v="4"/>
    <x v="4"/>
    <s v="Components"/>
    <x v="156"/>
    <n v="896.75"/>
    <n v="1651.14"/>
    <n v="2.5000000000000001E-2"/>
    <n v="15"/>
    <s v="Valid"/>
    <n v="1651.14"/>
    <b v="0"/>
    <n v="2.5000000000000001E-2"/>
    <n v="22"/>
    <d v="2024-09-18T00:00:00"/>
    <n v="22"/>
    <n v="2476090.8225000002"/>
    <n v="24767.100000000002"/>
    <n v="2451323.7225000001"/>
    <n v="0.98999749937484371"/>
    <s v="Aug-2024"/>
    <s v="Q3-2024"/>
    <s v="Asia → India → Delhi"/>
    <x v="0"/>
    <s v="Medium"/>
    <s v="INDIA"/>
    <d v="2023-01-29T00:00:00"/>
    <x v="0"/>
    <x v="20"/>
  </r>
  <r>
    <s v="ORD-2025-766923"/>
    <d v="2025-02-15T00:00:00"/>
    <d v="2025-02-15T00:00:00"/>
    <x v="3"/>
    <x v="5"/>
    <s v="Frankfurt"/>
    <s v="Small Business"/>
    <x v="2"/>
    <x v="14"/>
    <s v="Accessories"/>
    <x v="157"/>
    <n v="815.83"/>
    <n v="1982.18"/>
    <n v="0.127"/>
    <n v="6"/>
    <s v="Valid"/>
    <n v="1982.18"/>
    <b v="0"/>
    <n v="0.127"/>
    <n v="0"/>
    <d v="2025-02-15T00:00:00"/>
    <n v="0"/>
    <n v="1187797.5788400001"/>
    <n v="11893.08"/>
    <n v="1175904.49884"/>
    <n v="0.98998728385049006"/>
    <s v="Feb-2025"/>
    <s v="Q1-2025"/>
    <s v="Europe → Germany → Frankfurt"/>
    <x v="0"/>
    <s v="High"/>
    <s v="GERMANY"/>
    <d v="2023-01-22T00:00:00"/>
    <x v="0"/>
    <x v="25"/>
  </r>
  <r>
    <s v="ORD-2025-418232"/>
    <d v="2025-08-01T00:00:00"/>
    <d v="2025-08-21T00:00:00"/>
    <x v="2"/>
    <x v="9"/>
    <s v="Shanghai"/>
    <s v="Corporate"/>
    <x v="4"/>
    <x v="2"/>
    <s v="Phones"/>
    <x v="158"/>
    <n v="1220.4100000000001"/>
    <n v="2552.2199999999998"/>
    <n v="0.18099999999999999"/>
    <n v="14"/>
    <s v="Valid"/>
    <n v="2552.2199999999998"/>
    <b v="0"/>
    <n v="0.18099999999999999"/>
    <n v="20"/>
    <d v="2025-08-21T00:00:00"/>
    <n v="20"/>
    <n v="3566640.6745199994"/>
    <n v="35731.079999999994"/>
    <n v="3530909.5945199993"/>
    <n v="0.98998186717959502"/>
    <s v="Aug-2025"/>
    <s v="Q3-2025"/>
    <s v="Asia → China → Shanghai"/>
    <x v="2"/>
    <s v="High"/>
    <s v="CHINA"/>
    <d v="2023-01-12T00:00:00"/>
    <x v="0"/>
    <x v="28"/>
  </r>
  <r>
    <s v="ORD-2023-848013"/>
    <d v="2023-02-20T00:00:00"/>
    <d v="2023-03-04T00:00:00"/>
    <x v="2"/>
    <x v="3"/>
    <s v="Delhi"/>
    <s v="Consumer"/>
    <x v="3"/>
    <x v="11"/>
    <s v="Monitors"/>
    <x v="159"/>
    <n v="299.75"/>
    <n v="523.01"/>
    <n v="0.157"/>
    <n v="50"/>
    <s v="Valid"/>
    <n v="523.01"/>
    <b v="0"/>
    <n v="0.157"/>
    <n v="12"/>
    <d v="2023-03-04T00:00:00"/>
    <n v="12"/>
    <n v="2610944.3714999999"/>
    <n v="26150.5"/>
    <n v="2584793.8714999999"/>
    <n v="0.9899842753122402"/>
    <s v="Feb-2023"/>
    <s v="Q1-2023"/>
    <s v="Asia → India → Delhi"/>
    <x v="1"/>
    <s v="Low"/>
    <s v="INDIA"/>
    <d v="2023-01-29T00:00:00"/>
    <x v="0"/>
    <x v="2"/>
  </r>
  <r>
    <s v="ORD-2024-357368"/>
    <d v="2024-10-30T00:00:00"/>
    <d v="2024-11-24T00:00:00"/>
    <x v="2"/>
    <x v="9"/>
    <s v="Shenzhen"/>
    <s v="Small Business"/>
    <x v="1"/>
    <x v="5"/>
    <s v="Components"/>
    <x v="160"/>
    <n v="811.05"/>
    <n v="1217.71"/>
    <n v="7.1999999999999995E-2"/>
    <n v="5"/>
    <s v="Valid"/>
    <n v="1217.71"/>
    <b v="0"/>
    <n v="7.1999999999999995E-2"/>
    <n v="25"/>
    <d v="2024-11-24T00:00:00"/>
    <n v="25"/>
    <n v="608416.62439999997"/>
    <n v="6088.55"/>
    <n v="602328.07439999992"/>
    <n v="0.98999279481226476"/>
    <s v="Oct-2024"/>
    <s v="Q4-2024"/>
    <s v="Asia → China → Shenzhen"/>
    <x v="0"/>
    <s v="High"/>
    <s v="CHINA"/>
    <d v="2023-01-12T00:00:00"/>
    <x v="0"/>
    <x v="1"/>
  </r>
  <r>
    <s v="ORD-2024-219735"/>
    <d v="2024-04-03T00:00:00"/>
    <d v="2024-04-07T00:00:00"/>
    <x v="1"/>
    <x v="4"/>
    <s v="Brasília"/>
    <s v="Non-Profit"/>
    <x v="4"/>
    <x v="12"/>
    <s v="Phones"/>
    <x v="161"/>
    <n v="1023.27"/>
    <n v="1343.64"/>
    <n v="0.13300000000000001"/>
    <n v="7"/>
    <s v="Valid"/>
    <n v="1343.64"/>
    <b v="0"/>
    <n v="0.13300000000000001"/>
    <n v="4"/>
    <d v="2024-04-07T00:00:00"/>
    <n v="4"/>
    <n v="939297.07116000017"/>
    <n v="9405.4800000000014"/>
    <n v="929891.59116000019"/>
    <n v="0.98998668228744235"/>
    <s v="Apr-2024"/>
    <s v="Q2-2024"/>
    <s v="Americas → Brazil → Brasília"/>
    <x v="2"/>
    <s v="Medium"/>
    <s v="BRAZIL"/>
    <d v="2023-01-29T00:00:00"/>
    <x v="0"/>
    <x v="19"/>
  </r>
  <r>
    <s v="ORD-2023-240507"/>
    <d v="2023-03-25T00:00:00"/>
    <d v="2023-03-26T00:00:00"/>
    <x v="2"/>
    <x v="6"/>
    <s v="Osaka"/>
    <s v="Small Business"/>
    <x v="3"/>
    <x v="2"/>
    <s v="Monitors"/>
    <x v="162"/>
    <n v="135.12"/>
    <n v="301.7"/>
    <n v="0.14000000000000001"/>
    <n v="47"/>
    <s v="Valid"/>
    <n v="301.7"/>
    <b v="0"/>
    <n v="0.14000000000000001"/>
    <n v="1"/>
    <d v="2023-03-26T00:00:00"/>
    <n v="1"/>
    <n v="1416004.814"/>
    <n v="14179.9"/>
    <n v="1401824.9140000001"/>
    <n v="0.98998598037252161"/>
    <s v="Mar-2023"/>
    <s v="Q1-2023"/>
    <s v="Asia → Japan → Osaka"/>
    <x v="1"/>
    <s v="Low"/>
    <s v="JAPAN"/>
    <d v="2023-03-03T00:00:00"/>
    <x v="1"/>
    <x v="21"/>
  </r>
  <r>
    <s v="ORD-2024-134084"/>
    <d v="2024-06-04T00:00:00"/>
    <d v="2024-06-16T00:00:00"/>
    <x v="2"/>
    <x v="9"/>
    <s v="Shanghai"/>
    <s v="Corporate"/>
    <x v="0"/>
    <x v="1"/>
    <s v="Printers"/>
    <x v="163"/>
    <n v="918.42"/>
    <n v="1511.71"/>
    <n v="0.02"/>
    <n v="8"/>
    <s v="Valid"/>
    <n v="1511.71"/>
    <b v="0"/>
    <n v="0.02"/>
    <n v="12"/>
    <d v="2024-06-16T00:00:00"/>
    <n v="12"/>
    <n v="1209126.1264000002"/>
    <n v="12093.68"/>
    <n v="1197032.4464000002"/>
    <n v="0.98999799959992008"/>
    <s v="Jun-2024"/>
    <s v="Q2-2024"/>
    <s v="Asia → China → Shanghai"/>
    <x v="1"/>
    <s v="Medium"/>
    <s v="CHINA"/>
    <d v="2023-01-12T00:00:00"/>
    <x v="0"/>
    <x v="16"/>
  </r>
  <r>
    <s v="ORD-2023-884625"/>
    <d v="2023-02-19T00:00:00"/>
    <d v="2023-03-12T00:00:00"/>
    <x v="3"/>
    <x v="5"/>
    <s v="Berlin"/>
    <s v="Small Business"/>
    <x v="4"/>
    <x v="14"/>
    <s v="Monitors"/>
    <x v="164"/>
    <n v="1234.81"/>
    <n v="2055.2399999999998"/>
    <n v="5.2999999999999999E-2"/>
    <n v="44"/>
    <s v="Valid"/>
    <n v="2055.2399999999998"/>
    <b v="0"/>
    <n v="5.2999999999999999E-2"/>
    <n v="21"/>
    <d v="2023-03-12T00:00:00"/>
    <n v="21"/>
    <n v="9038263.1803200003"/>
    <n v="90430.56"/>
    <n v="8947832.6203199998"/>
    <n v="0.98999469718951039"/>
    <s v="Feb-2023"/>
    <s v="Q1-2023"/>
    <s v="Europe → Germany → Berlin"/>
    <x v="1"/>
    <s v="Low"/>
    <s v="GERMANY"/>
    <d v="2023-01-22T00:00:00"/>
    <x v="0"/>
    <x v="2"/>
  </r>
  <r>
    <s v="ORD-2023-157993"/>
    <d v="2023-04-18T00:00:00"/>
    <d v="2023-05-18T00:00:00"/>
    <x v="2"/>
    <x v="9"/>
    <s v="Shenzhen"/>
    <s v="Non-Profit"/>
    <x v="0"/>
    <x v="9"/>
    <s v="Laptops"/>
    <x v="165"/>
    <n v="329.03"/>
    <n v="391.15"/>
    <n v="0.19700000000000001"/>
    <n v="46"/>
    <s v="Valid"/>
    <n v="391.15"/>
    <b v="0"/>
    <n v="0.19700000000000001"/>
    <n v="30"/>
    <d v="2023-05-18T00:00:00"/>
    <n v="30"/>
    <n v="1795745.3986999998"/>
    <n v="17992.899999999998"/>
    <n v="1777752.4986999999"/>
    <n v="0.98998026111439541"/>
    <s v="Apr-2023"/>
    <s v="Q2-2023"/>
    <s v="Asia → China → Shenzhen"/>
    <x v="2"/>
    <s v="Low"/>
    <s v="CHINA"/>
    <d v="2023-01-12T00:00:00"/>
    <x v="0"/>
    <x v="11"/>
  </r>
  <r>
    <s v="ORD-2024-329104"/>
    <d v="2024-05-23T00:00:00"/>
    <d v="2024-06-14T00:00:00"/>
    <x v="3"/>
    <x v="7"/>
    <s v="Marseille"/>
    <s v="Small Business"/>
    <x v="1"/>
    <x v="12"/>
    <s v="Monitors"/>
    <x v="166"/>
    <n v="1481.74"/>
    <n v="1848.97"/>
    <n v="0.254"/>
    <n v="9"/>
    <s v="Valid"/>
    <n v="1848.97"/>
    <b v="0"/>
    <n v="0.254"/>
    <n v="22"/>
    <d v="2024-06-14T00:00:00"/>
    <n v="22"/>
    <n v="1659846.2545799999"/>
    <n v="16640.73"/>
    <n v="1643205.52458"/>
    <n v="0.98997453531971213"/>
    <s v="May-2024"/>
    <s v="Q2-2024"/>
    <s v="Europe → France → Marseille"/>
    <x v="1"/>
    <s v="Medium"/>
    <s v="FRANCE"/>
    <d v="2023-01-10T00:00:00"/>
    <x v="0"/>
    <x v="6"/>
  </r>
  <r>
    <s v="ORD-2023-304451"/>
    <d v="2023-10-07T00:00:00"/>
    <d v="2023-10-23T00:00:00"/>
    <x v="2"/>
    <x v="3"/>
    <s v="Hyderabad"/>
    <s v="Consumer"/>
    <x v="0"/>
    <x v="3"/>
    <s v="Monitors"/>
    <x v="167"/>
    <n v="906.81"/>
    <n v="1395.56"/>
    <n v="0.185"/>
    <n v="6"/>
    <s v="Valid"/>
    <n v="1395.56"/>
    <b v="0"/>
    <n v="0.185"/>
    <n v="16"/>
    <d v="2023-10-23T00:00:00"/>
    <n v="16"/>
    <n v="835786.92840000009"/>
    <n v="8373.36"/>
    <n v="827413.56840000011"/>
    <n v="0.98998146571156642"/>
    <s v="Oct-2023"/>
    <s v="Q4-2023"/>
    <s v="Asia → India → Hyderabad"/>
    <x v="1"/>
    <s v="Low"/>
    <s v="INDIA"/>
    <d v="2023-01-29T00:00:00"/>
    <x v="0"/>
    <x v="32"/>
  </r>
  <r>
    <s v="ORD-2024-942981"/>
    <d v="2024-10-09T00:00:00"/>
    <d v="2024-11-08T00:00:00"/>
    <x v="3"/>
    <x v="8"/>
    <s v="Manchester"/>
    <s v="Small Business"/>
    <x v="3"/>
    <x v="1"/>
    <s v="Components"/>
    <x v="168"/>
    <n v="343.85"/>
    <n v="538.04"/>
    <n v="0.13900000000000001"/>
    <n v="5"/>
    <s v="Valid"/>
    <n v="538.04"/>
    <b v="0"/>
    <n v="0.13900000000000001"/>
    <n v="30"/>
    <d v="2024-11-08T00:00:00"/>
    <n v="30"/>
    <n v="268646.06219999999"/>
    <n v="2690.2"/>
    <n v="265955.86219999997"/>
    <n v="0.98998608065210636"/>
    <s v="Oct-2024"/>
    <s v="Q4-2024"/>
    <s v="Europe → United Kingdom → Manchester"/>
    <x v="0"/>
    <s v="Medium"/>
    <s v="UNITED KINGDOM"/>
    <d v="2023-01-19T00:00:00"/>
    <x v="0"/>
    <x v="1"/>
  </r>
  <r>
    <s v="ORD-2024-605629"/>
    <d v="2024-07-15T00:00:00"/>
    <d v="2024-07-15T00:00:00"/>
    <x v="2"/>
    <x v="6"/>
    <s v="Tokyo"/>
    <s v="Small Business"/>
    <x v="2"/>
    <x v="3"/>
    <s v="Accessories"/>
    <x v="169"/>
    <n v="801.77"/>
    <n v="1218.92"/>
    <n v="0.254"/>
    <n v="16"/>
    <s v="Valid"/>
    <n v="1218.92"/>
    <b v="0"/>
    <n v="0.254"/>
    <n v="0"/>
    <d v="2024-07-15T00:00:00"/>
    <n v="0"/>
    <n v="1945318.3091200001"/>
    <n v="19502.72"/>
    <n v="1925815.5891200001"/>
    <n v="0.98997453531971213"/>
    <s v="Jul-2024"/>
    <s v="Q3-2024"/>
    <s v="Asia → Japan → Tokyo"/>
    <x v="0"/>
    <s v="Medium"/>
    <s v="JAPAN"/>
    <d v="2023-03-03T00:00:00"/>
    <x v="1"/>
    <x v="13"/>
  </r>
  <r>
    <s v="ORD-2023-450877"/>
    <d v="2023-09-21T00:00:00"/>
    <d v="2023-10-10T00:00:00"/>
    <x v="2"/>
    <x v="6"/>
    <s v="Tokyo"/>
    <s v="Education"/>
    <x v="1"/>
    <x v="13"/>
    <s v="Components"/>
    <x v="170"/>
    <n v="845.63"/>
    <n v="2062.12"/>
    <n v="0.13400000000000001"/>
    <n v="5"/>
    <s v="Valid"/>
    <n v="2062.12"/>
    <b v="0"/>
    <n v="0.13400000000000001"/>
    <n v="19"/>
    <d v="2023-10-10T00:00:00"/>
    <n v="19"/>
    <n v="1029678.3795999999"/>
    <n v="10310.599999999999"/>
    <n v="1019367.7795999999"/>
    <n v="0.98998658201990675"/>
    <s v="Sep-2023"/>
    <s v="Q3-2023"/>
    <s v="Asia → Japan → Tokyo"/>
    <x v="0"/>
    <s v="Low"/>
    <s v="JAPAN"/>
    <d v="2023-03-03T00:00:00"/>
    <x v="1"/>
    <x v="27"/>
  </r>
  <r>
    <s v="ORD-2023-286994"/>
    <d v="2023-02-24T00:00:00"/>
    <d v="2023-03-09T00:00:00"/>
    <x v="1"/>
    <x v="10"/>
    <s v="New York"/>
    <s v="Enterprise"/>
    <x v="1"/>
    <x v="11"/>
    <s v="Components"/>
    <x v="171"/>
    <n v="6.85"/>
    <n v="10.18"/>
    <n v="4.7E-2"/>
    <n v="10"/>
    <s v="Valid"/>
    <n v="10.18"/>
    <b v="0"/>
    <n v="4.7E-2"/>
    <n v="13"/>
    <d v="2023-03-09T00:00:00"/>
    <n v="13"/>
    <n v="10175.215399999999"/>
    <n v="101.8"/>
    <n v="10073.4154"/>
    <n v="0.98999529778996131"/>
    <s v="Feb-2023"/>
    <s v="Q1-2023"/>
    <s v="Americas → USA → New York"/>
    <x v="0"/>
    <s v="Low"/>
    <s v="USA"/>
    <d v="2023-01-13T00:00:00"/>
    <x v="0"/>
    <x v="2"/>
  </r>
  <r>
    <s v="ORD-2025-700847"/>
    <d v="2025-05-21T00:00:00"/>
    <d v="2025-05-19T00:00:00"/>
    <x v="0"/>
    <x v="11"/>
    <s v="Johannesburg"/>
    <s v="Non-Profit"/>
    <x v="3"/>
    <x v="6"/>
    <s v="Laptops"/>
    <x v="172"/>
    <n v="1263.8399999999999"/>
    <n v="2281.7199999999998"/>
    <n v="7.8E-2"/>
    <n v="15"/>
    <s v="Valid"/>
    <n v="2281.7199999999998"/>
    <b v="0"/>
    <n v="7.8E-2"/>
    <n v="-2"/>
    <d v="2025-05-28T00:00:00"/>
    <n v="7"/>
    <n v="3419910.3875999996"/>
    <n v="34225.799999999996"/>
    <n v="3385684.5875999997"/>
    <n v="0.98999219391125082"/>
    <s v="May-2025"/>
    <s v="Q2-2025"/>
    <s v="Africa → South Africa → Johannesburg"/>
    <x v="2"/>
    <s v="High"/>
    <s v="SOUTH AFRICA"/>
    <d v="2023-01-07T00:00:00"/>
    <x v="0"/>
    <x v="7"/>
  </r>
  <r>
    <s v="ORD-2024-970848"/>
    <d v="2024-05-23T00:00:00"/>
    <d v="2024-06-03T00:00:00"/>
    <x v="0"/>
    <x v="11"/>
    <s v="Johannesburg"/>
    <s v="Small Business"/>
    <x v="3"/>
    <x v="8"/>
    <s v="Printers"/>
    <x v="173"/>
    <n v="180.89"/>
    <n v="249.57"/>
    <n v="2.1999999999999999E-2"/>
    <n v="8"/>
    <s v="Valid"/>
    <n v="249.57"/>
    <b v="0"/>
    <n v="2.1999999999999999E-2"/>
    <n v="11"/>
    <d v="2024-06-03T00:00:00"/>
    <n v="11"/>
    <n v="199612.07567999998"/>
    <n v="1996.56"/>
    <n v="197615.51567999998"/>
    <n v="0.98999779951589351"/>
    <s v="May-2024"/>
    <s v="Q2-2024"/>
    <s v="Africa → South Africa → Johannesburg"/>
    <x v="1"/>
    <s v="Medium"/>
    <s v="SOUTH AFRICA"/>
    <d v="2023-01-07T00:00:00"/>
    <x v="0"/>
    <x v="6"/>
  </r>
  <r>
    <s v="ORD-2025-845715"/>
    <d v="2025-04-14T00:00:00"/>
    <d v="2025-05-04T00:00:00"/>
    <x v="3"/>
    <x v="8"/>
    <s v="Birmingham"/>
    <s v="Enterprise"/>
    <x v="2"/>
    <x v="10"/>
    <s v="Monitors"/>
    <x v="174"/>
    <n v="1413.87"/>
    <n v="3275"/>
    <n v="0.255"/>
    <n v="38"/>
    <s v="Valid"/>
    <n v="3275"/>
    <b v="0"/>
    <n v="0.255"/>
    <n v="20"/>
    <d v="2025-05-04T00:00:00"/>
    <n v="20"/>
    <n v="12413265.25"/>
    <n v="124450"/>
    <n v="12288815.25"/>
    <n v="0.98997443480876235"/>
    <s v="Apr-2025"/>
    <s v="Q2-2025"/>
    <s v="Europe → United Kingdom → Birmingham"/>
    <x v="1"/>
    <s v="High"/>
    <s v="UNITED KINGDOM"/>
    <d v="2023-01-19T00:00:00"/>
    <x v="0"/>
    <x v="18"/>
  </r>
  <r>
    <s v="ORD-2023-664749"/>
    <d v="2023-08-27T00:00:00"/>
    <d v="2023-09-11T00:00:00"/>
    <x v="3"/>
    <x v="8"/>
    <s v="London"/>
    <s v="Consumer"/>
    <x v="2"/>
    <x v="12"/>
    <s v="Printers"/>
    <x v="175"/>
    <n v="943.79"/>
    <n v="1913.76"/>
    <n v="9.0999999999999998E-2"/>
    <n v="9"/>
    <s v="Valid"/>
    <n v="1913.76"/>
    <b v="0"/>
    <n v="9.0999999999999998E-2"/>
    <n v="15"/>
    <d v="2023-09-11T00:00:00"/>
    <n v="15"/>
    <n v="1720816.6305600002"/>
    <n v="17223.84"/>
    <n v="1703592.7905600001"/>
    <n v="0.98999089171145738"/>
    <s v="Aug-2023"/>
    <s v="Q3-2023"/>
    <s v="Europe → United Kingdom → London"/>
    <x v="1"/>
    <s v="Low"/>
    <s v="UNITED KINGDOM"/>
    <d v="2023-01-19T00:00:00"/>
    <x v="0"/>
    <x v="24"/>
  </r>
  <r>
    <s v="ORD-2024-960952"/>
    <d v="2024-02-03T00:00:00"/>
    <d v="2024-02-21T00:00:00"/>
    <x v="3"/>
    <x v="5"/>
    <s v="Frankfurt"/>
    <s v="Corporate"/>
    <x v="0"/>
    <x v="9"/>
    <s v="Components"/>
    <x v="176"/>
    <n v="39.229999999999997"/>
    <n v="30.09"/>
    <n v="0.17699999999999999"/>
    <n v="13"/>
    <s v="Valid"/>
    <n v="30.09"/>
    <b v="0"/>
    <n v="0.17699999999999999"/>
    <n v="18"/>
    <d v="2024-02-21T00:00:00"/>
    <n v="18"/>
    <n v="39047.762909999998"/>
    <n v="391.17"/>
    <n v="38656.592909999999"/>
    <n v="0.98998226861544936"/>
    <s v="Feb-2024"/>
    <s v="Q1-2024"/>
    <s v="Europe → Germany → Frankfurt"/>
    <x v="0"/>
    <s v="Medium"/>
    <s v="GERMANY"/>
    <d v="2023-01-22T00:00:00"/>
    <x v="0"/>
    <x v="31"/>
  </r>
  <r>
    <s v="ORD-2023-987700"/>
    <d v="2023-04-05T00:00:00"/>
    <d v="2023-04-16T00:00:00"/>
    <x v="1"/>
    <x v="2"/>
    <s v="Vancouver"/>
    <s v="Non-Profit"/>
    <x v="1"/>
    <x v="6"/>
    <s v="Monitors"/>
    <x v="177"/>
    <n v="213.1"/>
    <n v="501.31"/>
    <n v="5.6000000000000001E-2"/>
    <n v="15"/>
    <s v="Valid"/>
    <n v="501.31"/>
    <b v="0"/>
    <n v="5.6000000000000001E-2"/>
    <n v="11"/>
    <d v="2023-04-16T00:00:00"/>
    <n v="11"/>
    <n v="751543.8996"/>
    <n v="7519.65"/>
    <n v="744024.24959999998"/>
    <n v="0.98999439686224278"/>
    <s v="Apr-2023"/>
    <s v="Q2-2023"/>
    <s v="Americas → Canada → Vancouver"/>
    <x v="1"/>
    <s v="Low"/>
    <s v="CANADA"/>
    <d v="2023-01-02T00:00:00"/>
    <x v="0"/>
    <x v="11"/>
  </r>
  <r>
    <s v="ORD-2025-652467"/>
    <d v="2025-08-21T00:00:00"/>
    <d v="2025-09-12T00:00:00"/>
    <x v="2"/>
    <x v="9"/>
    <s v="Shenzhen"/>
    <s v="Education"/>
    <x v="0"/>
    <x v="4"/>
    <s v="Printers"/>
    <x v="178"/>
    <n v="352.66"/>
    <n v="411.18"/>
    <n v="0.17299999999999999"/>
    <n v="13"/>
    <s v="Valid"/>
    <n v="411.18"/>
    <b v="0"/>
    <n v="0.17299999999999999"/>
    <n v="22"/>
    <d v="2025-09-12T00:00:00"/>
    <n v="22"/>
    <n v="533609.25618000003"/>
    <n v="5345.34"/>
    <n v="528263.91618000006"/>
    <n v="0.9899826700191332"/>
    <s v="Aug-2025"/>
    <s v="Q3-2025"/>
    <s v="Asia → China → Shenzhen"/>
    <x v="1"/>
    <s v="High"/>
    <s v="CHINA"/>
    <d v="2023-01-12T00:00:00"/>
    <x v="0"/>
    <x v="28"/>
  </r>
  <r>
    <s v="ORD-2025-667201"/>
    <d v="2025-09-15T00:00:00"/>
    <d v="2025-09-18T00:00:00"/>
    <x v="1"/>
    <x v="4"/>
    <s v="Rio de Janeiro"/>
    <s v="Non-Profit"/>
    <x v="4"/>
    <x v="14"/>
    <s v="Accessories"/>
    <x v="179"/>
    <n v="5.5"/>
    <n v="5.92"/>
    <n v="0.21199999999999999"/>
    <n v="4"/>
    <s v="Valid"/>
    <n v="5.92"/>
    <b v="0"/>
    <n v="0.21199999999999999"/>
    <n v="3"/>
    <d v="2025-09-18T00:00:00"/>
    <n v="3"/>
    <n v="2362.97984"/>
    <n v="23.68"/>
    <n v="2339.2998400000001"/>
    <n v="0.98997875496051635"/>
    <s v="Sep-2025"/>
    <s v="Q3-2025"/>
    <s v="Americas → Brazil → Rio de Janeiro"/>
    <x v="0"/>
    <s v="High"/>
    <s v="BRAZIL"/>
    <d v="2023-01-29T00:00:00"/>
    <x v="0"/>
    <x v="10"/>
  </r>
  <r>
    <s v="ORD-2024-237478"/>
    <d v="2024-10-03T00:00:00"/>
    <d v="2024-10-11T00:00:00"/>
    <x v="2"/>
    <x v="9"/>
    <s v="Beijing"/>
    <s v="Enterprise"/>
    <x v="4"/>
    <x v="4"/>
    <s v="Phones"/>
    <x v="180"/>
    <n v="1132.6099999999999"/>
    <n v="2206.63"/>
    <n v="6.3E-2"/>
    <n v="20"/>
    <s v="Valid"/>
    <n v="2206.63"/>
    <b v="0"/>
    <n v="6.3E-2"/>
    <n v="8"/>
    <d v="2024-10-11T00:00:00"/>
    <n v="8"/>
    <n v="4410479.6462000003"/>
    <n v="44132.600000000006"/>
    <n v="4366347.0462000007"/>
    <n v="0.98999369602849807"/>
    <s v="Oct-2024"/>
    <s v="Q4-2024"/>
    <s v="Asia → China → Beijing"/>
    <x v="2"/>
    <s v="Medium"/>
    <s v="CHINA"/>
    <d v="2023-01-12T00:00:00"/>
    <x v="0"/>
    <x v="1"/>
  </r>
  <r>
    <s v="ORD-2025-898843"/>
    <d v="2025-02-02T00:00:00"/>
    <d v="2025-03-04T00:00:00"/>
    <x v="2"/>
    <x v="6"/>
    <s v="Osaka"/>
    <s v="Education"/>
    <x v="3"/>
    <x v="14"/>
    <s v="Accessories"/>
    <x v="181"/>
    <n v="766.59"/>
    <n v="1912.8"/>
    <n v="0.19600000000000001"/>
    <n v="5"/>
    <s v="Valid"/>
    <n v="1912.8"/>
    <b v="0"/>
    <n v="0.19600000000000001"/>
    <n v="30"/>
    <d v="2025-03-04T00:00:00"/>
    <n v="30"/>
    <n v="954525.45600000001"/>
    <n v="9564"/>
    <n v="944961.45600000001"/>
    <n v="0.98998036150855673"/>
    <s v="Feb-2025"/>
    <s v="Q1-2025"/>
    <s v="Asia → Japan → Osaka"/>
    <x v="0"/>
    <s v="High"/>
    <s v="JAPAN"/>
    <d v="2023-03-03T00:00:00"/>
    <x v="1"/>
    <x v="25"/>
  </r>
  <r>
    <s v="ORD-2023-334213"/>
    <d v="2023-08-19T00:00:00"/>
    <d v="2023-08-23T00:00:00"/>
    <x v="0"/>
    <x v="1"/>
    <s v="Abuja"/>
    <s v="Small Business"/>
    <x v="1"/>
    <x v="1"/>
    <s v="Monitors"/>
    <x v="182"/>
    <n v="790.63"/>
    <n v="1382.31"/>
    <n v="0.10100000000000001"/>
    <n v="7"/>
    <s v="Valid"/>
    <n v="1382.31"/>
    <b v="0"/>
    <n v="0.10100000000000001"/>
    <n v="4"/>
    <d v="2023-08-23T00:00:00"/>
    <n v="4"/>
    <n v="966639.70683000004"/>
    <n v="9676.17"/>
    <n v="956963.53683"/>
    <n v="0.98998988978868652"/>
    <s v="Aug-2023"/>
    <s v="Q3-2023"/>
    <s v="Africa → Nigeria → Abuja"/>
    <x v="1"/>
    <s v="Low"/>
    <s v="NIGERIA"/>
    <d v="2023-01-15T00:00:00"/>
    <x v="0"/>
    <x v="24"/>
  </r>
  <r>
    <s v="ORD-2024-640340"/>
    <d v="2024-10-22T00:00:00"/>
    <d v="2024-10-29T00:00:00"/>
    <x v="0"/>
    <x v="1"/>
    <s v="Port Harcourt"/>
    <s v="Enterprise"/>
    <x v="3"/>
    <x v="11"/>
    <s v="Monitors"/>
    <x v="183"/>
    <n v="1023.06"/>
    <n v="1355.61"/>
    <n v="0.153"/>
    <n v="23"/>
    <s v="Valid"/>
    <n v="1355.61"/>
    <b v="0"/>
    <n v="0.153"/>
    <n v="7"/>
    <d v="2024-10-29T00:00:00"/>
    <n v="7"/>
    <n v="3113132.6084099999"/>
    <n v="31179.03"/>
    <n v="3081953.5784100001"/>
    <n v="0.98998467655512945"/>
    <s v="Oct-2024"/>
    <s v="Q4-2024"/>
    <s v="Africa → Nigeria → Port Harcourt"/>
    <x v="1"/>
    <s v="Medium"/>
    <s v="NIGERIA"/>
    <d v="2023-01-15T00:00:00"/>
    <x v="0"/>
    <x v="1"/>
  </r>
  <r>
    <s v="ORD-2023-399631"/>
    <d v="2023-06-22T00:00:00"/>
    <d v="2023-07-21T00:00:00"/>
    <x v="3"/>
    <x v="7"/>
    <s v="Lyon"/>
    <s v="Corporate"/>
    <x v="0"/>
    <x v="1"/>
    <s v="Accessories"/>
    <x v="184"/>
    <n v="734.34"/>
    <n v="887.9"/>
    <n v="2.5000000000000001E-2"/>
    <n v="12"/>
    <s v="Valid"/>
    <n v="887.9"/>
    <b v="0"/>
    <n v="2.5000000000000001E-2"/>
    <n v="29"/>
    <d v="2023-07-21T00:00:00"/>
    <n v="29"/>
    <n v="1065213.6299999999"/>
    <n v="10654.8"/>
    <n v="1054558.8299999998"/>
    <n v="0.98999749937484371"/>
    <s v="Jun-2023"/>
    <s v="Q2-2023"/>
    <s v="Europe → France → Lyon"/>
    <x v="0"/>
    <s v="Low"/>
    <s v="FRANCE"/>
    <d v="2023-01-10T00:00:00"/>
    <x v="0"/>
    <x v="22"/>
  </r>
  <r>
    <s v="ORD-2025-542939"/>
    <d v="2025-01-13T00:00:00"/>
    <d v="2025-02-08T00:00:00"/>
    <x v="3"/>
    <x v="7"/>
    <s v="Paris"/>
    <s v="Non-Profit"/>
    <x v="5"/>
    <x v="5"/>
    <s v="Monitors"/>
    <x v="185"/>
    <n v="594.74"/>
    <n v="1020.69"/>
    <n v="0.21099999999999999"/>
    <n v="6"/>
    <s v="Valid"/>
    <n v="1020.69"/>
    <b v="0"/>
    <n v="0.21099999999999999"/>
    <n v="26"/>
    <d v="2025-02-08T00:00:00"/>
    <n v="26"/>
    <n v="611121.80645999999"/>
    <n v="6124.14"/>
    <n v="604997.66645999998"/>
    <n v="0.98997885538486208"/>
    <s v="Jan-2025"/>
    <s v="Q1-2025"/>
    <s v="Europe → France → Paris"/>
    <x v="1"/>
    <s v="High"/>
    <s v="FRANCE"/>
    <d v="2023-01-10T00:00:00"/>
    <x v="0"/>
    <x v="9"/>
  </r>
  <r>
    <s v="ORD-2023-521818"/>
    <d v="2023-01-29T00:00:00"/>
    <d v="2023-02-28T00:00:00"/>
    <x v="2"/>
    <x v="3"/>
    <s v="Bengaluru"/>
    <s v="Non-Profit"/>
    <x v="0"/>
    <x v="4"/>
    <s v="Accessories"/>
    <x v="186"/>
    <n v="1262.0999999999999"/>
    <n v="1395.53"/>
    <n v="0.23300000000000001"/>
    <n v="25"/>
    <s v="Valid"/>
    <n v="1395.53"/>
    <b v="0"/>
    <n v="0.23300000000000001"/>
    <n v="30"/>
    <d v="2023-02-28T00:00:00"/>
    <n v="30"/>
    <n v="3480696.0377499997"/>
    <n v="34888.25"/>
    <n v="3445807.7877499997"/>
    <n v="0.98997664558421117"/>
    <s v="Jan-2023"/>
    <s v="Q1-2023"/>
    <s v="Asia → India → Bengaluru"/>
    <x v="0"/>
    <s v="Low"/>
    <s v="INDIA"/>
    <d v="2023-01-29T00:00:00"/>
    <x v="0"/>
    <x v="4"/>
  </r>
  <r>
    <s v="ORD-2023-825836"/>
    <d v="2023-07-19T00:00:00"/>
    <d v="2023-07-31T00:00:00"/>
    <x v="1"/>
    <x v="4"/>
    <s v="Rio de Janeiro"/>
    <s v="Corporate"/>
    <x v="0"/>
    <x v="0"/>
    <s v="Monitors"/>
    <x v="187"/>
    <n v="1334.64"/>
    <n v="2273.42"/>
    <n v="0.11799999999999999"/>
    <n v="14"/>
    <s v="Valid"/>
    <n v="2273.42"/>
    <b v="0"/>
    <n v="0.11799999999999999"/>
    <n v="12"/>
    <d v="2023-07-31T00:00:00"/>
    <n v="12"/>
    <n v="3179032.3101600003"/>
    <n v="31827.88"/>
    <n v="3147204.4301600005"/>
    <n v="0.9899881860595503"/>
    <s v="Jul-2023"/>
    <s v="Q3-2023"/>
    <s v="Americas → Brazil → Rio de Janeiro"/>
    <x v="1"/>
    <s v="Low"/>
    <s v="BRAZIL"/>
    <d v="2023-01-29T00:00:00"/>
    <x v="0"/>
    <x v="23"/>
  </r>
  <r>
    <s v="ORD-2024-503082"/>
    <d v="2024-05-19T00:00:00"/>
    <d v="2024-06-08T00:00:00"/>
    <x v="1"/>
    <x v="4"/>
    <s v="Brasília"/>
    <s v="Small Business"/>
    <x v="0"/>
    <x v="5"/>
    <s v="Monitors"/>
    <x v="188"/>
    <n v="1075.9000000000001"/>
    <n v="1242.1500000000001"/>
    <n v="1.2E-2"/>
    <n v="7"/>
    <s v="Valid"/>
    <n v="1242.1500000000001"/>
    <b v="0"/>
    <n v="1.2E-2"/>
    <n v="20"/>
    <d v="2024-06-08T00:00:00"/>
    <n v="20"/>
    <n v="869400.65940000012"/>
    <n v="8695.0500000000011"/>
    <n v="860705.60940000007"/>
    <n v="0.98999879985598271"/>
    <s v="May-2024"/>
    <s v="Q2-2024"/>
    <s v="Americas → Brazil → Brasília"/>
    <x v="1"/>
    <s v="Medium"/>
    <s v="BRAZIL"/>
    <d v="2023-01-29T00:00:00"/>
    <x v="0"/>
    <x v="6"/>
  </r>
  <r>
    <s v="ORD-2024-760799"/>
    <d v="2024-02-03T00:00:00"/>
    <d v="2024-02-19T00:00:00"/>
    <x v="2"/>
    <x v="9"/>
    <s v="Shenzhen"/>
    <s v="Small Business"/>
    <x v="1"/>
    <x v="9"/>
    <s v="Laptops"/>
    <x v="189"/>
    <n v="993.75"/>
    <n v="1310.29"/>
    <n v="0.215"/>
    <n v="19"/>
    <s v="Valid"/>
    <n v="1310.29"/>
    <b v="0"/>
    <n v="0.215"/>
    <n v="16"/>
    <d v="2024-02-19T00:00:00"/>
    <n v="16"/>
    <n v="2484198.4653499997"/>
    <n v="24895.51"/>
    <n v="2459302.9553499999"/>
    <n v="0.98997845367540216"/>
    <s v="Feb-2024"/>
    <s v="Q1-2024"/>
    <s v="Asia → China → Shenzhen"/>
    <x v="2"/>
    <s v="Medium"/>
    <s v="CHINA"/>
    <d v="2023-01-12T00:00:00"/>
    <x v="0"/>
    <x v="31"/>
  </r>
  <r>
    <s v="ORD-2023-197661"/>
    <d v="2023-08-08T00:00:00"/>
    <d v="2023-08-22T00:00:00"/>
    <x v="3"/>
    <x v="8"/>
    <s v="Birmingham"/>
    <s v="Non-Profit"/>
    <x v="4"/>
    <x v="12"/>
    <s v="Monitors"/>
    <x v="190"/>
    <n v="446.69"/>
    <n v="967.25"/>
    <n v="9.4E-2"/>
    <n v="10"/>
    <s v="Valid"/>
    <n v="967.25"/>
    <b v="0"/>
    <n v="9.4E-2"/>
    <n v="14"/>
    <d v="2023-08-22T00:00:00"/>
    <n v="14"/>
    <n v="966340.78500000003"/>
    <n v="9672.5"/>
    <n v="956668.28500000003"/>
    <n v="0.98999059115568633"/>
    <s v="Aug-2023"/>
    <s v="Q3-2023"/>
    <s v="Europe → United Kingdom → Birmingham"/>
    <x v="1"/>
    <s v="Low"/>
    <s v="UNITED KINGDOM"/>
    <d v="2023-01-19T00:00:00"/>
    <x v="0"/>
    <x v="24"/>
  </r>
  <r>
    <s v="ORD-2024-212990"/>
    <d v="2024-08-12T00:00:00"/>
    <d v="2024-09-03T00:00:00"/>
    <x v="1"/>
    <x v="10"/>
    <s v="Austin"/>
    <s v="Consumer"/>
    <x v="3"/>
    <x v="2"/>
    <s v="Laptops"/>
    <x v="191"/>
    <n v="797.8"/>
    <n v="886.22"/>
    <n v="0.23599999999999999"/>
    <n v="36"/>
    <s v="Valid"/>
    <n v="886.22"/>
    <b v="0"/>
    <n v="0.23599999999999999"/>
    <n v="22"/>
    <d v="2024-09-03T00:00:00"/>
    <n v="22"/>
    <n v="3182862.6748799998"/>
    <n v="31903.920000000002"/>
    <n v="3150958.7548799999"/>
    <n v="0.98997634417224656"/>
    <s v="Aug-2024"/>
    <s v="Q3-2024"/>
    <s v="Americas → USA → Austin"/>
    <x v="2"/>
    <s v="Medium"/>
    <s v="USA"/>
    <d v="2023-01-13T00:00:00"/>
    <x v="0"/>
    <x v="20"/>
  </r>
  <r>
    <s v="ORD-2023-925146"/>
    <d v="2023-10-15T00:00:00"/>
    <d v="2023-11-13T00:00:00"/>
    <x v="2"/>
    <x v="9"/>
    <s v="Shenzhen"/>
    <s v="Non-Profit"/>
    <x v="3"/>
    <x v="1"/>
    <s v="Printers"/>
    <x v="192"/>
    <n v="986.44"/>
    <n v="790.61"/>
    <n v="7.1999999999999995E-2"/>
    <n v="6"/>
    <s v="Valid"/>
    <n v="790.61"/>
    <b v="0"/>
    <n v="7.1999999999999995E-2"/>
    <n v="29"/>
    <d v="2023-11-13T00:00:00"/>
    <n v="29"/>
    <n v="474024.45647999999"/>
    <n v="4743.66"/>
    <n v="469280.79648000002"/>
    <n v="0.98999279481226488"/>
    <s v="Oct-2023"/>
    <s v="Q4-2023"/>
    <s v="Asia → China → Shenzhen"/>
    <x v="1"/>
    <s v="Low"/>
    <s v="CHINA"/>
    <d v="2023-01-12T00:00:00"/>
    <x v="0"/>
    <x v="32"/>
  </r>
  <r>
    <s v="ORD-2023-177794"/>
    <d v="2023-05-04T00:00:00"/>
    <d v="2023-05-26T00:00:00"/>
    <x v="1"/>
    <x v="10"/>
    <s v="San Francisco"/>
    <s v="Enterprise"/>
    <x v="1"/>
    <x v="1"/>
    <s v="Networking"/>
    <x v="193"/>
    <n v="249.71"/>
    <n v="361.33"/>
    <n v="9.4E-2"/>
    <n v="12"/>
    <s v="Valid"/>
    <n v="361.33"/>
    <b v="0"/>
    <n v="9.4E-2"/>
    <n v="22"/>
    <d v="2023-05-26T00:00:00"/>
    <n v="22"/>
    <n v="433188.41976000002"/>
    <n v="4335.96"/>
    <n v="428852.45976"/>
    <n v="0.98999059115568633"/>
    <s v="May-2023"/>
    <s v="Q2-2023"/>
    <s v="Americas → USA → San Francisco"/>
    <x v="0"/>
    <s v="Low"/>
    <s v="USA"/>
    <d v="2023-01-13T00:00:00"/>
    <x v="0"/>
    <x v="14"/>
  </r>
  <r>
    <s v="ORD-2024-444710"/>
    <d v="2024-09-22T00:00:00"/>
    <d v="2024-10-01T00:00:00"/>
    <x v="1"/>
    <x v="4"/>
    <s v="São Paulo"/>
    <s v="Non-Profit"/>
    <x v="1"/>
    <x v="10"/>
    <s v="Monitors"/>
    <x v="194"/>
    <n v="1378.8"/>
    <n v="1952.04"/>
    <n v="0.159"/>
    <n v="19"/>
    <s v="Valid"/>
    <n v="1952.04"/>
    <b v="0"/>
    <n v="0.159"/>
    <n v="9"/>
    <d v="2024-10-01T00:00:00"/>
    <n v="9"/>
    <n v="3702978.8871599999"/>
    <n v="37088.76"/>
    <n v="3665890.1271600001"/>
    <n v="0.98998407467873928"/>
    <s v="Sep-2024"/>
    <s v="Q3-2024"/>
    <s v="Americas → Brazil → São Paulo"/>
    <x v="1"/>
    <s v="Medium"/>
    <s v="BRAZIL"/>
    <d v="2023-01-29T00:00:00"/>
    <x v="0"/>
    <x v="29"/>
  </r>
  <r>
    <s v="ORD-2024-668926"/>
    <d v="2024-10-23T00:00:00"/>
    <d v="2024-11-14T00:00:00"/>
    <x v="2"/>
    <x v="6"/>
    <s v="Osaka"/>
    <s v="Non-Profit"/>
    <x v="4"/>
    <x v="4"/>
    <s v="Phones"/>
    <x v="195"/>
    <n v="1406.4"/>
    <n v="1564.76"/>
    <n v="0.185"/>
    <n v="17"/>
    <s v="Valid"/>
    <n v="1564.76"/>
    <b v="0"/>
    <n v="0.185"/>
    <n v="22"/>
    <d v="2024-11-14T00:00:00"/>
    <n v="22"/>
    <n v="2655170.8297999999"/>
    <n v="26600.92"/>
    <n v="2628569.9098"/>
    <n v="0.98998146571156642"/>
    <s v="Oct-2024"/>
    <s v="Q4-2024"/>
    <s v="Asia → Japan → Osaka"/>
    <x v="2"/>
    <s v="Medium"/>
    <s v="JAPAN"/>
    <d v="2023-03-03T00:00:00"/>
    <x v="1"/>
    <x v="1"/>
  </r>
  <r>
    <s v="ORD-2024-968374"/>
    <d v="2024-02-11T00:00:00"/>
    <d v="2024-03-03T00:00:00"/>
    <x v="0"/>
    <x v="0"/>
    <s v="Kisumu"/>
    <s v="Enterprise"/>
    <x v="1"/>
    <x v="4"/>
    <s v="Phones"/>
    <x v="196"/>
    <n v="516.86"/>
    <n v="852.54"/>
    <n v="5.0999999999999997E-2"/>
    <n v="14"/>
    <s v="Valid"/>
    <n v="852.54"/>
    <b v="0"/>
    <n v="5.0999999999999997E-2"/>
    <n v="21"/>
    <d v="2024-03-03T00:00:00"/>
    <n v="21"/>
    <n v="1192947.2864399999"/>
    <n v="11935.56"/>
    <n v="1181011.7264399999"/>
    <n v="0.98999489739767277"/>
    <s v="Feb-2024"/>
    <s v="Q1-2024"/>
    <s v="Africa → Kenya → Kisumu"/>
    <x v="2"/>
    <s v="Medium"/>
    <s v="KENYA"/>
    <d v="2023-01-20T00:00:00"/>
    <x v="0"/>
    <x v="31"/>
  </r>
  <r>
    <s v="ORD-2023-575584"/>
    <d v="2023-01-30T00:00:00"/>
    <d v="2023-02-21T00:00:00"/>
    <x v="3"/>
    <x v="5"/>
    <s v="Munich"/>
    <s v="Small Business"/>
    <x v="2"/>
    <x v="3"/>
    <s v="Networking"/>
    <x v="197"/>
    <n v="1142.8800000000001"/>
    <n v="1465.29"/>
    <n v="0.186"/>
    <n v="7"/>
    <s v="Valid"/>
    <n v="1465.29"/>
    <b v="0"/>
    <n v="0.186"/>
    <n v="22"/>
    <d v="2023-02-21T00:00:00"/>
    <n v="22"/>
    <n v="1023795.1924199999"/>
    <n v="10257.029999999999"/>
    <n v="1013538.1624199998"/>
    <n v="0.98998136533953152"/>
    <s v="Jan-2023"/>
    <s v="Q1-2023"/>
    <s v="Europe → Germany → Munich"/>
    <x v="0"/>
    <s v="Low"/>
    <s v="GERMANY"/>
    <d v="2023-01-22T00:00:00"/>
    <x v="0"/>
    <x v="4"/>
  </r>
  <r>
    <s v="ORD-2023-701153"/>
    <d v="2023-04-14T00:00:00"/>
    <d v="2023-05-13T00:00:00"/>
    <x v="3"/>
    <x v="5"/>
    <s v="Frankfurt"/>
    <s v="Consumer"/>
    <x v="4"/>
    <x v="1"/>
    <s v="Printers"/>
    <x v="198"/>
    <n v="1320.33"/>
    <n v="2645.23"/>
    <n v="0.155"/>
    <n v="25"/>
    <s v="Valid"/>
    <n v="2645.23"/>
    <b v="0"/>
    <n v="0.155"/>
    <n v="29"/>
    <d v="2023-05-13T00:00:00"/>
    <n v="29"/>
    <n v="6602824.7337499997"/>
    <n v="66130.75"/>
    <n v="6536693.9837499997"/>
    <n v="0.98998447593770345"/>
    <s v="Apr-2023"/>
    <s v="Q2-2023"/>
    <s v="Europe → Germany → Frankfurt"/>
    <x v="1"/>
    <s v="Low"/>
    <s v="GERMANY"/>
    <d v="2023-01-22T00:00:00"/>
    <x v="0"/>
    <x v="11"/>
  </r>
  <r>
    <s v="ORD-2023-382017"/>
    <d v="2023-01-13T00:00:00"/>
    <d v="2023-01-19T00:00:00"/>
    <x v="1"/>
    <x v="10"/>
    <s v="Chicago"/>
    <s v="Corporate"/>
    <x v="4"/>
    <x v="9"/>
    <s v="Phones"/>
    <x v="199"/>
    <n v="833.57"/>
    <n v="881.57"/>
    <n v="5.7000000000000002E-2"/>
    <n v="18"/>
    <s v="Valid"/>
    <n v="881.57"/>
    <b v="0"/>
    <n v="5.7000000000000002E-2"/>
    <n v="6"/>
    <d v="2023-01-19T00:00:00"/>
    <n v="6"/>
    <n v="1585921.5091800001"/>
    <n v="15868.26"/>
    <n v="1570053.24918"/>
    <n v="0.98999429674914696"/>
    <s v="Jan-2023"/>
    <s v="Q1-2023"/>
    <s v="Americas → USA → Chicago"/>
    <x v="2"/>
    <s v="Low"/>
    <s v="USA"/>
    <d v="2023-01-13T00:00:00"/>
    <x v="0"/>
    <x v="4"/>
  </r>
  <r>
    <s v="ORD-2024-999607"/>
    <d v="2024-01-12T00:00:00"/>
    <d v="2024-01-29T00:00:00"/>
    <x v="1"/>
    <x v="10"/>
    <s v="Chicago"/>
    <s v="Education"/>
    <x v="3"/>
    <x v="7"/>
    <s v="Printers"/>
    <x v="200"/>
    <n v="493.76"/>
    <n v="625.04"/>
    <n v="0.25800000000000001"/>
    <n v="10"/>
    <s v="Valid"/>
    <n v="625.04"/>
    <b v="0"/>
    <n v="0.25800000000000001"/>
    <n v="17"/>
    <d v="2024-01-29T00:00:00"/>
    <n v="17"/>
    <n v="623427.39679999999"/>
    <n v="6250.4"/>
    <n v="617176.99679999996"/>
    <n v="0.98997413326382067"/>
    <s v="Jan-2024"/>
    <s v="Q1-2024"/>
    <s v="Americas → USA → Chicago"/>
    <x v="1"/>
    <s v="Medium"/>
    <s v="USA"/>
    <d v="2023-01-13T00:00:00"/>
    <x v="0"/>
    <x v="8"/>
  </r>
  <r>
    <s v="ORD-2023-133848"/>
    <d v="2023-08-15T00:00:00"/>
    <d v="2023-09-07T00:00:00"/>
    <x v="1"/>
    <x v="10"/>
    <s v="New York"/>
    <s v="Enterprise"/>
    <x v="1"/>
    <x v="10"/>
    <s v="Phones"/>
    <x v="201"/>
    <n v="590.33000000000004"/>
    <n v="973.04"/>
    <n v="0"/>
    <n v="26"/>
    <s v="Valid"/>
    <n v="973.04"/>
    <b v="0"/>
    <n v="0"/>
    <n v="23"/>
    <d v="2023-09-07T00:00:00"/>
    <n v="23"/>
    <n v="2529904"/>
    <n v="25299.040000000001"/>
    <n v="2504604.96"/>
    <n v="0.99"/>
    <s v="Aug-2023"/>
    <s v="Q3-2023"/>
    <s v="Americas → USA → New York"/>
    <x v="2"/>
    <s v="Low"/>
    <s v="USA"/>
    <d v="2023-01-13T00:00:00"/>
    <x v="0"/>
    <x v="24"/>
  </r>
  <r>
    <s v="ORD-2023-586275"/>
    <d v="2023-01-20T00:00:00"/>
    <d v="2023-02-03T00:00:00"/>
    <x v="0"/>
    <x v="0"/>
    <s v="Kisumu"/>
    <s v="Corporate"/>
    <x v="0"/>
    <x v="11"/>
    <s v="Networking"/>
    <x v="202"/>
    <n v="884.36"/>
    <n v="1545.34"/>
    <n v="0.24299999999999999"/>
    <n v="41"/>
    <s v="Valid"/>
    <n v="1545.34"/>
    <b v="0"/>
    <n v="0.24299999999999999"/>
    <n v="14"/>
    <d v="2023-02-03T00:00:00"/>
    <n v="14"/>
    <n v="6320497.7775799995"/>
    <n v="63358.939999999995"/>
    <n v="6257138.8375799991"/>
    <n v="0.98997564080716138"/>
    <s v="Jan-2023"/>
    <s v="Q1-2023"/>
    <s v="Africa → Kenya → Kisumu"/>
    <x v="0"/>
    <s v="Low"/>
    <s v="KENYA"/>
    <d v="2023-01-20T00:00:00"/>
    <x v="0"/>
    <x v="4"/>
  </r>
  <r>
    <s v="ORD-2025-964661"/>
    <d v="2025-02-04T00:00:00"/>
    <d v="2025-02-25T00:00:00"/>
    <x v="3"/>
    <x v="8"/>
    <s v="Birmingham"/>
    <s v="Corporate"/>
    <x v="2"/>
    <x v="13"/>
    <s v="Monitors"/>
    <x v="203"/>
    <n v="1016.32"/>
    <n v="2253.42"/>
    <n v="5.5E-2"/>
    <n v="12"/>
    <s v="Valid"/>
    <n v="2253.42"/>
    <b v="0"/>
    <n v="5.5E-2"/>
    <n v="21"/>
    <d v="2025-02-25T00:00:00"/>
    <n v="21"/>
    <n v="2702616.7428000001"/>
    <n v="27041.040000000001"/>
    <n v="2675575.7028000001"/>
    <n v="0.9899944969733353"/>
    <s v="Feb-2025"/>
    <s v="Q1-2025"/>
    <s v="Europe → United Kingdom → Birmingham"/>
    <x v="1"/>
    <s v="High"/>
    <s v="UNITED KINGDOM"/>
    <d v="2023-01-19T00:00:00"/>
    <x v="0"/>
    <x v="25"/>
  </r>
  <r>
    <s v="ORD-2023-390998"/>
    <d v="2023-04-19T00:00:00"/>
    <d v="2023-04-28T00:00:00"/>
    <x v="3"/>
    <x v="5"/>
    <s v="Berlin"/>
    <s v="Education"/>
    <x v="1"/>
    <x v="5"/>
    <s v="Monitors"/>
    <x v="204"/>
    <n v="1178.42"/>
    <n v="2446.56"/>
    <n v="2.9000000000000001E-2"/>
    <n v="11"/>
    <s v="Valid"/>
    <n v="2446.56"/>
    <b v="0"/>
    <n v="2.9000000000000001E-2"/>
    <n v="9"/>
    <d v="2023-04-28T00:00:00"/>
    <n v="9"/>
    <n v="2690435.5473600002"/>
    <n v="26912.16"/>
    <n v="2663523.3873600001"/>
    <n v="0.989997099158756"/>
    <s v="Apr-2023"/>
    <s v="Q2-2023"/>
    <s v="Europe → Germany → Berlin"/>
    <x v="1"/>
    <s v="Low"/>
    <s v="GERMANY"/>
    <d v="2023-01-22T00:00:00"/>
    <x v="0"/>
    <x v="11"/>
  </r>
  <r>
    <s v="ORD-2023-920483"/>
    <d v="2023-07-02T00:00:00"/>
    <d v="2023-08-01T00:00:00"/>
    <x v="3"/>
    <x v="8"/>
    <s v="Birmingham"/>
    <s v="Small Business"/>
    <x v="0"/>
    <x v="4"/>
    <s v="Components"/>
    <x v="205"/>
    <n v="137.46"/>
    <n v="188.3"/>
    <n v="3.7999999999999999E-2"/>
    <n v="37"/>
    <s v="Valid"/>
    <n v="188.3"/>
    <b v="0"/>
    <n v="3.7999999999999999E-2"/>
    <n v="30"/>
    <d v="2023-08-01T00:00:00"/>
    <n v="30"/>
    <n v="696445.25020000001"/>
    <n v="6967.1"/>
    <n v="689478.15020000003"/>
    <n v="0.98999619855545107"/>
    <s v="Jul-2023"/>
    <s v="Q3-2023"/>
    <s v="Europe → United Kingdom → Birmingham"/>
    <x v="0"/>
    <s v="Low"/>
    <s v="UNITED KINGDOM"/>
    <d v="2023-01-19T00:00:00"/>
    <x v="0"/>
    <x v="23"/>
  </r>
  <r>
    <s v="ORD-2025-146850"/>
    <d v="2025-01-21T00:00:00"/>
    <d v="2025-02-14T00:00:00"/>
    <x v="0"/>
    <x v="0"/>
    <s v="Nairobi"/>
    <s v="Small Business"/>
    <x v="0"/>
    <x v="1"/>
    <s v="Accessories"/>
    <x v="206"/>
    <n v="1030.44"/>
    <n v="2562.84"/>
    <n v="0.14799999999999999"/>
    <n v="13"/>
    <s v="Valid"/>
    <n v="2562.84"/>
    <b v="0"/>
    <n v="0.14799999999999999"/>
    <n v="24"/>
    <d v="2025-02-14T00:00:00"/>
    <n v="24"/>
    <n v="3326761.0958400001"/>
    <n v="33316.92"/>
    <n v="3293444.1758400002"/>
    <n v="0.98998517806353403"/>
    <s v="Jan-2025"/>
    <s v="Q1-2025"/>
    <s v="Africa → Kenya → Nairobi"/>
    <x v="0"/>
    <s v="High"/>
    <s v="KENYA"/>
    <d v="2023-01-20T00:00:00"/>
    <x v="0"/>
    <x v="9"/>
  </r>
  <r>
    <s v="ORD-2024-687100"/>
    <d v="2024-09-10T00:00:00"/>
    <d v="2024-10-07T00:00:00"/>
    <x v="0"/>
    <x v="0"/>
    <s v="Kisumu"/>
    <s v="Consumer"/>
    <x v="0"/>
    <x v="14"/>
    <s v="Printers"/>
    <x v="207"/>
    <n v="1248.3900000000001"/>
    <n v="1805.11"/>
    <n v="0.20300000000000001"/>
    <n v="11"/>
    <s v="Valid"/>
    <n v="1805.11"/>
    <b v="0"/>
    <n v="0.20300000000000001"/>
    <n v="27"/>
    <d v="2024-10-07T00:00:00"/>
    <n v="27"/>
    <n v="1981590.1893699998"/>
    <n v="19856.21"/>
    <n v="1961733.9793699998"/>
    <n v="0.98997965870717564"/>
    <s v="Sep-2024"/>
    <s v="Q3-2024"/>
    <s v="Africa → Kenya → Kisumu"/>
    <x v="1"/>
    <s v="Medium"/>
    <s v="KENYA"/>
    <d v="2023-01-20T00:00:00"/>
    <x v="0"/>
    <x v="29"/>
  </r>
  <r>
    <s v="ORD-2025-629393"/>
    <d v="2025-07-21T00:00:00"/>
    <d v="2025-08-07T00:00:00"/>
    <x v="0"/>
    <x v="1"/>
    <s v="Lagos"/>
    <s v="Enterprise"/>
    <x v="4"/>
    <x v="11"/>
    <s v="Accessories"/>
    <x v="208"/>
    <n v="1204.95"/>
    <n v="2065.73"/>
    <n v="0.13600000000000001"/>
    <n v="10"/>
    <s v="Valid"/>
    <n v="2065.73"/>
    <b v="0"/>
    <n v="0.13600000000000001"/>
    <n v="17"/>
    <d v="2025-08-07T00:00:00"/>
    <n v="17"/>
    <n v="2062920.6072"/>
    <n v="20657.3"/>
    <n v="2042263.3071999999"/>
    <n v="0.98998638147881113"/>
    <s v="Jul-2025"/>
    <s v="Q3-2025"/>
    <s v="Africa → Nigeria → Lagos"/>
    <x v="0"/>
    <s v="High"/>
    <s v="NIGERIA"/>
    <d v="2023-01-15T00:00:00"/>
    <x v="0"/>
    <x v="12"/>
  </r>
  <r>
    <s v="ORD-2024-686712"/>
    <d v="2024-10-02T00:00:00"/>
    <d v="2024-10-23T00:00:00"/>
    <x v="0"/>
    <x v="11"/>
    <s v="Durban"/>
    <s v="Corporate"/>
    <x v="2"/>
    <x v="7"/>
    <s v="Components"/>
    <x v="209"/>
    <n v="1095.6099999999999"/>
    <n v="2366.5100000000002"/>
    <n v="0.152"/>
    <n v="9"/>
    <s v="Valid"/>
    <n v="2366.5100000000002"/>
    <b v="0"/>
    <n v="0.152"/>
    <n v="21"/>
    <d v="2024-10-23T00:00:00"/>
    <n v="21"/>
    <n v="2126621.6143200002"/>
    <n v="21298.590000000004"/>
    <n v="2105323.0243200003"/>
    <n v="0.98998477686082853"/>
    <s v="Oct-2024"/>
    <s v="Q4-2024"/>
    <s v="Africa → South Africa → Durban"/>
    <x v="0"/>
    <s v="Medium"/>
    <s v="SOUTH AFRICA"/>
    <d v="2023-01-07T00:00:00"/>
    <x v="0"/>
    <x v="1"/>
  </r>
  <r>
    <s v="ORD-2025-586799"/>
    <d v="2025-07-14T00:00:00"/>
    <d v="2025-08-04T00:00:00"/>
    <x v="1"/>
    <x v="2"/>
    <s v="Montreal"/>
    <s v="Consumer"/>
    <x v="1"/>
    <x v="9"/>
    <s v="Monitors"/>
    <x v="210"/>
    <n v="90.3"/>
    <n v="131.76"/>
    <n v="0.10199999999999999"/>
    <n v="15"/>
    <s v="Valid"/>
    <n v="131.76"/>
    <b v="0"/>
    <n v="0.10199999999999999"/>
    <n v="21"/>
    <d v="2025-08-04T00:00:00"/>
    <n v="21"/>
    <n v="197438.40719999999"/>
    <n v="1976.3999999999999"/>
    <n v="195462.00719999999"/>
    <n v="0.98998978958537709"/>
    <s v="Jul-2025"/>
    <s v="Q3-2025"/>
    <s v="Americas → Canada → Montreal"/>
    <x v="1"/>
    <s v="High"/>
    <s v="CANADA"/>
    <d v="2023-01-02T00:00:00"/>
    <x v="0"/>
    <x v="12"/>
  </r>
  <r>
    <s v="ORD-2024-988736"/>
    <d v="2024-09-09T00:00:00"/>
    <d v="2024-10-01T00:00:00"/>
    <x v="2"/>
    <x v="9"/>
    <s v="Shenzhen"/>
    <s v="Consumer"/>
    <x v="4"/>
    <x v="14"/>
    <s v="Printers"/>
    <x v="211"/>
    <n v="1166.18"/>
    <n v="1335.02"/>
    <n v="0.128"/>
    <n v="6"/>
    <s v="Valid"/>
    <n v="1335.02"/>
    <b v="0"/>
    <n v="0.128"/>
    <n v="22"/>
    <d v="2024-10-01T00:00:00"/>
    <n v="22"/>
    <n v="799986.70464000001"/>
    <n v="8010.12"/>
    <n v="791976.58464000002"/>
    <n v="0.9899871835950016"/>
    <s v="Sep-2024"/>
    <s v="Q3-2024"/>
    <s v="Asia → China → Shenzhen"/>
    <x v="1"/>
    <s v="Medium"/>
    <s v="CHINA"/>
    <d v="2023-01-12T00:00:00"/>
    <x v="0"/>
    <x v="29"/>
  </r>
  <r>
    <s v="ORD-2025-564184"/>
    <d v="2025-01-29T00:00:00"/>
    <d v="2025-02-06T00:00:00"/>
    <x v="0"/>
    <x v="0"/>
    <s v="Kisumu"/>
    <s v="Education"/>
    <x v="0"/>
    <x v="4"/>
    <s v="Phones"/>
    <x v="212"/>
    <n v="1445.27"/>
    <n v="2691.45"/>
    <n v="0"/>
    <n v="9"/>
    <s v="Valid"/>
    <n v="2691.45"/>
    <b v="0"/>
    <n v="0"/>
    <n v="8"/>
    <d v="2025-02-06T00:00:00"/>
    <n v="8"/>
    <n v="2422305"/>
    <n v="24223.05"/>
    <n v="2398081.9500000002"/>
    <n v="0.9900000000000001"/>
    <s v="Jan-2025"/>
    <s v="Q1-2025"/>
    <s v="Africa → Kenya → Kisumu"/>
    <x v="2"/>
    <s v="High"/>
    <s v="KENYA"/>
    <d v="2023-01-20T00:00:00"/>
    <x v="0"/>
    <x v="9"/>
  </r>
  <r>
    <s v="ORD-2023-653343"/>
    <d v="2023-11-10T00:00:00"/>
    <d v="2023-11-28T00:00:00"/>
    <x v="1"/>
    <x v="4"/>
    <s v="Brasília"/>
    <s v="Education"/>
    <x v="2"/>
    <x v="14"/>
    <s v="Accessories"/>
    <x v="213"/>
    <n v="388.51"/>
    <n v="776.46"/>
    <n v="0.157"/>
    <n v="12"/>
    <s v="Valid"/>
    <n v="776.46"/>
    <b v="0"/>
    <n v="0.157"/>
    <n v="18"/>
    <d v="2023-11-28T00:00:00"/>
    <n v="18"/>
    <n v="930289.14936000004"/>
    <n v="9317.52"/>
    <n v="920971.62936000002"/>
    <n v="0.9899842753122402"/>
    <s v="Nov-2023"/>
    <s v="Q4-2023"/>
    <s v="Americas → Brazil → Brasília"/>
    <x v="0"/>
    <s v="Low"/>
    <s v="BRAZIL"/>
    <d v="2023-01-29T00:00:00"/>
    <x v="0"/>
    <x v="30"/>
  </r>
  <r>
    <s v="ORD-2024-197852"/>
    <d v="2024-02-29T00:00:00"/>
    <d v="2024-03-30T00:00:00"/>
    <x v="2"/>
    <x v="6"/>
    <s v="Nagoya"/>
    <s v="Small Business"/>
    <x v="4"/>
    <x v="2"/>
    <s v="Networking"/>
    <x v="214"/>
    <n v="231.11"/>
    <n v="318.17"/>
    <n v="0.20100000000000001"/>
    <n v="60"/>
    <s v="Valid"/>
    <n v="318.17"/>
    <b v="0"/>
    <n v="0.20100000000000001"/>
    <n v="30"/>
    <d v="2024-03-30T00:00:00"/>
    <n v="30"/>
    <n v="1905182.8698000002"/>
    <n v="19090.2"/>
    <n v="1886092.6698000003"/>
    <n v="0.98997985951763046"/>
    <s v="Feb-2024"/>
    <s v="Q1-2024"/>
    <s v="Asia → Japan → Nagoya"/>
    <x v="0"/>
    <s v="Medium"/>
    <s v="JAPAN"/>
    <d v="2023-03-03T00:00:00"/>
    <x v="1"/>
    <x v="31"/>
  </r>
  <r>
    <s v="ORD-2023-431328"/>
    <d v="2023-12-20T00:00:00"/>
    <d v="2024-01-14T00:00:00"/>
    <x v="2"/>
    <x v="3"/>
    <s v="Mumbai"/>
    <s v="Non-Profit"/>
    <x v="2"/>
    <x v="14"/>
    <s v="Monitors"/>
    <x v="215"/>
    <n v="1085.6099999999999"/>
    <n v="1246.4100000000001"/>
    <n v="0.113"/>
    <n v="7"/>
    <s v="Valid"/>
    <n v="1246.4100000000001"/>
    <b v="0"/>
    <n v="0.113"/>
    <n v="25"/>
    <d v="2024-01-14T00:00:00"/>
    <n v="25"/>
    <n v="871501.08969000005"/>
    <n v="8724.8700000000008"/>
    <n v="862776.21969000006"/>
    <n v="0.98998868721655475"/>
    <s v="Dec-2023"/>
    <s v="Q4-2023"/>
    <s v="Asia → India → Mumbai"/>
    <x v="1"/>
    <s v="Medium"/>
    <s v="INDIA"/>
    <d v="2023-01-29T00:00:00"/>
    <x v="0"/>
    <x v="26"/>
  </r>
  <r>
    <s v="ORD-2023-613317"/>
    <d v="2023-01-22T00:00:00"/>
    <d v="2023-01-21T00:00:00"/>
    <x v="3"/>
    <x v="5"/>
    <s v="Munich"/>
    <s v="Corporate"/>
    <x v="4"/>
    <x v="8"/>
    <s v="Monitors"/>
    <x v="216"/>
    <n v="150.86000000000001"/>
    <n v="346.96"/>
    <n v="0.19600000000000001"/>
    <n v="8"/>
    <s v="Valid"/>
    <n v="346.96"/>
    <b v="0"/>
    <n v="0.19600000000000001"/>
    <n v="-1"/>
    <d v="2023-01-29T00:00:00"/>
    <n v="7"/>
    <n v="277023.96671999997"/>
    <n v="2775.68"/>
    <n v="274248.28671999997"/>
    <n v="0.98998036150855684"/>
    <s v="Jan-2023"/>
    <s v="Q1-2023"/>
    <s v="Europe → Germany → Munich"/>
    <x v="1"/>
    <s v="Low"/>
    <s v="GERMANY"/>
    <d v="2023-01-22T00:00:00"/>
    <x v="0"/>
    <x v="4"/>
  </r>
  <r>
    <s v="ORD-2024-720756"/>
    <d v="2024-10-11T00:00:00"/>
    <d v="2024-11-09T00:00:00"/>
    <x v="2"/>
    <x v="9"/>
    <s v="Shanghai"/>
    <s v="Non-Profit"/>
    <x v="1"/>
    <x v="8"/>
    <s v="Printers"/>
    <x v="217"/>
    <n v="391.64"/>
    <n v="504.76"/>
    <n v="4.0000000000000001E-3"/>
    <n v="13"/>
    <s v="Valid"/>
    <n v="504.76"/>
    <b v="0"/>
    <n v="4.0000000000000001E-3"/>
    <n v="29"/>
    <d v="2024-11-09T00:00:00"/>
    <n v="29"/>
    <n v="656161.75248000002"/>
    <n v="6561.88"/>
    <n v="649599.87248000002"/>
    <n v="0.98999959998399933"/>
    <s v="Oct-2024"/>
    <s v="Q4-2024"/>
    <s v="Asia → China → Shanghai"/>
    <x v="1"/>
    <s v="Medium"/>
    <s v="CHINA"/>
    <d v="2023-01-12T00:00:00"/>
    <x v="0"/>
    <x v="1"/>
  </r>
  <r>
    <s v="ORD-2024-777623"/>
    <d v="2024-09-19T00:00:00"/>
    <d v="2024-10-14T00:00:00"/>
    <x v="1"/>
    <x v="4"/>
    <s v="Rio de Janeiro"/>
    <s v="Small Business"/>
    <x v="0"/>
    <x v="10"/>
    <s v="Printers"/>
    <x v="218"/>
    <n v="386.96"/>
    <n v="937.46"/>
    <n v="0.26600000000000001"/>
    <n v="41"/>
    <s v="Valid"/>
    <n v="937.46"/>
    <b v="0"/>
    <n v="0.26600000000000001"/>
    <n v="25"/>
    <d v="2024-10-14T00:00:00"/>
    <n v="25"/>
    <n v="3833362.0612399997"/>
    <n v="38435.86"/>
    <n v="3794926.2012399998"/>
    <n v="0.98997332905528712"/>
    <s v="Sep-2024"/>
    <s v="Q3-2024"/>
    <s v="Americas → Brazil → Rio de Janeiro"/>
    <x v="1"/>
    <s v="Medium"/>
    <s v="BRAZIL"/>
    <d v="2023-01-29T00:00:00"/>
    <x v="0"/>
    <x v="29"/>
  </r>
  <r>
    <s v="ORD-2025-762212"/>
    <d v="2025-08-25T00:00:00"/>
    <d v="2025-09-24T00:00:00"/>
    <x v="0"/>
    <x v="0"/>
    <s v="Nairobi"/>
    <s v="Consumer"/>
    <x v="4"/>
    <x v="4"/>
    <s v="Components"/>
    <x v="219"/>
    <n v="589.14"/>
    <n v="1300.58"/>
    <n v="5.5E-2"/>
    <n v="11"/>
    <s v="Valid"/>
    <n v="1300.58"/>
    <b v="0"/>
    <n v="5.5E-2"/>
    <n v="30"/>
    <d v="2025-09-24T00:00:00"/>
    <n v="30"/>
    <n v="1429851.1490999998"/>
    <n v="14306.38"/>
    <n v="1415544.7690999999"/>
    <n v="0.98999449697333541"/>
    <s v="Aug-2025"/>
    <s v="Q3-2025"/>
    <s v="Africa → Kenya → Nairobi"/>
    <x v="0"/>
    <s v="High"/>
    <s v="KENYA"/>
    <d v="2023-01-20T00:00:00"/>
    <x v="0"/>
    <x v="28"/>
  </r>
  <r>
    <s v="ORD-2023-271918"/>
    <d v="2023-09-25T00:00:00"/>
    <d v="2023-10-02T00:00:00"/>
    <x v="1"/>
    <x v="10"/>
    <s v="New York"/>
    <s v="Education"/>
    <x v="2"/>
    <x v="2"/>
    <s v="Accessories"/>
    <x v="220"/>
    <n v="145.58000000000001"/>
    <n v="228.15"/>
    <n v="0.20399999999999999"/>
    <n v="5"/>
    <s v="Valid"/>
    <n v="228.15"/>
    <b v="0"/>
    <n v="0.20399999999999999"/>
    <n v="7"/>
    <d v="2023-10-02T00:00:00"/>
    <n v="7"/>
    <n v="113842.28700000001"/>
    <n v="1140.75"/>
    <n v="112701.53700000001"/>
    <n v="0.98997955829892981"/>
    <s v="Sep-2023"/>
    <s v="Q3-2023"/>
    <s v="Americas → USA → New York"/>
    <x v="0"/>
    <s v="Low"/>
    <s v="USA"/>
    <d v="2023-01-13T00:00:00"/>
    <x v="0"/>
    <x v="27"/>
  </r>
  <r>
    <s v="ORD-2023-713375"/>
    <d v="2023-08-26T00:00:00"/>
    <d v="2023-09-10T00:00:00"/>
    <x v="0"/>
    <x v="11"/>
    <s v="Cape Town"/>
    <s v="Non-Profit"/>
    <x v="4"/>
    <x v="12"/>
    <s v="Components"/>
    <x v="221"/>
    <n v="241.14"/>
    <n v="496.52"/>
    <n v="9.2999999999999999E-2"/>
    <n v="10"/>
    <s v="Valid"/>
    <n v="496.52"/>
    <b v="0"/>
    <n v="9.2999999999999999E-2"/>
    <n v="15"/>
    <d v="2023-09-10T00:00:00"/>
    <n v="15"/>
    <n v="496058.23639999994"/>
    <n v="4965.2"/>
    <n v="491093.03639999992"/>
    <n v="0.98999069134294893"/>
    <s v="Aug-2023"/>
    <s v="Q3-2023"/>
    <s v="Africa → South Africa → Cape Town"/>
    <x v="0"/>
    <s v="Low"/>
    <s v="SOUTH AFRICA"/>
    <d v="2023-01-07T00:00:00"/>
    <x v="0"/>
    <x v="24"/>
  </r>
  <r>
    <s v="ORD-2025-678688"/>
    <d v="2025-07-16T00:00:00"/>
    <d v="2025-07-17T00:00:00"/>
    <x v="0"/>
    <x v="11"/>
    <s v="Durban"/>
    <s v="Small Business"/>
    <x v="3"/>
    <x v="4"/>
    <s v="Networking"/>
    <x v="222"/>
    <n v="1198.9000000000001"/>
    <n v="2941.2"/>
    <n v="5.0999999999999997E-2"/>
    <n v="24"/>
    <s v="Valid"/>
    <n v="2941.2"/>
    <b v="0"/>
    <n v="5.0999999999999997E-2"/>
    <n v="1"/>
    <d v="2025-07-17T00:00:00"/>
    <n v="1"/>
    <n v="7055279.9711999986"/>
    <n v="70588.799999999988"/>
    <n v="6984691.1711999988"/>
    <n v="0.98999489739767288"/>
    <s v="Jul-2025"/>
    <s v="Q3-2025"/>
    <s v="Africa → South Africa → Durban"/>
    <x v="0"/>
    <s v="High"/>
    <s v="SOUTH AFRICA"/>
    <d v="2023-01-07T00:00:00"/>
    <x v="0"/>
    <x v="12"/>
  </r>
  <r>
    <s v="ORD-2023-501220"/>
    <d v="2023-04-19T00:00:00"/>
    <d v="2023-05-07T00:00:00"/>
    <x v="3"/>
    <x v="8"/>
    <s v="Birmingham"/>
    <s v="Enterprise"/>
    <x v="0"/>
    <x v="12"/>
    <s v="Laptops"/>
    <x v="223"/>
    <n v="1089.1500000000001"/>
    <n v="1088.2"/>
    <n v="5.0999999999999997E-2"/>
    <n v="15"/>
    <s v="Valid"/>
    <n v="1088.2"/>
    <b v="0"/>
    <n v="5.0999999999999997E-2"/>
    <n v="18"/>
    <d v="2023-05-07T00:00:00"/>
    <n v="18"/>
    <n v="1631467.527"/>
    <n v="16323"/>
    <n v="1615144.527"/>
    <n v="0.98999489739767277"/>
    <s v="Apr-2023"/>
    <s v="Q2-2023"/>
    <s v="Europe → United Kingdom → Birmingham"/>
    <x v="2"/>
    <s v="Low"/>
    <s v="UNITED KINGDOM"/>
    <d v="2023-01-19T00:00:00"/>
    <x v="0"/>
    <x v="11"/>
  </r>
  <r>
    <s v="ORD-2023-195665"/>
    <d v="2023-12-19T00:00:00"/>
    <d v="2023-12-20T00:00:00"/>
    <x v="1"/>
    <x v="4"/>
    <s v="Rio de Janeiro"/>
    <s v="Consumer"/>
    <x v="3"/>
    <x v="1"/>
    <s v="Phones"/>
    <x v="224"/>
    <n v="1080.43"/>
    <n v="2529.15"/>
    <n v="0.14699999999999999"/>
    <n v="10"/>
    <s v="Valid"/>
    <n v="2529.15"/>
    <b v="0"/>
    <n v="0.14699999999999999"/>
    <n v="1"/>
    <d v="2023-12-20T00:00:00"/>
    <n v="1"/>
    <n v="2525432.1494999998"/>
    <n v="25291.5"/>
    <n v="2500140.6494999998"/>
    <n v="0.98998527835918804"/>
    <s v="Dec-2023"/>
    <s v="Q4-2023"/>
    <s v="Americas → Brazil → Rio de Janeiro"/>
    <x v="2"/>
    <s v="Medium"/>
    <s v="BRAZIL"/>
    <d v="2023-01-29T00:00:00"/>
    <x v="0"/>
    <x v="26"/>
  </r>
  <r>
    <s v="ORD-2023-290237"/>
    <d v="2023-07-30T00:00:00"/>
    <d v="2023-08-07T00:00:00"/>
    <x v="2"/>
    <x v="6"/>
    <s v="Nagoya"/>
    <s v="Education"/>
    <x v="2"/>
    <x v="7"/>
    <s v="Networking"/>
    <x v="225"/>
    <n v="1352.44"/>
    <n v="2698.01"/>
    <n v="0.13100000000000001"/>
    <n v="13"/>
    <s v="Valid"/>
    <n v="2698.01"/>
    <b v="0"/>
    <n v="0.13100000000000001"/>
    <n v="8"/>
    <d v="2023-08-07T00:00:00"/>
    <n v="8"/>
    <n v="3502818.2889700006"/>
    <n v="35074.130000000005"/>
    <n v="3467744.1589700007"/>
    <n v="0.98998688281648961"/>
    <s v="Jul-2023"/>
    <s v="Q3-2023"/>
    <s v="Asia → Japan → Nagoya"/>
    <x v="0"/>
    <s v="Low"/>
    <s v="JAPAN"/>
    <d v="2023-03-03T00:00:00"/>
    <x v="1"/>
    <x v="23"/>
  </r>
  <r>
    <s v="ORD-2023-302041"/>
    <d v="2023-10-04T00:00:00"/>
    <d v="2023-10-29T00:00:00"/>
    <x v="1"/>
    <x v="10"/>
    <s v="San Francisco"/>
    <s v="Small Business"/>
    <x v="3"/>
    <x v="6"/>
    <s v="Accessories"/>
    <x v="226"/>
    <n v="1239.8399999999999"/>
    <n v="1482.75"/>
    <n v="6.7000000000000004E-2"/>
    <n v="4"/>
    <s v="Valid"/>
    <n v="1482.75"/>
    <b v="0"/>
    <n v="6.7000000000000004E-2"/>
    <n v="25"/>
    <d v="2023-10-29T00:00:00"/>
    <n v="25"/>
    <n v="592702.62300000002"/>
    <n v="5931"/>
    <n v="586771.62300000002"/>
    <n v="0.98999329550799031"/>
    <s v="Oct-2023"/>
    <s v="Q4-2023"/>
    <s v="Americas → USA → San Francisco"/>
    <x v="0"/>
    <s v="Low"/>
    <s v="USA"/>
    <d v="2023-01-13T00:00:00"/>
    <x v="0"/>
    <x v="32"/>
  </r>
  <r>
    <s v="ORD-2025-289139"/>
    <d v="2025-08-10T00:00:00"/>
    <d v="2025-08-30T00:00:00"/>
    <x v="1"/>
    <x v="10"/>
    <s v="San Francisco"/>
    <s v="Corporate"/>
    <x v="2"/>
    <x v="10"/>
    <s v="Printers"/>
    <x v="227"/>
    <n v="933.29"/>
    <n v="1456.81"/>
    <n v="0.123"/>
    <n v="13"/>
    <s v="Valid"/>
    <n v="1456.81"/>
    <b v="0"/>
    <n v="0.123"/>
    <n v="20"/>
    <d v="2025-08-30T00:00:00"/>
    <n v="20"/>
    <n v="1891523.5608099997"/>
    <n v="18938.53"/>
    <n v="1872585.0308099997"/>
    <n v="0.98998768485236843"/>
    <s v="Aug-2025"/>
    <s v="Q3-2025"/>
    <s v="Americas → USA → San Francisco"/>
    <x v="1"/>
    <s v="High"/>
    <s v="USA"/>
    <d v="2023-01-13T00:00:00"/>
    <x v="0"/>
    <x v="28"/>
  </r>
  <r>
    <s v="ORD-2023-949710"/>
    <d v="2023-03-07T00:00:00"/>
    <d v="2023-04-01T00:00:00"/>
    <x v="0"/>
    <x v="0"/>
    <s v="Nairobi"/>
    <s v="Consumer"/>
    <x v="2"/>
    <x v="13"/>
    <s v="Printers"/>
    <x v="228"/>
    <n v="1024.0999999999999"/>
    <n v="918.19"/>
    <n v="0.189"/>
    <n v="10"/>
    <s v="Valid"/>
    <n v="918.19"/>
    <b v="0"/>
    <n v="0.189"/>
    <n v="25"/>
    <d v="2023-04-01T00:00:00"/>
    <n v="25"/>
    <n v="916454.62090000021"/>
    <n v="9181.9000000000015"/>
    <n v="907272.72090000019"/>
    <n v="0.98998106421135945"/>
    <s v="Mar-2023"/>
    <s v="Q1-2023"/>
    <s v="Africa → Kenya → Nairobi"/>
    <x v="1"/>
    <s v="Low"/>
    <s v="KENYA"/>
    <d v="2023-01-20T00:00:00"/>
    <x v="0"/>
    <x v="21"/>
  </r>
  <r>
    <s v="ORD-2023-603650"/>
    <d v="2023-05-23T00:00:00"/>
    <d v="2023-06-10T00:00:00"/>
    <x v="2"/>
    <x v="9"/>
    <s v="Shanghai"/>
    <s v="Corporate"/>
    <x v="3"/>
    <x v="5"/>
    <s v="Components"/>
    <x v="229"/>
    <n v="54.62"/>
    <n v="48.94"/>
    <n v="0.14799999999999999"/>
    <n v="16"/>
    <s v="Valid"/>
    <n v="48.94"/>
    <b v="0"/>
    <n v="0.14799999999999999"/>
    <n v="18"/>
    <d v="2023-06-10T00:00:00"/>
    <n v="18"/>
    <n v="78188.110079999999"/>
    <n v="783.04"/>
    <n v="77405.070080000005"/>
    <n v="0.98998517806353414"/>
    <s v="May-2023"/>
    <s v="Q2-2023"/>
    <s v="Asia → China → Shanghai"/>
    <x v="0"/>
    <s v="Low"/>
    <s v="CHINA"/>
    <d v="2023-01-12T00:00:00"/>
    <x v="0"/>
    <x v="14"/>
  </r>
  <r>
    <s v="ORD-2025-757957"/>
    <d v="2025-04-24T00:00:00"/>
    <d v="2025-05-06T00:00:00"/>
    <x v="1"/>
    <x v="4"/>
    <s v="Brasília"/>
    <s v="Consumer"/>
    <x v="1"/>
    <x v="0"/>
    <s v="Phones"/>
    <x v="230"/>
    <n v="394.13"/>
    <n v="932.29"/>
    <n v="0.109"/>
    <n v="7"/>
    <s v="Valid"/>
    <n v="932.29"/>
    <b v="0"/>
    <n v="0.109"/>
    <n v="12"/>
    <d v="2025-05-06T00:00:00"/>
    <n v="12"/>
    <n v="651891.66272999998"/>
    <n v="6526.03"/>
    <n v="645365.63272999995"/>
    <n v="0.98998908810603559"/>
    <s v="Apr-2025"/>
    <s v="Q2-2025"/>
    <s v="Americas → Brazil → Brasília"/>
    <x v="2"/>
    <s v="High"/>
    <s v="BRAZIL"/>
    <d v="2023-01-29T00:00:00"/>
    <x v="0"/>
    <x v="18"/>
  </r>
  <r>
    <s v="ORD-2024-423853"/>
    <d v="2024-09-03T00:00:00"/>
    <d v="2024-09-08T00:00:00"/>
    <x v="0"/>
    <x v="1"/>
    <s v="Lagos"/>
    <s v="Small Business"/>
    <x v="4"/>
    <x v="10"/>
    <s v="Printers"/>
    <x v="231"/>
    <n v="197.63"/>
    <n v="325.79000000000002"/>
    <n v="0.11600000000000001"/>
    <n v="10"/>
    <s v="Valid"/>
    <n v="325.79000000000002"/>
    <b v="0"/>
    <n v="0.11600000000000001"/>
    <n v="5"/>
    <d v="2024-09-08T00:00:00"/>
    <n v="5"/>
    <n v="325412.08360000001"/>
    <n v="3257.9"/>
    <n v="322154.18359999999"/>
    <n v="0.98998838652837284"/>
    <s v="Sep-2024"/>
    <s v="Q3-2024"/>
    <s v="Africa → Nigeria → Lagos"/>
    <x v="1"/>
    <s v="Medium"/>
    <s v="NIGERIA"/>
    <d v="2023-01-15T00:00:00"/>
    <x v="0"/>
    <x v="29"/>
  </r>
  <r>
    <s v="ORD-2024-569164"/>
    <d v="2024-09-05T00:00:00"/>
    <d v="2024-09-25T00:00:00"/>
    <x v="2"/>
    <x v="6"/>
    <s v="Osaka"/>
    <s v="Enterprise"/>
    <x v="3"/>
    <x v="13"/>
    <s v="Monitors"/>
    <x v="232"/>
    <n v="195.54"/>
    <n v="405.97"/>
    <n v="0.187"/>
    <n v="16"/>
    <s v="Valid"/>
    <n v="405.97"/>
    <b v="0"/>
    <n v="0.187"/>
    <n v="20"/>
    <d v="2024-09-25T00:00:00"/>
    <n v="20"/>
    <n v="648337.33776000002"/>
    <n v="6495.52"/>
    <n v="641841.81776000001"/>
    <n v="0.98998126496548544"/>
    <s v="Sep-2024"/>
    <s v="Q3-2024"/>
    <s v="Asia → Japan → Osaka"/>
    <x v="1"/>
    <s v="Medium"/>
    <s v="JAPAN"/>
    <d v="2023-03-03T00:00:00"/>
    <x v="1"/>
    <x v="29"/>
  </r>
  <r>
    <s v="ORD-2023-946143"/>
    <d v="2023-03-14T00:00:00"/>
    <d v="2023-03-30T00:00:00"/>
    <x v="0"/>
    <x v="11"/>
    <s v="Cape Town"/>
    <s v="Consumer"/>
    <x v="3"/>
    <x v="10"/>
    <s v="Components"/>
    <x v="233"/>
    <n v="1309.77"/>
    <n v="1589.07"/>
    <n v="0.10199999999999999"/>
    <n v="10"/>
    <s v="Valid"/>
    <n v="1589.07"/>
    <b v="0"/>
    <n v="0.10199999999999999"/>
    <n v="16"/>
    <d v="2023-03-30T00:00:00"/>
    <n v="16"/>
    <n v="1587449.1485999997"/>
    <n v="15890.699999999999"/>
    <n v="1571558.4485999998"/>
    <n v="0.98998978958537709"/>
    <s v="Mar-2023"/>
    <s v="Q1-2023"/>
    <s v="Africa → South Africa → Cape Town"/>
    <x v="0"/>
    <s v="Low"/>
    <s v="SOUTH AFRICA"/>
    <d v="2023-01-07T00:00:00"/>
    <x v="0"/>
    <x v="21"/>
  </r>
  <r>
    <s v="ORD-2024-281211"/>
    <d v="2024-01-11T00:00:00"/>
    <d v="2024-02-02T00:00:00"/>
    <x v="2"/>
    <x v="6"/>
    <s v="Nagoya"/>
    <s v="Small Business"/>
    <x v="1"/>
    <x v="15"/>
    <s v="Printers"/>
    <x v="234"/>
    <n v="1237.68"/>
    <n v="1432.8"/>
    <n v="6.8000000000000005E-2"/>
    <n v="13"/>
    <s v="Valid"/>
    <n v="1432.8"/>
    <b v="0"/>
    <n v="6.8000000000000005E-2"/>
    <n v="22"/>
    <d v="2024-02-02T00:00:00"/>
    <n v="22"/>
    <n v="1861373.4047999999"/>
    <n v="18626.399999999998"/>
    <n v="1842747.0048"/>
    <n v="0.98999319537285357"/>
    <s v="Jan-2024"/>
    <s v="Q1-2024"/>
    <s v="Asia → Japan → Nagoya"/>
    <x v="1"/>
    <s v="Medium"/>
    <s v="JAPAN"/>
    <d v="2023-03-03T00:00:00"/>
    <x v="1"/>
    <x v="8"/>
  </r>
  <r>
    <s v="ORD-2024-805860"/>
    <d v="2024-09-13T00:00:00"/>
    <d v="2024-10-02T00:00:00"/>
    <x v="0"/>
    <x v="0"/>
    <s v="Mombasa"/>
    <s v="Small Business"/>
    <x v="0"/>
    <x v="11"/>
    <s v="Phones"/>
    <x v="235"/>
    <n v="1338.99"/>
    <n v="1765.76"/>
    <n v="0.126"/>
    <n v="24"/>
    <s v="Valid"/>
    <n v="1765.76"/>
    <b v="0"/>
    <n v="0.126"/>
    <n v="19"/>
    <d v="2024-10-02T00:00:00"/>
    <n v="19"/>
    <n v="4232484.3417599993"/>
    <n v="42378.239999999998"/>
    <n v="4190106.1017599991"/>
    <n v="0.98998738410397091"/>
    <s v="Sep-2024"/>
    <s v="Q3-2024"/>
    <s v="Africa → Kenya → Mombasa"/>
    <x v="2"/>
    <s v="Medium"/>
    <s v="KENYA"/>
    <d v="2023-01-20T00:00:00"/>
    <x v="0"/>
    <x v="29"/>
  </r>
  <r>
    <s v="ORD-2025-132174"/>
    <d v="2025-07-17T00:00:00"/>
    <d v="2025-07-23T00:00:00"/>
    <x v="1"/>
    <x v="2"/>
    <s v="Vancouver"/>
    <s v="Consumer"/>
    <x v="1"/>
    <x v="9"/>
    <s v="Components"/>
    <x v="236"/>
    <n v="1364.89"/>
    <n v="2757.54"/>
    <n v="0.17199999999999999"/>
    <n v="61"/>
    <s v="Valid"/>
    <n v="2757.54"/>
    <b v="0"/>
    <n v="0.17199999999999999"/>
    <n v="6"/>
    <d v="2025-07-23T00:00:00"/>
    <n v="6"/>
    <n v="16792061.890319999"/>
    <n v="168209.94"/>
    <n v="16623851.95032"/>
    <n v="0.98998277036502791"/>
    <s v="Jul-2025"/>
    <s v="Q3-2025"/>
    <s v="Americas → Canada → Vancouver"/>
    <x v="0"/>
    <s v="High"/>
    <s v="CANADA"/>
    <d v="2023-01-02T00:00:00"/>
    <x v="0"/>
    <x v="12"/>
  </r>
  <r>
    <s v="ORD-2023-964434"/>
    <d v="2023-11-28T00:00:00"/>
    <d v="2023-12-07T00:00:00"/>
    <x v="2"/>
    <x v="3"/>
    <s v="Delhi"/>
    <s v="Enterprise"/>
    <x v="2"/>
    <x v="14"/>
    <s v="Phones"/>
    <x v="237"/>
    <n v="699.33"/>
    <n v="873.75"/>
    <n v="0.23499999999999999"/>
    <n v="10"/>
    <s v="Valid"/>
    <n v="873.75"/>
    <b v="0"/>
    <n v="0.23499999999999999"/>
    <n v="9"/>
    <d v="2023-12-07T00:00:00"/>
    <n v="9"/>
    <n v="871696.6875"/>
    <n v="8737.5"/>
    <n v="862959.1875"/>
    <n v="0.98997644464491552"/>
    <s v="Nov-2023"/>
    <s v="Q4-2023"/>
    <s v="Asia → India → Delhi"/>
    <x v="2"/>
    <s v="Low"/>
    <s v="INDIA"/>
    <d v="2023-01-29T00:00:00"/>
    <x v="0"/>
    <x v="30"/>
  </r>
  <r>
    <s v="ORD-2024-897622"/>
    <d v="2024-03-30T00:00:00"/>
    <d v="2024-04-24T00:00:00"/>
    <x v="1"/>
    <x v="10"/>
    <s v="Austin"/>
    <s v="Non-Profit"/>
    <x v="1"/>
    <x v="3"/>
    <s v="Laptops"/>
    <x v="238"/>
    <n v="160.82"/>
    <n v="258.52"/>
    <n v="0.13"/>
    <n v="17"/>
    <s v="Valid"/>
    <n v="258.52"/>
    <b v="0"/>
    <n v="0.13"/>
    <n v="25"/>
    <d v="2024-04-24T00:00:00"/>
    <n v="25"/>
    <n v="438912.67080000002"/>
    <n v="4394.84"/>
    <n v="434517.8308"/>
    <n v="0.98998698307800137"/>
    <s v="Mar-2024"/>
    <s v="Q1-2024"/>
    <s v="Americas → USA → Austin"/>
    <x v="2"/>
    <s v="Medium"/>
    <s v="USA"/>
    <d v="2023-01-13T00:00:00"/>
    <x v="0"/>
    <x v="0"/>
  </r>
  <r>
    <s v="ORD-2023-517216"/>
    <d v="2023-09-19T00:00:00"/>
    <d v="2023-10-08T00:00:00"/>
    <x v="2"/>
    <x v="3"/>
    <s v="Bengaluru"/>
    <s v="Education"/>
    <x v="4"/>
    <x v="1"/>
    <s v="Printers"/>
    <x v="239"/>
    <n v="385.32"/>
    <n v="606.76"/>
    <n v="8.5999999999999993E-2"/>
    <n v="8"/>
    <s v="Valid"/>
    <n v="606.76"/>
    <b v="0"/>
    <n v="8.5999999999999993E-2"/>
    <n v="19"/>
    <d v="2023-10-08T00:00:00"/>
    <n v="19"/>
    <n v="484990.54911999998"/>
    <n v="4854.08"/>
    <n v="480136.46911999997"/>
    <n v="0.98999139259763391"/>
    <s v="Sep-2023"/>
    <s v="Q3-2023"/>
    <s v="Asia → India → Bengaluru"/>
    <x v="1"/>
    <s v="Low"/>
    <s v="INDIA"/>
    <d v="2023-01-29T00:00:00"/>
    <x v="0"/>
    <x v="27"/>
  </r>
  <r>
    <s v="ORD-2025-509940"/>
    <d v="2025-05-16T00:00:00"/>
    <d v="2025-05-27T00:00:00"/>
    <x v="2"/>
    <x v="9"/>
    <s v="Beijing"/>
    <s v="Enterprise"/>
    <x v="1"/>
    <x v="8"/>
    <s v="Phones"/>
    <x v="240"/>
    <n v="918.12"/>
    <n v="1337.69"/>
    <n v="9.5000000000000001E-2"/>
    <n v="8"/>
    <s v="Valid"/>
    <n v="1337.69"/>
    <b v="0"/>
    <n v="9.5000000000000001E-2"/>
    <n v="11"/>
    <d v="2025-05-27T00:00:00"/>
    <n v="11"/>
    <n v="1069135.3556000001"/>
    <n v="10701.52"/>
    <n v="1058433.8356000001"/>
    <n v="0.98999049096641811"/>
    <s v="May-2025"/>
    <s v="Q2-2025"/>
    <s v="Asia → China → Beijing"/>
    <x v="2"/>
    <s v="High"/>
    <s v="CHINA"/>
    <d v="2023-01-12T00:00:00"/>
    <x v="0"/>
    <x v="7"/>
  </r>
  <r>
    <s v="ORD-2025-646342"/>
    <d v="2025-08-02T00:00:00"/>
    <d v="2025-08-08T00:00:00"/>
    <x v="2"/>
    <x v="6"/>
    <s v="Osaka"/>
    <s v="Consumer"/>
    <x v="4"/>
    <x v="12"/>
    <s v="Laptops"/>
    <x v="241"/>
    <n v="1225.94"/>
    <n v="1793.08"/>
    <n v="0.13600000000000001"/>
    <n v="22"/>
    <s v="Valid"/>
    <n v="1793.08"/>
    <b v="0"/>
    <n v="0.13600000000000001"/>
    <n v="6"/>
    <d v="2025-08-08T00:00:00"/>
    <n v="6"/>
    <n v="3939411.1046399996"/>
    <n v="39447.759999999995"/>
    <n v="3899963.3446399998"/>
    <n v="0.98998638147881124"/>
    <s v="Aug-2025"/>
    <s v="Q3-2025"/>
    <s v="Asia → Japan → Osaka"/>
    <x v="2"/>
    <s v="High"/>
    <s v="JAPAN"/>
    <d v="2023-03-03T00:00:00"/>
    <x v="1"/>
    <x v="28"/>
  </r>
  <r>
    <s v="ORD-2024-866535"/>
    <d v="2024-12-04T00:00:00"/>
    <d v="2024-12-12T00:00:00"/>
    <x v="3"/>
    <x v="5"/>
    <s v="Frankfurt"/>
    <s v="Enterprise"/>
    <x v="2"/>
    <x v="4"/>
    <s v="Printers"/>
    <x v="242"/>
    <n v="72.06"/>
    <n v="122.74"/>
    <n v="0.23799999999999999"/>
    <n v="8"/>
    <s v="Valid"/>
    <n v="122.74"/>
    <b v="0"/>
    <n v="0.23799999999999999"/>
    <n v="8"/>
    <d v="2024-12-12T00:00:00"/>
    <n v="8"/>
    <n v="97958.303039999999"/>
    <n v="981.92"/>
    <n v="96976.383040000001"/>
    <n v="0.98997614322086569"/>
    <s v="Dec-2024"/>
    <s v="Q4-2024"/>
    <s v="Europe → Germany → Frankfurt"/>
    <x v="1"/>
    <s v="High"/>
    <s v="GERMANY"/>
    <d v="2023-01-22T00:00:00"/>
    <x v="0"/>
    <x v="5"/>
  </r>
  <r>
    <s v="ORD-2023-747341"/>
    <d v="2023-04-19T00:00:00"/>
    <d v="2023-04-28T00:00:00"/>
    <x v="1"/>
    <x v="4"/>
    <s v="Rio de Janeiro"/>
    <s v="Corporate"/>
    <x v="3"/>
    <x v="11"/>
    <s v="Phones"/>
    <x v="243"/>
    <n v="1013.54"/>
    <n v="927.93"/>
    <n v="0.17499999999999999"/>
    <n v="16"/>
    <s v="Valid"/>
    <n v="927.93"/>
    <b v="0"/>
    <n v="0.17499999999999999"/>
    <n v="9"/>
    <d v="2023-04-28T00:00:00"/>
    <n v="9"/>
    <n v="1482089.7959999999"/>
    <n v="14846.88"/>
    <n v="1467242.916"/>
    <n v="0.9899824693213124"/>
    <s v="Apr-2023"/>
    <s v="Q2-2023"/>
    <s v="Americas → Brazil → Rio de Janeiro"/>
    <x v="2"/>
    <s v="Low"/>
    <s v="BRAZIL"/>
    <d v="2023-01-29T00:00:00"/>
    <x v="0"/>
    <x v="11"/>
  </r>
  <r>
    <s v="ORD-2024-853298"/>
    <d v="2024-03-06T00:00:00"/>
    <d v="2024-03-26T00:00:00"/>
    <x v="0"/>
    <x v="1"/>
    <s v="Port Harcourt"/>
    <s v="Consumer"/>
    <x v="2"/>
    <x v="2"/>
    <s v="Phones"/>
    <x v="244"/>
    <n v="65.64"/>
    <n v="151.88"/>
    <n v="0.16700000000000001"/>
    <n v="23"/>
    <s v="Valid"/>
    <n v="151.88"/>
    <b v="0"/>
    <n v="0.16700000000000001"/>
    <n v="20"/>
    <d v="2024-03-26T00:00:00"/>
    <n v="20"/>
    <n v="348740.62891999999"/>
    <n v="3493.24"/>
    <n v="345247.38892"/>
    <n v="0.98998327206434744"/>
    <s v="Mar-2024"/>
    <s v="Q1-2024"/>
    <s v="Africa → Nigeria → Port Harcourt"/>
    <x v="2"/>
    <s v="Medium"/>
    <s v="NIGERIA"/>
    <d v="2023-01-15T00:00:00"/>
    <x v="0"/>
    <x v="0"/>
  </r>
  <r>
    <s v="ORD-2024-544865"/>
    <d v="2024-02-16T00:00:00"/>
    <d v="2024-03-04T00:00:00"/>
    <x v="1"/>
    <x v="2"/>
    <s v="Montreal"/>
    <s v="Non-Profit"/>
    <x v="0"/>
    <x v="13"/>
    <s v="Laptops"/>
    <x v="245"/>
    <n v="1350.98"/>
    <n v="2210.4"/>
    <n v="0.26300000000000001"/>
    <n v="6"/>
    <s v="Valid"/>
    <n v="2210.4"/>
    <b v="0"/>
    <n v="0.26300000000000001"/>
    <n v="17"/>
    <d v="2024-03-04T00:00:00"/>
    <n v="17"/>
    <n v="1322751.9888000002"/>
    <n v="13262.400000000001"/>
    <n v="1309489.5888000003"/>
    <n v="0.98997363064860588"/>
    <s v="Feb-2024"/>
    <s v="Q1-2024"/>
    <s v="Americas → Canada → Montreal"/>
    <x v="2"/>
    <s v="Medium"/>
    <s v="CANADA"/>
    <d v="2023-01-02T00:00:00"/>
    <x v="0"/>
    <x v="31"/>
  </r>
  <r>
    <s v="ORD-2025-946490"/>
    <d v="2025-04-22T00:00:00"/>
    <d v="2025-05-02T00:00:00"/>
    <x v="3"/>
    <x v="5"/>
    <s v="Berlin"/>
    <s v="Corporate"/>
    <x v="2"/>
    <x v="0"/>
    <s v="Monitors"/>
    <x v="246"/>
    <n v="20.149999999999999"/>
    <n v="39.74"/>
    <n v="0.151"/>
    <n v="18"/>
    <s v="Valid"/>
    <n v="39.74"/>
    <b v="0"/>
    <n v="0.151"/>
    <n v="10"/>
    <d v="2025-05-02T00:00:00"/>
    <n v="10"/>
    <n v="71423.986680000002"/>
    <n v="715.32"/>
    <n v="70708.666679999995"/>
    <n v="0.98998487716451833"/>
    <s v="Apr-2025"/>
    <s v="Q2-2025"/>
    <s v="Europe → Germany → Berlin"/>
    <x v="1"/>
    <s v="High"/>
    <s v="GERMANY"/>
    <d v="2023-01-22T00:00:00"/>
    <x v="0"/>
    <x v="18"/>
  </r>
  <r>
    <s v="ORD-2024-320972"/>
    <d v="2024-11-08T00:00:00"/>
    <d v="2024-11-08T00:00:00"/>
    <x v="0"/>
    <x v="0"/>
    <s v="Nakuru"/>
    <s v="Enterprise"/>
    <x v="2"/>
    <x v="11"/>
    <s v="Networking"/>
    <x v="247"/>
    <n v="803.28"/>
    <n v="1009"/>
    <n v="0.11"/>
    <n v="4"/>
    <s v="Valid"/>
    <n v="1009"/>
    <b v="0"/>
    <n v="0.11"/>
    <n v="0"/>
    <d v="2024-11-08T00:00:00"/>
    <n v="0"/>
    <n v="403156.04"/>
    <n v="4036"/>
    <n v="399120.04"/>
    <n v="0.98998898788667533"/>
    <s v="Nov-2024"/>
    <s v="Q4-2024"/>
    <s v="Africa → Kenya → Nakuru"/>
    <x v="0"/>
    <s v="High"/>
    <s v="KENYA"/>
    <d v="2023-01-20T00:00:00"/>
    <x v="0"/>
    <x v="17"/>
  </r>
  <r>
    <s v="ORD-2025-248586"/>
    <d v="2025-09-12T00:00:00"/>
    <d v="2025-09-30T00:00:00"/>
    <x v="2"/>
    <x v="6"/>
    <s v="Nagoya"/>
    <s v="Non-Profit"/>
    <x v="2"/>
    <x v="8"/>
    <s v="Monitors"/>
    <x v="248"/>
    <n v="1212.99"/>
    <n v="1653.64"/>
    <n v="0.107"/>
    <n v="8"/>
    <s v="Valid"/>
    <n v="1653.64"/>
    <b v="0"/>
    <n v="0.107"/>
    <n v="18"/>
    <d v="2025-09-30T00:00:00"/>
    <n v="18"/>
    <n v="1321496.48416"/>
    <n v="13229.12"/>
    <n v="1308267.3641599999"/>
    <n v="0.98998928853873636"/>
    <s v="Sep-2025"/>
    <s v="Q3-2025"/>
    <s v="Asia → Japan → Nagoya"/>
    <x v="1"/>
    <s v="High"/>
    <s v="JAPAN"/>
    <d v="2023-03-03T00:00:00"/>
    <x v="1"/>
    <x v="10"/>
  </r>
  <r>
    <s v="ORD-2024-664046"/>
    <d v="2024-09-02T00:00:00"/>
    <d v="2024-09-08T00:00:00"/>
    <x v="1"/>
    <x v="10"/>
    <s v="Austin"/>
    <s v="Consumer"/>
    <x v="4"/>
    <x v="9"/>
    <s v="Components"/>
    <x v="249"/>
    <n v="462.94"/>
    <n v="1015.7"/>
    <n v="0.14299999999999999"/>
    <n v="14"/>
    <s v="Valid"/>
    <n v="1015.7"/>
    <b v="0"/>
    <n v="0.14299999999999999"/>
    <n v="6"/>
    <d v="2024-09-08T00:00:00"/>
    <n v="6"/>
    <n v="1419946.5686000001"/>
    <n v="14219.800000000001"/>
    <n v="1405726.7686000001"/>
    <n v="0.98998567952171601"/>
    <s v="Sep-2024"/>
    <s v="Q3-2024"/>
    <s v="Americas → USA → Austin"/>
    <x v="0"/>
    <s v="Medium"/>
    <s v="USA"/>
    <d v="2023-01-13T00:00:00"/>
    <x v="0"/>
    <x v="29"/>
  </r>
  <r>
    <s v="ORD-2023-276806"/>
    <d v="2023-03-04T00:00:00"/>
    <d v="2023-03-24T00:00:00"/>
    <x v="1"/>
    <x v="2"/>
    <s v="Montreal"/>
    <s v="Consumer"/>
    <x v="3"/>
    <x v="2"/>
    <s v="Laptops"/>
    <x v="250"/>
    <n v="481.71"/>
    <n v="912.45"/>
    <n v="0.20300000000000001"/>
    <n v="24"/>
    <s v="Valid"/>
    <n v="912.45"/>
    <b v="0"/>
    <n v="0.20300000000000001"/>
    <n v="20"/>
    <d v="2023-03-24T00:00:00"/>
    <n v="20"/>
    <n v="2185434.5436000004"/>
    <n v="21898.800000000003"/>
    <n v="2163535.7436000006"/>
    <n v="0.98997965870717564"/>
    <s v="Mar-2023"/>
    <s v="Q1-2023"/>
    <s v="Americas → Canada → Montreal"/>
    <x v="2"/>
    <s v="Low"/>
    <s v="CANADA"/>
    <d v="2023-01-02T00:00:00"/>
    <x v="0"/>
    <x v="21"/>
  </r>
  <r>
    <s v="ORD-2024-220234"/>
    <d v="2024-03-15T00:00:00"/>
    <d v="2024-04-09T00:00:00"/>
    <x v="1"/>
    <x v="2"/>
    <s v="Vancouver"/>
    <s v="Consumer"/>
    <x v="1"/>
    <x v="8"/>
    <s v="Monitors"/>
    <x v="251"/>
    <n v="648.64"/>
    <n v="815.19"/>
    <n v="0.22500000000000001"/>
    <n v="28"/>
    <s v="Valid"/>
    <n v="815.19"/>
    <b v="0"/>
    <n v="0.22500000000000001"/>
    <n v="25"/>
    <d v="2024-04-09T00:00:00"/>
    <n v="25"/>
    <n v="2277396.3030000003"/>
    <n v="22825.32"/>
    <n v="2254570.9830000005"/>
    <n v="0.98997744926083697"/>
    <s v="Mar-2024"/>
    <s v="Q1-2024"/>
    <s v="Americas → Canada → Vancouver"/>
    <x v="1"/>
    <s v="Medium"/>
    <s v="CANADA"/>
    <d v="2023-01-02T00:00:00"/>
    <x v="0"/>
    <x v="0"/>
  </r>
  <r>
    <s v="ORD-2024-301260"/>
    <d v="2024-07-29T00:00:00"/>
    <d v="2024-07-31T00:00:00"/>
    <x v="1"/>
    <x v="10"/>
    <s v="New York"/>
    <s v="Education"/>
    <x v="2"/>
    <x v="2"/>
    <s v="Printers"/>
    <x v="252"/>
    <n v="798.97"/>
    <n v="1814.06"/>
    <n v="0.122"/>
    <n v="16"/>
    <s v="Valid"/>
    <n v="1814.06"/>
    <b v="0"/>
    <n v="0.122"/>
    <n v="2"/>
    <d v="2024-07-31T00:00:00"/>
    <n v="2"/>
    <n v="2898954.9548800001"/>
    <n v="29024.959999999999"/>
    <n v="2869929.9948800001"/>
    <n v="0.98998778509781937"/>
    <s v="Jul-2024"/>
    <s v="Q3-2024"/>
    <s v="Americas → USA → New York"/>
    <x v="1"/>
    <s v="Medium"/>
    <s v="USA"/>
    <d v="2023-01-13T00:00:00"/>
    <x v="0"/>
    <x v="13"/>
  </r>
  <r>
    <s v="ORD-2024-350100"/>
    <d v="2024-10-27T00:00:00"/>
    <d v="2024-11-20T00:00:00"/>
    <x v="2"/>
    <x v="6"/>
    <s v="Nagoya"/>
    <s v="Non-Profit"/>
    <x v="1"/>
    <x v="9"/>
    <s v="Monitors"/>
    <x v="253"/>
    <n v="317.25"/>
    <n v="758.92"/>
    <n v="5.2999999999999999E-2"/>
    <n v="9"/>
    <s v="Valid"/>
    <n v="758.92"/>
    <b v="0"/>
    <n v="5.2999999999999999E-2"/>
    <n v="24"/>
    <d v="2024-11-20T00:00:00"/>
    <n v="24"/>
    <n v="682665.99516000005"/>
    <n v="6830.28"/>
    <n v="675835.71516000002"/>
    <n v="0.98999469718951039"/>
    <s v="Oct-2024"/>
    <s v="Q4-2024"/>
    <s v="Asia → Japan → Nagoya"/>
    <x v="1"/>
    <s v="High"/>
    <s v="JAPAN"/>
    <d v="2023-03-03T00:00:00"/>
    <x v="1"/>
    <x v="1"/>
  </r>
  <r>
    <s v="ORD-2024-855600"/>
    <d v="2024-04-29T00:00:00"/>
    <d v="2024-05-19T00:00:00"/>
    <x v="3"/>
    <x v="5"/>
    <s v="Frankfurt"/>
    <s v="Enterprise"/>
    <x v="2"/>
    <x v="0"/>
    <s v="Laptops"/>
    <x v="254"/>
    <n v="668.97"/>
    <n v="1667.44"/>
    <n v="3.4000000000000002E-2"/>
    <n v="15"/>
    <s v="Valid"/>
    <n v="1667.44"/>
    <b v="0"/>
    <n v="3.4000000000000002E-2"/>
    <n v="20"/>
    <d v="2024-05-19T00:00:00"/>
    <n v="20"/>
    <n v="2500309.6055999999"/>
    <n v="25011.600000000002"/>
    <n v="2475298.0055999998"/>
    <n v="0.9899965988436068"/>
    <s v="Apr-2024"/>
    <s v="Q2-2024"/>
    <s v="Europe → Germany → Frankfurt"/>
    <x v="2"/>
    <s v="Medium"/>
    <s v="GERMANY"/>
    <d v="2023-01-22T00:00:00"/>
    <x v="0"/>
    <x v="19"/>
  </r>
  <r>
    <s v="ORD-2023-474313"/>
    <d v="2023-10-05T00:00:00"/>
    <d v="2023-10-06T00:00:00"/>
    <x v="2"/>
    <x v="3"/>
    <s v="Bengaluru"/>
    <s v="Non-Profit"/>
    <x v="1"/>
    <x v="2"/>
    <s v="Components"/>
    <x v="255"/>
    <n v="1470.26"/>
    <n v="2562.5500000000002"/>
    <n v="0.17299999999999999"/>
    <n v="9"/>
    <s v="Valid"/>
    <n v="2562.5500000000002"/>
    <b v="0"/>
    <n v="0.17299999999999999"/>
    <n v="1"/>
    <d v="2023-10-06T00:00:00"/>
    <n v="1"/>
    <n v="2302305.10965"/>
    <n v="23062.95"/>
    <n v="2279242.1596499998"/>
    <n v="0.98998267001913298"/>
    <s v="Oct-2023"/>
    <s v="Q4-2023"/>
    <s v="Asia → India → Bengaluru"/>
    <x v="0"/>
    <s v="Low"/>
    <s v="INDIA"/>
    <d v="2023-01-29T00:00:00"/>
    <x v="0"/>
    <x v="32"/>
  </r>
  <r>
    <s v="ORD-2023-256951"/>
    <d v="2023-04-19T00:00:00"/>
    <d v="2023-05-07T00:00:00"/>
    <x v="3"/>
    <x v="8"/>
    <s v="London"/>
    <s v="Non-Profit"/>
    <x v="4"/>
    <x v="9"/>
    <s v="Networking"/>
    <x v="256"/>
    <n v="516.96"/>
    <n v="745.38"/>
    <n v="0.19700000000000001"/>
    <n v="4"/>
    <s v="Valid"/>
    <n v="745.38"/>
    <b v="0"/>
    <n v="0.19700000000000001"/>
    <n v="18"/>
    <d v="2023-05-07T00:00:00"/>
    <n v="18"/>
    <n v="297564.64055999997"/>
    <n v="2981.52"/>
    <n v="294583.12055999995"/>
    <n v="0.9899802611143953"/>
    <s v="Apr-2023"/>
    <s v="Q2-2023"/>
    <s v="Europe → United Kingdom → London"/>
    <x v="0"/>
    <s v="Low"/>
    <s v="UNITED KINGDOM"/>
    <d v="2023-01-19T00:00:00"/>
    <x v="0"/>
    <x v="11"/>
  </r>
  <r>
    <s v="ORD-2025-184754"/>
    <d v="2025-06-27T00:00:00"/>
    <d v="2025-07-05T00:00:00"/>
    <x v="3"/>
    <x v="5"/>
    <s v="Munich"/>
    <s v="Small Business"/>
    <x v="4"/>
    <x v="3"/>
    <s v="Monitors"/>
    <x v="257"/>
    <n v="314.93"/>
    <n v="687.95"/>
    <n v="0.20499999999999999"/>
    <n v="8"/>
    <s v="Valid"/>
    <n v="687.95"/>
    <b v="0"/>
    <n v="0.20499999999999999"/>
    <n v="8"/>
    <d v="2025-07-05T00:00:00"/>
    <n v="8"/>
    <n v="549231.76199999999"/>
    <n v="5503.6"/>
    <n v="543728.16200000001"/>
    <n v="0.98997945788867181"/>
    <s v="Jun-2025"/>
    <s v="Q2-2025"/>
    <s v="Europe → Germany → Munich"/>
    <x v="1"/>
    <s v="High"/>
    <s v="GERMANY"/>
    <d v="2023-01-22T00:00:00"/>
    <x v="0"/>
    <x v="15"/>
  </r>
  <r>
    <s v="ORD-2023-888140"/>
    <d v="2023-10-11T00:00:00"/>
    <d v="2023-10-13T00:00:00"/>
    <x v="1"/>
    <x v="4"/>
    <s v="Brasília"/>
    <s v="Consumer"/>
    <x v="3"/>
    <x v="15"/>
    <s v="Accessories"/>
    <x v="258"/>
    <n v="715.94"/>
    <n v="550.07000000000005"/>
    <n v="0.14000000000000001"/>
    <n v="16"/>
    <s v="Valid"/>
    <n v="550.07000000000005"/>
    <b v="0"/>
    <n v="0.14000000000000001"/>
    <n v="2"/>
    <d v="2023-10-13T00:00:00"/>
    <n v="2"/>
    <n v="878879.84320000012"/>
    <n v="8801.1200000000008"/>
    <n v="870078.72320000012"/>
    <n v="0.9899859803725215"/>
    <s v="Oct-2023"/>
    <s v="Q4-2023"/>
    <s v="Americas → Brazil → Brasília"/>
    <x v="0"/>
    <s v="Low"/>
    <s v="BRAZIL"/>
    <d v="2023-01-29T00:00:00"/>
    <x v="0"/>
    <x v="32"/>
  </r>
  <r>
    <s v="ORD-2023-638181"/>
    <d v="2023-05-20T00:00:00"/>
    <d v="2023-06-07T00:00:00"/>
    <x v="0"/>
    <x v="1"/>
    <s v="Port Harcourt"/>
    <s v="Enterprise"/>
    <x v="3"/>
    <x v="5"/>
    <s v="Components"/>
    <x v="259"/>
    <n v="1120.06"/>
    <n v="2068.21"/>
    <n v="7.8E-2"/>
    <n v="12"/>
    <s v="Valid"/>
    <n v="2068.21"/>
    <b v="0"/>
    <n v="7.8E-2"/>
    <n v="18"/>
    <d v="2023-06-07T00:00:00"/>
    <n v="18"/>
    <n v="2479916.1554399999"/>
    <n v="24818.52"/>
    <n v="2455097.6354399999"/>
    <n v="0.98999219391125082"/>
    <s v="May-2023"/>
    <s v="Q2-2023"/>
    <s v="Africa → Nigeria → Port Harcourt"/>
    <x v="0"/>
    <s v="Low"/>
    <s v="NIGERIA"/>
    <d v="2023-01-15T00:00:00"/>
    <x v="0"/>
    <x v="14"/>
  </r>
  <r>
    <s v="ORD-2023-521280"/>
    <d v="2023-05-27T00:00:00"/>
    <d v="2023-06-19T00:00:00"/>
    <x v="3"/>
    <x v="5"/>
    <s v="Berlin"/>
    <s v="Education"/>
    <x v="0"/>
    <x v="6"/>
    <s v="Accessories"/>
    <x v="260"/>
    <n v="1471.58"/>
    <n v="2576.65"/>
    <n v="4.0000000000000001E-3"/>
    <n v="7"/>
    <s v="Valid"/>
    <n v="2576.65"/>
    <b v="0"/>
    <n v="4.0000000000000001E-3"/>
    <n v="23"/>
    <d v="2023-06-19T00:00:00"/>
    <n v="23"/>
    <n v="1803582.8537999999"/>
    <n v="18036.55"/>
    <n v="1785546.3037999999"/>
    <n v="0.98999959998399933"/>
    <s v="May-2023"/>
    <s v="Q2-2023"/>
    <s v="Europe → Germany → Berlin"/>
    <x v="0"/>
    <s v="Low"/>
    <s v="GERMANY"/>
    <d v="2023-01-22T00:00:00"/>
    <x v="0"/>
    <x v="14"/>
  </r>
  <r>
    <s v="ORD-2023-630430"/>
    <d v="2023-08-04T00:00:00"/>
    <d v="2023-08-24T00:00:00"/>
    <x v="1"/>
    <x v="4"/>
    <s v="Brasília"/>
    <s v="Non-Profit"/>
    <x v="4"/>
    <x v="15"/>
    <s v="Networking"/>
    <x v="261"/>
    <n v="582.88"/>
    <n v="1044.1400000000001"/>
    <n v="0.216"/>
    <n v="10"/>
    <s v="Valid"/>
    <n v="1044.1400000000001"/>
    <b v="0"/>
    <n v="0.216"/>
    <n v="20"/>
    <d v="2023-08-24T00:00:00"/>
    <n v="20"/>
    <n v="1041884.6576000002"/>
    <n v="10441.400000000001"/>
    <n v="1031443.2576000001"/>
    <n v="0.98997835324300487"/>
    <s v="Aug-2023"/>
    <s v="Q3-2023"/>
    <s v="Americas → Brazil → Brasília"/>
    <x v="0"/>
    <s v="Low"/>
    <s v="BRAZIL"/>
    <d v="2023-01-29T00:00:00"/>
    <x v="0"/>
    <x v="24"/>
  </r>
  <r>
    <s v="ORD-2025-908258"/>
    <d v="2025-06-21T00:00:00"/>
    <d v="2025-06-27T00:00:00"/>
    <x v="0"/>
    <x v="11"/>
    <s v="Durban"/>
    <s v="Enterprise"/>
    <x v="3"/>
    <x v="12"/>
    <s v="Phones"/>
    <x v="262"/>
    <n v="93.91"/>
    <n v="99.04"/>
    <n v="5.7000000000000002E-2"/>
    <n v="6"/>
    <s v="Valid"/>
    <n v="99.04"/>
    <b v="0"/>
    <n v="5.7000000000000002E-2"/>
    <n v="6"/>
    <d v="2025-06-27T00:00:00"/>
    <n v="6"/>
    <n v="59390.128319999996"/>
    <n v="594.24"/>
    <n v="58795.888319999998"/>
    <n v="0.98999429674914707"/>
    <s v="Jun-2025"/>
    <s v="Q2-2025"/>
    <s v="Africa → South Africa → Durban"/>
    <x v="2"/>
    <s v="High"/>
    <s v="SOUTH AFRICA"/>
    <d v="2023-01-07T00:00:00"/>
    <x v="0"/>
    <x v="15"/>
  </r>
  <r>
    <s v="ORD-2025-440093"/>
    <d v="2025-04-16T00:00:00"/>
    <d v="2025-04-26T00:00:00"/>
    <x v="0"/>
    <x v="1"/>
    <s v="Port Harcourt"/>
    <s v="Enterprise"/>
    <x v="2"/>
    <x v="8"/>
    <s v="Laptops"/>
    <x v="263"/>
    <n v="1457.44"/>
    <n v="1996.81"/>
    <n v="0.126"/>
    <n v="23"/>
    <s v="Valid"/>
    <n v="1996.81"/>
    <b v="0"/>
    <n v="0.126"/>
    <n v="10"/>
    <d v="2025-04-26T00:00:00"/>
    <n v="10"/>
    <n v="4586876.2446199991"/>
    <n v="45926.63"/>
    <n v="4540949.6146199992"/>
    <n v="0.98998738410397102"/>
    <s v="Apr-2025"/>
    <s v="Q2-2025"/>
    <s v="Africa → Nigeria → Port Harcourt"/>
    <x v="2"/>
    <s v="High"/>
    <s v="NIGERIA"/>
    <d v="2023-01-15T00:00:00"/>
    <x v="0"/>
    <x v="18"/>
  </r>
  <r>
    <s v="ORD-2025-898022"/>
    <d v="2025-09-02T00:00:00"/>
    <d v="2025-09-11T00:00:00"/>
    <x v="1"/>
    <x v="2"/>
    <s v="Toronto"/>
    <s v="Corporate"/>
    <x v="3"/>
    <x v="11"/>
    <s v="Printers"/>
    <x v="264"/>
    <n v="1207.6300000000001"/>
    <n v="921.68"/>
    <n v="0.19600000000000001"/>
    <n v="17"/>
    <s v="Valid"/>
    <n v="921.68"/>
    <b v="0"/>
    <n v="0.19600000000000001"/>
    <n v="9"/>
    <d v="2025-09-11T00:00:00"/>
    <n v="9"/>
    <n v="1563784.96224"/>
    <n v="15668.56"/>
    <n v="1548116.40224"/>
    <n v="0.98998036150855673"/>
    <s v="Sep-2025"/>
    <s v="Q3-2025"/>
    <s v="Americas → Canada → Toronto"/>
    <x v="1"/>
    <s v="High"/>
    <s v="CANADA"/>
    <d v="2023-01-02T00:00:00"/>
    <x v="0"/>
    <x v="10"/>
  </r>
  <r>
    <s v="ORD-2024-500511"/>
    <d v="2024-10-08T00:00:00"/>
    <d v="2024-10-08T00:00:00"/>
    <x v="3"/>
    <x v="8"/>
    <s v="London"/>
    <s v="Corporate"/>
    <x v="1"/>
    <x v="5"/>
    <s v="Monitors"/>
    <x v="265"/>
    <n v="1108.1099999999999"/>
    <n v="2503.79"/>
    <n v="0.184"/>
    <n v="19"/>
    <s v="Valid"/>
    <n v="2503.79"/>
    <b v="0"/>
    <n v="0.184"/>
    <n v="0"/>
    <d v="2024-10-08T00:00:00"/>
    <n v="0"/>
    <n v="4748447.7501600003"/>
    <n v="47572.01"/>
    <n v="4700875.7401600005"/>
    <n v="0.98998156608159016"/>
    <s v="Oct-2024"/>
    <s v="Q4-2024"/>
    <s v="Europe → United Kingdom → London"/>
    <x v="1"/>
    <s v="Medium"/>
    <s v="UNITED KINGDOM"/>
    <d v="2023-01-19T00:00:00"/>
    <x v="0"/>
    <x v="1"/>
  </r>
  <r>
    <s v="ORD-2023-632893"/>
    <d v="2023-05-07T00:00:00"/>
    <d v="2023-05-05T00:00:00"/>
    <x v="0"/>
    <x v="1"/>
    <s v="Port Harcourt"/>
    <s v="Non-Profit"/>
    <x v="2"/>
    <x v="7"/>
    <s v="Components"/>
    <x v="266"/>
    <n v="1269.6500000000001"/>
    <n v="2462.77"/>
    <n v="0.107"/>
    <n v="8"/>
    <s v="Valid"/>
    <n v="2462.77"/>
    <b v="0"/>
    <n v="0.107"/>
    <n v="-2"/>
    <d v="2023-05-14T00:00:00"/>
    <n v="7"/>
    <n v="1968107.86888"/>
    <n v="19702.16"/>
    <n v="1948405.70888"/>
    <n v="0.98998928853873647"/>
    <s v="May-2023"/>
    <s v="Q2-2023"/>
    <s v="Africa → Nigeria → Port Harcourt"/>
    <x v="0"/>
    <s v="Low"/>
    <s v="NIGERIA"/>
    <d v="2023-01-15T00:00:00"/>
    <x v="0"/>
    <x v="14"/>
  </r>
  <r>
    <s v="ORD-2023-967239"/>
    <d v="2023-12-24T00:00:00"/>
    <d v="2024-01-01T00:00:00"/>
    <x v="1"/>
    <x v="4"/>
    <s v="São Paulo"/>
    <s v="Education"/>
    <x v="4"/>
    <x v="0"/>
    <s v="Phones"/>
    <x v="267"/>
    <n v="526.49"/>
    <n v="496.2"/>
    <n v="0"/>
    <n v="14"/>
    <s v="Valid"/>
    <n v="496.2"/>
    <b v="0"/>
    <n v="0"/>
    <n v="8"/>
    <d v="2024-01-01T00:00:00"/>
    <n v="8"/>
    <n v="694680"/>
    <n v="6946.8"/>
    <n v="687733.2"/>
    <n v="0.98999999999999988"/>
    <s v="Dec-2023"/>
    <s v="Q4-2023"/>
    <s v="Americas → Brazil → São Paulo"/>
    <x v="2"/>
    <s v="Medium"/>
    <s v="BRAZIL"/>
    <d v="2023-01-29T00:00:00"/>
    <x v="0"/>
    <x v="26"/>
  </r>
  <r>
    <s v="ORD-2024-885858"/>
    <d v="2024-01-10T00:00:00"/>
    <d v="2024-01-23T00:00:00"/>
    <x v="3"/>
    <x v="7"/>
    <s v="Marseille"/>
    <s v="Corporate"/>
    <x v="4"/>
    <x v="7"/>
    <s v="Printers"/>
    <x v="268"/>
    <n v="720"/>
    <n v="907.59"/>
    <n v="0.154"/>
    <n v="10"/>
    <s v="Valid"/>
    <n v="907.59"/>
    <b v="0"/>
    <n v="0.154"/>
    <n v="13"/>
    <d v="2024-01-23T00:00:00"/>
    <n v="13"/>
    <n v="906192.31140000001"/>
    <n v="9075.9"/>
    <n v="897116.41139999998"/>
    <n v="0.98998457624742098"/>
    <s v="Jan-2024"/>
    <s v="Q1-2024"/>
    <s v="Europe → France → Marseille"/>
    <x v="1"/>
    <s v="Medium"/>
    <s v="FRANCE"/>
    <d v="2023-01-10T00:00:00"/>
    <x v="0"/>
    <x v="8"/>
  </r>
  <r>
    <s v="ORD-2023-253245"/>
    <d v="2023-08-03T00:00:00"/>
    <d v="2023-08-14T00:00:00"/>
    <x v="1"/>
    <x v="4"/>
    <s v="Brasília"/>
    <s v="Corporate"/>
    <x v="4"/>
    <x v="1"/>
    <s v="Accessories"/>
    <x v="269"/>
    <n v="232.73"/>
    <n v="334.19"/>
    <n v="0.13400000000000001"/>
    <n v="25"/>
    <s v="Valid"/>
    <n v="334.19"/>
    <b v="0"/>
    <n v="0.13400000000000001"/>
    <n v="11"/>
    <d v="2023-08-14T00:00:00"/>
    <n v="11"/>
    <n v="834355.46349999995"/>
    <n v="8354.75"/>
    <n v="826000.71349999995"/>
    <n v="0.98998658201990664"/>
    <s v="Aug-2023"/>
    <s v="Q3-2023"/>
    <s v="Americas → Brazil → Brasília"/>
    <x v="0"/>
    <s v="Low"/>
    <s v="BRAZIL"/>
    <d v="2023-01-29T00:00:00"/>
    <x v="0"/>
    <x v="24"/>
  </r>
  <r>
    <s v="ORD-2025-484073"/>
    <d v="2025-02-19T00:00:00"/>
    <d v="2025-03-09T00:00:00"/>
    <x v="2"/>
    <x v="3"/>
    <s v="Delhi"/>
    <s v="Small Business"/>
    <x v="4"/>
    <x v="6"/>
    <s v="Monitors"/>
    <x v="270"/>
    <n v="325.87"/>
    <n v="538.79"/>
    <n v="0.17399999999999999"/>
    <n v="16"/>
    <s v="Valid"/>
    <n v="538.79"/>
    <b v="0"/>
    <n v="0.17399999999999999"/>
    <n v="18"/>
    <d v="2025-03-09T00:00:00"/>
    <n v="18"/>
    <n v="860564.0086399999"/>
    <n v="8620.64"/>
    <n v="851943.36863999988"/>
    <n v="0.98998256967122789"/>
    <s v="Feb-2025"/>
    <s v="Q1-2025"/>
    <s v="Asia → India → Delhi"/>
    <x v="1"/>
    <s v="High"/>
    <s v="INDIA"/>
    <d v="2023-01-29T00:00:00"/>
    <x v="0"/>
    <x v="25"/>
  </r>
  <r>
    <s v="ORD-2024-745822"/>
    <d v="2024-03-31T00:00:00"/>
    <d v="2024-04-17T00:00:00"/>
    <x v="3"/>
    <x v="5"/>
    <s v="Frankfurt"/>
    <s v="Education"/>
    <x v="4"/>
    <x v="9"/>
    <s v="Monitors"/>
    <x v="271"/>
    <n v="1025.51"/>
    <n v="1436.54"/>
    <n v="0.13900000000000001"/>
    <n v="28"/>
    <s v="Valid"/>
    <n v="1436.54"/>
    <b v="0"/>
    <n v="0.13900000000000001"/>
    <n v="17"/>
    <d v="2024-04-17T00:00:00"/>
    <n v="17"/>
    <n v="4016720.9863199997"/>
    <n v="40223.119999999995"/>
    <n v="3976497.8663199996"/>
    <n v="0.98998608065210636"/>
    <s v="Mar-2024"/>
    <s v="Q1-2024"/>
    <s v="Europe → Germany → Frankfurt"/>
    <x v="1"/>
    <s v="Medium"/>
    <s v="GERMANY"/>
    <d v="2023-01-22T00:00:00"/>
    <x v="0"/>
    <x v="0"/>
  </r>
  <r>
    <s v="ORD-2023-369160"/>
    <d v="2023-07-24T00:00:00"/>
    <d v="2023-08-13T00:00:00"/>
    <x v="1"/>
    <x v="2"/>
    <s v="Montreal"/>
    <s v="Education"/>
    <x v="4"/>
    <x v="0"/>
    <s v="Monitors"/>
    <x v="272"/>
    <n v="1082.3800000000001"/>
    <n v="1766.55"/>
    <n v="0.16400000000000001"/>
    <n v="20"/>
    <s v="Valid"/>
    <n v="1766.55"/>
    <b v="0"/>
    <n v="0.16400000000000001"/>
    <n v="20"/>
    <d v="2023-08-13T00:00:00"/>
    <n v="20"/>
    <n v="3527305.716"/>
    <n v="35331"/>
    <n v="3491974.716"/>
    <n v="0.9899835730598181"/>
    <s v="Jul-2023"/>
    <s v="Q3-2023"/>
    <s v="Americas → Canada → Montreal"/>
    <x v="1"/>
    <s v="Low"/>
    <s v="CANADA"/>
    <d v="2023-01-02T00:00:00"/>
    <x v="0"/>
    <x v="23"/>
  </r>
  <r>
    <s v="ORD-2024-834983"/>
    <d v="2024-03-16T00:00:00"/>
    <d v="2024-04-13T00:00:00"/>
    <x v="3"/>
    <x v="7"/>
    <s v="Paris"/>
    <s v="Small Business"/>
    <x v="1"/>
    <x v="10"/>
    <s v="Printers"/>
    <x v="273"/>
    <n v="287.61"/>
    <n v="628.54"/>
    <n v="0.13500000000000001"/>
    <n v="21"/>
    <s v="Valid"/>
    <n v="628.54"/>
    <b v="0"/>
    <n v="0.13500000000000001"/>
    <n v="28"/>
    <d v="2024-04-13T00:00:00"/>
    <n v="28"/>
    <n v="1318152.0891"/>
    <n v="13199.34"/>
    <n v="1304952.7490999999"/>
    <n v="0.98998648175036297"/>
    <s v="Mar-2024"/>
    <s v="Q1-2024"/>
    <s v="Europe → France → Paris"/>
    <x v="1"/>
    <s v="Medium"/>
    <s v="FRANCE"/>
    <d v="2023-01-10T00:00:00"/>
    <x v="0"/>
    <x v="0"/>
  </r>
  <r>
    <s v="ORD-2024-499009"/>
    <d v="2024-01-25T00:00:00"/>
    <d v="2024-01-27T00:00:00"/>
    <x v="1"/>
    <x v="4"/>
    <s v="São Paulo"/>
    <s v="Non-Profit"/>
    <x v="2"/>
    <x v="12"/>
    <s v="Laptops"/>
    <x v="274"/>
    <n v="1410.97"/>
    <n v="1650.75"/>
    <n v="0.13500000000000001"/>
    <n v="6"/>
    <s v="Valid"/>
    <n v="1650.75"/>
    <b v="0"/>
    <n v="0.13500000000000001"/>
    <n v="2"/>
    <d v="2024-01-27T00:00:00"/>
    <n v="2"/>
    <n v="989112.89249999996"/>
    <n v="9904.5"/>
    <n v="979208.39249999996"/>
    <n v="0.98998648175036297"/>
    <s v="Jan-2024"/>
    <s v="Q1-2024"/>
    <s v="Americas → Brazil → São Paulo"/>
    <x v="2"/>
    <s v="Medium"/>
    <s v="BRAZIL"/>
    <d v="2023-01-29T00:00:00"/>
    <x v="0"/>
    <x v="8"/>
  </r>
  <r>
    <s v="ORD-2024-948800"/>
    <d v="2024-03-27T00:00:00"/>
    <d v="2024-04-11T00:00:00"/>
    <x v="1"/>
    <x v="10"/>
    <s v="San Francisco"/>
    <s v="Small Business"/>
    <x v="4"/>
    <x v="6"/>
    <s v="Networking"/>
    <x v="275"/>
    <n v="1338.35"/>
    <n v="2247.14"/>
    <n v="0.115"/>
    <n v="40"/>
    <s v="Valid"/>
    <n v="2247.14"/>
    <b v="0"/>
    <n v="0.115"/>
    <n v="15"/>
    <d v="2024-04-11T00:00:00"/>
    <n v="15"/>
    <n v="8978223.1559999995"/>
    <n v="89885.599999999991"/>
    <n v="8888337.5559999999"/>
    <n v="0.9899884867597738"/>
    <s v="Mar-2024"/>
    <s v="Q1-2024"/>
    <s v="Americas → USA → San Francisco"/>
    <x v="0"/>
    <s v="Medium"/>
    <s v="USA"/>
    <d v="2023-01-13T00:00:00"/>
    <x v="0"/>
    <x v="0"/>
  </r>
  <r>
    <s v="ORD-2025-678328"/>
    <d v="2025-06-24T00:00:00"/>
    <d v="2025-07-14T00:00:00"/>
    <x v="3"/>
    <x v="5"/>
    <s v="Berlin"/>
    <s v="Corporate"/>
    <x v="4"/>
    <x v="6"/>
    <s v="Accessories"/>
    <x v="276"/>
    <n v="385.08"/>
    <n v="893.19"/>
    <n v="0.151"/>
    <n v="8"/>
    <s v="Valid"/>
    <n v="893.19"/>
    <b v="0"/>
    <n v="0.151"/>
    <n v="20"/>
    <d v="2025-07-14T00:00:00"/>
    <n v="20"/>
    <n v="713473.02648000012"/>
    <n v="7145.52"/>
    <n v="706327.5064800001"/>
    <n v="0.98998487716451844"/>
    <s v="Jun-2025"/>
    <s v="Q2-2025"/>
    <s v="Europe → Germany → Berlin"/>
    <x v="0"/>
    <s v="High"/>
    <s v="GERMANY"/>
    <d v="2023-01-22T00:00:00"/>
    <x v="0"/>
    <x v="15"/>
  </r>
  <r>
    <s v="ORD-2024-580808"/>
    <d v="2024-06-16T00:00:00"/>
    <d v="2024-07-03T00:00:00"/>
    <x v="0"/>
    <x v="11"/>
    <s v="Johannesburg"/>
    <s v="Enterprise"/>
    <x v="2"/>
    <x v="8"/>
    <s v="Phones"/>
    <x v="277"/>
    <n v="1173.83"/>
    <n v="2328.9"/>
    <n v="0.12"/>
    <n v="17"/>
    <s v="Valid"/>
    <n v="2328.9"/>
    <b v="0"/>
    <n v="0.12"/>
    <n v="17"/>
    <d v="2024-07-03T00:00:00"/>
    <n v="17"/>
    <n v="3954379.0440000002"/>
    <n v="39591.300000000003"/>
    <n v="3914787.7440000004"/>
    <n v="0.98998798558269929"/>
    <s v="Jun-2024"/>
    <s v="Q2-2024"/>
    <s v="Africa → South Africa → Johannesburg"/>
    <x v="2"/>
    <s v="Medium"/>
    <s v="SOUTH AFRICA"/>
    <d v="2023-01-07T00:00:00"/>
    <x v="0"/>
    <x v="16"/>
  </r>
  <r>
    <s v="ORD-2023-211715"/>
    <d v="2023-10-30T00:00:00"/>
    <d v="2023-11-14T00:00:00"/>
    <x v="2"/>
    <x v="3"/>
    <s v="Bengaluru"/>
    <s v="Corporate"/>
    <x v="1"/>
    <x v="8"/>
    <s v="Laptops"/>
    <x v="278"/>
    <n v="953.46"/>
    <n v="2066.75"/>
    <n v="0.13800000000000001"/>
    <n v="5"/>
    <s v="Valid"/>
    <n v="2066.75"/>
    <b v="0"/>
    <n v="0.13800000000000001"/>
    <n v="15"/>
    <d v="2023-11-14T00:00:00"/>
    <n v="15"/>
    <n v="1031948.9424999999"/>
    <n v="10333.75"/>
    <n v="1021615.1924999999"/>
    <n v="0.98998618092968294"/>
    <s v="Oct-2023"/>
    <s v="Q4-2023"/>
    <s v="Asia → India → Bengaluru"/>
    <x v="2"/>
    <s v="Low"/>
    <s v="INDIA"/>
    <d v="2023-01-29T00:00:00"/>
    <x v="0"/>
    <x v="32"/>
  </r>
  <r>
    <s v="ORD-2023-715175"/>
    <d v="2023-06-15T00:00:00"/>
    <d v="2023-06-23T00:00:00"/>
    <x v="1"/>
    <x v="10"/>
    <s v="San Francisco"/>
    <s v="Consumer"/>
    <x v="3"/>
    <x v="6"/>
    <s v="Monitors"/>
    <x v="279"/>
    <n v="1097.0899999999999"/>
    <n v="2182.31"/>
    <n v="0.112"/>
    <n v="9"/>
    <s v="Valid"/>
    <n v="2182.31"/>
    <b v="0"/>
    <n v="0.112"/>
    <n v="8"/>
    <d v="2023-06-23T00:00:00"/>
    <n v="8"/>
    <n v="1961879.2315200001"/>
    <n v="19640.79"/>
    <n v="1942238.4415200001"/>
    <n v="0.98998878744193497"/>
    <s v="Jun-2023"/>
    <s v="Q2-2023"/>
    <s v="Americas → USA → San Francisco"/>
    <x v="1"/>
    <s v="Low"/>
    <s v="USA"/>
    <d v="2023-01-13T00:00:00"/>
    <x v="0"/>
    <x v="22"/>
  </r>
  <r>
    <s v="ORD-2025-685236"/>
    <d v="2025-03-14T00:00:00"/>
    <d v="2025-03-29T00:00:00"/>
    <x v="2"/>
    <x v="6"/>
    <s v="Tokyo"/>
    <s v="Non-Profit"/>
    <x v="4"/>
    <x v="9"/>
    <s v="Networking"/>
    <x v="280"/>
    <n v="1106.96"/>
    <n v="2726.62"/>
    <n v="0.317"/>
    <n v="7"/>
    <s v="Valid"/>
    <n v="2726.62"/>
    <s v="Excess"/>
    <n v="0.3"/>
    <n v="15"/>
    <d v="2025-03-29T00:00:00"/>
    <n v="15"/>
    <n v="1902908.098"/>
    <n v="19086.34"/>
    <n v="1883821.7579999999"/>
    <n v="0.98996990972918752"/>
    <s v="Mar-2025"/>
    <s v="Q1-2025"/>
    <s v="Asia → Japan → Tokyo"/>
    <x v="0"/>
    <s v="High"/>
    <s v="JAPAN"/>
    <d v="2023-03-03T00:00:00"/>
    <x v="1"/>
    <x v="3"/>
  </r>
  <r>
    <s v="ORD-2023-274037"/>
    <d v="2023-08-15T00:00:00"/>
    <d v="2023-08-25T00:00:00"/>
    <x v="0"/>
    <x v="0"/>
    <s v="Nairobi"/>
    <s v="Small Business"/>
    <x v="0"/>
    <x v="12"/>
    <s v="Phones"/>
    <x v="281"/>
    <n v="91.85"/>
    <n v="111.29"/>
    <n v="0"/>
    <n v="6"/>
    <s v="Valid"/>
    <n v="111.29"/>
    <b v="0"/>
    <n v="0"/>
    <n v="10"/>
    <d v="2023-08-25T00:00:00"/>
    <n v="10"/>
    <n v="66774"/>
    <n v="667.74"/>
    <n v="66106.259999999995"/>
    <n v="0.98999999999999988"/>
    <s v="Aug-2023"/>
    <s v="Q3-2023"/>
    <s v="Africa → Kenya → Nairobi"/>
    <x v="2"/>
    <s v="Low"/>
    <s v="KENYA"/>
    <d v="2023-01-20T00:00:00"/>
    <x v="0"/>
    <x v="24"/>
  </r>
  <r>
    <s v="ORD-2025-983096"/>
    <d v="2025-05-17T00:00:00"/>
    <d v="2025-05-28T00:00:00"/>
    <x v="2"/>
    <x v="3"/>
    <s v="Bengaluru"/>
    <s v="Corporate"/>
    <x v="3"/>
    <x v="4"/>
    <s v="Laptops"/>
    <x v="282"/>
    <n v="623.4"/>
    <n v="1100.0899999999999"/>
    <n v="0.114"/>
    <n v="12"/>
    <s v="Valid"/>
    <n v="1100.0899999999999"/>
    <b v="0"/>
    <n v="0.114"/>
    <n v="11"/>
    <d v="2025-05-28T00:00:00"/>
    <n v="11"/>
    <n v="1318603.0768799998"/>
    <n v="13201.079999999998"/>
    <n v="1305401.9968799998"/>
    <n v="0.98998858698916758"/>
    <s v="May-2025"/>
    <s v="Q2-2025"/>
    <s v="Asia → India → Bengaluru"/>
    <x v="2"/>
    <s v="High"/>
    <s v="INDIA"/>
    <d v="2023-01-29T00:00:00"/>
    <x v="0"/>
    <x v="7"/>
  </r>
  <r>
    <s v="ORD-2024-366010"/>
    <d v="2024-01-13T00:00:00"/>
    <d v="2024-02-05T00:00:00"/>
    <x v="3"/>
    <x v="5"/>
    <s v="Frankfurt"/>
    <s v="Education"/>
    <x v="4"/>
    <x v="4"/>
    <s v="Laptops"/>
    <x v="283"/>
    <n v="1017.93"/>
    <n v="1529.14"/>
    <n v="0.155"/>
    <n v="12"/>
    <s v="Valid"/>
    <n v="1529.14"/>
    <b v="0"/>
    <n v="0.155"/>
    <n v="23"/>
    <d v="2024-02-05T00:00:00"/>
    <n v="23"/>
    <n v="1832123.7996"/>
    <n v="18349.68"/>
    <n v="1813774.1196000001"/>
    <n v="0.98998447593770345"/>
    <s v="Jan-2024"/>
    <s v="Q1-2024"/>
    <s v="Europe → Germany → Frankfurt"/>
    <x v="2"/>
    <s v="Medium"/>
    <s v="GERMANY"/>
    <d v="2023-01-22T00:00:00"/>
    <x v="0"/>
    <x v="8"/>
  </r>
  <r>
    <s v="ORD-2023-610470"/>
    <d v="2023-06-24T00:00:00"/>
    <d v="2023-07-21T00:00:00"/>
    <x v="2"/>
    <x v="6"/>
    <s v="Nagoya"/>
    <s v="Consumer"/>
    <x v="2"/>
    <x v="1"/>
    <s v="Phones"/>
    <x v="284"/>
    <n v="554.76"/>
    <n v="728.69"/>
    <n v="0.22"/>
    <n v="7"/>
    <s v="Valid"/>
    <n v="728.69"/>
    <b v="0"/>
    <n v="0.22"/>
    <n v="27"/>
    <d v="2023-07-21T00:00:00"/>
    <n v="27"/>
    <n v="508960.8174"/>
    <n v="5100.83"/>
    <n v="503859.98739999998"/>
    <n v="0.98997795149328516"/>
    <s v="Jun-2023"/>
    <s v="Q2-2023"/>
    <s v="Asia → Japan → Nagoya"/>
    <x v="2"/>
    <s v="Low"/>
    <s v="JAPAN"/>
    <d v="2023-03-03T00:00:00"/>
    <x v="1"/>
    <x v="22"/>
  </r>
  <r>
    <s v="ORD-2025-541048"/>
    <d v="2025-04-04T00:00:00"/>
    <d v="2025-04-13T00:00:00"/>
    <x v="3"/>
    <x v="5"/>
    <s v="Munich"/>
    <s v="Consumer"/>
    <x v="2"/>
    <x v="8"/>
    <s v="Phones"/>
    <x v="285"/>
    <n v="7.02"/>
    <n v="6.28"/>
    <n v="0.13400000000000001"/>
    <n v="14"/>
    <s v="Valid"/>
    <n v="6.28"/>
    <b v="0"/>
    <n v="0.13400000000000001"/>
    <n v="9"/>
    <d v="2025-04-13T00:00:00"/>
    <n v="9"/>
    <n v="8780.2187200000008"/>
    <n v="87.92"/>
    <n v="8692.2987200000007"/>
    <n v="0.98998658201990664"/>
    <s v="Apr-2025"/>
    <s v="Q2-2025"/>
    <s v="Europe → Germany → Munich"/>
    <x v="2"/>
    <s v="High"/>
    <s v="GERMANY"/>
    <d v="2023-01-22T00:00:00"/>
    <x v="0"/>
    <x v="18"/>
  </r>
  <r>
    <s v="ORD-2024-862371"/>
    <d v="2024-09-07T00:00:00"/>
    <d v="2024-09-07T00:00:00"/>
    <x v="2"/>
    <x v="3"/>
    <s v="Mumbai"/>
    <s v="Education"/>
    <x v="3"/>
    <x v="4"/>
    <s v="Networking"/>
    <x v="286"/>
    <n v="1066.6500000000001"/>
    <n v="2569.77"/>
    <n v="0.13400000000000001"/>
    <n v="9"/>
    <s v="Valid"/>
    <n v="2569.77"/>
    <b v="0"/>
    <n v="0.13400000000000001"/>
    <n v="0"/>
    <d v="2024-09-07T00:00:00"/>
    <n v="0"/>
    <n v="2309693.8573799999"/>
    <n v="23127.93"/>
    <n v="2286565.9273799998"/>
    <n v="0.98998658201990664"/>
    <s v="Sep-2024"/>
    <s v="Q3-2024"/>
    <s v="Asia → India → Mumbai"/>
    <x v="0"/>
    <s v="Medium"/>
    <s v="INDIA"/>
    <d v="2023-01-29T00:00:00"/>
    <x v="0"/>
    <x v="29"/>
  </r>
  <r>
    <s v="ORD-2024-277241"/>
    <d v="2024-01-28T00:00:00"/>
    <d v="2024-01-30T00:00:00"/>
    <x v="0"/>
    <x v="11"/>
    <s v="Cape Town"/>
    <s v="Consumer"/>
    <x v="4"/>
    <x v="8"/>
    <s v="Accessories"/>
    <x v="287"/>
    <n v="798.45"/>
    <n v="1592.02"/>
    <n v="6.6000000000000003E-2"/>
    <n v="18"/>
    <s v="Valid"/>
    <n v="1592.02"/>
    <b v="0"/>
    <n v="6.6000000000000003E-2"/>
    <n v="2"/>
    <d v="2024-01-30T00:00:00"/>
    <n v="2"/>
    <n v="2863744.6802400001"/>
    <n v="28656.36"/>
    <n v="2835088.3202400003"/>
    <n v="0.98999339564112321"/>
    <s v="Jan-2024"/>
    <s v="Q1-2024"/>
    <s v="Africa → South Africa → Cape Town"/>
    <x v="0"/>
    <s v="Medium"/>
    <s v="SOUTH AFRICA"/>
    <d v="2023-01-07T00:00:00"/>
    <x v="0"/>
    <x v="8"/>
  </r>
  <r>
    <s v="ORD-2023-369150"/>
    <d v="2023-07-18T00:00:00"/>
    <d v="2023-08-10T00:00:00"/>
    <x v="0"/>
    <x v="11"/>
    <s v="Johannesburg"/>
    <s v="Small Business"/>
    <x v="0"/>
    <x v="14"/>
    <s v="Components"/>
    <x v="288"/>
    <n v="1271.56"/>
    <n v="995.47"/>
    <n v="0.192"/>
    <n v="13"/>
    <s v="Valid"/>
    <n v="995.47"/>
    <b v="0"/>
    <n v="0.192"/>
    <n v="23"/>
    <d v="2023-08-10T00:00:00"/>
    <n v="23"/>
    <n v="1291626.30688"/>
    <n v="12941.11"/>
    <n v="1278685.1968799999"/>
    <n v="0.98998076306508487"/>
    <s v="Jul-2023"/>
    <s v="Q3-2023"/>
    <s v="Africa → South Africa → Johannesburg"/>
    <x v="0"/>
    <s v="Low"/>
    <s v="SOUTH AFRICA"/>
    <d v="2023-01-07T00:00:00"/>
    <x v="0"/>
    <x v="23"/>
  </r>
  <r>
    <s v="ORD-2025-922513"/>
    <d v="2025-08-28T00:00:00"/>
    <d v="2025-08-26T00:00:00"/>
    <x v="0"/>
    <x v="1"/>
    <s v="Port Harcourt"/>
    <s v="Small Business"/>
    <x v="0"/>
    <x v="7"/>
    <s v="Accessories"/>
    <x v="289"/>
    <n v="521.05999999999995"/>
    <n v="1240.31"/>
    <n v="0.14599999999999999"/>
    <n v="18"/>
    <s v="Valid"/>
    <n v="1240.31"/>
    <b v="0"/>
    <n v="0.14599999999999999"/>
    <n v="-2"/>
    <d v="2025-09-04T00:00:00"/>
    <n v="7"/>
    <n v="2229298.46532"/>
    <n v="22325.579999999998"/>
    <n v="2206972.8853199999"/>
    <n v="0.98998537865283309"/>
    <s v="Aug-2025"/>
    <s v="Q3-2025"/>
    <s v="Africa → Nigeria → Port Harcourt"/>
    <x v="0"/>
    <s v="High"/>
    <s v="NIGERIA"/>
    <d v="2023-01-15T00:00:00"/>
    <x v="0"/>
    <x v="28"/>
  </r>
  <r>
    <s v="ORD-2025-752845"/>
    <d v="2025-03-30T00:00:00"/>
    <d v="2025-04-07T00:00:00"/>
    <x v="1"/>
    <x v="4"/>
    <s v="São Paulo"/>
    <s v="Non-Profit"/>
    <x v="4"/>
    <x v="14"/>
    <s v="Printers"/>
    <x v="290"/>
    <n v="71.62"/>
    <n v="118.37"/>
    <n v="0.156"/>
    <n v="11"/>
    <s v="Valid"/>
    <n v="118.37"/>
    <b v="0"/>
    <n v="0.156"/>
    <n v="8"/>
    <d v="2025-04-07T00:00:00"/>
    <n v="8"/>
    <n v="130003.87708000001"/>
    <n v="1302.0700000000002"/>
    <n v="128701.80708"/>
    <n v="0.98998437562597652"/>
    <s v="Mar-2025"/>
    <s v="Q1-2025"/>
    <s v="Americas → Brazil → São Paulo"/>
    <x v="1"/>
    <s v="High"/>
    <s v="BRAZIL"/>
    <d v="2023-01-29T00:00:00"/>
    <x v="0"/>
    <x v="3"/>
  </r>
  <r>
    <s v="ORD-2023-667815"/>
    <d v="2023-10-21T00:00:00"/>
    <d v="2023-11-09T00:00:00"/>
    <x v="3"/>
    <x v="8"/>
    <s v="London"/>
    <s v="Non-Profit"/>
    <x v="4"/>
    <x v="7"/>
    <s v="Accessories"/>
    <x v="291"/>
    <n v="1142.48"/>
    <n v="2105.5300000000002"/>
    <n v="0.20699999999999999"/>
    <n v="14"/>
    <s v="Valid"/>
    <n v="2105.5300000000002"/>
    <b v="0"/>
    <n v="0.20699999999999999"/>
    <n v="19"/>
    <d v="2023-11-09T00:00:00"/>
    <n v="19"/>
    <n v="2941640.1740600006"/>
    <n v="29477.420000000002"/>
    <n v="2912162.7540600006"/>
    <n v="0.98997925706211864"/>
    <s v="Oct-2023"/>
    <s v="Q4-2023"/>
    <s v="Europe → United Kingdom → London"/>
    <x v="0"/>
    <s v="Low"/>
    <s v="UNITED KINGDOM"/>
    <d v="2023-01-19T00:00:00"/>
    <x v="0"/>
    <x v="32"/>
  </r>
  <r>
    <s v="ORD-2023-375011"/>
    <d v="2023-08-23T00:00:00"/>
    <d v="2023-09-22T00:00:00"/>
    <x v="3"/>
    <x v="8"/>
    <s v="London"/>
    <s v="Consumer"/>
    <x v="3"/>
    <x v="6"/>
    <s v="Accessories"/>
    <x v="292"/>
    <n v="209.81"/>
    <n v="523"/>
    <n v="5.8999999999999997E-2"/>
    <n v="15"/>
    <s v="Valid"/>
    <n v="523"/>
    <b v="0"/>
    <n v="5.8999999999999997E-2"/>
    <n v="30"/>
    <d v="2023-09-22T00:00:00"/>
    <n v="30"/>
    <n v="784037.14500000002"/>
    <n v="7845"/>
    <n v="776192.14500000002"/>
    <n v="0.98999409651694503"/>
    <s v="Aug-2023"/>
    <s v="Q3-2023"/>
    <s v="Europe → United Kingdom → London"/>
    <x v="0"/>
    <s v="Low"/>
    <s v="UNITED KINGDOM"/>
    <d v="2023-01-19T00:00:00"/>
    <x v="0"/>
    <x v="24"/>
  </r>
  <r>
    <s v="ORD-2025-487025"/>
    <d v="2025-04-11T00:00:00"/>
    <d v="2025-05-04T00:00:00"/>
    <x v="2"/>
    <x v="6"/>
    <s v="Osaka"/>
    <s v="Small Business"/>
    <x v="1"/>
    <x v="11"/>
    <s v="Components"/>
    <x v="293"/>
    <n v="786.2"/>
    <n v="1075.3"/>
    <n v="0.08"/>
    <n v="9"/>
    <s v="Valid"/>
    <n v="1075.3"/>
    <b v="0"/>
    <n v="0.08"/>
    <n v="23"/>
    <d v="2025-05-04T00:00:00"/>
    <n v="23"/>
    <n v="966995.78399999987"/>
    <n v="9677.6999999999989"/>
    <n v="957318.08399999992"/>
    <n v="0.989991993594876"/>
    <s v="Apr-2025"/>
    <s v="Q2-2025"/>
    <s v="Asia → Japan → Osaka"/>
    <x v="0"/>
    <s v="High"/>
    <s v="JAPAN"/>
    <d v="2023-03-03T00:00:00"/>
    <x v="1"/>
    <x v="18"/>
  </r>
  <r>
    <s v="ORD-2025-398335"/>
    <d v="2025-06-01T00:00:00"/>
    <d v="2025-06-27T00:00:00"/>
    <x v="3"/>
    <x v="5"/>
    <s v="Munich"/>
    <s v="Consumer"/>
    <x v="3"/>
    <x v="5"/>
    <s v="Laptops"/>
    <x v="294"/>
    <n v="1362.31"/>
    <n v="3294.57"/>
    <n v="0.113"/>
    <n v="7"/>
    <s v="Valid"/>
    <n v="3294.57"/>
    <b v="0"/>
    <n v="0.113"/>
    <n v="26"/>
    <d v="2025-06-27T00:00:00"/>
    <n v="26"/>
    <n v="2303592.9951300002"/>
    <n v="23061.99"/>
    <n v="2280531.0051299999"/>
    <n v="0.98998868721655464"/>
    <s v="Jun-2025"/>
    <s v="Q2-2025"/>
    <s v="Europe → Germany → Munich"/>
    <x v="2"/>
    <s v="High"/>
    <s v="GERMANY"/>
    <d v="2023-01-22T00:00:00"/>
    <x v="0"/>
    <x v="15"/>
  </r>
  <r>
    <s v="ORD-2024-792137"/>
    <d v="2024-03-02T00:00:00"/>
    <d v="2024-03-16T00:00:00"/>
    <x v="1"/>
    <x v="2"/>
    <s v="Vancouver"/>
    <s v="Non-Profit"/>
    <x v="4"/>
    <x v="6"/>
    <s v="Printers"/>
    <x v="295"/>
    <n v="248.24"/>
    <n v="464.05"/>
    <n v="0.16900000000000001"/>
    <n v="11"/>
    <s v="Valid"/>
    <n v="464.05"/>
    <b v="0"/>
    <n v="0.16900000000000001"/>
    <n v="14"/>
    <d v="2024-03-16T00:00:00"/>
    <n v="14"/>
    <n v="509592.33105000004"/>
    <n v="5104.55"/>
    <n v="504487.78105000005"/>
    <n v="0.98998307139065023"/>
    <s v="Mar-2024"/>
    <s v="Q1-2024"/>
    <s v="Americas → Canada → Vancouver"/>
    <x v="1"/>
    <s v="Medium"/>
    <s v="CANADA"/>
    <d v="2023-01-02T00:00:00"/>
    <x v="0"/>
    <x v="0"/>
  </r>
  <r>
    <s v="ORD-2023-602648"/>
    <d v="2023-06-20T00:00:00"/>
    <d v="2023-07-08T00:00:00"/>
    <x v="1"/>
    <x v="10"/>
    <s v="Austin"/>
    <s v="Non-Profit"/>
    <x v="4"/>
    <x v="8"/>
    <s v="Monitors"/>
    <x v="296"/>
    <n v="337"/>
    <n v="511.03"/>
    <n v="0.108"/>
    <n v="7"/>
    <s v="Valid"/>
    <n v="511.03"/>
    <b v="0"/>
    <n v="0.108"/>
    <n v="18"/>
    <d v="2023-07-08T00:00:00"/>
    <n v="18"/>
    <n v="357334.66132000001"/>
    <n v="3577.21"/>
    <n v="353757.45131999999"/>
    <n v="0.98998918832338922"/>
    <s v="Jun-2023"/>
    <s v="Q2-2023"/>
    <s v="Americas → USA → Austin"/>
    <x v="1"/>
    <s v="Low"/>
    <s v="USA"/>
    <d v="2023-01-13T00:00:00"/>
    <x v="0"/>
    <x v="22"/>
  </r>
  <r>
    <s v="ORD-2024-207096"/>
    <d v="2024-03-26T00:00:00"/>
    <d v="2024-04-05T00:00:00"/>
    <x v="1"/>
    <x v="10"/>
    <s v="Austin"/>
    <s v="Consumer"/>
    <x v="4"/>
    <x v="1"/>
    <s v="Monitors"/>
    <x v="297"/>
    <n v="5.66"/>
    <n v="4.22"/>
    <n v="0.11899999999999999"/>
    <n v="18"/>
    <s v="Valid"/>
    <n v="4.22"/>
    <b v="0"/>
    <n v="0.11899999999999999"/>
    <n v="10"/>
    <d v="2024-04-05T00:00:00"/>
    <n v="10"/>
    <n v="7586.960759999999"/>
    <n v="75.959999999999994"/>
    <n v="7511.000759999999"/>
    <n v="0.98998808582212827"/>
    <s v="Mar-2024"/>
    <s v="Q1-2024"/>
    <s v="Americas → USA → Austin"/>
    <x v="1"/>
    <s v="Medium"/>
    <s v="USA"/>
    <d v="2023-01-13T00:00:00"/>
    <x v="0"/>
    <x v="0"/>
  </r>
  <r>
    <s v="ORD-2025-939953"/>
    <d v="2025-01-22T00:00:00"/>
    <d v="2025-01-22T00:00:00"/>
    <x v="3"/>
    <x v="7"/>
    <s v="Lyon"/>
    <s v="Small Business"/>
    <x v="1"/>
    <x v="4"/>
    <s v="Accessories"/>
    <x v="298"/>
    <n v="591.72"/>
    <n v="577.24"/>
    <n v="0"/>
    <n v="22"/>
    <s v="Valid"/>
    <n v="577.24"/>
    <b v="0"/>
    <n v="0"/>
    <n v="0"/>
    <d v="2025-01-22T00:00:00"/>
    <n v="0"/>
    <n v="1269928"/>
    <n v="12699.28"/>
    <n v="1257228.72"/>
    <n v="0.99"/>
    <s v="Jan-2025"/>
    <s v="Q1-2025"/>
    <s v="Europe → France → Lyon"/>
    <x v="0"/>
    <s v="High"/>
    <s v="FRANCE"/>
    <d v="2023-01-10T00:00:00"/>
    <x v="0"/>
    <x v="9"/>
  </r>
  <r>
    <s v="ORD-2025-191328"/>
    <d v="2025-05-10T00:00:00"/>
    <d v="2025-05-27T00:00:00"/>
    <x v="1"/>
    <x v="2"/>
    <s v="Vancouver"/>
    <s v="Education"/>
    <x v="4"/>
    <x v="0"/>
    <s v="Components"/>
    <x v="299"/>
    <n v="862.89"/>
    <n v="1426.03"/>
    <n v="5.6000000000000001E-2"/>
    <n v="19"/>
    <s v="Valid"/>
    <n v="1426.03"/>
    <b v="0"/>
    <n v="5.6000000000000001E-2"/>
    <n v="17"/>
    <d v="2025-05-27T00:00:00"/>
    <n v="17"/>
    <n v="2707939.7040800001"/>
    <n v="27094.57"/>
    <n v="2680845.1340800002"/>
    <n v="0.98999439686224289"/>
    <s v="May-2025"/>
    <s v="Q2-2025"/>
    <s v="Americas → Canada → Vancouver"/>
    <x v="0"/>
    <s v="High"/>
    <s v="CANADA"/>
    <d v="2023-01-02T00:00:00"/>
    <x v="0"/>
    <x v="7"/>
  </r>
  <r>
    <s v="ORD-2023-166668"/>
    <d v="2023-10-05T00:00:00"/>
    <d v="2023-10-31T00:00:00"/>
    <x v="2"/>
    <x v="9"/>
    <s v="Shanghai"/>
    <s v="Consumer"/>
    <x v="5"/>
    <x v="1"/>
    <s v="Printers"/>
    <x v="300"/>
    <n v="649.91"/>
    <n v="1360.12"/>
    <n v="0.19400000000000001"/>
    <n v="9"/>
    <s v="Valid"/>
    <n v="1360.12"/>
    <b v="0"/>
    <n v="0.19400000000000001"/>
    <n v="26"/>
    <d v="2023-10-31T00:00:00"/>
    <n v="26"/>
    <n v="1221733.2304799997"/>
    <n v="12241.079999999998"/>
    <n v="1209492.1504799996"/>
    <n v="0.98998056229084419"/>
    <s v="Oct-2023"/>
    <s v="Q4-2023"/>
    <s v="Asia → China → Shanghai"/>
    <x v="1"/>
    <s v="Low"/>
    <s v="CHINA"/>
    <d v="2023-01-12T00:00:00"/>
    <x v="0"/>
    <x v="32"/>
  </r>
  <r>
    <s v="ORD-2023-594700"/>
    <d v="2023-07-18T00:00:00"/>
    <d v="2023-07-22T00:00:00"/>
    <x v="1"/>
    <x v="4"/>
    <s v="São Paulo"/>
    <s v="Consumer"/>
    <x v="4"/>
    <x v="8"/>
    <s v="Networking"/>
    <x v="301"/>
    <n v="1269.55"/>
    <n v="2071.1"/>
    <n v="0.129"/>
    <n v="22"/>
    <s v="Valid"/>
    <n v="2071.1"/>
    <b v="0"/>
    <n v="0.129"/>
    <n v="4"/>
    <d v="2023-07-22T00:00:00"/>
    <n v="4"/>
    <n v="4550542.2181999991"/>
    <n v="45564.2"/>
    <n v="4504978.0181999989"/>
    <n v="0.98998708333750529"/>
    <s v="Jul-2023"/>
    <s v="Q3-2023"/>
    <s v="Americas → Brazil → São Paulo"/>
    <x v="0"/>
    <s v="Low"/>
    <s v="BRAZIL"/>
    <d v="2023-01-29T00:00:00"/>
    <x v="0"/>
    <x v="23"/>
  </r>
  <r>
    <s v="ORD-2025-278048"/>
    <d v="2025-06-22T00:00:00"/>
    <d v="2025-07-08T00:00:00"/>
    <x v="3"/>
    <x v="8"/>
    <s v="London"/>
    <s v="Education"/>
    <x v="4"/>
    <x v="7"/>
    <s v="Phones"/>
    <x v="302"/>
    <n v="892.73"/>
    <n v="979.84"/>
    <n v="0.17399999999999999"/>
    <n v="10"/>
    <s v="Valid"/>
    <n v="979.84"/>
    <b v="0"/>
    <n v="0.17399999999999999"/>
    <n v="16"/>
    <d v="2025-07-08T00:00:00"/>
    <n v="16"/>
    <n v="978135.07839999988"/>
    <n v="9798.4"/>
    <n v="968336.67839999986"/>
    <n v="0.98998256967122789"/>
    <s v="Jun-2025"/>
    <s v="Q2-2025"/>
    <s v="Europe → United Kingdom → London"/>
    <x v="2"/>
    <s v="High"/>
    <s v="UNITED KINGDOM"/>
    <d v="2023-01-19T00:00:00"/>
    <x v="0"/>
    <x v="15"/>
  </r>
  <r>
    <s v="ORD-2024-878493"/>
    <d v="2024-06-19T00:00:00"/>
    <d v="2024-06-20T00:00:00"/>
    <x v="0"/>
    <x v="0"/>
    <s v="Kisumu"/>
    <s v="Small Business"/>
    <x v="4"/>
    <x v="1"/>
    <s v="Laptops"/>
    <x v="303"/>
    <n v="231.63"/>
    <n v="537.39"/>
    <n v="0.08"/>
    <n v="12"/>
    <s v="Valid"/>
    <n v="537.39"/>
    <b v="0"/>
    <n v="0.08"/>
    <n v="1"/>
    <d v="2024-06-20T00:00:00"/>
    <n v="1"/>
    <n v="644352.10560000001"/>
    <n v="6448.68"/>
    <n v="637903.42559999996"/>
    <n v="0.98999199359487577"/>
    <s v="Jun-2024"/>
    <s v="Q2-2024"/>
    <s v="Africa → Kenya → Kisumu"/>
    <x v="2"/>
    <s v="Medium"/>
    <s v="KENYA"/>
    <d v="2023-01-20T00:00:00"/>
    <x v="0"/>
    <x v="16"/>
  </r>
  <r>
    <s v="ORD-2025-138578"/>
    <d v="2025-04-09T00:00:00"/>
    <d v="2025-04-12T00:00:00"/>
    <x v="3"/>
    <x v="7"/>
    <s v="Lyon"/>
    <s v="Small Business"/>
    <x v="3"/>
    <x v="9"/>
    <s v="Monitors"/>
    <x v="304"/>
    <n v="86.68"/>
    <n v="213.32"/>
    <n v="3.7999999999999999E-2"/>
    <n v="8"/>
    <s v="Valid"/>
    <n v="213.32"/>
    <b v="0"/>
    <n v="3.7999999999999999E-2"/>
    <n v="3"/>
    <d v="2025-04-12T00:00:00"/>
    <n v="3"/>
    <n v="170591.15072000001"/>
    <n v="1706.56"/>
    <n v="168884.59072000001"/>
    <n v="0.98999619855545107"/>
    <s v="Apr-2025"/>
    <s v="Q2-2025"/>
    <s v="Europe → France → Lyon"/>
    <x v="1"/>
    <s v="High"/>
    <s v="FRANCE"/>
    <d v="2023-01-10T00:00:00"/>
    <x v="0"/>
    <x v="18"/>
  </r>
  <r>
    <s v="ORD-2025-944081"/>
    <d v="2025-03-25T00:00:00"/>
    <d v="2025-03-26T00:00:00"/>
    <x v="0"/>
    <x v="1"/>
    <s v="Lagos"/>
    <s v="Education"/>
    <x v="3"/>
    <x v="3"/>
    <s v="Accessories"/>
    <x v="305"/>
    <n v="1450.43"/>
    <n v="1994.67"/>
    <n v="0.1"/>
    <n v="24"/>
    <s v="Valid"/>
    <n v="1994.67"/>
    <b v="0"/>
    <n v="0.1"/>
    <n v="1"/>
    <d v="2025-03-26T00:00:00"/>
    <n v="1"/>
    <n v="4782420.7920000004"/>
    <n v="47872.08"/>
    <n v="4734548.7120000003"/>
    <n v="0.98998998998998999"/>
    <s v="Mar-2025"/>
    <s v="Q1-2025"/>
    <s v="Africa → Nigeria → Lagos"/>
    <x v="0"/>
    <s v="High"/>
    <s v="NIGERIA"/>
    <d v="2023-01-15T00:00:00"/>
    <x v="0"/>
    <x v="3"/>
  </r>
  <r>
    <s v="ORD-2025-364852"/>
    <d v="2025-05-18T00:00:00"/>
    <d v="2025-06-09T00:00:00"/>
    <x v="1"/>
    <x v="10"/>
    <s v="New York"/>
    <s v="Consumer"/>
    <x v="0"/>
    <x v="9"/>
    <s v="Networking"/>
    <x v="306"/>
    <n v="382.96"/>
    <n v="552.84"/>
    <n v="0.17599999999999999"/>
    <n v="8"/>
    <s v="Valid"/>
    <n v="552.84"/>
    <b v="0"/>
    <n v="0.17599999999999999"/>
    <n v="22"/>
    <d v="2025-06-09T00:00:00"/>
    <n v="22"/>
    <n v="441493.60128"/>
    <n v="4422.72"/>
    <n v="437070.88128000003"/>
    <n v="0.98998236896938618"/>
    <s v="May-2025"/>
    <s v="Q2-2025"/>
    <s v="Americas → USA → New York"/>
    <x v="0"/>
    <s v="High"/>
    <s v="USA"/>
    <d v="2023-01-13T00:00:00"/>
    <x v="0"/>
    <x v="7"/>
  </r>
  <r>
    <s v="ORD-2025-415018"/>
    <d v="2025-01-22T00:00:00"/>
    <d v="2025-02-04T00:00:00"/>
    <x v="2"/>
    <x v="6"/>
    <s v="Tokyo"/>
    <s v="Small Business"/>
    <x v="3"/>
    <x v="14"/>
    <s v="Printers"/>
    <x v="307"/>
    <n v="122.29"/>
    <n v="224.95"/>
    <n v="0.153"/>
    <n v="28"/>
    <s v="Valid"/>
    <n v="224.95"/>
    <b v="0"/>
    <n v="0.153"/>
    <n v="13"/>
    <d v="2025-02-04T00:00:00"/>
    <n v="13"/>
    <n v="628896.31419999991"/>
    <n v="6298.5999999999995"/>
    <n v="622597.71419999993"/>
    <n v="0.98998467655512934"/>
    <s v="Jan-2025"/>
    <s v="Q1-2025"/>
    <s v="Asia → Japan → Tokyo"/>
    <x v="1"/>
    <s v="High"/>
    <s v="JAPAN"/>
    <d v="2023-03-03T00:00:00"/>
    <x v="1"/>
    <x v="9"/>
  </r>
  <r>
    <s v="ORD-2023-884192"/>
    <d v="2023-01-10T00:00:00"/>
    <d v="2023-01-29T00:00:00"/>
    <x v="3"/>
    <x v="7"/>
    <s v="Lyon"/>
    <s v="Non-Profit"/>
    <x v="4"/>
    <x v="13"/>
    <s v="Laptops"/>
    <x v="308"/>
    <n v="401.66"/>
    <n v="772.09"/>
    <n v="8.8999999999999996E-2"/>
    <n v="14"/>
    <s v="Valid"/>
    <n v="772.09"/>
    <b v="0"/>
    <n v="8.8999999999999996E-2"/>
    <n v="19"/>
    <d v="2023-01-29T00:00:00"/>
    <n v="19"/>
    <n v="1079963.9758600001"/>
    <n v="10809.26"/>
    <n v="1069154.7158600001"/>
    <n v="0.98999109207194402"/>
    <s v="Jan-2023"/>
    <s v="Q1-2023"/>
    <s v="Europe → France → Lyon"/>
    <x v="2"/>
    <s v="Low"/>
    <s v="FRANCE"/>
    <d v="2023-01-10T00:00:00"/>
    <x v="0"/>
    <x v="4"/>
  </r>
  <r>
    <s v="ORD-2024-165942"/>
    <d v="2024-12-29T00:00:00"/>
    <d v="2025-01-12T00:00:00"/>
    <x v="3"/>
    <x v="8"/>
    <s v="Manchester"/>
    <s v="Corporate"/>
    <x v="4"/>
    <x v="4"/>
    <s v="Monitors"/>
    <x v="309"/>
    <n v="1399.72"/>
    <n v="3149.21"/>
    <n v="0.185"/>
    <n v="12"/>
    <s v="Valid"/>
    <n v="3149.21"/>
    <b v="0"/>
    <n v="0.185"/>
    <n v="14"/>
    <d v="2025-01-12T00:00:00"/>
    <n v="14"/>
    <n v="3772060.7538000005"/>
    <n v="37790.520000000004"/>
    <n v="3734270.2338000005"/>
    <n v="0.98998146571156642"/>
    <s v="Dec-2024"/>
    <s v="Q4-2024"/>
    <s v="Europe → United Kingdom → Manchester"/>
    <x v="1"/>
    <s v="High"/>
    <s v="UNITED KINGDOM"/>
    <d v="2023-01-19T00:00:00"/>
    <x v="0"/>
    <x v="5"/>
  </r>
  <r>
    <s v="ORD-2024-403664"/>
    <d v="2024-05-23T00:00:00"/>
    <d v="2024-06-06T00:00:00"/>
    <x v="1"/>
    <x v="4"/>
    <s v="Rio de Janeiro"/>
    <s v="Non-Profit"/>
    <x v="1"/>
    <x v="2"/>
    <s v="Networking"/>
    <x v="310"/>
    <n v="51.13"/>
    <n v="57.53"/>
    <n v="4.4999999999999998E-2"/>
    <n v="16"/>
    <s v="Valid"/>
    <n v="57.53"/>
    <b v="0"/>
    <n v="4.4999999999999998E-2"/>
    <n v="14"/>
    <d v="2024-06-06T00:00:00"/>
    <n v="14"/>
    <n v="92006.578399999999"/>
    <n v="920.48"/>
    <n v="91086.098400000003"/>
    <n v="0.98999549797408837"/>
    <s v="May-2024"/>
    <s v="Q2-2024"/>
    <s v="Americas → Brazil → Rio de Janeiro"/>
    <x v="0"/>
    <s v="Medium"/>
    <s v="BRAZIL"/>
    <d v="2023-01-29T00:00:00"/>
    <x v="0"/>
    <x v="6"/>
  </r>
  <r>
    <s v="ORD-2023-890605"/>
    <d v="2023-06-24T00:00:00"/>
    <d v="2023-06-22T00:00:00"/>
    <x v="1"/>
    <x v="2"/>
    <s v="Toronto"/>
    <s v="Non-Profit"/>
    <x v="0"/>
    <x v="11"/>
    <s v="Accessories"/>
    <x v="311"/>
    <n v="471.42"/>
    <n v="824.81"/>
    <n v="8.7999999999999995E-2"/>
    <n v="15"/>
    <s v="Valid"/>
    <n v="824.81"/>
    <b v="0"/>
    <n v="8.7999999999999995E-2"/>
    <n v="-2"/>
    <d v="2023-07-01T00:00:00"/>
    <n v="7"/>
    <n v="1236126.2508"/>
    <n v="12372.15"/>
    <n v="1223754.1008000001"/>
    <n v="0.98999119224917931"/>
    <s v="Jun-2023"/>
    <s v="Q2-2023"/>
    <s v="Americas → Canada → Toronto"/>
    <x v="0"/>
    <s v="Low"/>
    <s v="CANADA"/>
    <d v="2023-01-02T00:00:00"/>
    <x v="0"/>
    <x v="22"/>
  </r>
  <r>
    <s v="ORD-2024-925626"/>
    <d v="2024-11-04T00:00:00"/>
    <d v="2024-11-05T00:00:00"/>
    <x v="3"/>
    <x v="8"/>
    <s v="London"/>
    <s v="Corporate"/>
    <x v="0"/>
    <x v="11"/>
    <s v="Printers"/>
    <x v="312"/>
    <n v="840.68"/>
    <n v="1493.53"/>
    <n v="0"/>
    <n v="27"/>
    <s v="Valid"/>
    <n v="1493.53"/>
    <b v="0"/>
    <n v="0"/>
    <n v="1"/>
    <d v="2024-11-05T00:00:00"/>
    <n v="1"/>
    <n v="4032531"/>
    <n v="40325.31"/>
    <n v="3992205.69"/>
    <n v="0.99"/>
    <s v="Nov-2024"/>
    <s v="Q4-2024"/>
    <s v="Europe → United Kingdom → London"/>
    <x v="1"/>
    <s v="High"/>
    <s v="UNITED KINGDOM"/>
    <d v="2023-01-19T00:00:00"/>
    <x v="0"/>
    <x v="17"/>
  </r>
  <r>
    <s v="ORD-2024-427031"/>
    <d v="2024-06-08T00:00:00"/>
    <d v="2024-06-24T00:00:00"/>
    <x v="0"/>
    <x v="11"/>
    <s v="Durban"/>
    <s v="Education"/>
    <x v="3"/>
    <x v="9"/>
    <s v="Monitors"/>
    <x v="313"/>
    <n v="597.85"/>
    <n v="741.92"/>
    <n v="3.1E-2"/>
    <n v="7"/>
    <s v="Valid"/>
    <n v="741.92"/>
    <b v="0"/>
    <n v="3.1E-2"/>
    <n v="16"/>
    <d v="2024-06-24T00:00:00"/>
    <n v="16"/>
    <n v="519183.00335999992"/>
    <n v="5193.4399999999996"/>
    <n v="513989.56335999991"/>
    <n v="0.98999689903870203"/>
    <s v="Jun-2024"/>
    <s v="Q2-2024"/>
    <s v="Africa → South Africa → Durban"/>
    <x v="1"/>
    <s v="Medium"/>
    <s v="SOUTH AFRICA"/>
    <d v="2023-01-07T00:00:00"/>
    <x v="0"/>
    <x v="16"/>
  </r>
  <r>
    <s v="ORD-2025-231184"/>
    <d v="2025-06-01T00:00:00"/>
    <d v="2025-06-06T00:00:00"/>
    <x v="3"/>
    <x v="7"/>
    <s v="Paris"/>
    <s v="Consumer"/>
    <x v="3"/>
    <x v="3"/>
    <s v="Components"/>
    <x v="314"/>
    <n v="379.45"/>
    <n v="742.23"/>
    <n v="0.09"/>
    <n v="13"/>
    <s v="Valid"/>
    <n v="742.23"/>
    <b v="0"/>
    <n v="0.09"/>
    <n v="5"/>
    <d v="2025-06-06T00:00:00"/>
    <n v="5"/>
    <n v="964030.59089999995"/>
    <n v="9648.99"/>
    <n v="954381.60089999996"/>
    <n v="0.98999099189270345"/>
    <s v="Jun-2025"/>
    <s v="Q2-2025"/>
    <s v="Europe → France → Paris"/>
    <x v="0"/>
    <s v="High"/>
    <s v="FRANCE"/>
    <d v="2023-01-10T00:00:00"/>
    <x v="0"/>
    <x v="15"/>
  </r>
  <r>
    <s v="ORD-2023-363031"/>
    <d v="2023-05-06T00:00:00"/>
    <d v="2023-05-14T00:00:00"/>
    <x v="2"/>
    <x v="6"/>
    <s v="Osaka"/>
    <s v="Enterprise"/>
    <x v="2"/>
    <x v="4"/>
    <s v="Phones"/>
    <x v="315"/>
    <n v="291.18"/>
    <n v="479.54"/>
    <n v="0.14099999999999999"/>
    <n v="22"/>
    <s v="Valid"/>
    <n v="479.54"/>
    <b v="0"/>
    <n v="0.14099999999999999"/>
    <n v="8"/>
    <d v="2023-05-14T00:00:00"/>
    <n v="8"/>
    <n v="1053500.46692"/>
    <n v="10549.880000000001"/>
    <n v="1042950.58692"/>
    <n v="0.98998588009092825"/>
    <s v="May-2023"/>
    <s v="Q2-2023"/>
    <s v="Asia → Japan → Osaka"/>
    <x v="2"/>
    <s v="Low"/>
    <s v="JAPAN"/>
    <d v="2023-03-03T00:00:00"/>
    <x v="1"/>
    <x v="14"/>
  </r>
  <r>
    <s v="ORD-2023-619570"/>
    <d v="2023-11-14T00:00:00"/>
    <d v="2023-11-30T00:00:00"/>
    <x v="1"/>
    <x v="4"/>
    <s v="São Paulo"/>
    <s v="Enterprise"/>
    <x v="4"/>
    <x v="10"/>
    <s v="Networking"/>
    <x v="316"/>
    <n v="1017.92"/>
    <n v="1175.25"/>
    <n v="7.4999999999999997E-2"/>
    <n v="15"/>
    <s v="Valid"/>
    <n v="1175.25"/>
    <b v="0"/>
    <n v="7.4999999999999997E-2"/>
    <n v="16"/>
    <d v="2023-11-30T00:00:00"/>
    <n v="16"/>
    <n v="1761552.84375"/>
    <n v="17628.75"/>
    <n v="1743924.09375"/>
    <n v="0.98999249437077808"/>
    <s v="Nov-2023"/>
    <s v="Q4-2023"/>
    <s v="Americas → Brazil → São Paulo"/>
    <x v="0"/>
    <s v="Low"/>
    <s v="BRAZIL"/>
    <d v="2023-01-29T00:00:00"/>
    <x v="0"/>
    <x v="30"/>
  </r>
  <r>
    <s v="ORD-2025-861401"/>
    <d v="2025-04-01T00:00:00"/>
    <d v="2025-04-27T00:00:00"/>
    <x v="1"/>
    <x v="10"/>
    <s v="San Francisco"/>
    <s v="Corporate"/>
    <x v="4"/>
    <x v="2"/>
    <s v="Monitors"/>
    <x v="317"/>
    <n v="156.55000000000001"/>
    <n v="227.45"/>
    <n v="1.4E-2"/>
    <n v="13"/>
    <s v="Valid"/>
    <n v="227.45"/>
    <b v="0"/>
    <n v="1.4E-2"/>
    <n v="26"/>
    <d v="2025-04-27T00:00:00"/>
    <n v="26"/>
    <n v="295643.6041"/>
    <n v="2956.85"/>
    <n v="292686.75410000002"/>
    <n v="0.98999859980397265"/>
    <s v="Apr-2025"/>
    <s v="Q2-2025"/>
    <s v="Americas → USA → San Francisco"/>
    <x v="1"/>
    <s v="High"/>
    <s v="USA"/>
    <d v="2023-01-13T00:00:00"/>
    <x v="0"/>
    <x v="18"/>
  </r>
  <r>
    <s v="ORD-2023-835010"/>
    <d v="2023-03-23T00:00:00"/>
    <d v="2023-04-15T00:00:00"/>
    <x v="0"/>
    <x v="0"/>
    <s v="Mombasa"/>
    <s v="Small Business"/>
    <x v="0"/>
    <x v="0"/>
    <s v="Accessories"/>
    <x v="318"/>
    <n v="875.36"/>
    <n v="1178.6199999999999"/>
    <n v="0.151"/>
    <n v="53"/>
    <s v="Valid"/>
    <n v="1178.6199999999999"/>
    <b v="0"/>
    <n v="0.151"/>
    <n v="23"/>
    <d v="2023-04-15T00:00:00"/>
    <n v="23"/>
    <n v="6237253.5041399999"/>
    <n v="62466.859999999993"/>
    <n v="6174786.6441399995"/>
    <n v="0.98998487716451833"/>
    <s v="Mar-2023"/>
    <s v="Q1-2023"/>
    <s v="Africa → Kenya → Mombasa"/>
    <x v="0"/>
    <s v="Low"/>
    <s v="KENYA"/>
    <d v="2023-01-20T00:00:00"/>
    <x v="0"/>
    <x v="21"/>
  </r>
  <r>
    <s v="ORD-2024-819979"/>
    <d v="2024-05-28T00:00:00"/>
    <d v="2024-06-18T00:00:00"/>
    <x v="3"/>
    <x v="5"/>
    <s v="Frankfurt"/>
    <s v="Small Business"/>
    <x v="1"/>
    <x v="5"/>
    <s v="Phones"/>
    <x v="319"/>
    <n v="986.85"/>
    <n v="2422.1"/>
    <n v="7.5999999999999998E-2"/>
    <n v="10"/>
    <s v="Valid"/>
    <n v="2422.1"/>
    <b v="0"/>
    <n v="7.5999999999999998E-2"/>
    <n v="21"/>
    <d v="2024-06-18T00:00:00"/>
    <n v="21"/>
    <n v="2420259.2040000004"/>
    <n v="24221"/>
    <n v="2396038.2040000004"/>
    <n v="0.98999239421960694"/>
    <s v="May-2024"/>
    <s v="Q2-2024"/>
    <s v="Europe → Germany → Frankfurt"/>
    <x v="2"/>
    <s v="Medium"/>
    <s v="GERMANY"/>
    <d v="2023-01-22T00:00:00"/>
    <x v="0"/>
    <x v="6"/>
  </r>
  <r>
    <s v="ORD-2024-719055"/>
    <d v="2024-01-02T00:00:00"/>
    <d v="2024-01-01T00:00:00"/>
    <x v="1"/>
    <x v="10"/>
    <s v="Chicago"/>
    <s v="Education"/>
    <x v="2"/>
    <x v="4"/>
    <s v="Networking"/>
    <x v="320"/>
    <n v="404.77"/>
    <n v="433.88"/>
    <n v="0.215"/>
    <n v="22"/>
    <s v="Valid"/>
    <n v="433.88"/>
    <b v="0"/>
    <n v="0.215"/>
    <n v="-1"/>
    <d v="2024-01-09T00:00:00"/>
    <n v="7"/>
    <n v="952483.7476"/>
    <n v="9545.36"/>
    <n v="942938.38760000002"/>
    <n v="0.98997845367540216"/>
    <s v="Jan-2024"/>
    <s v="Q1-2024"/>
    <s v="Americas → USA → Chicago"/>
    <x v="0"/>
    <s v="Medium"/>
    <s v="USA"/>
    <d v="2023-01-13T00:00:00"/>
    <x v="0"/>
    <x v="8"/>
  </r>
  <r>
    <s v="ORD-2023-888245"/>
    <d v="2023-02-28T00:00:00"/>
    <d v="2023-02-27T00:00:00"/>
    <x v="3"/>
    <x v="7"/>
    <s v="Marseille"/>
    <s v="Corporate"/>
    <x v="0"/>
    <x v="10"/>
    <s v="Networking"/>
    <x v="321"/>
    <n v="1299.81"/>
    <n v="3149.13"/>
    <n v="0.10299999999999999"/>
    <n v="14"/>
    <s v="Valid"/>
    <n v="3149.13"/>
    <b v="0"/>
    <n v="0.10299999999999999"/>
    <n v="-1"/>
    <d v="2023-03-07T00:00:00"/>
    <n v="7"/>
    <n v="4404240.9545400003"/>
    <n v="44087.82"/>
    <n v="4360153.13454"/>
    <n v="0.98998968938006138"/>
    <s v="Feb-2023"/>
    <s v="Q1-2023"/>
    <s v="Europe → France → Marseille"/>
    <x v="0"/>
    <s v="Low"/>
    <s v="FRANCE"/>
    <d v="2023-01-10T00:00:00"/>
    <x v="0"/>
    <x v="2"/>
  </r>
  <r>
    <s v="ORD-2024-206121"/>
    <d v="2024-02-18T00:00:00"/>
    <d v="2024-03-11T00:00:00"/>
    <x v="1"/>
    <x v="4"/>
    <s v="São Paulo"/>
    <s v="Consumer"/>
    <x v="1"/>
    <x v="7"/>
    <s v="Components"/>
    <x v="322"/>
    <n v="80.48"/>
    <n v="65.650000000000006"/>
    <n v="0.17599999999999999"/>
    <n v="13"/>
    <s v="Valid"/>
    <n v="65.650000000000006"/>
    <b v="0"/>
    <n v="0.17599999999999999"/>
    <n v="22"/>
    <d v="2024-03-11T00:00:00"/>
    <n v="22"/>
    <n v="85194.792799999996"/>
    <n v="853.45"/>
    <n v="84341.342799999999"/>
    <n v="0.98998236896938618"/>
    <s v="Feb-2024"/>
    <s v="Q1-2024"/>
    <s v="Americas → Brazil → São Paulo"/>
    <x v="0"/>
    <s v="Medium"/>
    <s v="BRAZIL"/>
    <d v="2023-01-29T00:00:00"/>
    <x v="0"/>
    <x v="31"/>
  </r>
  <r>
    <s v="ORD-2024-500890"/>
    <d v="2024-09-09T00:00:00"/>
    <d v="2024-10-08T00:00:00"/>
    <x v="1"/>
    <x v="4"/>
    <s v="São Paulo"/>
    <s v="Education"/>
    <x v="4"/>
    <x v="1"/>
    <s v="Components"/>
    <x v="323"/>
    <n v="1010.33"/>
    <n v="2492.14"/>
    <n v="5.0999999999999997E-2"/>
    <n v="11"/>
    <s v="Valid"/>
    <n v="2492.14"/>
    <b v="0"/>
    <n v="5.0999999999999997E-2"/>
    <n v="29"/>
    <d v="2024-10-08T00:00:00"/>
    <n v="29"/>
    <n v="2739955.9094599998"/>
    <n v="27413.539999999997"/>
    <n v="2712542.3694599997"/>
    <n v="0.98999489739767277"/>
    <s v="Sep-2024"/>
    <s v="Q3-2024"/>
    <s v="Americas → Brazil → São Paulo"/>
    <x v="0"/>
    <s v="Medium"/>
    <s v="BRAZIL"/>
    <d v="2023-01-29T00:00:00"/>
    <x v="0"/>
    <x v="29"/>
  </r>
  <r>
    <s v="ORD-2023-144816"/>
    <d v="2023-05-07T00:00:00"/>
    <d v="2023-05-29T00:00:00"/>
    <x v="0"/>
    <x v="11"/>
    <s v="Durban"/>
    <s v="Education"/>
    <x v="3"/>
    <x v="10"/>
    <s v="Accessories"/>
    <x v="324"/>
    <n v="653.86"/>
    <n v="931.84"/>
    <n v="0.121"/>
    <n v="12"/>
    <s v="Valid"/>
    <n v="931.84"/>
    <b v="0"/>
    <n v="0.121"/>
    <n v="22"/>
    <d v="2023-05-29T00:00:00"/>
    <n v="22"/>
    <n v="1116854.96832"/>
    <n v="11182.08"/>
    <n v="1105672.8883199999"/>
    <n v="0.98998788534126281"/>
    <s v="May-2023"/>
    <s v="Q2-2023"/>
    <s v="Africa → South Africa → Durban"/>
    <x v="0"/>
    <s v="Low"/>
    <s v="SOUTH AFRICA"/>
    <d v="2023-01-07T00:00:00"/>
    <x v="0"/>
    <x v="14"/>
  </r>
  <r>
    <s v="ORD-2024-153053"/>
    <d v="2024-01-12T00:00:00"/>
    <d v="2024-01-29T00:00:00"/>
    <x v="2"/>
    <x v="3"/>
    <s v="Hyderabad"/>
    <s v="Small Business"/>
    <x v="4"/>
    <x v="4"/>
    <s v="Components"/>
    <x v="325"/>
    <n v="310.02"/>
    <n v="619.51"/>
    <n v="4.2000000000000003E-2"/>
    <n v="4"/>
    <s v="Valid"/>
    <n v="619.51"/>
    <b v="0"/>
    <n v="4.2000000000000003E-2"/>
    <n v="17"/>
    <d v="2024-01-29T00:00:00"/>
    <n v="17"/>
    <n v="247699.92231999998"/>
    <n v="2478.04"/>
    <n v="245221.88231999998"/>
    <n v="0.98999579823525874"/>
    <s v="Jan-2024"/>
    <s v="Q1-2024"/>
    <s v="Asia → India → Hyderabad"/>
    <x v="0"/>
    <s v="Medium"/>
    <s v="INDIA"/>
    <d v="2023-01-29T00:00:00"/>
    <x v="0"/>
    <x v="8"/>
  </r>
  <r>
    <s v="ORD-2023-536542"/>
    <d v="2023-06-10T00:00:00"/>
    <d v="2023-06-18T00:00:00"/>
    <x v="0"/>
    <x v="0"/>
    <s v="Nakuru"/>
    <s v="Enterprise"/>
    <x v="4"/>
    <x v="9"/>
    <s v="Phones"/>
    <x v="326"/>
    <n v="894.23"/>
    <n v="1421.55"/>
    <n v="0.109"/>
    <n v="3"/>
    <s v="Valid"/>
    <n v="1421.55"/>
    <b v="0"/>
    <n v="0.109"/>
    <n v="8"/>
    <d v="2023-06-18T00:00:00"/>
    <n v="8"/>
    <n v="426000.15314999997"/>
    <n v="4264.6499999999996"/>
    <n v="421735.50314999995"/>
    <n v="0.98998908810603548"/>
    <s v="Jun-2023"/>
    <s v="Q2-2023"/>
    <s v="Africa → Kenya → Nakuru"/>
    <x v="2"/>
    <s v="Low"/>
    <s v="KENYA"/>
    <d v="2023-01-20T00:00:00"/>
    <x v="0"/>
    <x v="22"/>
  </r>
  <r>
    <s v="ORD-2025-779530"/>
    <d v="2025-05-19T00:00:00"/>
    <d v="2025-05-17T00:00:00"/>
    <x v="1"/>
    <x v="4"/>
    <s v="São Paulo"/>
    <s v="Small Business"/>
    <x v="3"/>
    <x v="14"/>
    <s v="Monitors"/>
    <x v="327"/>
    <n v="383.77"/>
    <n v="952.56"/>
    <n v="0.34599999999999997"/>
    <n v="10"/>
    <s v="Valid"/>
    <n v="952.56"/>
    <s v="Excess"/>
    <n v="0.3"/>
    <n v="-2"/>
    <d v="2025-05-26T00:00:00"/>
    <n v="7"/>
    <n v="949702.31999999983"/>
    <n v="9525.5999999999985"/>
    <n v="940176.71999999986"/>
    <n v="0.98996990972918764"/>
    <s v="May-2025"/>
    <s v="Q2-2025"/>
    <s v="Americas → Brazil → São Paulo"/>
    <x v="1"/>
    <s v="High"/>
    <s v="BRAZIL"/>
    <d v="2023-01-29T00:00:00"/>
    <x v="0"/>
    <x v="7"/>
  </r>
  <r>
    <s v="ORD-2023-163610"/>
    <d v="2023-10-22T00:00:00"/>
    <d v="2023-11-16T00:00:00"/>
    <x v="1"/>
    <x v="2"/>
    <s v="Toronto"/>
    <s v="Small Business"/>
    <x v="2"/>
    <x v="2"/>
    <s v="Laptops"/>
    <x v="328"/>
    <n v="1373.31"/>
    <n v="3154.14"/>
    <n v="0.2"/>
    <n v="11"/>
    <s v="Valid"/>
    <n v="3154.14"/>
    <b v="0"/>
    <n v="0.2"/>
    <n v="25"/>
    <d v="2023-11-16T00:00:00"/>
    <n v="25"/>
    <n v="3462614.892"/>
    <n v="34695.54"/>
    <n v="3427919.352"/>
    <n v="0.98997995991983967"/>
    <s v="Oct-2023"/>
    <s v="Q4-2023"/>
    <s v="Americas → Canada → Toronto"/>
    <x v="2"/>
    <s v="Low"/>
    <s v="CANADA"/>
    <d v="2023-01-02T00:00:00"/>
    <x v="0"/>
    <x v="32"/>
  </r>
  <r>
    <s v="ORD-2025-653781"/>
    <d v="2025-01-11T00:00:00"/>
    <d v="2025-01-23T00:00:00"/>
    <x v="1"/>
    <x v="10"/>
    <s v="Austin"/>
    <s v="Consumer"/>
    <x v="3"/>
    <x v="9"/>
    <s v="Phones"/>
    <x v="329"/>
    <n v="100.69"/>
    <n v="226.14"/>
    <n v="6.5000000000000002E-2"/>
    <n v="12"/>
    <s v="Valid"/>
    <n v="226.14"/>
    <b v="0"/>
    <n v="6.5000000000000002E-2"/>
    <n v="12"/>
    <d v="2025-01-23T00:00:00"/>
    <n v="12"/>
    <n v="271191.61079999997"/>
    <n v="2713.68"/>
    <n v="268477.93079999997"/>
    <n v="0.98999349577225204"/>
    <s v="Jan-2025"/>
    <s v="Q1-2025"/>
    <s v="Americas → USA → Austin"/>
    <x v="2"/>
    <s v="High"/>
    <s v="USA"/>
    <d v="2023-01-13T00:00:00"/>
    <x v="0"/>
    <x v="9"/>
  </r>
  <r>
    <s v="ORD-2025-737787"/>
    <d v="2025-09-14T00:00:00"/>
    <d v="2025-09-26T00:00:00"/>
    <x v="3"/>
    <x v="8"/>
    <s v="London"/>
    <s v="Small Business"/>
    <x v="4"/>
    <x v="12"/>
    <s v="Networking"/>
    <x v="330"/>
    <n v="425.15"/>
    <n v="885.92"/>
    <n v="0.23899999999999999"/>
    <n v="13"/>
    <s v="Valid"/>
    <n v="885.92"/>
    <b v="0"/>
    <n v="0.23899999999999999"/>
    <n v="12"/>
    <d v="2025-09-26T00:00:00"/>
    <n v="12"/>
    <n v="1148943.4465599998"/>
    <n v="11516.96"/>
    <n v="1137426.4865599999"/>
    <n v="0.98997604274215378"/>
    <s v="Sep-2025"/>
    <s v="Q3-2025"/>
    <s v="Europe → United Kingdom → London"/>
    <x v="0"/>
    <s v="High"/>
    <s v="UNITED KINGDOM"/>
    <d v="2023-01-19T00:00:00"/>
    <x v="0"/>
    <x v="10"/>
  </r>
  <r>
    <s v="ORD-2023-944052"/>
    <d v="2023-08-30T00:00:00"/>
    <d v="2023-09-03T00:00:00"/>
    <x v="2"/>
    <x v="3"/>
    <s v="Delhi"/>
    <s v="Small Business"/>
    <x v="2"/>
    <x v="14"/>
    <s v="Accessories"/>
    <x v="331"/>
    <n v="1082.25"/>
    <n v="2433.34"/>
    <n v="0.27"/>
    <n v="4"/>
    <s v="Valid"/>
    <n v="2433.34"/>
    <b v="0"/>
    <n v="0.27"/>
    <n v="4"/>
    <d v="2023-09-03T00:00:00"/>
    <n v="4"/>
    <n v="970707.99280000012"/>
    <n v="9733.36"/>
    <n v="960974.63280000014"/>
    <n v="0.98997292690263716"/>
    <s v="Aug-2023"/>
    <s v="Q3-2023"/>
    <s v="Asia → India → Delhi"/>
    <x v="0"/>
    <s v="Low"/>
    <s v="INDIA"/>
    <d v="2023-01-29T00:00:00"/>
    <x v="0"/>
    <x v="24"/>
  </r>
  <r>
    <s v="ORD-2023-181257"/>
    <d v="2023-11-15T00:00:00"/>
    <d v="2023-12-06T00:00:00"/>
    <x v="3"/>
    <x v="8"/>
    <s v="Manchester"/>
    <s v="Education"/>
    <x v="4"/>
    <x v="9"/>
    <s v="Accessories"/>
    <x v="332"/>
    <n v="1184.99"/>
    <n v="1154.3399999999999"/>
    <n v="2.8000000000000001E-2"/>
    <n v="5"/>
    <s v="Valid"/>
    <n v="1154.3399999999999"/>
    <b v="0"/>
    <n v="2.8000000000000001E-2"/>
    <n v="21"/>
    <d v="2023-12-06T00:00:00"/>
    <n v="21"/>
    <n v="577008.3923999999"/>
    <n v="5771.7"/>
    <n v="571236.69239999994"/>
    <n v="0.98999719921578044"/>
    <s v="Nov-2023"/>
    <s v="Q4-2023"/>
    <s v="Europe → United Kingdom → Manchester"/>
    <x v="0"/>
    <s v="Low"/>
    <s v="UNITED KINGDOM"/>
    <d v="2023-01-19T00:00:00"/>
    <x v="0"/>
    <x v="30"/>
  </r>
  <r>
    <s v="ORD-2025-323492"/>
    <d v="2025-04-27T00:00:00"/>
    <d v="2025-05-27T00:00:00"/>
    <x v="2"/>
    <x v="3"/>
    <s v="Unknown City "/>
    <s v="Enterprise"/>
    <x v="2"/>
    <x v="9"/>
    <s v="Phones"/>
    <x v="333"/>
    <n v="481.32"/>
    <n v="1135.99"/>
    <n v="0.14499999999999999"/>
    <n v="5"/>
    <s v="Valid"/>
    <n v="1135.99"/>
    <b v="0"/>
    <n v="0.14499999999999999"/>
    <n v="30"/>
    <d v="2025-05-27T00:00:00"/>
    <n v="30"/>
    <n v="567171.40725000005"/>
    <n v="5679.95"/>
    <n v="561491.45725000009"/>
    <n v="0.98998547894446953"/>
    <s v="Apr-2025"/>
    <s v="Q2-2025"/>
    <s v="Asia → India → Unknown City "/>
    <x v="2"/>
    <s v="High"/>
    <s v="INDIA"/>
    <d v="2023-01-29T00:00:00"/>
    <x v="0"/>
    <x v="18"/>
  </r>
  <r>
    <s v="ORD-2024-332076"/>
    <d v="2024-04-09T00:00:00"/>
    <d v="2024-04-18T00:00:00"/>
    <x v="3"/>
    <x v="7"/>
    <s v="Lyon"/>
    <s v="Consumer"/>
    <x v="1"/>
    <x v="5"/>
    <s v="Printers"/>
    <x v="334"/>
    <n v="1288.8499999999999"/>
    <n v="2751.84"/>
    <n v="0.158"/>
    <n v="7"/>
    <s v="Valid"/>
    <n v="2751.84"/>
    <b v="0"/>
    <n v="0.158"/>
    <n v="9"/>
    <d v="2024-04-18T00:00:00"/>
    <n v="9"/>
    <n v="1923244.46496"/>
    <n v="19262.88"/>
    <n v="1903981.5849600001"/>
    <n v="0.98998417499649449"/>
    <s v="Apr-2024"/>
    <s v="Q2-2024"/>
    <s v="Europe → France → Lyon"/>
    <x v="1"/>
    <s v="Medium"/>
    <s v="FRANCE"/>
    <d v="2023-01-10T00:00:00"/>
    <x v="0"/>
    <x v="19"/>
  </r>
  <r>
    <s v="ORD-2024-571797"/>
    <d v="2024-07-11T00:00:00"/>
    <d v="2024-07-31T00:00:00"/>
    <x v="2"/>
    <x v="9"/>
    <s v="Shenzhen"/>
    <s v="Consumer"/>
    <x v="1"/>
    <x v="3"/>
    <s v="Phones"/>
    <x v="335"/>
    <n v="647.26"/>
    <n v="1374.72"/>
    <n v="6.6000000000000003E-2"/>
    <n v="22"/>
    <s v="Valid"/>
    <n v="1374.72"/>
    <b v="0"/>
    <n v="6.6000000000000003E-2"/>
    <n v="20"/>
    <d v="2024-07-31T00:00:00"/>
    <n v="20"/>
    <n v="3022387.90656"/>
    <n v="30243.84"/>
    <n v="2992144.0665600002"/>
    <n v="0.98999339564112321"/>
    <s v="Jul-2024"/>
    <s v="Q3-2024"/>
    <s v="Asia → China → Shenzhen"/>
    <x v="2"/>
    <s v="Medium"/>
    <s v="CHINA"/>
    <d v="2023-01-12T00:00:00"/>
    <x v="0"/>
    <x v="13"/>
  </r>
  <r>
    <s v="ORD-2024-129345"/>
    <d v="2024-02-18T00:00:00"/>
    <d v="2024-03-03T00:00:00"/>
    <x v="1"/>
    <x v="4"/>
    <s v="Unknown City "/>
    <s v="Enterprise"/>
    <x v="3"/>
    <x v="7"/>
    <s v="Printers"/>
    <x v="336"/>
    <n v="624.23"/>
    <n v="1318.37"/>
    <n v="0.21"/>
    <n v="37"/>
    <s v="Valid"/>
    <n v="1318.37"/>
    <b v="0"/>
    <n v="0.21"/>
    <n v="14"/>
    <d v="2024-03-03T00:00:00"/>
    <n v="14"/>
    <n v="4867725.2650999995"/>
    <n v="48779.689999999995"/>
    <n v="4818945.5750999991"/>
    <n v="0.98997895580719497"/>
    <s v="Feb-2024"/>
    <s v="Q1-2024"/>
    <s v="Americas → Brazil → Unknown City "/>
    <x v="1"/>
    <s v="Medium"/>
    <s v="BRAZIL"/>
    <d v="2023-01-29T00:00:00"/>
    <x v="0"/>
    <x v="31"/>
  </r>
  <r>
    <s v="ORD-2023-660608"/>
    <d v="2023-07-25T00:00:00"/>
    <d v="2023-08-10T00:00:00"/>
    <x v="0"/>
    <x v="1"/>
    <s v="Port Harcourt"/>
    <s v="Corporate"/>
    <x v="3"/>
    <x v="2"/>
    <s v="Accessories"/>
    <x v="337"/>
    <n v="506.83"/>
    <n v="441.74"/>
    <n v="0.24"/>
    <n v="9"/>
    <s v="Valid"/>
    <n v="441.74"/>
    <b v="0"/>
    <n v="0.24"/>
    <n v="16"/>
    <d v="2023-08-10T00:00:00"/>
    <n v="16"/>
    <n v="396611.84159999999"/>
    <n v="3975.66"/>
    <n v="392636.18160000001"/>
    <n v="0.98997594226142749"/>
    <s v="Jul-2023"/>
    <s v="Q3-2023"/>
    <s v="Africa → Nigeria → Port Harcourt"/>
    <x v="0"/>
    <s v="Low"/>
    <s v="NIGERIA"/>
    <d v="2023-01-15T00:00:00"/>
    <x v="0"/>
    <x v="23"/>
  </r>
  <r>
    <s v="ORD-2023-825084"/>
    <d v="2023-07-14T00:00:00"/>
    <d v="2023-07-21T00:00:00"/>
    <x v="0"/>
    <x v="11"/>
    <s v="Durban"/>
    <s v="Enterprise"/>
    <x v="2"/>
    <x v="15"/>
    <s v="Monitors"/>
    <x v="338"/>
    <n v="620.74"/>
    <n v="1330.07"/>
    <n v="0.29899999999999999"/>
    <n v="28"/>
    <s v="Valid"/>
    <n v="1330.07"/>
    <b v="0"/>
    <n v="0.29899999999999999"/>
    <n v="7"/>
    <d v="2023-07-21T00:00:00"/>
    <n v="7"/>
    <n v="3713060.6539599998"/>
    <n v="37241.96"/>
    <n v="3675818.6939599998"/>
    <n v="0.98997001033088938"/>
    <s v="Jul-2023"/>
    <s v="Q3-2023"/>
    <s v="Africa → South Africa → Durban"/>
    <x v="1"/>
    <s v="Low"/>
    <s v="SOUTH AFRICA"/>
    <d v="2023-01-07T00:00:00"/>
    <x v="0"/>
    <x v="23"/>
  </r>
  <r>
    <s v="ORD-2023-261081"/>
    <d v="2023-07-24T00:00:00"/>
    <d v="2023-08-19T00:00:00"/>
    <x v="0"/>
    <x v="0"/>
    <s v="Nairobi"/>
    <s v="Enterprise"/>
    <x v="3"/>
    <x v="11"/>
    <s v="Accessories"/>
    <x v="339"/>
    <n v="661.45"/>
    <n v="1634.86"/>
    <n v="0.56499999999999995"/>
    <n v="24"/>
    <s v="Valid"/>
    <n v="1634.86"/>
    <s v="Excess"/>
    <n v="0.3"/>
    <n v="26"/>
    <d v="2023-08-19T00:00:00"/>
    <n v="26"/>
    <n v="3911893.0079999999"/>
    <n v="39236.639999999999"/>
    <n v="3872656.3679999998"/>
    <n v="0.98996990972918752"/>
    <s v="Jul-2023"/>
    <s v="Q3-2023"/>
    <s v="Africa → Kenya → Nairobi"/>
    <x v="0"/>
    <s v="Low"/>
    <s v="KENYA"/>
    <d v="2023-01-20T00:00:00"/>
    <x v="0"/>
    <x v="23"/>
  </r>
  <r>
    <s v="ORD-2023-766015"/>
    <d v="2023-04-13T00:00:00"/>
    <d v="2023-04-11T00:00:00"/>
    <x v="1"/>
    <x v="10"/>
    <s v="San Francisco"/>
    <s v="Education"/>
    <x v="2"/>
    <x v="3"/>
    <s v="Networking"/>
    <x v="340"/>
    <n v="32.1"/>
    <n v="70.599999999999994"/>
    <n v="0.28199999999999997"/>
    <n v="22"/>
    <s v="Valid"/>
    <n v="70.599999999999994"/>
    <b v="0"/>
    <n v="0.28199999999999997"/>
    <n v="-2"/>
    <d v="2023-04-20T00:00:00"/>
    <n v="7"/>
    <n v="154881.99759999997"/>
    <n v="1553.1999999999998"/>
    <n v="153328.79759999996"/>
    <n v="0.98997172025110802"/>
    <s v="Apr-2023"/>
    <s v="Q2-2023"/>
    <s v="Americas → USA → San Francisco"/>
    <x v="0"/>
    <s v="Low"/>
    <s v="USA"/>
    <d v="2023-01-13T00:00:00"/>
    <x v="0"/>
    <x v="11"/>
  </r>
  <r>
    <s v="ORD-2024-333192"/>
    <d v="2024-10-29T00:00:00"/>
    <d v="2024-11-04T00:00:00"/>
    <x v="0"/>
    <x v="0"/>
    <s v="Nairobi"/>
    <s v="Corporate"/>
    <x v="3"/>
    <x v="11"/>
    <s v="Printers"/>
    <x v="341"/>
    <n v="805.81"/>
    <n v="1823.04"/>
    <n v="0"/>
    <n v="11"/>
    <s v="Valid"/>
    <n v="1823.04"/>
    <b v="0"/>
    <n v="0"/>
    <n v="6"/>
    <d v="2024-11-04T00:00:00"/>
    <n v="6"/>
    <n v="2005343.9999999998"/>
    <n v="20053.439999999999"/>
    <n v="1985290.5599999998"/>
    <n v="0.99"/>
    <s v="Oct-2024"/>
    <s v="Q4-2024"/>
    <s v="Africa → Kenya → Nairobi"/>
    <x v="1"/>
    <s v="High"/>
    <s v="KENYA"/>
    <d v="2023-01-20T00:00:00"/>
    <x v="0"/>
    <x v="1"/>
  </r>
  <r>
    <s v="ORD-2024-647473"/>
    <d v="2024-02-17T00:00:00"/>
    <d v="2024-03-04T00:00:00"/>
    <x v="2"/>
    <x v="3"/>
    <s v="Delhi"/>
    <s v="Small Business"/>
    <x v="2"/>
    <x v="8"/>
    <s v="Phones"/>
    <x v="342"/>
    <n v="1231.8"/>
    <n v="2015.99"/>
    <n v="0.26100000000000001"/>
    <n v="6"/>
    <s v="Valid"/>
    <n v="2015.99"/>
    <b v="0"/>
    <n v="0.26100000000000001"/>
    <n v="16"/>
    <d v="2024-03-04T00:00:00"/>
    <n v="16"/>
    <n v="1206436.9596600002"/>
    <n v="12095.94"/>
    <n v="1194341.0196600002"/>
    <n v="0.98997383170073894"/>
    <s v="Feb-2024"/>
    <s v="Q1-2024"/>
    <s v="Asia → India → Delhi"/>
    <x v="2"/>
    <s v="Medium"/>
    <s v="INDIA"/>
    <d v="2023-01-29T00:00:00"/>
    <x v="0"/>
    <x v="31"/>
  </r>
  <r>
    <s v="ORD-2024-892908"/>
    <d v="2024-07-13T00:00:00"/>
    <d v="2024-07-12T00:00:00"/>
    <x v="2"/>
    <x v="6"/>
    <s v="Nagoya"/>
    <s v="Small Business"/>
    <x v="2"/>
    <x v="8"/>
    <s v="Networking"/>
    <x v="343"/>
    <n v="105.13"/>
    <n v="244.13"/>
    <n v="7.0999999999999994E-2"/>
    <n v="14"/>
    <s v="Valid"/>
    <n v="244.13"/>
    <b v="0"/>
    <n v="7.0999999999999994E-2"/>
    <n v="-1"/>
    <d v="2024-07-20T00:00:00"/>
    <n v="7"/>
    <n v="341539.33477999998"/>
    <n v="3417.8199999999997"/>
    <n v="338121.51477999997"/>
    <n v="0.98999289495541831"/>
    <s v="Jul-2024"/>
    <s v="Q3-2024"/>
    <s v="Asia → Japan → Nagoya"/>
    <x v="0"/>
    <s v="Medium"/>
    <s v="JAPAN"/>
    <d v="2023-03-03T00:00:00"/>
    <x v="1"/>
    <x v="13"/>
  </r>
  <r>
    <s v="ORD-2023-573146"/>
    <d v="2023-12-01T00:00:00"/>
    <d v="2023-12-18T00:00:00"/>
    <x v="2"/>
    <x v="6"/>
    <s v="Nagoya"/>
    <s v="Small Business"/>
    <x v="4"/>
    <x v="12"/>
    <s v="Laptops"/>
    <x v="344"/>
    <n v="1495.79"/>
    <n v="2783.12"/>
    <n v="0.02"/>
    <n v="5"/>
    <s v="Valid"/>
    <n v="2783.12"/>
    <b v="0"/>
    <n v="0.02"/>
    <n v="17"/>
    <d v="2023-12-18T00:00:00"/>
    <n v="17"/>
    <n v="1391281.6879999998"/>
    <n v="13915.599999999999"/>
    <n v="1377366.0879999998"/>
    <n v="0.98999799959991996"/>
    <s v="Dec-2023"/>
    <s v="Q4-2023"/>
    <s v="Asia → Japan → Nagoya"/>
    <x v="2"/>
    <s v="Low"/>
    <s v="JAPAN"/>
    <d v="2023-03-03T00:00:00"/>
    <x v="1"/>
    <x v="26"/>
  </r>
  <r>
    <s v="ORD-2024-901115"/>
    <d v="2024-07-25T00:00:00"/>
    <d v="2024-08-02T00:00:00"/>
    <x v="1"/>
    <x v="2"/>
    <s v="Montreal"/>
    <s v="Consumer"/>
    <x v="4"/>
    <x v="1"/>
    <s v="Accessories"/>
    <x v="345"/>
    <n v="986.81"/>
    <n v="2050.31"/>
    <n v="0.10299999999999999"/>
    <n v="43"/>
    <s v="Valid"/>
    <n v="2050.31"/>
    <b v="0"/>
    <n v="0.10299999999999999"/>
    <n v="8"/>
    <d v="2024-08-02T00:00:00"/>
    <n v="8"/>
    <n v="8807252.1770099998"/>
    <n v="88163.33"/>
    <n v="8719088.8470099997"/>
    <n v="0.98998968938006149"/>
    <s v="Jul-2024"/>
    <s v="Q3-2024"/>
    <s v="Americas → Canada → Montreal"/>
    <x v="0"/>
    <s v="Medium"/>
    <s v="CANADA"/>
    <d v="2023-01-02T00:00:00"/>
    <x v="0"/>
    <x v="13"/>
  </r>
  <r>
    <s v="ORD-2023-898009"/>
    <d v="2023-05-04T00:00:00"/>
    <d v="2023-05-16T00:00:00"/>
    <x v="0"/>
    <x v="1"/>
    <s v="Abuja"/>
    <s v="Small Business"/>
    <x v="2"/>
    <x v="1"/>
    <s v="Phones"/>
    <x v="346"/>
    <n v="77.739999999999995"/>
    <n v="147.12"/>
    <n v="0"/>
    <n v="15"/>
    <s v="Valid"/>
    <n v="147.12"/>
    <b v="0"/>
    <n v="0"/>
    <n v="12"/>
    <d v="2023-05-16T00:00:00"/>
    <n v="12"/>
    <n v="220680.00000000003"/>
    <n v="2206.8000000000002"/>
    <n v="218473.20000000004"/>
    <n v="0.9900000000000001"/>
    <s v="May-2023"/>
    <s v="Q2-2023"/>
    <s v="Africa → Nigeria → Abuja"/>
    <x v="2"/>
    <s v="Low"/>
    <s v="NIGERIA"/>
    <d v="2023-01-15T00:00:00"/>
    <x v="0"/>
    <x v="14"/>
  </r>
  <r>
    <s v="ORD-2023-208944"/>
    <d v="2023-12-21T00:00:00"/>
    <d v="2024-01-06T00:00:00"/>
    <x v="0"/>
    <x v="1"/>
    <s v="Unknown City "/>
    <s v="Corporate"/>
    <x v="2"/>
    <x v="10"/>
    <s v="Components"/>
    <x v="347"/>
    <n v="932.61"/>
    <n v="1982.98"/>
    <n v="0.14399999999999999"/>
    <n v="16"/>
    <s v="Valid"/>
    <n v="1982.98"/>
    <b v="0"/>
    <n v="0.14399999999999999"/>
    <n v="16"/>
    <d v="2024-01-06T00:00:00"/>
    <n v="16"/>
    <n v="3168199.2140799998"/>
    <n v="31727.68"/>
    <n v="3136471.5340799997"/>
    <n v="0.98998557923409702"/>
    <s v="Dec-2023"/>
    <s v="Q4-2023"/>
    <s v="Africa → Nigeria → Unknown City "/>
    <x v="0"/>
    <s v="Medium"/>
    <s v="NIGERIA"/>
    <d v="2023-01-15T00:00:00"/>
    <x v="0"/>
    <x v="26"/>
  </r>
  <r>
    <s v="ORD-2025-480172"/>
    <d v="2025-06-17T00:00:00"/>
    <d v="2025-07-05T00:00:00"/>
    <x v="2"/>
    <x v="3"/>
    <s v="Delhi"/>
    <s v="Consumer"/>
    <x v="2"/>
    <x v="14"/>
    <s v="Laptops"/>
    <x v="348"/>
    <n v="982.93"/>
    <n v="2299.3000000000002"/>
    <n v="0.113"/>
    <n v="6"/>
    <s v="Valid"/>
    <n v="2299.3000000000002"/>
    <b v="0"/>
    <n v="0.113"/>
    <n v="18"/>
    <d v="2025-07-05T00:00:00"/>
    <n v="18"/>
    <n v="1378021.0746000002"/>
    <n v="13795.800000000001"/>
    <n v="1364225.2746000001"/>
    <n v="0.98998868721655464"/>
    <s v="Jun-2025"/>
    <s v="Q2-2025"/>
    <s v="Asia → India → Delhi"/>
    <x v="2"/>
    <s v="High"/>
    <s v="INDIA"/>
    <d v="2023-01-29T00:00:00"/>
    <x v="0"/>
    <x v="15"/>
  </r>
  <r>
    <s v="ORD-2023-735274"/>
    <d v="2023-02-23T00:00:00"/>
    <d v="2023-03-08T00:00:00"/>
    <x v="3"/>
    <x v="8"/>
    <s v="Manchester"/>
    <s v="Small Business"/>
    <x v="4"/>
    <x v="0"/>
    <s v="Printers"/>
    <x v="349"/>
    <n v="307.37"/>
    <n v="462.61"/>
    <n v="0.188"/>
    <n v="11"/>
    <s v="Valid"/>
    <n v="462.61"/>
    <b v="0"/>
    <n v="0.188"/>
    <n v="13"/>
    <d v="2023-03-08T00:00:00"/>
    <n v="13"/>
    <n v="507914.32251999999"/>
    <n v="5088.71"/>
    <n v="502825.61251999997"/>
    <n v="0.98998116458942809"/>
    <s v="Feb-2023"/>
    <s v="Q1-2023"/>
    <s v="Europe → United Kingdom → Manchester"/>
    <x v="1"/>
    <s v="Low"/>
    <s v="UNITED KINGDOM"/>
    <d v="2023-01-19T00:00:00"/>
    <x v="0"/>
    <x v="2"/>
  </r>
  <r>
    <s v="ORD-2023-212701"/>
    <d v="2023-12-02T00:00:00"/>
    <d v="2023-12-16T00:00:00"/>
    <x v="3"/>
    <x v="5"/>
    <s v="Frankfurt"/>
    <s v="Education"/>
    <x v="4"/>
    <x v="12"/>
    <s v="Monitors"/>
    <x v="350"/>
    <n v="879.08"/>
    <n v="1093.3900000000001"/>
    <n v="0.113"/>
    <n v="17"/>
    <s v="Valid"/>
    <n v="1093.3900000000001"/>
    <b v="0"/>
    <n v="0.113"/>
    <n v="14"/>
    <d v="2023-12-16T00:00:00"/>
    <n v="14"/>
    <n v="1856662.5978100002"/>
    <n v="18587.63"/>
    <n v="1838074.9678100003"/>
    <n v="0.98998868721655475"/>
    <s v="Dec-2023"/>
    <s v="Q4-2023"/>
    <s v="Europe → Germany → Frankfurt"/>
    <x v="1"/>
    <s v="Low"/>
    <s v="GERMANY"/>
    <d v="2023-01-22T00:00:00"/>
    <x v="0"/>
    <x v="26"/>
  </r>
  <r>
    <s v="ORD-2023-479747"/>
    <d v="2023-07-14T00:00:00"/>
    <d v="2023-07-14T00:00:00"/>
    <x v="0"/>
    <x v="1"/>
    <s v="Lagos"/>
    <s v="Education"/>
    <x v="0"/>
    <x v="2"/>
    <s v="Accessories"/>
    <x v="351"/>
    <n v="956.38"/>
    <n v="1454.22"/>
    <n v="3.9E-2"/>
    <n v="19"/>
    <s v="Valid"/>
    <n v="1454.22"/>
    <b v="0"/>
    <n v="3.9E-2"/>
    <n v="0"/>
    <d v="2023-07-14T00:00:00"/>
    <n v="0"/>
    <n v="2761940.4229799998"/>
    <n v="27630.18"/>
    <n v="2734310.2429799996"/>
    <n v="0.98999609847840653"/>
    <s v="Jul-2023"/>
    <s v="Q3-2023"/>
    <s v="Africa → Nigeria → Lagos"/>
    <x v="0"/>
    <s v="Low"/>
    <s v="NIGERIA"/>
    <d v="2023-01-15T00:00:00"/>
    <x v="0"/>
    <x v="23"/>
  </r>
  <r>
    <s v="ORD-2024-915495"/>
    <d v="2024-08-08T00:00:00"/>
    <d v="2024-08-20T00:00:00"/>
    <x v="2"/>
    <x v="6"/>
    <s v="Osaka"/>
    <s v="Small Business"/>
    <x v="0"/>
    <x v="9"/>
    <s v="Networking"/>
    <x v="352"/>
    <n v="1233.3599999999999"/>
    <n v="2120.4"/>
    <n v="0.17899999999999999"/>
    <n v="20"/>
    <s v="Valid"/>
    <n v="2120.4"/>
    <b v="0"/>
    <n v="0.17899999999999999"/>
    <n v="12"/>
    <d v="2024-08-20T00:00:00"/>
    <n v="12"/>
    <n v="4233208.9680000003"/>
    <n v="42408"/>
    <n v="4190800.9680000003"/>
    <n v="0.98998206790154375"/>
    <s v="Aug-2024"/>
    <s v="Q3-2024"/>
    <s v="Asia → Japan → Osaka"/>
    <x v="0"/>
    <s v="Medium"/>
    <s v="JAPAN"/>
    <d v="2023-03-03T00:00:00"/>
    <x v="1"/>
    <x v="20"/>
  </r>
  <r>
    <s v="ORD-2024-225829"/>
    <d v="2024-11-07T00:00:00"/>
    <d v="2024-11-26T00:00:00"/>
    <x v="1"/>
    <x v="4"/>
    <s v="Rio de Janeiro"/>
    <s v="Non-Profit"/>
    <x v="3"/>
    <x v="1"/>
    <s v="Printers"/>
    <x v="353"/>
    <n v="55.35"/>
    <n v="128.68"/>
    <n v="0.128"/>
    <n v="10"/>
    <s v="Valid"/>
    <n v="128.68"/>
    <b v="0"/>
    <n v="0.128"/>
    <n v="19"/>
    <d v="2024-11-26T00:00:00"/>
    <n v="19"/>
    <n v="128515.28960000002"/>
    <n v="1286.8000000000002"/>
    <n v="127228.48960000002"/>
    <n v="0.9899871835950016"/>
    <s v="Nov-2024"/>
    <s v="Q4-2024"/>
    <s v="Americas → Brazil → Rio de Janeiro"/>
    <x v="1"/>
    <s v="High"/>
    <s v="BRAZIL"/>
    <d v="2023-01-29T00:00:00"/>
    <x v="0"/>
    <x v="17"/>
  </r>
  <r>
    <s v="ORD-2024-921935"/>
    <d v="2024-01-01T00:00:00"/>
    <d v="2024-01-27T00:00:00"/>
    <x v="3"/>
    <x v="8"/>
    <s v="Manchester"/>
    <s v="Education"/>
    <x v="3"/>
    <x v="13"/>
    <s v="Accessories"/>
    <x v="354"/>
    <n v="657.45"/>
    <n v="1325.96"/>
    <n v="0.16700000000000001"/>
    <n v="21"/>
    <s v="Valid"/>
    <n v="1325.96"/>
    <b v="0"/>
    <n v="0.16700000000000001"/>
    <n v="26"/>
    <d v="2024-01-27T00:00:00"/>
    <n v="26"/>
    <n v="2779865.8582799998"/>
    <n v="27845.16"/>
    <n v="2752020.6982799997"/>
    <n v="0.98998327206434744"/>
    <s v="Jan-2024"/>
    <s v="Q1-2024"/>
    <s v="Europe → United Kingdom → Manchester"/>
    <x v="0"/>
    <s v="Medium"/>
    <s v="UNITED KINGDOM"/>
    <d v="2023-01-19T00:00:00"/>
    <x v="0"/>
    <x v="8"/>
  </r>
  <r>
    <s v="ORD-2025-949776"/>
    <d v="2025-08-14T00:00:00"/>
    <d v="2025-09-11T00:00:00"/>
    <x v="1"/>
    <x v="4"/>
    <s v="São Paulo"/>
    <s v="Non-Profit"/>
    <x v="4"/>
    <x v="8"/>
    <s v="Printers"/>
    <x v="355"/>
    <n v="1203.02"/>
    <n v="2439.33"/>
    <n v="0"/>
    <n v="18"/>
    <s v="Valid"/>
    <n v="2439.33"/>
    <b v="0"/>
    <n v="0"/>
    <n v="28"/>
    <d v="2025-09-11T00:00:00"/>
    <n v="28"/>
    <n v="4390794"/>
    <n v="43907.94"/>
    <n v="4346886.0599999996"/>
    <n v="0.98999999999999988"/>
    <s v="Aug-2025"/>
    <s v="Q3-2025"/>
    <s v="Americas → Brazil → São Paulo"/>
    <x v="1"/>
    <s v="High"/>
    <s v="BRAZIL"/>
    <d v="2023-01-29T00:00:00"/>
    <x v="0"/>
    <x v="28"/>
  </r>
  <r>
    <s v="ORD-2024-510591"/>
    <d v="2024-04-03T00:00:00"/>
    <d v="2024-04-21T00:00:00"/>
    <x v="1"/>
    <x v="4"/>
    <s v="Brasília"/>
    <s v="Small Business"/>
    <x v="3"/>
    <x v="4"/>
    <s v="Networking"/>
    <x v="356"/>
    <n v="1176.69"/>
    <n v="2201.54"/>
    <n v="0.17"/>
    <n v="27"/>
    <s v="Valid"/>
    <n v="2201.54"/>
    <b v="0"/>
    <n v="0.17"/>
    <n v="18"/>
    <d v="2024-04-21T00:00:00"/>
    <n v="18"/>
    <n v="5934052.9314000001"/>
    <n v="59441.58"/>
    <n v="5874611.3514"/>
    <n v="0.98998297105078636"/>
    <s v="Apr-2024"/>
    <s v="Q2-2024"/>
    <s v="Americas → Brazil → Brasília"/>
    <x v="0"/>
    <s v="Medium"/>
    <s v="BRAZIL"/>
    <d v="2023-01-29T00:00:00"/>
    <x v="0"/>
    <x v="19"/>
  </r>
  <r>
    <s v="ORD-2024-961756"/>
    <d v="2024-11-25T00:00:00"/>
    <d v="2024-12-07T00:00:00"/>
    <x v="2"/>
    <x v="9"/>
    <s v="Shanghai"/>
    <s v="Corporate"/>
    <x v="3"/>
    <x v="7"/>
    <s v="Accessories"/>
    <x v="357"/>
    <n v="769.9"/>
    <n v="814.36"/>
    <n v="0"/>
    <n v="5"/>
    <s v="Valid"/>
    <n v="814.36"/>
    <b v="0"/>
    <n v="0"/>
    <n v="12"/>
    <d v="2024-12-07T00:00:00"/>
    <n v="12"/>
    <n v="407180"/>
    <n v="4071.8"/>
    <n v="403108.2"/>
    <n v="0.99"/>
    <s v="Nov-2024"/>
    <s v="Q4-2024"/>
    <s v="Asia → China → Shanghai"/>
    <x v="0"/>
    <s v="High"/>
    <s v="CHINA"/>
    <d v="2023-01-12T00:00:00"/>
    <x v="0"/>
    <x v="17"/>
  </r>
  <r>
    <s v="ORD-2024-892173"/>
    <d v="2024-01-18T00:00:00"/>
    <d v="2024-02-03T00:00:00"/>
    <x v="0"/>
    <x v="11"/>
    <s v="Cape Town"/>
    <s v="Non-Profit"/>
    <x v="3"/>
    <x v="14"/>
    <s v="Printers"/>
    <x v="358"/>
    <n v="666.23"/>
    <n v="1382.91"/>
    <n v="0.17599999999999999"/>
    <n v="13"/>
    <s v="Valid"/>
    <n v="1382.91"/>
    <b v="0"/>
    <n v="0.17599999999999999"/>
    <n v="16"/>
    <d v="2024-02-03T00:00:00"/>
    <n v="16"/>
    <n v="1794618.9019200001"/>
    <n v="17977.830000000002"/>
    <n v="1776641.07192"/>
    <n v="0.98998236896938607"/>
    <s v="Jan-2024"/>
    <s v="Q1-2024"/>
    <s v="Africa → South Africa → Cape Town"/>
    <x v="1"/>
    <s v="Medium"/>
    <s v="SOUTH AFRICA"/>
    <d v="2023-01-07T00:00:00"/>
    <x v="0"/>
    <x v="8"/>
  </r>
  <r>
    <s v="ORD-2024-704056"/>
    <d v="2024-06-23T00:00:00"/>
    <d v="2024-06-25T00:00:00"/>
    <x v="3"/>
    <x v="8"/>
    <s v="Birmingham"/>
    <s v="Small Business"/>
    <x v="2"/>
    <x v="14"/>
    <s v="Accessories"/>
    <x v="359"/>
    <n v="951.44"/>
    <n v="1646.43"/>
    <n v="0.11"/>
    <n v="24"/>
    <s v="Valid"/>
    <n v="1646.43"/>
    <b v="0"/>
    <n v="0.11"/>
    <n v="2"/>
    <d v="2024-06-25T00:00:00"/>
    <n v="2"/>
    <n v="3947085.4248000002"/>
    <n v="39514.32"/>
    <n v="3907571.1048000003"/>
    <n v="0.98998898788667533"/>
    <s v="Jun-2024"/>
    <s v="Q2-2024"/>
    <s v="Europe → United Kingdom → Birmingham"/>
    <x v="0"/>
    <s v="Medium"/>
    <s v="UNITED KINGDOM"/>
    <d v="2023-01-19T00:00:00"/>
    <x v="0"/>
    <x v="16"/>
  </r>
  <r>
    <s v="ORD-2025-591006"/>
    <d v="2025-06-25T00:00:00"/>
    <d v="2025-07-10T00:00:00"/>
    <x v="3"/>
    <x v="8"/>
    <s v="Birmingham"/>
    <s v="Non-Profit"/>
    <x v="2"/>
    <x v="13"/>
    <s v="Phones"/>
    <x v="360"/>
    <n v="546.83000000000004"/>
    <n v="400.84"/>
    <n v="7.8E-2"/>
    <n v="13"/>
    <s v="Valid"/>
    <n v="400.84"/>
    <b v="0"/>
    <n v="7.8E-2"/>
    <n v="15"/>
    <d v="2025-07-10T00:00:00"/>
    <n v="15"/>
    <n v="520685.54823999997"/>
    <n v="5210.92"/>
    <n v="515474.62823999999"/>
    <n v="0.98999219391125082"/>
    <s v="Jun-2025"/>
    <s v="Q2-2025"/>
    <s v="Europe → United Kingdom → Birmingham"/>
    <x v="2"/>
    <s v="High"/>
    <s v="UNITED KINGDOM"/>
    <d v="2023-01-19T00:00:00"/>
    <x v="0"/>
    <x v="15"/>
  </r>
  <r>
    <s v="ORD-2023-159821"/>
    <d v="2023-07-01T00:00:00"/>
    <d v="2023-07-08T00:00:00"/>
    <x v="0"/>
    <x v="1"/>
    <s v="Port Harcourt"/>
    <s v="Corporate"/>
    <x v="0"/>
    <x v="7"/>
    <s v="Laptops"/>
    <x v="361"/>
    <n v="834.26"/>
    <n v="1780.56"/>
    <n v="1.4E-2"/>
    <n v="47"/>
    <s v="Valid"/>
    <n v="1780.56"/>
    <b v="0"/>
    <n v="1.4E-2"/>
    <n v="7"/>
    <d v="2023-07-08T00:00:00"/>
    <n v="7"/>
    <n v="8367460.3915199991"/>
    <n v="83686.319999999992"/>
    <n v="8283774.0715199988"/>
    <n v="0.98999859980397253"/>
    <s v="Jul-2023"/>
    <s v="Q3-2023"/>
    <s v="Africa → Nigeria → Port Harcourt"/>
    <x v="2"/>
    <s v="Low"/>
    <s v="NIGERIA"/>
    <d v="2023-01-15T00:00:00"/>
    <x v="0"/>
    <x v="23"/>
  </r>
  <r>
    <s v="ORD-2024-343877"/>
    <d v="2024-03-09T00:00:00"/>
    <d v="2024-03-26T00:00:00"/>
    <x v="2"/>
    <x v="9"/>
    <s v="Shenzhen"/>
    <s v="Enterprise"/>
    <x v="1"/>
    <x v="10"/>
    <s v="Monitors"/>
    <x v="362"/>
    <n v="1029.67"/>
    <n v="1118.43"/>
    <n v="0.27200000000000002"/>
    <n v="9"/>
    <s v="Valid"/>
    <n v="1118.43"/>
    <b v="0"/>
    <n v="0.27200000000000002"/>
    <n v="17"/>
    <d v="2024-03-26T00:00:00"/>
    <n v="17"/>
    <n v="1003849.08336"/>
    <n v="10065.870000000001"/>
    <n v="993783.21336000005"/>
    <n v="0.98997272581421469"/>
    <s v="Mar-2024"/>
    <s v="Q1-2024"/>
    <s v="Asia → China → Shenzhen"/>
    <x v="1"/>
    <s v="Medium"/>
    <s v="CHINA"/>
    <d v="2023-01-12T00:00:00"/>
    <x v="0"/>
    <x v="0"/>
  </r>
  <r>
    <s v="ORD-2023-386663"/>
    <d v="2023-06-05T00:00:00"/>
    <d v="2023-06-28T00:00:00"/>
    <x v="3"/>
    <x v="8"/>
    <s v="Birmingham"/>
    <s v="Corporate"/>
    <x v="4"/>
    <x v="10"/>
    <s v="Printers"/>
    <x v="363"/>
    <n v="605.82000000000005"/>
    <n v="771.12"/>
    <n v="0.13200000000000001"/>
    <n v="19"/>
    <s v="Valid"/>
    <n v="771.12"/>
    <b v="0"/>
    <n v="0.13200000000000001"/>
    <n v="23"/>
    <d v="2023-06-28T00:00:00"/>
    <n v="23"/>
    <n v="1463194.03104"/>
    <n v="14651.28"/>
    <n v="1448542.75104"/>
    <n v="0.9899867825529699"/>
    <s v="Jun-2023"/>
    <s v="Q2-2023"/>
    <s v="Europe → United Kingdom → Birmingham"/>
    <x v="1"/>
    <s v="Low"/>
    <s v="UNITED KINGDOM"/>
    <d v="2023-01-19T00:00:00"/>
    <x v="0"/>
    <x v="22"/>
  </r>
  <r>
    <s v="ORD-2025-125517"/>
    <d v="2025-03-21T00:00:00"/>
    <d v="2025-04-09T00:00:00"/>
    <x v="2"/>
    <x v="6"/>
    <s v="Tokyo"/>
    <s v="Small Business"/>
    <x v="3"/>
    <x v="5"/>
    <s v="Components"/>
    <x v="364"/>
    <n v="1055.45"/>
    <n v="1210.04"/>
    <n v="8.9999999999999993E-3"/>
    <n v="18"/>
    <s v="Valid"/>
    <n v="1210.04"/>
    <b v="0"/>
    <n v="8.9999999999999993E-3"/>
    <n v="19"/>
    <d v="2025-04-09T00:00:00"/>
    <n v="19"/>
    <n v="2177875.97352"/>
    <n v="21780.720000000001"/>
    <n v="2156095.2535199998"/>
    <n v="0.9899990999189926"/>
    <s v="Mar-2025"/>
    <s v="Q1-2025"/>
    <s v="Asia → Japan → Tokyo"/>
    <x v="0"/>
    <s v="High"/>
    <s v="JAPAN"/>
    <d v="2023-03-03T00:00:00"/>
    <x v="1"/>
    <x v="3"/>
  </r>
  <r>
    <s v="ORD-2024-819778"/>
    <d v="2024-06-02T00:00:00"/>
    <d v="2024-06-15T00:00:00"/>
    <x v="0"/>
    <x v="0"/>
    <s v="Mombasa"/>
    <s v="Education"/>
    <x v="1"/>
    <x v="6"/>
    <s v="Phones"/>
    <x v="365"/>
    <n v="1295.18"/>
    <n v="3024.03"/>
    <n v="0.192"/>
    <n v="8"/>
    <s v="Valid"/>
    <n v="3024.03"/>
    <b v="0"/>
    <n v="0.192"/>
    <n v="13"/>
    <d v="2024-06-15T00:00:00"/>
    <n v="13"/>
    <n v="2414579.0899200002"/>
    <n v="24192.240000000002"/>
    <n v="2390386.8499199999"/>
    <n v="0.98998076306508487"/>
    <s v="Jun-2024"/>
    <s v="Q2-2024"/>
    <s v="Africa → Kenya → Mombasa"/>
    <x v="2"/>
    <s v="Medium"/>
    <s v="KENYA"/>
    <d v="2023-01-20T00:00:00"/>
    <x v="0"/>
    <x v="16"/>
  </r>
  <r>
    <s v="ORD-2025-624006"/>
    <d v="2025-03-15T00:00:00"/>
    <d v="2025-03-29T00:00:00"/>
    <x v="2"/>
    <x v="3"/>
    <s v="Mumbai"/>
    <s v="Enterprise"/>
    <x v="4"/>
    <x v="0"/>
    <s v="Components"/>
    <x v="366"/>
    <n v="935.83"/>
    <n v="2303.46"/>
    <n v="0.105"/>
    <n v="9"/>
    <s v="Valid"/>
    <n v="2303.46"/>
    <b v="0"/>
    <n v="0.105"/>
    <n v="14"/>
    <d v="2025-03-29T00:00:00"/>
    <n v="14"/>
    <n v="2070937.2302999999"/>
    <n v="20731.14"/>
    <n v="2050206.0903"/>
    <n v="0.98998948896341166"/>
    <s v="Mar-2025"/>
    <s v="Q1-2025"/>
    <s v="Asia → India → Mumbai"/>
    <x v="0"/>
    <s v="High"/>
    <s v="INDIA"/>
    <d v="2023-01-29T00:00:00"/>
    <x v="0"/>
    <x v="3"/>
  </r>
  <r>
    <s v="ORD-2023-132101"/>
    <d v="2023-09-25T00:00:00"/>
    <d v="2023-10-09T00:00:00"/>
    <x v="1"/>
    <x v="10"/>
    <s v="New York"/>
    <s v="Small Business"/>
    <x v="2"/>
    <x v="1"/>
    <s v="Laptops"/>
    <x v="367"/>
    <n v="1279.56"/>
    <n v="3083.8"/>
    <n v="0.106"/>
    <n v="5"/>
    <s v="Valid"/>
    <n v="3083.8"/>
    <b v="0"/>
    <n v="0.106"/>
    <n v="14"/>
    <d v="2023-10-09T00:00:00"/>
    <n v="14"/>
    <n v="1540265.5860000001"/>
    <n v="15419"/>
    <n v="1524846.5860000001"/>
    <n v="0.9899893887520772"/>
    <s v="Sep-2023"/>
    <s v="Q3-2023"/>
    <s v="Americas → USA → New York"/>
    <x v="2"/>
    <s v="Low"/>
    <s v="USA"/>
    <d v="2023-01-13T00:00:00"/>
    <x v="0"/>
    <x v="27"/>
  </r>
  <r>
    <s v="ORD-2025-306903"/>
    <d v="2025-06-24T00:00:00"/>
    <d v="2025-07-23T00:00:00"/>
    <x v="1"/>
    <x v="2"/>
    <s v="Vancouver"/>
    <s v="Non-Profit"/>
    <x v="2"/>
    <x v="2"/>
    <s v="Printers"/>
    <x v="368"/>
    <n v="255.4"/>
    <n v="322.70999999999998"/>
    <n v="0.115"/>
    <n v="16"/>
    <s v="Valid"/>
    <n v="322.70999999999998"/>
    <b v="0"/>
    <n v="0.115"/>
    <n v="29"/>
    <d v="2025-07-23T00:00:00"/>
    <n v="29"/>
    <n v="515742.21360000002"/>
    <n v="5163.3599999999997"/>
    <n v="510578.85360000003"/>
    <n v="0.9899884867597738"/>
    <s v="Jun-2025"/>
    <s v="Q2-2025"/>
    <s v="Americas → Canada → Vancouver"/>
    <x v="1"/>
    <s v="High"/>
    <s v="CANADA"/>
    <d v="2023-01-02T00:00:00"/>
    <x v="0"/>
    <x v="15"/>
  </r>
  <r>
    <s v="ORD-2023-813340"/>
    <d v="2023-12-26T00:00:00"/>
    <d v="2024-01-03T00:00:00"/>
    <x v="3"/>
    <x v="7"/>
    <s v="Lyon"/>
    <s v="Small Business"/>
    <x v="0"/>
    <x v="11"/>
    <s v="Laptops"/>
    <x v="369"/>
    <n v="492.75"/>
    <n v="731.29"/>
    <n v="5.8000000000000003E-2"/>
    <n v="6"/>
    <s v="Valid"/>
    <n v="731.29"/>
    <b v="0"/>
    <n v="5.8000000000000003E-2"/>
    <n v="8"/>
    <d v="2024-01-03T00:00:00"/>
    <n v="8"/>
    <n v="438519.51107999997"/>
    <n v="4387.74"/>
    <n v="434131.77107999998"/>
    <n v="0.98999419663404775"/>
    <s v="Dec-2023"/>
    <s v="Q4-2023"/>
    <s v="Europe → France → Lyon"/>
    <x v="2"/>
    <s v="Medium"/>
    <s v="FRANCE"/>
    <d v="2023-01-10T00:00:00"/>
    <x v="0"/>
    <x v="26"/>
  </r>
  <r>
    <s v="ORD-2023-855675"/>
    <d v="2023-02-05T00:00:00"/>
    <d v="2023-02-28T00:00:00"/>
    <x v="1"/>
    <x v="10"/>
    <s v="Austin"/>
    <s v="Non-Profit"/>
    <x v="3"/>
    <x v="14"/>
    <s v="Phones"/>
    <x v="370"/>
    <n v="1214.49"/>
    <n v="1533.95"/>
    <n v="0"/>
    <n v="11"/>
    <s v="Valid"/>
    <n v="1533.95"/>
    <b v="0"/>
    <n v="0"/>
    <n v="23"/>
    <d v="2023-02-28T00:00:00"/>
    <n v="23"/>
    <n v="1687345"/>
    <n v="16873.45"/>
    <n v="1670471.55"/>
    <n v="0.99"/>
    <s v="Feb-2023"/>
    <s v="Q1-2023"/>
    <s v="Americas → USA → Austin"/>
    <x v="2"/>
    <s v="Low"/>
    <s v="USA"/>
    <d v="2023-01-13T00:00:00"/>
    <x v="0"/>
    <x v="2"/>
  </r>
  <r>
    <s v="ORD-2023-545150"/>
    <d v="2023-04-06T00:00:00"/>
    <d v="2023-04-08T00:00:00"/>
    <x v="0"/>
    <x v="1"/>
    <s v="Abuja"/>
    <s v="Small Business"/>
    <x v="2"/>
    <x v="10"/>
    <s v="Monitors"/>
    <x v="371"/>
    <n v="720.35"/>
    <n v="1571.66"/>
    <n v="0.107"/>
    <n v="23"/>
    <s v="Valid"/>
    <n v="1571.66"/>
    <b v="0"/>
    <n v="0.107"/>
    <n v="2"/>
    <d v="2023-04-08T00:00:00"/>
    <n v="2"/>
    <n v="3610950.1447399999"/>
    <n v="36148.18"/>
    <n v="3574801.9647399997"/>
    <n v="0.98998928853873636"/>
    <s v="Apr-2023"/>
    <s v="Q2-2023"/>
    <s v="Africa → Nigeria → Abuja"/>
    <x v="1"/>
    <s v="Low"/>
    <s v="NIGERIA"/>
    <d v="2023-01-15T00:00:00"/>
    <x v="0"/>
    <x v="11"/>
  </r>
  <r>
    <s v="ORD-2025-269934"/>
    <d v="2025-04-04T00:00:00"/>
    <d v="2025-04-10T00:00:00"/>
    <x v="3"/>
    <x v="8"/>
    <s v="Birmingham"/>
    <s v="Non-Profit"/>
    <x v="4"/>
    <x v="12"/>
    <s v="Printers"/>
    <x v="372"/>
    <n v="290.14"/>
    <n v="250.73"/>
    <n v="3.4000000000000002E-2"/>
    <n v="17"/>
    <s v="Valid"/>
    <n v="250.73"/>
    <b v="0"/>
    <n v="3.4000000000000002E-2"/>
    <n v="6"/>
    <d v="2025-04-10T00:00:00"/>
    <n v="6"/>
    <n v="426096.07805999997"/>
    <n v="4262.41"/>
    <n v="421833.66806"/>
    <n v="0.98999659884360691"/>
    <s v="Apr-2025"/>
    <s v="Q2-2025"/>
    <s v="Europe → United Kingdom → Birmingham"/>
    <x v="1"/>
    <s v="High"/>
    <s v="UNITED KINGDOM"/>
    <d v="2023-01-19T00:00:00"/>
    <x v="0"/>
    <x v="18"/>
  </r>
  <r>
    <s v="ORD-2024-690270"/>
    <d v="2024-05-17T00:00:00"/>
    <d v="2024-05-27T00:00:00"/>
    <x v="1"/>
    <x v="10"/>
    <s v="Austin"/>
    <s v="Non-Profit"/>
    <x v="1"/>
    <x v="0"/>
    <s v="Phones"/>
    <x v="373"/>
    <n v="1484.23"/>
    <n v="3472.81"/>
    <n v="0.25600000000000001"/>
    <n v="12"/>
    <s v="Valid"/>
    <n v="3472.81"/>
    <b v="0"/>
    <n v="0.25600000000000001"/>
    <n v="10"/>
    <d v="2024-05-27T00:00:00"/>
    <n v="10"/>
    <n v="4156703.5276800003"/>
    <n v="41673.72"/>
    <n v="4115029.8076800001"/>
    <n v="0.98997433429579718"/>
    <s v="May-2024"/>
    <s v="Q2-2024"/>
    <s v="Americas → USA → Austin"/>
    <x v="2"/>
    <s v="Medium"/>
    <s v="USA"/>
    <d v="2023-01-13T00:00:00"/>
    <x v="0"/>
    <x v="6"/>
  </r>
  <r>
    <s v="ORD-2024-868223"/>
    <d v="2024-03-03T00:00:00"/>
    <d v="2024-03-19T00:00:00"/>
    <x v="2"/>
    <x v="9"/>
    <s v="Beijing"/>
    <s v="Consumer"/>
    <x v="3"/>
    <x v="3"/>
    <s v="Phones"/>
    <x v="374"/>
    <n v="988.83"/>
    <n v="1206.04"/>
    <n v="6.3E-2"/>
    <n v="34"/>
    <s v="Valid"/>
    <n v="1206.04"/>
    <b v="0"/>
    <n v="6.3E-2"/>
    <n v="16"/>
    <d v="2024-03-19T00:00:00"/>
    <n v="16"/>
    <n v="4097952.6623200001"/>
    <n v="41005.360000000001"/>
    <n v="4056947.3023200002"/>
    <n v="0.98999369602849796"/>
    <s v="Mar-2024"/>
    <s v="Q1-2024"/>
    <s v="Asia → China → Beijing"/>
    <x v="2"/>
    <s v="Medium"/>
    <s v="CHINA"/>
    <d v="2023-01-12T00:00:00"/>
    <x v="0"/>
    <x v="0"/>
  </r>
  <r>
    <s v="ORD-2025-188059"/>
    <d v="2025-06-27T00:00:00"/>
    <d v="2025-07-11T00:00:00"/>
    <x v="2"/>
    <x v="9"/>
    <s v="Shanghai"/>
    <s v="Small Business"/>
    <x v="2"/>
    <x v="14"/>
    <s v="Networking"/>
    <x v="375"/>
    <n v="1227.7"/>
    <n v="2197.23"/>
    <n v="9.9000000000000005E-2"/>
    <n v="22"/>
    <s v="Valid"/>
    <n v="2197.23"/>
    <b v="0"/>
    <n v="9.9000000000000005E-2"/>
    <n v="14"/>
    <d v="2025-07-11T00:00:00"/>
    <n v="14"/>
    <n v="4829120.4330599997"/>
    <n v="48339.06"/>
    <n v="4780781.3730600001"/>
    <n v="0.98999009018928752"/>
    <s v="Jun-2025"/>
    <s v="Q2-2025"/>
    <s v="Asia → China → Shanghai"/>
    <x v="0"/>
    <s v="High"/>
    <s v="CHINA"/>
    <d v="2023-01-12T00:00:00"/>
    <x v="0"/>
    <x v="15"/>
  </r>
  <r>
    <s v="ORD-2023-281890"/>
    <d v="2023-03-13T00:00:00"/>
    <d v="2023-04-04T00:00:00"/>
    <x v="0"/>
    <x v="11"/>
    <s v="Durban"/>
    <s v="Small Business"/>
    <x v="0"/>
    <x v="7"/>
    <s v="Components"/>
    <x v="376"/>
    <n v="1113.7"/>
    <n v="1620.6"/>
    <n v="0.13900000000000001"/>
    <n v="11"/>
    <s v="Valid"/>
    <n v="1620.6"/>
    <b v="0"/>
    <n v="0.13900000000000001"/>
    <n v="22"/>
    <d v="2023-04-04T00:00:00"/>
    <n v="22"/>
    <n v="1780182.1025999999"/>
    <n v="17826.599999999999"/>
    <n v="1762355.5025999998"/>
    <n v="0.98998608065210636"/>
    <s v="Mar-2023"/>
    <s v="Q1-2023"/>
    <s v="Africa → South Africa → Durban"/>
    <x v="0"/>
    <s v="Low"/>
    <s v="SOUTH AFRICA"/>
    <d v="2023-01-07T00:00:00"/>
    <x v="0"/>
    <x v="21"/>
  </r>
  <r>
    <s v="ORD-2025-636162"/>
    <d v="2025-01-07T00:00:00"/>
    <d v="2025-01-20T00:00:00"/>
    <x v="0"/>
    <x v="11"/>
    <s v="Cape Town"/>
    <s v="Corporate"/>
    <x v="4"/>
    <x v="10"/>
    <s v="Networking"/>
    <x v="377"/>
    <n v="432.13"/>
    <n v="1034.6600000000001"/>
    <n v="9.1999999999999998E-2"/>
    <n v="7"/>
    <s v="Valid"/>
    <n v="1034.6600000000001"/>
    <b v="0"/>
    <n v="9.1999999999999998E-2"/>
    <n v="13"/>
    <d v="2025-01-20T00:00:00"/>
    <n v="13"/>
    <n v="723595.67896000005"/>
    <n v="7242.6200000000008"/>
    <n v="716353.05896000005"/>
    <n v="0.9899907915282059"/>
    <s v="Jan-2025"/>
    <s v="Q1-2025"/>
    <s v="Africa → South Africa → Cape Town"/>
    <x v="0"/>
    <s v="High"/>
    <s v="SOUTH AFRICA"/>
    <d v="2023-01-07T00:00:00"/>
    <x v="0"/>
    <x v="9"/>
  </r>
  <r>
    <s v="ORD-2025-915869"/>
    <d v="2025-02-06T00:00:00"/>
    <d v="2025-02-15T00:00:00"/>
    <x v="1"/>
    <x v="4"/>
    <s v="São Paulo"/>
    <s v="Non-Profit"/>
    <x v="3"/>
    <x v="8"/>
    <s v="Networking"/>
    <x v="378"/>
    <n v="837.39"/>
    <n v="1905.42"/>
    <n v="3.2000000000000001E-2"/>
    <n v="18"/>
    <s v="Valid"/>
    <n v="1905.42"/>
    <b v="0"/>
    <n v="3.2000000000000001E-2"/>
    <n v="9"/>
    <d v="2025-02-15T00:00:00"/>
    <n v="9"/>
    <n v="3428658.4780799998"/>
    <n v="34297.56"/>
    <n v="3394360.9180799997"/>
    <n v="0.98999679897567217"/>
    <s v="Feb-2025"/>
    <s v="Q1-2025"/>
    <s v="Americas → Brazil → São Paulo"/>
    <x v="0"/>
    <s v="High"/>
    <s v="BRAZIL"/>
    <d v="2023-01-29T00:00:00"/>
    <x v="0"/>
    <x v="25"/>
  </r>
  <r>
    <s v="ORD-2025-192876"/>
    <d v="2025-01-31T00:00:00"/>
    <d v="2025-02-17T00:00:00"/>
    <x v="3"/>
    <x v="8"/>
    <s v="London"/>
    <s v="Enterprise"/>
    <x v="0"/>
    <x v="9"/>
    <s v="Components"/>
    <x v="77"/>
    <n v="378.26"/>
    <n v="541.55999999999995"/>
    <n v="0.16300000000000001"/>
    <n v="25"/>
    <s v="Valid"/>
    <n v="541.55999999999995"/>
    <b v="0"/>
    <n v="0.16300000000000001"/>
    <n v="17"/>
    <d v="2025-02-17T00:00:00"/>
    <n v="17"/>
    <n v="1351693.1429999999"/>
    <n v="13538.999999999998"/>
    <n v="1338154.1429999999"/>
    <n v="0.98998367338762183"/>
    <s v="Jan-2025"/>
    <s v="Q1-2025"/>
    <s v="Europe → United Kingdom → London"/>
    <x v="0"/>
    <s v="High"/>
    <s v="UNITED KINGDOM"/>
    <d v="2023-01-19T00:00:00"/>
    <x v="0"/>
    <x v="9"/>
  </r>
  <r>
    <s v="ORD-2025-822030"/>
    <d v="2025-08-07T00:00:00"/>
    <d v="2025-09-06T00:00:00"/>
    <x v="1"/>
    <x v="2"/>
    <s v="Montreal"/>
    <s v="Education"/>
    <x v="4"/>
    <x v="11"/>
    <s v="Networking"/>
    <x v="379"/>
    <n v="833.73"/>
    <n v="1116.5999999999999"/>
    <n v="0.17599999999999999"/>
    <n v="14"/>
    <s v="Valid"/>
    <n v="1116.5999999999999"/>
    <b v="0"/>
    <n v="0.17599999999999999"/>
    <n v="30"/>
    <d v="2025-09-06T00:00:00"/>
    <n v="30"/>
    <n v="1560488.6975999998"/>
    <n v="15632.399999999998"/>
    <n v="1544856.2975999999"/>
    <n v="0.98998236896938618"/>
    <s v="Aug-2025"/>
    <s v="Q3-2025"/>
    <s v="Americas → Canada → Montreal"/>
    <x v="0"/>
    <s v="High"/>
    <s v="CANADA"/>
    <d v="2023-01-02T00:00:00"/>
    <x v="0"/>
    <x v="28"/>
  </r>
  <r>
    <s v="ORD-2025-789245"/>
    <d v="2025-07-23T00:00:00"/>
    <d v="2025-08-17T00:00:00"/>
    <x v="3"/>
    <x v="8"/>
    <s v="Birmingham"/>
    <s v="Education"/>
    <x v="1"/>
    <x v="2"/>
    <s v="Printers"/>
    <x v="380"/>
    <n v="1142.06"/>
    <n v="1455"/>
    <n v="7.8E-2"/>
    <n v="28"/>
    <s v="Valid"/>
    <n v="1455"/>
    <b v="0"/>
    <n v="7.8E-2"/>
    <n v="25"/>
    <d v="2025-08-17T00:00:00"/>
    <n v="25"/>
    <n v="4070822.28"/>
    <n v="40740"/>
    <n v="4030082.28"/>
    <n v="0.98999219391125082"/>
    <s v="Jul-2025"/>
    <s v="Q3-2025"/>
    <s v="Europe → United Kingdom → Birmingham"/>
    <x v="1"/>
    <s v="High"/>
    <s v="UNITED KINGDOM"/>
    <d v="2023-01-19T00:00:00"/>
    <x v="0"/>
    <x v="12"/>
  </r>
  <r>
    <s v="ORD-2023-594955"/>
    <d v="2023-06-20T00:00:00"/>
    <d v="2023-07-08T00:00:00"/>
    <x v="1"/>
    <x v="10"/>
    <s v="New York"/>
    <s v="Consumer"/>
    <x v="2"/>
    <x v="6"/>
    <s v="Networking"/>
    <x v="381"/>
    <n v="1145.53"/>
    <n v="1278.3"/>
    <n v="0.09"/>
    <n v="41"/>
    <s v="Valid"/>
    <n v="1278.3"/>
    <b v="0"/>
    <n v="0.09"/>
    <n v="18"/>
    <d v="2023-07-08T00:00:00"/>
    <n v="18"/>
    <n v="5236313.0729999989"/>
    <n v="52410.299999999996"/>
    <n v="5183902.7729999991"/>
    <n v="0.98999099189270345"/>
    <s v="Jun-2023"/>
    <s v="Q2-2023"/>
    <s v="Americas → USA → New York"/>
    <x v="0"/>
    <s v="Low"/>
    <s v="USA"/>
    <d v="2023-01-13T00:00:00"/>
    <x v="0"/>
    <x v="22"/>
  </r>
  <r>
    <s v="ORD-2024-398783"/>
    <d v="2024-07-18T00:00:00"/>
    <d v="2024-08-07T00:00:00"/>
    <x v="3"/>
    <x v="7"/>
    <s v="Marseille"/>
    <s v="Corporate"/>
    <x v="0"/>
    <x v="8"/>
    <s v="Monitors"/>
    <x v="382"/>
    <n v="941.35"/>
    <n v="899.83"/>
    <n v="5.8000000000000003E-2"/>
    <n v="18"/>
    <s v="Valid"/>
    <n v="899.83"/>
    <b v="0"/>
    <n v="5.8000000000000003E-2"/>
    <n v="20"/>
    <d v="2024-08-07T00:00:00"/>
    <n v="20"/>
    <n v="1618754.57748"/>
    <n v="16196.94"/>
    <n v="1602557.63748"/>
    <n v="0.98999419663404775"/>
    <s v="Jul-2024"/>
    <s v="Q3-2024"/>
    <s v="Europe → France → Marseille"/>
    <x v="1"/>
    <s v="Medium"/>
    <s v="FRANCE"/>
    <d v="2023-01-10T00:00:00"/>
    <x v="0"/>
    <x v="13"/>
  </r>
  <r>
    <s v="ORD-2023-676553"/>
    <d v="2023-05-20T00:00:00"/>
    <d v="2023-06-19T00:00:00"/>
    <x v="2"/>
    <x v="3"/>
    <s v="Delhi"/>
    <s v="Non-Profit"/>
    <x v="2"/>
    <x v="9"/>
    <s v="Laptops"/>
    <x v="383"/>
    <n v="1161.2"/>
    <n v="878.73"/>
    <n v="0.19"/>
    <n v="31"/>
    <s v="Valid"/>
    <n v="878.73"/>
    <b v="0"/>
    <n v="0.19"/>
    <n v="30"/>
    <d v="2023-06-19T00:00:00"/>
    <n v="30"/>
    <n v="2718887.2803000002"/>
    <n v="27240.63"/>
    <n v="2691646.6503000003"/>
    <n v="0.98998096383127943"/>
    <s v="May-2023"/>
    <s v="Q2-2023"/>
    <s v="Asia → India → Delhi"/>
    <x v="2"/>
    <s v="Low"/>
    <s v="INDIA"/>
    <d v="2023-01-29T00:00:00"/>
    <x v="0"/>
    <x v="14"/>
  </r>
  <r>
    <s v="ORD-2025-866565"/>
    <d v="2025-05-12T00:00:00"/>
    <d v="2025-05-26T00:00:00"/>
    <x v="2"/>
    <x v="3"/>
    <s v="Hyderabad"/>
    <s v="Corporate"/>
    <x v="2"/>
    <x v="3"/>
    <s v="Printers"/>
    <x v="384"/>
    <n v="320.12"/>
    <n v="594.41999999999996"/>
    <n v="0.104"/>
    <n v="18"/>
    <s v="Valid"/>
    <n v="594.41999999999996"/>
    <b v="0"/>
    <n v="0.104"/>
    <n v="14"/>
    <d v="2025-05-26T00:00:00"/>
    <n v="14"/>
    <n v="1068843.2457599998"/>
    <n v="10699.56"/>
    <n v="1058143.6857599998"/>
    <n v="0.9899895891727396"/>
    <s v="May-2025"/>
    <s v="Q2-2025"/>
    <s v="Asia → India → Hyderabad"/>
    <x v="1"/>
    <s v="High"/>
    <s v="INDIA"/>
    <d v="2023-01-29T00:00:00"/>
    <x v="0"/>
    <x v="7"/>
  </r>
  <r>
    <s v="ORD-2024-527858"/>
    <d v="2024-05-07T00:00:00"/>
    <d v="2024-05-12T00:00:00"/>
    <x v="0"/>
    <x v="1"/>
    <s v="Abuja"/>
    <s v="Non-Profit"/>
    <x v="3"/>
    <x v="14"/>
    <s v="Laptops"/>
    <x v="385"/>
    <n v="1163.99"/>
    <n v="1617.85"/>
    <n v="0.127"/>
    <n v="14"/>
    <s v="Valid"/>
    <n v="1617.85"/>
    <b v="0"/>
    <n v="0.127"/>
    <n v="5"/>
    <d v="2024-05-12T00:00:00"/>
    <n v="5"/>
    <n v="2262113.4627"/>
    <n v="22649.899999999998"/>
    <n v="2239463.5627000001"/>
    <n v="0.98998728385049017"/>
    <s v="May-2024"/>
    <s v="Q2-2024"/>
    <s v="Africa → Nigeria → Abuja"/>
    <x v="2"/>
    <s v="Medium"/>
    <s v="NIGERIA"/>
    <d v="2023-01-15T00:00:00"/>
    <x v="0"/>
    <x v="6"/>
  </r>
  <r>
    <s v="ORD-2023-619385"/>
    <d v="2023-09-30T00:00:00"/>
    <d v="2023-10-03T00:00:00"/>
    <x v="2"/>
    <x v="9"/>
    <s v="Beijing"/>
    <s v="Non-Profit"/>
    <x v="0"/>
    <x v="1"/>
    <s v="Laptops"/>
    <x v="386"/>
    <n v="1019.36"/>
    <n v="972.91"/>
    <n v="0.14699999999999999"/>
    <n v="17"/>
    <s v="Valid"/>
    <n v="972.91"/>
    <b v="0"/>
    <n v="0.14699999999999999"/>
    <n v="3"/>
    <d v="2023-10-03T00:00:00"/>
    <n v="3"/>
    <n v="1651515.6979100001"/>
    <n v="16539.47"/>
    <n v="1634976.2279100001"/>
    <n v="0.98998527835918804"/>
    <s v="Sep-2023"/>
    <s v="Q3-2023"/>
    <s v="Asia → China → Beijing"/>
    <x v="2"/>
    <s v="Low"/>
    <s v="CHINA"/>
    <d v="2023-01-12T00:00:00"/>
    <x v="0"/>
    <x v="27"/>
  </r>
  <r>
    <s v="ORD-2023-835226"/>
    <d v="2023-10-26T00:00:00"/>
    <d v="2023-11-05T00:00:00"/>
    <x v="0"/>
    <x v="11"/>
    <s v="Cape Town"/>
    <s v="Non-Profit"/>
    <x v="1"/>
    <x v="2"/>
    <s v="Laptops"/>
    <x v="387"/>
    <n v="20.38"/>
    <n v="42.56"/>
    <n v="7.1999999999999995E-2"/>
    <n v="11"/>
    <s v="Valid"/>
    <n v="42.56"/>
    <b v="0"/>
    <n v="7.1999999999999995E-2"/>
    <n v="10"/>
    <d v="2023-11-05T00:00:00"/>
    <n v="10"/>
    <n v="46782.292480000004"/>
    <n v="468.16"/>
    <n v="46314.13248"/>
    <n v="0.98999279481226476"/>
    <s v="Oct-2023"/>
    <s v="Q4-2023"/>
    <s v="Africa → South Africa → Cape Town"/>
    <x v="2"/>
    <s v="Low"/>
    <s v="SOUTH AFRICA"/>
    <d v="2023-01-07T00:00:00"/>
    <x v="0"/>
    <x v="32"/>
  </r>
  <r>
    <s v="ORD-2025-485946"/>
    <d v="2025-06-15T00:00:00"/>
    <d v="2025-06-30T00:00:00"/>
    <x v="0"/>
    <x v="11"/>
    <s v="Johannesburg"/>
    <s v="Small Business"/>
    <x v="4"/>
    <x v="0"/>
    <s v="Monitors"/>
    <x v="388"/>
    <n v="1487.59"/>
    <n v="1480.83"/>
    <n v="8.9999999999999993E-3"/>
    <n v="11"/>
    <s v="Valid"/>
    <n v="1480.83"/>
    <b v="0"/>
    <n v="8.9999999999999993E-3"/>
    <n v="15"/>
    <d v="2025-06-30T00:00:00"/>
    <n v="15"/>
    <n v="1628766.3978299999"/>
    <n v="16289.13"/>
    <n v="1612477.26783"/>
    <n v="0.98999909991899282"/>
    <s v="Jun-2025"/>
    <s v="Q2-2025"/>
    <s v="Africa → South Africa → Johannesburg"/>
    <x v="1"/>
    <s v="High"/>
    <s v="SOUTH AFRICA"/>
    <d v="2023-01-07T00:00:00"/>
    <x v="0"/>
    <x v="15"/>
  </r>
  <r>
    <s v="ORD-2024-307849"/>
    <d v="2024-08-10T00:00:00"/>
    <d v="2024-09-07T00:00:00"/>
    <x v="3"/>
    <x v="7"/>
    <s v="Marseille"/>
    <s v="Non-Profit"/>
    <x v="4"/>
    <x v="8"/>
    <s v="Printers"/>
    <x v="389"/>
    <n v="229.96"/>
    <n v="564.26"/>
    <n v="0.105"/>
    <n v="5"/>
    <s v="Valid"/>
    <n v="564.26"/>
    <b v="0"/>
    <n v="0.105"/>
    <n v="28"/>
    <d v="2024-09-07T00:00:00"/>
    <n v="28"/>
    <n v="281833.7635"/>
    <n v="2821.3"/>
    <n v="279012.46350000001"/>
    <n v="0.98998948896341166"/>
    <s v="Aug-2024"/>
    <s v="Q3-2024"/>
    <s v="Europe → France → Marseille"/>
    <x v="1"/>
    <s v="Medium"/>
    <s v="FRANCE"/>
    <d v="2023-01-10T00:00:00"/>
    <x v="0"/>
    <x v="20"/>
  </r>
  <r>
    <s v="ORD-2023-368449"/>
    <d v="2023-10-09T00:00:00"/>
    <d v="2023-10-26T00:00:00"/>
    <x v="2"/>
    <x v="9"/>
    <s v="Shanghai"/>
    <s v="Consumer"/>
    <x v="2"/>
    <x v="0"/>
    <s v="Components"/>
    <x v="390"/>
    <n v="1132.03"/>
    <n v="2137.21"/>
    <n v="0.35699999999999998"/>
    <n v="35"/>
    <s v="Valid"/>
    <n v="2137.21"/>
    <s v="Excess"/>
    <n v="0.3"/>
    <n v="17"/>
    <d v="2023-10-26T00:00:00"/>
    <n v="17"/>
    <n v="7457794.2950000009"/>
    <n v="74802.350000000006"/>
    <n v="7382991.9450000012"/>
    <n v="0.98996990972918764"/>
    <s v="Oct-2023"/>
    <s v="Q4-2023"/>
    <s v="Asia → China → Shanghai"/>
    <x v="0"/>
    <s v="Low"/>
    <s v="CHINA"/>
    <d v="2023-01-12T00:00:00"/>
    <x v="0"/>
    <x v="32"/>
  </r>
  <r>
    <s v="ORD-2024-251426"/>
    <d v="2024-03-09T00:00:00"/>
    <d v="2024-03-26T00:00:00"/>
    <x v="1"/>
    <x v="10"/>
    <s v="San Francisco"/>
    <s v="Education"/>
    <x v="4"/>
    <x v="2"/>
    <s v="Phones"/>
    <x v="391"/>
    <n v="1137.4100000000001"/>
    <n v="1680.93"/>
    <n v="0.254"/>
    <n v="9"/>
    <s v="Valid"/>
    <n v="1680.93"/>
    <b v="0"/>
    <n v="0.254"/>
    <n v="17"/>
    <d v="2024-03-26T00:00:00"/>
    <n v="17"/>
    <n v="1508994.39402"/>
    <n v="15128.37"/>
    <n v="1493866.0240199999"/>
    <n v="0.98997453531971202"/>
    <s v="Mar-2024"/>
    <s v="Q1-2024"/>
    <s v="Americas → USA → San Francisco"/>
    <x v="2"/>
    <s v="Medium"/>
    <s v="USA"/>
    <d v="2023-01-13T00:00:00"/>
    <x v="0"/>
    <x v="0"/>
  </r>
  <r>
    <s v="ORD-2023-927385"/>
    <d v="2023-05-29T00:00:00"/>
    <d v="2023-06-20T00:00:00"/>
    <x v="3"/>
    <x v="8"/>
    <s v="London"/>
    <s v="Small Business"/>
    <x v="4"/>
    <x v="10"/>
    <s v="Components"/>
    <x v="392"/>
    <n v="1295.3900000000001"/>
    <n v="2905.06"/>
    <n v="0.14799999999999999"/>
    <n v="8"/>
    <s v="Valid"/>
    <n v="2905.06"/>
    <b v="0"/>
    <n v="0.14799999999999999"/>
    <n v="22"/>
    <d v="2023-06-20T00:00:00"/>
    <n v="22"/>
    <n v="2320608.4089600001"/>
    <n v="23240.48"/>
    <n v="2297367.9289600002"/>
    <n v="0.98998517806353403"/>
    <s v="May-2023"/>
    <s v="Q2-2023"/>
    <s v="Europe → United Kingdom → London"/>
    <x v="0"/>
    <s v="Low"/>
    <s v="UNITED KINGDOM"/>
    <d v="2023-01-19T00:00:00"/>
    <x v="0"/>
    <x v="14"/>
  </r>
  <r>
    <s v="ORD-2025-486350"/>
    <d v="2025-05-27T00:00:00"/>
    <d v="2025-06-08T00:00:00"/>
    <x v="2"/>
    <x v="6"/>
    <s v="Osaka"/>
    <s v="Corporate"/>
    <x v="0"/>
    <x v="9"/>
    <s v="Accessories"/>
    <x v="393"/>
    <n v="653.6"/>
    <n v="842.09"/>
    <n v="9.8000000000000004E-2"/>
    <n v="19"/>
    <s v="Valid"/>
    <n v="842.09"/>
    <b v="0"/>
    <n v="9.8000000000000004E-2"/>
    <n v="12"/>
    <d v="2025-06-08T00:00:00"/>
    <n v="12"/>
    <n v="1598403.0284200001"/>
    <n v="15999.710000000001"/>
    <n v="1582403.3184200001"/>
    <n v="0.98999019038657887"/>
    <s v="May-2025"/>
    <s v="Q2-2025"/>
    <s v="Asia → Japan → Osaka"/>
    <x v="0"/>
    <s v="High"/>
    <s v="JAPAN"/>
    <d v="2023-03-03T00:00:00"/>
    <x v="1"/>
    <x v="7"/>
  </r>
  <r>
    <s v="ORD-2025-677880"/>
    <d v="2025-08-21T00:00:00"/>
    <d v="2025-09-14T00:00:00"/>
    <x v="3"/>
    <x v="5"/>
    <s v="Berlin"/>
    <s v="Non-Profit"/>
    <x v="1"/>
    <x v="7"/>
    <s v="Monitors"/>
    <x v="394"/>
    <n v="1397.67"/>
    <n v="3131.37"/>
    <n v="0.10299999999999999"/>
    <n v="20"/>
    <s v="Valid"/>
    <n v="3131.37"/>
    <b v="0"/>
    <n v="0.10299999999999999"/>
    <n v="24"/>
    <d v="2025-09-14T00:00:00"/>
    <n v="24"/>
    <n v="6256289.3777999999"/>
    <n v="62627.399999999994"/>
    <n v="6193661.9777999995"/>
    <n v="0.98998968938006138"/>
    <s v="Aug-2025"/>
    <s v="Q3-2025"/>
    <s v="Europe → Germany → Berlin"/>
    <x v="1"/>
    <s v="High"/>
    <s v="GERMANY"/>
    <d v="2023-01-22T00:00:00"/>
    <x v="0"/>
    <x v="28"/>
  </r>
  <r>
    <s v="ORD-2024-102866"/>
    <d v="2024-12-12T00:00:00"/>
    <d v="2024-12-20T00:00:00"/>
    <x v="2"/>
    <x v="6"/>
    <s v="Tokyo"/>
    <s v="Corporate"/>
    <x v="0"/>
    <x v="4"/>
    <s v="Laptops"/>
    <x v="395"/>
    <n v="1202.47"/>
    <n v="1444.72"/>
    <n v="0.24099999999999999"/>
    <n v="17"/>
    <s v="Valid"/>
    <n v="1444.72"/>
    <b v="0"/>
    <n v="0.24099999999999999"/>
    <n v="8"/>
    <d v="2024-12-20T00:00:00"/>
    <n v="8"/>
    <n v="2450104.9821600001"/>
    <n v="24560.240000000002"/>
    <n v="2425544.7421599999"/>
    <n v="0.98997584177868658"/>
    <s v="Dec-2024"/>
    <s v="Q4-2024"/>
    <s v="Asia → Japan → Tokyo"/>
    <x v="2"/>
    <s v="High"/>
    <s v="JAPAN"/>
    <d v="2023-03-03T00:00:00"/>
    <x v="1"/>
    <x v="5"/>
  </r>
  <r>
    <s v="ORD-2025-588029"/>
    <d v="2025-09-14T00:00:00"/>
    <d v="2025-09-23T00:00:00"/>
    <x v="0"/>
    <x v="11"/>
    <s v="Durban"/>
    <s v="Non-Profit"/>
    <x v="1"/>
    <x v="13"/>
    <s v="Components"/>
    <x v="396"/>
    <n v="1310.3"/>
    <n v="2875.8"/>
    <n v="8.3000000000000004E-2"/>
    <n v="5"/>
    <s v="Valid"/>
    <n v="2875.8"/>
    <b v="0"/>
    <n v="8.3000000000000004E-2"/>
    <n v="9"/>
    <d v="2025-09-23T00:00:00"/>
    <n v="9"/>
    <n v="1436706.5430000001"/>
    <n v="14379"/>
    <n v="1422327.5430000001"/>
    <n v="0.98999169310527735"/>
    <s v="Sep-2025"/>
    <s v="Q3-2025"/>
    <s v="Africa → South Africa → Durban"/>
    <x v="0"/>
    <s v="High"/>
    <s v="SOUTH AFRICA"/>
    <d v="2023-01-07T00:00:00"/>
    <x v="0"/>
    <x v="10"/>
  </r>
  <r>
    <s v="ORD-2024-972999"/>
    <d v="2024-09-06T00:00:00"/>
    <d v="2024-10-04T00:00:00"/>
    <x v="0"/>
    <x v="11"/>
    <s v="Cape Town"/>
    <s v="Corporate"/>
    <x v="2"/>
    <x v="13"/>
    <s v="Monitors"/>
    <x v="397"/>
    <n v="1174.17"/>
    <n v="1641.61"/>
    <n v="0.122"/>
    <n v="9"/>
    <s v="Valid"/>
    <n v="1641.61"/>
    <b v="0"/>
    <n v="0.122"/>
    <n v="28"/>
    <d v="2024-10-04T00:00:00"/>
    <n v="28"/>
    <n v="1475646.5122199999"/>
    <n v="14774.49"/>
    <n v="1460872.0222199999"/>
    <n v="0.98998778509781937"/>
    <s v="Sep-2024"/>
    <s v="Q3-2024"/>
    <s v="Africa → South Africa → Cape Town"/>
    <x v="1"/>
    <s v="Medium"/>
    <s v="SOUTH AFRICA"/>
    <d v="2023-01-07T00:00:00"/>
    <x v="0"/>
    <x v="29"/>
  </r>
  <r>
    <s v="ORD-2025-608069"/>
    <d v="2025-04-12T00:00:00"/>
    <d v="2025-04-30T00:00:00"/>
    <x v="0"/>
    <x v="0"/>
    <s v="Kisumu"/>
    <s v="Corporate"/>
    <x v="2"/>
    <x v="8"/>
    <s v="Networking"/>
    <x v="398"/>
    <n v="1119.04"/>
    <n v="1299.02"/>
    <n v="2.5000000000000001E-2"/>
    <n v="14"/>
    <s v="Valid"/>
    <n v="1299.02"/>
    <b v="0"/>
    <n v="2.5000000000000001E-2"/>
    <n v="18"/>
    <d v="2025-04-30T00:00:00"/>
    <n v="18"/>
    <n v="1818173.3429999999"/>
    <n v="18186.28"/>
    <n v="1799987.0629999998"/>
    <n v="0.98999749937484371"/>
    <s v="Apr-2025"/>
    <s v="Q2-2025"/>
    <s v="Africa → Kenya → Kisumu"/>
    <x v="0"/>
    <s v="High"/>
    <s v="KENYA"/>
    <d v="2023-01-20T00:00:00"/>
    <x v="0"/>
    <x v="18"/>
  </r>
  <r>
    <s v="ORD-2024-626750"/>
    <d v="2024-08-12T00:00:00"/>
    <d v="2024-08-15T00:00:00"/>
    <x v="1"/>
    <x v="10"/>
    <s v="Chicago"/>
    <s v="Corporate"/>
    <x v="2"/>
    <x v="13"/>
    <s v="Printers"/>
    <x v="399"/>
    <n v="850.7"/>
    <n v="1118.56"/>
    <n v="0.18"/>
    <n v="19"/>
    <s v="Valid"/>
    <n v="1118.56"/>
    <b v="0"/>
    <n v="0.18"/>
    <n v="3"/>
    <d v="2024-08-15T00:00:00"/>
    <n v="3"/>
    <n v="2121438.5247999998"/>
    <n v="21252.639999999999"/>
    <n v="2100185.8847999997"/>
    <n v="0.98998196754157475"/>
    <s v="Aug-2024"/>
    <s v="Q3-2024"/>
    <s v="Americas → USA → Chicago"/>
    <x v="1"/>
    <s v="Medium"/>
    <s v="USA"/>
    <d v="2023-01-13T00:00:00"/>
    <x v="0"/>
    <x v="20"/>
  </r>
  <r>
    <s v="ORD-2024-170021"/>
    <d v="2024-11-05T00:00:00"/>
    <d v="2024-11-08T00:00:00"/>
    <x v="1"/>
    <x v="2"/>
    <s v="Toronto"/>
    <s v="Education"/>
    <x v="2"/>
    <x v="6"/>
    <s v="Components"/>
    <x v="400"/>
    <n v="1020.4"/>
    <n v="1184.71"/>
    <n v="0.106"/>
    <n v="16"/>
    <s v="Valid"/>
    <n v="1184.71"/>
    <b v="0"/>
    <n v="0.106"/>
    <n v="3"/>
    <d v="2024-11-08T00:00:00"/>
    <n v="3"/>
    <n v="1893526.7318400003"/>
    <n v="18955.36"/>
    <n v="1874571.3718400002"/>
    <n v="0.9899893887520772"/>
    <s v="Nov-2024"/>
    <s v="Q4-2024"/>
    <s v="Americas → Canada → Toronto"/>
    <x v="0"/>
    <s v="High"/>
    <s v="CANADA"/>
    <d v="2023-01-02T00:00:00"/>
    <x v="0"/>
    <x v="17"/>
  </r>
  <r>
    <s v="ORD-2024-678110"/>
    <d v="2024-07-24T00:00:00"/>
    <d v="2024-08-08T00:00:00"/>
    <x v="3"/>
    <x v="7"/>
    <s v="Marseille"/>
    <s v="Enterprise"/>
    <x v="2"/>
    <x v="9"/>
    <s v="Laptops"/>
    <x v="401"/>
    <n v="501.5"/>
    <n v="1201.47"/>
    <n v="0.126"/>
    <n v="5"/>
    <s v="Valid"/>
    <n v="1201.47"/>
    <b v="0"/>
    <n v="0.126"/>
    <n v="15"/>
    <d v="2024-08-08T00:00:00"/>
    <n v="15"/>
    <n v="599978.07389999996"/>
    <n v="6007.35"/>
    <n v="593970.72389999998"/>
    <n v="0.98998738410397102"/>
    <s v="Jul-2024"/>
    <s v="Q3-2024"/>
    <s v="Europe → France → Marseille"/>
    <x v="2"/>
    <s v="Medium"/>
    <s v="FRANCE"/>
    <d v="2023-01-10T00:00:00"/>
    <x v="0"/>
    <x v="13"/>
  </r>
  <r>
    <s v="ORD-2025-909340"/>
    <d v="2025-01-20T00:00:00"/>
    <d v="2025-02-03T00:00:00"/>
    <x v="1"/>
    <x v="4"/>
    <s v="Brasília"/>
    <s v="Enterprise"/>
    <x v="2"/>
    <x v="8"/>
    <s v="Components"/>
    <x v="402"/>
    <n v="974.11"/>
    <n v="880.99"/>
    <n v="0.111"/>
    <n v="10"/>
    <s v="Valid"/>
    <n v="880.99"/>
    <b v="0"/>
    <n v="0.111"/>
    <n v="14"/>
    <d v="2025-02-03T00:00:00"/>
    <n v="14"/>
    <n v="880012.10109999997"/>
    <n v="8809.9"/>
    <n v="871202.20109999995"/>
    <n v="0.98998888766530846"/>
    <s v="Jan-2025"/>
    <s v="Q1-2025"/>
    <s v="Americas → Brazil → Brasília"/>
    <x v="0"/>
    <s v="High"/>
    <s v="BRAZIL"/>
    <d v="2023-01-29T00:00:00"/>
    <x v="0"/>
    <x v="9"/>
  </r>
  <r>
    <s v="ORD-2023-854471"/>
    <d v="2023-03-06T00:00:00"/>
    <d v="2023-04-04T00:00:00"/>
    <x v="2"/>
    <x v="9"/>
    <s v="Beijing"/>
    <s v="Small Business"/>
    <x v="4"/>
    <x v="0"/>
    <s v="Monitors"/>
    <x v="403"/>
    <n v="1126.29"/>
    <n v="2050.87"/>
    <n v="6.4000000000000001E-2"/>
    <n v="7"/>
    <s v="Valid"/>
    <n v="2050.87"/>
    <b v="0"/>
    <n v="6.4000000000000001E-2"/>
    <n v="29"/>
    <d v="2023-04-04T00:00:00"/>
    <n v="29"/>
    <n v="1434690.2102400002"/>
    <n v="14356.09"/>
    <n v="1420334.1202400001"/>
    <n v="0.98999359590137681"/>
    <s v="Mar-2023"/>
    <s v="Q1-2023"/>
    <s v="Asia → China → Beijing"/>
    <x v="1"/>
    <s v="Low"/>
    <s v="CHINA"/>
    <d v="2023-01-12T00:00:00"/>
    <x v="0"/>
    <x v="21"/>
  </r>
  <r>
    <s v="ORD-2024-390951"/>
    <d v="2024-12-20T00:00:00"/>
    <d v="2025-01-14T00:00:00"/>
    <x v="2"/>
    <x v="3"/>
    <s v="Delhi"/>
    <s v="Small Business"/>
    <x v="0"/>
    <x v="11"/>
    <s v="Printers"/>
    <x v="404"/>
    <n v="1361.34"/>
    <n v="1737.9"/>
    <n v="7.6999999999999999E-2"/>
    <n v="14"/>
    <s v="Valid"/>
    <n v="1737.9"/>
    <b v="0"/>
    <n v="7.6999999999999999E-2"/>
    <n v="25"/>
    <d v="2025-01-14T00:00:00"/>
    <n v="25"/>
    <n v="2431186.5438000001"/>
    <n v="24330.600000000002"/>
    <n v="2406855.9438"/>
    <n v="0.98999229406643108"/>
    <s v="Dec-2024"/>
    <s v="Q4-2024"/>
    <s v="Asia → India → Delhi"/>
    <x v="1"/>
    <s v="High"/>
    <s v="INDIA"/>
    <d v="2023-01-29T00:00:00"/>
    <x v="0"/>
    <x v="5"/>
  </r>
  <r>
    <s v="ORD-2025-881624"/>
    <d v="2025-02-21T00:00:00"/>
    <d v="2025-03-21T00:00:00"/>
    <x v="0"/>
    <x v="1"/>
    <s v="Abuja"/>
    <s v="Enterprise"/>
    <x v="2"/>
    <x v="2"/>
    <s v="Phones"/>
    <x v="405"/>
    <n v="1437.39"/>
    <n v="1388.31"/>
    <n v="0.13800000000000001"/>
    <n v="18"/>
    <s v="Valid"/>
    <n v="1388.31"/>
    <b v="0"/>
    <n v="0.13800000000000001"/>
    <n v="28"/>
    <d v="2025-03-21T00:00:00"/>
    <n v="28"/>
    <n v="2495509.4379599998"/>
    <n v="24989.579999999998"/>
    <n v="2470519.8579599997"/>
    <n v="0.98998618092968294"/>
    <s v="Feb-2025"/>
    <s v="Q1-2025"/>
    <s v="Africa → Nigeria → Abuja"/>
    <x v="2"/>
    <s v="High"/>
    <s v="NIGERIA"/>
    <d v="2023-01-15T00:00:00"/>
    <x v="0"/>
    <x v="25"/>
  </r>
  <r>
    <s v="ORD-2025-512310"/>
    <d v="2025-03-08T00:00:00"/>
    <d v="2025-03-15T00:00:00"/>
    <x v="2"/>
    <x v="3"/>
    <s v="Bengaluru"/>
    <s v="Corporate"/>
    <x v="3"/>
    <x v="10"/>
    <s v="Laptops"/>
    <x v="406"/>
    <n v="475.66"/>
    <n v="529.14"/>
    <n v="0.19600000000000001"/>
    <n v="11"/>
    <s v="Valid"/>
    <n v="529.14"/>
    <b v="0"/>
    <n v="0.19600000000000001"/>
    <n v="7"/>
    <d v="2025-03-15T00:00:00"/>
    <n v="7"/>
    <n v="580913.17416000005"/>
    <n v="5820.54"/>
    <n v="575092.63416000002"/>
    <n v="0.98998036150855673"/>
    <s v="Mar-2025"/>
    <s v="Q1-2025"/>
    <s v="Asia → India → Bengaluru"/>
    <x v="2"/>
    <s v="High"/>
    <s v="INDIA"/>
    <d v="2023-01-29T00:00:00"/>
    <x v="0"/>
    <x v="3"/>
  </r>
  <r>
    <s v="ORD-2023-674887"/>
    <d v="2023-12-16T00:00:00"/>
    <d v="2023-12-19T00:00:00"/>
    <x v="2"/>
    <x v="9"/>
    <s v="Beijing"/>
    <s v="Education"/>
    <x v="0"/>
    <x v="7"/>
    <s v="Accessories"/>
    <x v="407"/>
    <n v="1415.05"/>
    <n v="1972.38"/>
    <n v="0"/>
    <n v="12"/>
    <s v="Valid"/>
    <n v="1972.38"/>
    <b v="0"/>
    <n v="0"/>
    <n v="3"/>
    <d v="2023-12-19T00:00:00"/>
    <n v="3"/>
    <n v="2366856"/>
    <n v="23668.560000000001"/>
    <n v="2343187.44"/>
    <n v="0.99"/>
    <s v="Dec-2023"/>
    <s v="Q4-2023"/>
    <s v="Asia → China → Beijing"/>
    <x v="0"/>
    <s v="Medium"/>
    <s v="CHINA"/>
    <d v="2023-01-12T00:00:00"/>
    <x v="0"/>
    <x v="26"/>
  </r>
  <r>
    <s v="ORD-2024-542244"/>
    <d v="2024-08-30T00:00:00"/>
    <d v="2024-09-05T00:00:00"/>
    <x v="2"/>
    <x v="6"/>
    <s v="Nagoya"/>
    <s v="Education"/>
    <x v="1"/>
    <x v="12"/>
    <s v="Laptops"/>
    <x v="408"/>
    <n v="466.16"/>
    <n v="876.81"/>
    <n v="0.24099999999999999"/>
    <n v="8"/>
    <s v="Valid"/>
    <n v="876.81"/>
    <b v="0"/>
    <n v="0.24099999999999999"/>
    <n v="6"/>
    <d v="2024-09-05T00:00:00"/>
    <n v="6"/>
    <n v="699757.51032"/>
    <n v="7014.48"/>
    <n v="692743.03032000002"/>
    <n v="0.98997584177868669"/>
    <s v="Aug-2024"/>
    <s v="Q3-2024"/>
    <s v="Asia → Japan → Nagoya"/>
    <x v="2"/>
    <s v="Medium"/>
    <s v="JAPAN"/>
    <d v="2023-03-03T00:00:00"/>
    <x v="1"/>
    <x v="20"/>
  </r>
  <r>
    <s v="ORD-2024-375848"/>
    <d v="2024-05-18T00:00:00"/>
    <d v="2024-05-21T00:00:00"/>
    <x v="3"/>
    <x v="7"/>
    <s v="Marseille"/>
    <s v="Non-Profit"/>
    <x v="2"/>
    <x v="13"/>
    <s v="Printers"/>
    <x v="409"/>
    <n v="663.66"/>
    <n v="824.26"/>
    <n v="0.23899999999999999"/>
    <n v="11"/>
    <s v="Valid"/>
    <n v="824.26"/>
    <b v="0"/>
    <n v="0.23899999999999999"/>
    <n v="3"/>
    <d v="2024-05-21T00:00:00"/>
    <n v="3"/>
    <n v="904519.02046000003"/>
    <n v="9066.86"/>
    <n v="895452.16046000004"/>
    <n v="0.98997604274215378"/>
    <s v="May-2024"/>
    <s v="Q2-2024"/>
    <s v="Europe → France → Marseille"/>
    <x v="1"/>
    <s v="Medium"/>
    <s v="FRANCE"/>
    <d v="2023-01-10T00:00:00"/>
    <x v="0"/>
    <x v="6"/>
  </r>
  <r>
    <s v="ORD-2023-933238"/>
    <d v="2023-03-17T00:00:00"/>
    <d v="2023-04-06T00:00:00"/>
    <x v="3"/>
    <x v="5"/>
    <s v="Munich"/>
    <s v="Consumer"/>
    <x v="0"/>
    <x v="6"/>
    <s v="Phones"/>
    <x v="410"/>
    <n v="692.18"/>
    <n v="1159.3499999999999"/>
    <n v="0.112"/>
    <n v="2"/>
    <s v="Valid"/>
    <n v="1159.3499999999999"/>
    <b v="0"/>
    <n v="0.112"/>
    <n v="20"/>
    <d v="2023-04-06T00:00:00"/>
    <n v="20"/>
    <n v="231610.30559999999"/>
    <n v="2318.6999999999998"/>
    <n v="229291.60559999998"/>
    <n v="0.98998878744193497"/>
    <s v="Mar-2023"/>
    <s v="Q1-2023"/>
    <s v="Europe → Germany → Munich"/>
    <x v="2"/>
    <s v="Low"/>
    <s v="GERMANY"/>
    <d v="2023-01-22T00:00:00"/>
    <x v="0"/>
    <x v="21"/>
  </r>
  <r>
    <s v="ORD-2023-732585"/>
    <d v="2023-08-25T00:00:00"/>
    <d v="2023-09-16T00:00:00"/>
    <x v="0"/>
    <x v="1"/>
    <s v="Abuja"/>
    <s v="Corporate"/>
    <x v="2"/>
    <x v="14"/>
    <s v="Phones"/>
    <x v="411"/>
    <n v="1196.83"/>
    <n v="2513.5100000000002"/>
    <n v="8.3000000000000004E-2"/>
    <n v="7"/>
    <s v="Valid"/>
    <n v="2513.5100000000002"/>
    <b v="0"/>
    <n v="8.3000000000000004E-2"/>
    <n v="22"/>
    <d v="2023-09-16T00:00:00"/>
    <n v="22"/>
    <n v="1757996.65069"/>
    <n v="17594.57"/>
    <n v="1740402.08069"/>
    <n v="0.98999169310527735"/>
    <s v="Aug-2023"/>
    <s v="Q3-2023"/>
    <s v="Africa → Nigeria → Abuja"/>
    <x v="2"/>
    <s v="Low"/>
    <s v="NIGERIA"/>
    <d v="2023-01-15T00:00:00"/>
    <x v="0"/>
    <x v="24"/>
  </r>
  <r>
    <s v="ORD-2024-465898"/>
    <d v="2024-06-06T00:00:00"/>
    <d v="2024-06-24T00:00:00"/>
    <x v="2"/>
    <x v="3"/>
    <s v="Bengaluru"/>
    <s v="Small Business"/>
    <x v="4"/>
    <x v="9"/>
    <s v="Networking"/>
    <x v="412"/>
    <n v="1253.25"/>
    <n v="3087.13"/>
    <n v="7.1999999999999995E-2"/>
    <n v="11"/>
    <s v="Valid"/>
    <n v="3087.13"/>
    <b v="0"/>
    <n v="7.1999999999999995E-2"/>
    <n v="18"/>
    <d v="2024-06-24T00:00:00"/>
    <n v="18"/>
    <n v="3393397.9930400001"/>
    <n v="33958.43"/>
    <n v="3359439.5630399999"/>
    <n v="0.98999279481226476"/>
    <s v="Jun-2024"/>
    <s v="Q2-2024"/>
    <s v="Asia → India → Bengaluru"/>
    <x v="0"/>
    <s v="Medium"/>
    <s v="INDIA"/>
    <d v="2023-01-29T00:00:00"/>
    <x v="0"/>
    <x v="16"/>
  </r>
  <r>
    <s v="ORD-2023-987081"/>
    <d v="2023-08-29T00:00:00"/>
    <d v="2023-09-13T00:00:00"/>
    <x v="1"/>
    <x v="2"/>
    <s v="Vancouver"/>
    <s v="Small Business"/>
    <x v="2"/>
    <x v="6"/>
    <s v="Printers"/>
    <x v="413"/>
    <n v="1287.6400000000001"/>
    <n v="2717.15"/>
    <n v="3.2000000000000001E-2"/>
    <n v="7"/>
    <s v="Valid"/>
    <n v="2717.15"/>
    <b v="0"/>
    <n v="3.2000000000000001E-2"/>
    <n v="15"/>
    <d v="2023-09-13T00:00:00"/>
    <n v="15"/>
    <n v="1901396.3584"/>
    <n v="19020.05"/>
    <n v="1882376.3084"/>
    <n v="0.98999679897567217"/>
    <s v="Aug-2023"/>
    <s v="Q3-2023"/>
    <s v="Americas → Canada → Vancouver"/>
    <x v="1"/>
    <s v="Low"/>
    <s v="CANADA"/>
    <d v="2023-01-02T00:00:00"/>
    <x v="0"/>
    <x v="24"/>
  </r>
  <r>
    <s v="ORD-2024-655710"/>
    <d v="2024-11-30T00:00:00"/>
    <d v="2024-12-10T00:00:00"/>
    <x v="2"/>
    <x v="3"/>
    <s v="Hyderabad"/>
    <s v="Small Business"/>
    <x v="0"/>
    <x v="8"/>
    <s v="Accessories"/>
    <x v="414"/>
    <n v="851.49"/>
    <n v="901.79"/>
    <n v="0.245"/>
    <n v="16"/>
    <s v="Valid"/>
    <n v="901.79"/>
    <b v="0"/>
    <n v="0.245"/>
    <n v="10"/>
    <d v="2024-12-10T00:00:00"/>
    <n v="10"/>
    <n v="1439328.9831999999"/>
    <n v="14428.64"/>
    <n v="1424900.3432"/>
    <n v="0.98997543982757763"/>
    <s v="Nov-2024"/>
    <s v="Q4-2024"/>
    <s v="Asia → India → Hyderabad"/>
    <x v="0"/>
    <s v="High"/>
    <s v="INDIA"/>
    <d v="2023-01-29T00:00:00"/>
    <x v="0"/>
    <x v="17"/>
  </r>
  <r>
    <s v="ORD-2025-411385"/>
    <d v="2025-06-05T00:00:00"/>
    <d v="2025-06-14T00:00:00"/>
    <x v="2"/>
    <x v="3"/>
    <s v="Delhi"/>
    <s v="Non-Profit"/>
    <x v="0"/>
    <x v="7"/>
    <s v="Accessories"/>
    <x v="415"/>
    <n v="618.69000000000005"/>
    <n v="796.15"/>
    <n v="0.09"/>
    <n v="11"/>
    <s v="Valid"/>
    <n v="796.15"/>
    <b v="0"/>
    <n v="0.09"/>
    <n v="9"/>
    <d v="2025-06-14T00:00:00"/>
    <n v="9"/>
    <n v="874976.81149999995"/>
    <n v="8757.65"/>
    <n v="866219.16149999993"/>
    <n v="0.98999099189270345"/>
    <s v="Jun-2025"/>
    <s v="Q2-2025"/>
    <s v="Asia → India → Delhi"/>
    <x v="0"/>
    <s v="High"/>
    <s v="INDIA"/>
    <d v="2023-01-29T00:00:00"/>
    <x v="0"/>
    <x v="15"/>
  </r>
  <r>
    <s v="ORD-2025-222035"/>
    <d v="2025-03-14T00:00:00"/>
    <d v="2025-04-08T00:00:00"/>
    <x v="2"/>
    <x v="9"/>
    <s v="Unknown City "/>
    <s v="Corporate"/>
    <x v="3"/>
    <x v="13"/>
    <s v="Printers"/>
    <x v="416"/>
    <n v="80.59"/>
    <n v="157.82"/>
    <n v="0.217"/>
    <n v="6"/>
    <s v="Valid"/>
    <n v="157.82"/>
    <b v="0"/>
    <n v="0.217"/>
    <n v="25"/>
    <d v="2025-04-08T00:00:00"/>
    <n v="25"/>
    <n v="94486.518360000002"/>
    <n v="946.92"/>
    <n v="93539.598360000004"/>
    <n v="0.98997825280859464"/>
    <s v="Mar-2025"/>
    <s v="Q1-2025"/>
    <s v="Asia → China → Unknown City "/>
    <x v="1"/>
    <s v="High"/>
    <s v="CHINA"/>
    <d v="2023-01-12T00:00:00"/>
    <x v="0"/>
    <x v="3"/>
  </r>
  <r>
    <s v="ORD-2024-749242"/>
    <d v="2024-01-16T00:00:00"/>
    <d v="2024-02-11T00:00:00"/>
    <x v="3"/>
    <x v="5"/>
    <s v="Frankfurt"/>
    <s v="Non-Profit"/>
    <x v="3"/>
    <x v="5"/>
    <s v="Monitors"/>
    <x v="417"/>
    <n v="504.93"/>
    <n v="819.06"/>
    <n v="0.22600000000000001"/>
    <n v="15"/>
    <s v="Valid"/>
    <n v="819.06"/>
    <b v="0"/>
    <n v="0.22600000000000001"/>
    <n v="26"/>
    <d v="2024-02-11T00:00:00"/>
    <n v="26"/>
    <n v="1225813.3866000001"/>
    <n v="12285.9"/>
    <n v="1213527.4866000002"/>
    <n v="0.9899773488083069"/>
    <s v="Jan-2024"/>
    <s v="Q1-2024"/>
    <s v="Europe → Germany → Frankfurt"/>
    <x v="1"/>
    <s v="Medium"/>
    <s v="GERMANY"/>
    <d v="2023-01-22T00:00:00"/>
    <x v="0"/>
    <x v="8"/>
  </r>
  <r>
    <s v="ORD-2023-623293"/>
    <d v="2023-10-12T00:00:00"/>
    <d v="2023-10-29T00:00:00"/>
    <x v="2"/>
    <x v="6"/>
    <s v="Nagoya"/>
    <s v="Non-Profit"/>
    <x v="4"/>
    <x v="9"/>
    <s v="Phones"/>
    <x v="418"/>
    <n v="1102.19"/>
    <n v="1711.16"/>
    <n v="0.151"/>
    <n v="10"/>
    <s v="Valid"/>
    <n v="1711.16"/>
    <b v="0"/>
    <n v="0.151"/>
    <n v="17"/>
    <d v="2023-10-29T00:00:00"/>
    <n v="17"/>
    <n v="1708576.1484000003"/>
    <n v="17111.600000000002"/>
    <n v="1691464.5484000002"/>
    <n v="0.98998487716451833"/>
    <s v="Oct-2023"/>
    <s v="Q4-2023"/>
    <s v="Asia → Japan → Nagoya"/>
    <x v="2"/>
    <s v="Low"/>
    <s v="JAPAN"/>
    <d v="2023-03-03T00:00:00"/>
    <x v="1"/>
    <x v="32"/>
  </r>
  <r>
    <s v="ORD-2025-276968"/>
    <d v="2025-02-25T00:00:00"/>
    <d v="2025-03-17T00:00:00"/>
    <x v="1"/>
    <x v="10"/>
    <s v="San Francisco"/>
    <s v="Non-Profit"/>
    <x v="2"/>
    <x v="9"/>
    <s v="Phones"/>
    <x v="419"/>
    <n v="1205.26"/>
    <n v="1696.35"/>
    <n v="1.9E-2"/>
    <n v="6"/>
    <s v="Valid"/>
    <n v="1696.35"/>
    <b v="0"/>
    <n v="1.9E-2"/>
    <n v="20"/>
    <d v="2025-03-17T00:00:00"/>
    <n v="20"/>
    <n v="1017616.6160999998"/>
    <n v="10178.099999999999"/>
    <n v="1007438.5160999998"/>
    <n v="0.98999809963893137"/>
    <s v="Feb-2025"/>
    <s v="Q1-2025"/>
    <s v="Americas → USA → San Francisco"/>
    <x v="2"/>
    <s v="High"/>
    <s v="USA"/>
    <d v="2023-01-13T00:00:00"/>
    <x v="0"/>
    <x v="25"/>
  </r>
  <r>
    <s v="ORD-2025-650841"/>
    <d v="2025-07-03T00:00:00"/>
    <d v="2025-07-06T00:00:00"/>
    <x v="0"/>
    <x v="1"/>
    <s v="Lagos"/>
    <s v="Consumer"/>
    <x v="1"/>
    <x v="15"/>
    <s v="Laptops"/>
    <x v="420"/>
    <n v="1313.3"/>
    <n v="2884.34"/>
    <n v="0.157"/>
    <n v="42"/>
    <s v="Valid"/>
    <n v="2884.34"/>
    <b v="0"/>
    <n v="0.157"/>
    <n v="3"/>
    <d v="2025-07-06T00:00:00"/>
    <n v="3"/>
    <n v="12095208.662040001"/>
    <n v="121142.28"/>
    <n v="11974066.382040001"/>
    <n v="0.98998427531224031"/>
    <s v="Jul-2025"/>
    <s v="Q3-2025"/>
    <s v="Africa → Nigeria → Lagos"/>
    <x v="2"/>
    <s v="High"/>
    <s v="NIGERIA"/>
    <d v="2023-01-15T00:00:00"/>
    <x v="0"/>
    <x v="12"/>
  </r>
  <r>
    <s v="ORD-2025-831576"/>
    <d v="2025-09-15T00:00:00"/>
    <d v="2025-09-25T00:00:00"/>
    <x v="2"/>
    <x v="3"/>
    <s v="Delhi"/>
    <s v="Consumer"/>
    <x v="0"/>
    <x v="7"/>
    <s v="Phones"/>
    <x v="421"/>
    <n v="1488.91"/>
    <n v="1483.74"/>
    <n v="0.16800000000000001"/>
    <n v="24"/>
    <s v="Valid"/>
    <n v="1483.74"/>
    <b v="0"/>
    <n v="0.16800000000000001"/>
    <n v="10"/>
    <d v="2025-09-25T00:00:00"/>
    <n v="10"/>
    <n v="3554993.5603200002"/>
    <n v="35609.760000000002"/>
    <n v="3519383.8003200004"/>
    <n v="0.98998317172850392"/>
    <s v="Sep-2025"/>
    <s v="Q3-2025"/>
    <s v="Asia → India → Delhi"/>
    <x v="2"/>
    <s v="High"/>
    <s v="INDIA"/>
    <d v="2023-01-29T00:00:00"/>
    <x v="0"/>
    <x v="10"/>
  </r>
  <r>
    <s v="ORD-2024-468655"/>
    <d v="2024-02-19T00:00:00"/>
    <d v="2024-03-06T00:00:00"/>
    <x v="2"/>
    <x v="9"/>
    <s v="Beijing"/>
    <s v="Education"/>
    <x v="2"/>
    <x v="6"/>
    <s v="Printers"/>
    <x v="422"/>
    <n v="1477.84"/>
    <n v="3197.47"/>
    <n v="0.24299999999999999"/>
    <n v="24"/>
    <s v="Valid"/>
    <n v="3197.47"/>
    <b v="0"/>
    <n v="0.24299999999999999"/>
    <n v="16"/>
    <d v="2024-03-06T00:00:00"/>
    <n v="16"/>
    <n v="7655280.3549600001"/>
    <n v="76739.28"/>
    <n v="7578541.0749599999"/>
    <n v="0.98997564080716138"/>
    <s v="Feb-2024"/>
    <s v="Q1-2024"/>
    <s v="Asia → China → Beijing"/>
    <x v="1"/>
    <s v="Medium"/>
    <s v="CHINA"/>
    <d v="2023-01-12T00:00:00"/>
    <x v="0"/>
    <x v="31"/>
  </r>
  <r>
    <s v="ORD-2024-515105"/>
    <d v="2024-02-27T00:00:00"/>
    <d v="2024-03-26T00:00:00"/>
    <x v="2"/>
    <x v="3"/>
    <s v="Mumbai"/>
    <s v="Education"/>
    <x v="2"/>
    <x v="3"/>
    <s v="Laptops"/>
    <x v="423"/>
    <n v="1035.19"/>
    <n v="2322.6999999999998"/>
    <n v="0.17299999999999999"/>
    <n v="8"/>
    <s v="Valid"/>
    <n v="2322.6999999999998"/>
    <b v="0"/>
    <n v="0.17299999999999999"/>
    <n v="28"/>
    <d v="2024-03-26T00:00:00"/>
    <n v="28"/>
    <n v="1854945.3831999998"/>
    <n v="18581.599999999999"/>
    <n v="1836363.7831999997"/>
    <n v="0.98998267001913309"/>
    <s v="Feb-2024"/>
    <s v="Q1-2024"/>
    <s v="Asia → India → Mumbai"/>
    <x v="2"/>
    <s v="Medium"/>
    <s v="INDIA"/>
    <d v="2023-01-29T00:00:00"/>
    <x v="0"/>
    <x v="31"/>
  </r>
  <r>
    <s v="ORD-2025-803803"/>
    <d v="2025-08-28T00:00:00"/>
    <d v="2025-09-05T00:00:00"/>
    <x v="0"/>
    <x v="1"/>
    <s v="Port Harcourt"/>
    <s v="Small Business"/>
    <x v="2"/>
    <x v="5"/>
    <s v="Laptops"/>
    <x v="424"/>
    <n v="1271.0999999999999"/>
    <n v="1932.42"/>
    <n v="0.25"/>
    <n v="21"/>
    <s v="Valid"/>
    <n v="1932.42"/>
    <b v="0"/>
    <n v="0.25"/>
    <n v="8"/>
    <d v="2025-09-05T00:00:00"/>
    <n v="8"/>
    <n v="4047936.7949999999"/>
    <n v="40580.82"/>
    <n v="4007355.9750000001"/>
    <n v="0.9899749373433584"/>
    <s v="Aug-2025"/>
    <s v="Q3-2025"/>
    <s v="Africa → Nigeria → Port Harcourt"/>
    <x v="2"/>
    <s v="High"/>
    <s v="NIGERIA"/>
    <d v="2023-01-15T00:00:00"/>
    <x v="0"/>
    <x v="28"/>
  </r>
  <r>
    <s v="ORD-2024-993481"/>
    <d v="2024-08-18T00:00:00"/>
    <d v="2024-09-12T00:00:00"/>
    <x v="2"/>
    <x v="3"/>
    <s v="Mumbai"/>
    <s v="Consumer"/>
    <x v="2"/>
    <x v="0"/>
    <s v="Phones"/>
    <x v="425"/>
    <n v="1154.03"/>
    <n v="1590.36"/>
    <n v="0.314"/>
    <n v="18"/>
    <s v="Valid"/>
    <n v="1590.36"/>
    <s v="Excess"/>
    <n v="0.3"/>
    <n v="25"/>
    <d v="2024-09-12T00:00:00"/>
    <n v="25"/>
    <n v="2854060.0559999999"/>
    <n v="28626.48"/>
    <n v="2825433.5759999999"/>
    <n v="0.98996990972918752"/>
    <s v="Aug-2024"/>
    <s v="Q3-2024"/>
    <s v="Asia → India → Mumbai"/>
    <x v="2"/>
    <s v="Medium"/>
    <s v="INDIA"/>
    <d v="2023-01-29T00:00:00"/>
    <x v="0"/>
    <x v="20"/>
  </r>
  <r>
    <s v="ORD-2024-811752"/>
    <d v="2024-02-25T00:00:00"/>
    <d v="2024-03-09T00:00:00"/>
    <x v="3"/>
    <x v="7"/>
    <s v="Marseille"/>
    <s v="Small Business"/>
    <x v="3"/>
    <x v="5"/>
    <s v="Monitors"/>
    <x v="426"/>
    <n v="322.44"/>
    <n v="395.61"/>
    <n v="0"/>
    <n v="34"/>
    <s v="Valid"/>
    <n v="395.61"/>
    <b v="0"/>
    <n v="0"/>
    <n v="13"/>
    <d v="2024-03-09T00:00:00"/>
    <n v="13"/>
    <n v="1345074"/>
    <n v="13450.74"/>
    <n v="1331623.26"/>
    <n v="0.99"/>
    <s v="Feb-2024"/>
    <s v="Q1-2024"/>
    <s v="Europe → France → Marseille"/>
    <x v="1"/>
    <s v="Medium"/>
    <s v="FRANCE"/>
    <d v="2023-01-10T00:00:00"/>
    <x v="0"/>
    <x v="31"/>
  </r>
  <r>
    <s v="ORD-2025-673091"/>
    <d v="2025-05-07T00:00:00"/>
    <d v="2025-05-13T00:00:00"/>
    <x v="2"/>
    <x v="3"/>
    <s v="Bengaluru"/>
    <s v="Enterprise"/>
    <x v="4"/>
    <x v="1"/>
    <s v="Phones"/>
    <x v="427"/>
    <n v="935.98"/>
    <n v="2077.69"/>
    <n v="0.17499999999999999"/>
    <n v="24"/>
    <s v="Valid"/>
    <n v="2077.69"/>
    <b v="0"/>
    <n v="0.17499999999999999"/>
    <n v="6"/>
    <d v="2025-05-13T00:00:00"/>
    <n v="6"/>
    <n v="4977729.7019999996"/>
    <n v="49864.56"/>
    <n v="4927865.142"/>
    <n v="0.9899824693213124"/>
    <s v="May-2025"/>
    <s v="Q2-2025"/>
    <s v="Asia → India → Bengaluru"/>
    <x v="2"/>
    <s v="High"/>
    <s v="INDIA"/>
    <d v="2023-01-29T00:00:00"/>
    <x v="0"/>
    <x v="7"/>
  </r>
  <r>
    <s v="ORD-2024-381197"/>
    <d v="2024-11-01T00:00:00"/>
    <d v="2024-11-12T00:00:00"/>
    <x v="3"/>
    <x v="5"/>
    <s v="Frankfurt"/>
    <s v="Consumer"/>
    <x v="1"/>
    <x v="4"/>
    <s v="Printers"/>
    <x v="428"/>
    <n v="599.84"/>
    <n v="1330.85"/>
    <n v="0.115"/>
    <n v="11"/>
    <s v="Valid"/>
    <n v="1330.85"/>
    <b v="0"/>
    <n v="0.115"/>
    <n v="11"/>
    <d v="2024-11-12T00:00:00"/>
    <n v="11"/>
    <n v="1462251.4747499998"/>
    <n v="14639.349999999999"/>
    <n v="1447612.1247499997"/>
    <n v="0.98998848675977369"/>
    <s v="Nov-2024"/>
    <s v="Q4-2024"/>
    <s v="Europe → Germany → Frankfurt"/>
    <x v="1"/>
    <s v="High"/>
    <s v="GERMANY"/>
    <d v="2023-01-22T00:00:00"/>
    <x v="0"/>
    <x v="17"/>
  </r>
  <r>
    <s v="ORD-2024-651852"/>
    <d v="2024-12-28T00:00:00"/>
    <d v="2025-01-08T00:00:00"/>
    <x v="2"/>
    <x v="9"/>
    <s v="Shenzhen"/>
    <s v="Enterprise"/>
    <x v="1"/>
    <x v="10"/>
    <s v="Laptops"/>
    <x v="429"/>
    <n v="1201.31"/>
    <n v="2764.65"/>
    <n v="0"/>
    <n v="21"/>
    <s v="Valid"/>
    <n v="2764.65"/>
    <b v="0"/>
    <n v="0"/>
    <n v="11"/>
    <d v="2025-01-08T00:00:00"/>
    <n v="11"/>
    <n v="5805765"/>
    <n v="58057.65"/>
    <n v="5747707.3499999996"/>
    <n v="0.99"/>
    <s v="Dec-2024"/>
    <s v="Q4-2024"/>
    <s v="Asia → China → Shenzhen"/>
    <x v="2"/>
    <s v="High"/>
    <s v="CHINA"/>
    <d v="2023-01-12T00:00:00"/>
    <x v="0"/>
    <x v="5"/>
  </r>
  <r>
    <s v="ORD-2023-659070"/>
    <d v="2023-10-21T00:00:00"/>
    <d v="2023-10-21T00:00:00"/>
    <x v="3"/>
    <x v="8"/>
    <s v="Manchester"/>
    <s v="Enterprise"/>
    <x v="3"/>
    <x v="1"/>
    <s v="Monitors"/>
    <x v="430"/>
    <n v="384.19"/>
    <n v="278.35000000000002"/>
    <n v="5.6000000000000001E-2"/>
    <n v="10"/>
    <s v="Valid"/>
    <n v="278.35000000000002"/>
    <b v="0"/>
    <n v="5.6000000000000001E-2"/>
    <n v="0"/>
    <d v="2023-10-21T00:00:00"/>
    <n v="0"/>
    <n v="278194.12400000001"/>
    <n v="2783.5"/>
    <n v="275410.62400000001"/>
    <n v="0.98999439686224289"/>
    <s v="Oct-2023"/>
    <s v="Q4-2023"/>
    <s v="Europe → United Kingdom → Manchester"/>
    <x v="1"/>
    <s v="Low"/>
    <s v="UNITED KINGDOM"/>
    <d v="2023-01-19T00:00:00"/>
    <x v="0"/>
    <x v="32"/>
  </r>
  <r>
    <s v="ORD-2024-837651"/>
    <d v="2024-12-10T00:00:00"/>
    <d v="2024-12-19T00:00:00"/>
    <x v="0"/>
    <x v="1"/>
    <s v="Lagos"/>
    <s v="Corporate"/>
    <x v="0"/>
    <x v="6"/>
    <s v="Monitors"/>
    <x v="431"/>
    <n v="488.68"/>
    <n v="984.36"/>
    <n v="5.8999999999999997E-2"/>
    <n v="14"/>
    <s v="Valid"/>
    <n v="984.36"/>
    <b v="0"/>
    <n v="5.8999999999999997E-2"/>
    <n v="9"/>
    <d v="2024-12-19T00:00:00"/>
    <n v="9"/>
    <n v="1377290.91864"/>
    <n v="13781.04"/>
    <n v="1363509.87864"/>
    <n v="0.98999409651694492"/>
    <s v="Dec-2024"/>
    <s v="Q4-2024"/>
    <s v="Africa → Nigeria → Lagos"/>
    <x v="1"/>
    <s v="High"/>
    <s v="NIGERIA"/>
    <d v="2023-01-15T00:00:00"/>
    <x v="0"/>
    <x v="5"/>
  </r>
  <r>
    <s v="ORD-2024-581530"/>
    <d v="2024-09-07T00:00:00"/>
    <d v="2024-09-18T00:00:00"/>
    <x v="2"/>
    <x v="9"/>
    <s v="Beijing"/>
    <s v="Consumer"/>
    <x v="3"/>
    <x v="6"/>
    <s v="Networking"/>
    <x v="432"/>
    <n v="181.74"/>
    <n v="190.84"/>
    <n v="0.214"/>
    <n v="13"/>
    <s v="Valid"/>
    <n v="190.84"/>
    <b v="0"/>
    <n v="0.214"/>
    <n v="11"/>
    <d v="2024-09-18T00:00:00"/>
    <n v="11"/>
    <n v="247561.08312000002"/>
    <n v="2480.92"/>
    <n v="245080.16312000001"/>
    <n v="0.98997855410578628"/>
    <s v="Sep-2024"/>
    <s v="Q3-2024"/>
    <s v="Asia → China → Beijing"/>
    <x v="0"/>
    <s v="Medium"/>
    <s v="CHINA"/>
    <d v="2023-01-12T00:00:00"/>
    <x v="0"/>
    <x v="29"/>
  </r>
  <r>
    <s v="ORD-2023-378104"/>
    <d v="2023-10-18T00:00:00"/>
    <d v="2023-10-20T00:00:00"/>
    <x v="0"/>
    <x v="0"/>
    <s v="Kisumu"/>
    <s v="Consumer"/>
    <x v="0"/>
    <x v="1"/>
    <s v="Phones"/>
    <x v="433"/>
    <n v="774.12"/>
    <n v="908.3"/>
    <n v="0"/>
    <n v="30"/>
    <s v="Valid"/>
    <n v="908.3"/>
    <b v="0"/>
    <n v="0"/>
    <n v="2"/>
    <d v="2023-10-20T00:00:00"/>
    <n v="2"/>
    <n v="2724900"/>
    <n v="27249"/>
    <n v="2697651"/>
    <n v="0.99"/>
    <s v="Oct-2023"/>
    <s v="Q4-2023"/>
    <s v="Africa → Kenya → Kisumu"/>
    <x v="2"/>
    <s v="Low"/>
    <s v="KENYA"/>
    <d v="2023-01-20T00:00:00"/>
    <x v="0"/>
    <x v="32"/>
  </r>
  <r>
    <s v="ORD-2024-972318"/>
    <d v="2024-12-24T00:00:00"/>
    <d v="2025-01-13T00:00:00"/>
    <x v="2"/>
    <x v="3"/>
    <s v="Bengaluru"/>
    <s v="Corporate"/>
    <x v="2"/>
    <x v="13"/>
    <s v="Networking"/>
    <x v="434"/>
    <n v="126.15"/>
    <n v="284.23"/>
    <n v="0.113"/>
    <n v="22"/>
    <s v="Valid"/>
    <n v="284.23"/>
    <b v="0"/>
    <n v="0.113"/>
    <n v="20"/>
    <d v="2025-01-13T00:00:00"/>
    <n v="20"/>
    <n v="624599.40422000003"/>
    <n v="6253.06"/>
    <n v="618346.34421999997"/>
    <n v="0.98998868721655464"/>
    <s v="Dec-2024"/>
    <s v="Q4-2024"/>
    <s v="Asia → India → Bengaluru"/>
    <x v="0"/>
    <s v="High"/>
    <s v="INDIA"/>
    <d v="2023-01-29T00:00:00"/>
    <x v="0"/>
    <x v="5"/>
  </r>
  <r>
    <s v="ORD-2023-752962"/>
    <d v="2023-04-21T00:00:00"/>
    <d v="2023-04-19T00:00:00"/>
    <x v="2"/>
    <x v="6"/>
    <s v="Nagoya"/>
    <s v="Small Business"/>
    <x v="4"/>
    <x v="11"/>
    <s v="Components"/>
    <x v="435"/>
    <n v="607.04"/>
    <n v="1229.3399999999999"/>
    <n v="0.14699999999999999"/>
    <n v="7"/>
    <s v="Valid"/>
    <n v="1229.3399999999999"/>
    <b v="0"/>
    <n v="0.14699999999999999"/>
    <n v="-2"/>
    <d v="2023-04-28T00:00:00"/>
    <n v="7"/>
    <n v="859273.00913999986"/>
    <n v="8605.3799999999992"/>
    <n v="850667.62913999986"/>
    <n v="0.98998527835918804"/>
    <s v="Apr-2023"/>
    <s v="Q2-2023"/>
    <s v="Asia → Japan → Nagoya"/>
    <x v="0"/>
    <s v="Low"/>
    <s v="JAPAN"/>
    <d v="2023-03-03T00:00:00"/>
    <x v="1"/>
    <x v="11"/>
  </r>
  <r>
    <s v="ORD-2023-808024"/>
    <d v="2023-12-30T00:00:00"/>
    <d v="2024-01-08T00:00:00"/>
    <x v="3"/>
    <x v="7"/>
    <s v="Marseille"/>
    <s v="Consumer"/>
    <x v="2"/>
    <x v="14"/>
    <s v="Accessories"/>
    <x v="436"/>
    <n v="861.1"/>
    <n v="1224.72"/>
    <n v="0.17399999999999999"/>
    <n v="24"/>
    <s v="Valid"/>
    <n v="1224.72"/>
    <b v="0"/>
    <n v="0.17399999999999999"/>
    <n v="9"/>
    <d v="2024-01-08T00:00:00"/>
    <n v="9"/>
    <n v="2934213.5692799995"/>
    <n v="29393.279999999999"/>
    <n v="2904820.2892799997"/>
    <n v="0.989982569671228"/>
    <s v="Dec-2023"/>
    <s v="Q4-2023"/>
    <s v="Europe → France → Marseille"/>
    <x v="0"/>
    <s v="Medium"/>
    <s v="FRANCE"/>
    <d v="2023-01-10T00:00:00"/>
    <x v="0"/>
    <x v="26"/>
  </r>
  <r>
    <s v="ORD-2023-156396"/>
    <d v="2023-02-21T00:00:00"/>
    <d v="2023-03-12T00:00:00"/>
    <x v="0"/>
    <x v="0"/>
    <s v="Nakuru"/>
    <s v="Corporate"/>
    <x v="1"/>
    <x v="8"/>
    <s v="Networking"/>
    <x v="437"/>
    <n v="352.65"/>
    <n v="485.86"/>
    <n v="4.1000000000000002E-2"/>
    <n v="6"/>
    <s v="Valid"/>
    <n v="485.86"/>
    <b v="0"/>
    <n v="4.1000000000000002E-2"/>
    <n v="19"/>
    <d v="2023-03-12T00:00:00"/>
    <n v="19"/>
    <n v="291396.47843999998"/>
    <n v="2915.16"/>
    <n v="288481.31844"/>
    <n v="0.98999589831831059"/>
    <s v="Feb-2023"/>
    <s v="Q1-2023"/>
    <s v="Africa → Kenya → Nakuru"/>
    <x v="0"/>
    <s v="Low"/>
    <s v="KENYA"/>
    <d v="2023-01-20T00:00:00"/>
    <x v="0"/>
    <x v="2"/>
  </r>
  <r>
    <s v="ORD-2023-184577"/>
    <d v="2023-05-17T00:00:00"/>
    <d v="2023-06-03T00:00:00"/>
    <x v="2"/>
    <x v="9"/>
    <s v="Beijing"/>
    <s v="Non-Profit"/>
    <x v="3"/>
    <x v="11"/>
    <s v="Printers"/>
    <x v="438"/>
    <n v="979.59"/>
    <n v="2210.94"/>
    <n v="0.15"/>
    <n v="11"/>
    <s v="Valid"/>
    <n v="2210.94"/>
    <b v="0"/>
    <n v="0.15"/>
    <n v="17"/>
    <d v="2023-06-03T00:00:00"/>
    <n v="17"/>
    <n v="2428385.949"/>
    <n v="24320.34"/>
    <n v="2404065.6090000002"/>
    <n v="0.9899849774661994"/>
    <s v="May-2023"/>
    <s v="Q2-2023"/>
    <s v="Asia → China → Beijing"/>
    <x v="1"/>
    <s v="Low"/>
    <s v="CHINA"/>
    <d v="2023-01-12T00:00:00"/>
    <x v="0"/>
    <x v="14"/>
  </r>
  <r>
    <s v="ORD-2024-446030"/>
    <d v="2024-03-23T00:00:00"/>
    <d v="2024-03-26T00:00:00"/>
    <x v="2"/>
    <x v="3"/>
    <s v="Bengaluru"/>
    <s v="Education"/>
    <x v="4"/>
    <x v="3"/>
    <s v="Phones"/>
    <x v="439"/>
    <n v="382.21"/>
    <n v="571.89"/>
    <n v="0.14799999999999999"/>
    <n v="26"/>
    <s v="Valid"/>
    <n v="571.89"/>
    <b v="0"/>
    <n v="0.14799999999999999"/>
    <n v="3"/>
    <d v="2024-03-26T00:00:00"/>
    <n v="3"/>
    <n v="1484713.3672799999"/>
    <n v="14869.14"/>
    <n v="1469844.22728"/>
    <n v="0.98998517806353414"/>
    <s v="Mar-2024"/>
    <s v="Q1-2024"/>
    <s v="Asia → India → Bengaluru"/>
    <x v="2"/>
    <s v="Medium"/>
    <s v="INDIA"/>
    <d v="2023-01-29T00:00:00"/>
    <x v="0"/>
    <x v="0"/>
  </r>
  <r>
    <s v="ORD-2023-842820"/>
    <d v="2023-09-20T00:00:00"/>
    <d v="2023-09-28T00:00:00"/>
    <x v="2"/>
    <x v="3"/>
    <s v="Unknown City "/>
    <s v="Corporate"/>
    <x v="5"/>
    <x v="4"/>
    <s v="Accessories"/>
    <x v="440"/>
    <n v="1362.06"/>
    <n v="3398.37"/>
    <n v="0.157"/>
    <n v="11"/>
    <s v="Valid"/>
    <n v="3398.37"/>
    <b v="0"/>
    <n v="0.157"/>
    <n v="8"/>
    <d v="2023-09-28T00:00:00"/>
    <n v="8"/>
    <n v="3732338.0150100002"/>
    <n v="37382.07"/>
    <n v="3694955.9450100004"/>
    <n v="0.98998427531224031"/>
    <s v="Sep-2023"/>
    <s v="Q3-2023"/>
    <s v="Asia → India → Unknown City "/>
    <x v="0"/>
    <s v="Low"/>
    <s v="INDIA"/>
    <d v="2023-01-29T00:00:00"/>
    <x v="0"/>
    <x v="27"/>
  </r>
  <r>
    <s v="ORD-2024-745424"/>
    <d v="2024-08-22T00:00:00"/>
    <d v="2024-09-04T00:00:00"/>
    <x v="3"/>
    <x v="5"/>
    <s v="Frankfurt"/>
    <s v="Non-Profit"/>
    <x v="0"/>
    <x v="14"/>
    <s v="Printers"/>
    <x v="441"/>
    <n v="90.04"/>
    <n v="194.62"/>
    <n v="4.2999999999999997E-2"/>
    <n v="32"/>
    <s v="Valid"/>
    <n v="194.62"/>
    <b v="0"/>
    <n v="4.2999999999999997E-2"/>
    <n v="13"/>
    <d v="2024-09-04T00:00:00"/>
    <n v="13"/>
    <n v="622516.20288"/>
    <n v="6227.84"/>
    <n v="616288.36288000003"/>
    <n v="0.98999569815020461"/>
    <s v="Aug-2024"/>
    <s v="Q3-2024"/>
    <s v="Europe → Germany → Frankfurt"/>
    <x v="1"/>
    <s v="Medium"/>
    <s v="GERMANY"/>
    <d v="2023-01-22T00:00:00"/>
    <x v="0"/>
    <x v="20"/>
  </r>
  <r>
    <s v="ORD-2024-510520"/>
    <d v="2024-09-25T00:00:00"/>
    <d v="2024-10-03T00:00:00"/>
    <x v="1"/>
    <x v="2"/>
    <s v="Toronto"/>
    <s v="Consumer"/>
    <x v="1"/>
    <x v="5"/>
    <s v="Printers"/>
    <x v="442"/>
    <n v="558.19000000000005"/>
    <n v="1031.6400000000001"/>
    <n v="0"/>
    <n v="21"/>
    <s v="Valid"/>
    <n v="1031.6400000000001"/>
    <b v="0"/>
    <n v="0"/>
    <n v="8"/>
    <d v="2024-10-03T00:00:00"/>
    <n v="8"/>
    <n v="2166444"/>
    <n v="21664.440000000002"/>
    <n v="2144779.56"/>
    <n v="0.99"/>
    <s v="Sep-2024"/>
    <s v="Q3-2024"/>
    <s v="Americas → Canada → Toronto"/>
    <x v="1"/>
    <s v="Medium"/>
    <s v="CANADA"/>
    <d v="2023-01-02T00:00:00"/>
    <x v="0"/>
    <x v="29"/>
  </r>
  <r>
    <s v="ORD-2023-769774"/>
    <d v="2023-06-13T00:00:00"/>
    <d v="2023-06-24T00:00:00"/>
    <x v="1"/>
    <x v="2"/>
    <s v="Toronto"/>
    <s v="Corporate"/>
    <x v="1"/>
    <x v="0"/>
    <s v="Printers"/>
    <x v="443"/>
    <n v="247.07"/>
    <n v="495.19"/>
    <n v="2.8000000000000001E-2"/>
    <n v="4"/>
    <s v="Valid"/>
    <n v="495.19"/>
    <b v="0"/>
    <n v="2.8000000000000001E-2"/>
    <n v="11"/>
    <d v="2023-06-24T00:00:00"/>
    <n v="11"/>
    <n v="198020.53871999998"/>
    <n v="1980.76"/>
    <n v="196039.77871999997"/>
    <n v="0.98999719921578033"/>
    <s v="Jun-2023"/>
    <s v="Q2-2023"/>
    <s v="Americas → Canada → Toronto"/>
    <x v="1"/>
    <s v="Low"/>
    <s v="CANADA"/>
    <d v="2023-01-02T00:00:00"/>
    <x v="0"/>
    <x v="22"/>
  </r>
  <r>
    <s v="ORD-2023-580751"/>
    <d v="2023-12-24T00:00:00"/>
    <d v="2024-01-13T00:00:00"/>
    <x v="2"/>
    <x v="6"/>
    <s v="Nagoya"/>
    <s v="Education"/>
    <x v="4"/>
    <x v="4"/>
    <s v="Laptops"/>
    <x v="444"/>
    <n v="625.37"/>
    <n v="1319.04"/>
    <n v="7.3999999999999996E-2"/>
    <n v="8"/>
    <s v="Valid"/>
    <n v="1319.04"/>
    <b v="0"/>
    <n v="7.3999999999999996E-2"/>
    <n v="20"/>
    <d v="2024-01-13T00:00:00"/>
    <n v="20"/>
    <n v="1054451.1283199999"/>
    <n v="10552.32"/>
    <n v="1043898.80832"/>
    <n v="0.98999259451994481"/>
    <s v="Dec-2023"/>
    <s v="Q4-2023"/>
    <s v="Asia → Japan → Nagoya"/>
    <x v="2"/>
    <s v="Medium"/>
    <s v="JAPAN"/>
    <d v="2023-03-03T00:00:00"/>
    <x v="1"/>
    <x v="26"/>
  </r>
  <r>
    <s v="ORD-2025-473192"/>
    <d v="2025-03-30T00:00:00"/>
    <d v="2025-04-29T00:00:00"/>
    <x v="0"/>
    <x v="11"/>
    <s v="Durban"/>
    <s v="Consumer"/>
    <x v="2"/>
    <x v="1"/>
    <s v="Monitors"/>
    <x v="445"/>
    <n v="194.6"/>
    <n v="314.87"/>
    <n v="0.29299999999999998"/>
    <n v="25"/>
    <s v="Valid"/>
    <n v="314.87"/>
    <b v="0"/>
    <n v="0.29299999999999998"/>
    <n v="30"/>
    <d v="2025-04-29T00:00:00"/>
    <n v="30"/>
    <n v="784868.57724999997"/>
    <n v="7871.75"/>
    <n v="776996.82724999997"/>
    <n v="0.98997061389872321"/>
    <s v="Mar-2025"/>
    <s v="Q1-2025"/>
    <s v="Africa → South Africa → Durban"/>
    <x v="1"/>
    <s v="High"/>
    <s v="SOUTH AFRICA"/>
    <d v="2023-01-07T00:00:00"/>
    <x v="0"/>
    <x v="3"/>
  </r>
  <r>
    <s v="ORD-2024-886939"/>
    <d v="2024-06-03T00:00:00"/>
    <d v="2024-06-24T00:00:00"/>
    <x v="1"/>
    <x v="2"/>
    <s v="Toronto"/>
    <s v="Small Business"/>
    <x v="4"/>
    <x v="3"/>
    <s v="Monitors"/>
    <x v="446"/>
    <n v="1205.5"/>
    <n v="2210.17"/>
    <n v="0.104"/>
    <n v="23"/>
    <s v="Valid"/>
    <n v="2210.17"/>
    <b v="0"/>
    <n v="0.104"/>
    <n v="21"/>
    <d v="2024-06-24T00:00:00"/>
    <n v="21"/>
    <n v="5078104.27336"/>
    <n v="50833.91"/>
    <n v="5027270.3633599998"/>
    <n v="0.9899895891727396"/>
    <s v="Jun-2024"/>
    <s v="Q2-2024"/>
    <s v="Americas → Canada → Toronto"/>
    <x v="1"/>
    <s v="Medium"/>
    <s v="CANADA"/>
    <d v="2023-01-02T00:00:00"/>
    <x v="0"/>
    <x v="16"/>
  </r>
  <r>
    <s v="ORD-2024-566589"/>
    <d v="2024-06-11T00:00:00"/>
    <d v="2024-07-09T00:00:00"/>
    <x v="0"/>
    <x v="1"/>
    <s v="Port Harcourt"/>
    <s v="Corporate"/>
    <x v="2"/>
    <x v="2"/>
    <s v="Phones"/>
    <x v="447"/>
    <n v="895.54"/>
    <n v="1045"/>
    <n v="0.216"/>
    <n v="15"/>
    <s v="Valid"/>
    <n v="1045"/>
    <b v="0"/>
    <n v="0.216"/>
    <n v="28"/>
    <d v="2024-07-09T00:00:00"/>
    <n v="28"/>
    <n v="1564114.2000000002"/>
    <n v="15675"/>
    <n v="1548439.2000000002"/>
    <n v="0.98997835324300487"/>
    <s v="Jun-2024"/>
    <s v="Q2-2024"/>
    <s v="Africa → Nigeria → Port Harcourt"/>
    <x v="2"/>
    <s v="Medium"/>
    <s v="NIGERIA"/>
    <d v="2023-01-15T00:00:00"/>
    <x v="0"/>
    <x v="16"/>
  </r>
  <r>
    <s v="ORD-2023-109927"/>
    <d v="2023-07-22T00:00:00"/>
    <d v="2023-07-21T00:00:00"/>
    <x v="2"/>
    <x v="3"/>
    <s v="Delhi"/>
    <s v="Small Business"/>
    <x v="3"/>
    <x v="5"/>
    <s v="Printers"/>
    <x v="448"/>
    <n v="946.99"/>
    <n v="2132.19"/>
    <n v="0.16500000000000001"/>
    <n v="7"/>
    <s v="Valid"/>
    <n v="2132.19"/>
    <b v="0"/>
    <n v="0.16500000000000001"/>
    <n v="-1"/>
    <d v="2023-07-29T00:00:00"/>
    <n v="7"/>
    <n v="1490070.3205499998"/>
    <n v="14925.33"/>
    <n v="1475144.9905499998"/>
    <n v="0.98998347273000442"/>
    <s v="Jul-2023"/>
    <s v="Q3-2023"/>
    <s v="Asia → India → Delhi"/>
    <x v="1"/>
    <s v="Low"/>
    <s v="INDIA"/>
    <d v="2023-01-29T00:00:00"/>
    <x v="0"/>
    <x v="23"/>
  </r>
  <r>
    <s v="ORD-2023-780206"/>
    <d v="2023-01-19T00:00:00"/>
    <d v="2023-02-03T00:00:00"/>
    <x v="3"/>
    <x v="8"/>
    <s v="London"/>
    <s v="Enterprise"/>
    <x v="3"/>
    <x v="3"/>
    <s v="Accessories"/>
    <x v="449"/>
    <n v="873.06"/>
    <n v="2101.5500000000002"/>
    <n v="6.6000000000000003E-2"/>
    <n v="10"/>
    <s v="Valid"/>
    <n v="2101.5500000000002"/>
    <b v="0"/>
    <n v="6.6000000000000003E-2"/>
    <n v="15"/>
    <d v="2023-02-03T00:00:00"/>
    <n v="15"/>
    <n v="2100162.977"/>
    <n v="21015.5"/>
    <n v="2079147.477"/>
    <n v="0.9899933956411231"/>
    <s v="Jan-2023"/>
    <s v="Q1-2023"/>
    <s v="Europe → United Kingdom → London"/>
    <x v="0"/>
    <s v="Low"/>
    <s v="UNITED KINGDOM"/>
    <d v="2023-01-19T00:00:00"/>
    <x v="0"/>
    <x v="4"/>
  </r>
  <r>
    <s v="ORD-2024-851993"/>
    <d v="2024-05-01T00:00:00"/>
    <d v="2024-05-16T00:00:00"/>
    <x v="2"/>
    <x v="3"/>
    <s v="Bengaluru"/>
    <s v="Small Business"/>
    <x v="0"/>
    <x v="14"/>
    <s v="Components"/>
    <x v="450"/>
    <n v="901.19"/>
    <n v="2125.44"/>
    <n v="7.0999999999999994E-2"/>
    <n v="12"/>
    <s v="Valid"/>
    <n v="2125.44"/>
    <b v="0"/>
    <n v="7.0999999999999994E-2"/>
    <n v="15"/>
    <d v="2024-05-16T00:00:00"/>
    <n v="15"/>
    <n v="2548717.12512"/>
    <n v="25505.279999999999"/>
    <n v="2523211.8451200002"/>
    <n v="0.98999289495541842"/>
    <s v="May-2024"/>
    <s v="Q2-2024"/>
    <s v="Asia → India → Bengaluru"/>
    <x v="0"/>
    <s v="Medium"/>
    <s v="INDIA"/>
    <d v="2023-01-29T00:00:00"/>
    <x v="0"/>
    <x v="6"/>
  </r>
  <r>
    <s v="ORD-2025-417942"/>
    <d v="2025-06-09T00:00:00"/>
    <d v="2025-06-24T00:00:00"/>
    <x v="2"/>
    <x v="6"/>
    <s v="Nagoya"/>
    <s v="Corporate"/>
    <x v="4"/>
    <x v="4"/>
    <s v="Phones"/>
    <x v="451"/>
    <n v="400.39"/>
    <n v="712.75"/>
    <n v="0.115"/>
    <n v="19"/>
    <s v="Valid"/>
    <n v="712.75"/>
    <b v="0"/>
    <n v="0.115"/>
    <n v="15"/>
    <d v="2025-06-24T00:00:00"/>
    <n v="15"/>
    <n v="1352667.6412500001"/>
    <n v="13542.25"/>
    <n v="1339125.3912500001"/>
    <n v="0.98998848675977369"/>
    <s v="Jun-2025"/>
    <s v="Q2-2025"/>
    <s v="Asia → Japan → Nagoya"/>
    <x v="2"/>
    <s v="High"/>
    <s v="JAPAN"/>
    <d v="2023-03-03T00:00:00"/>
    <x v="1"/>
    <x v="15"/>
  </r>
  <r>
    <s v="ORD-2023-172095"/>
    <d v="2023-05-24T00:00:00"/>
    <d v="2023-06-21T00:00:00"/>
    <x v="1"/>
    <x v="10"/>
    <s v="Austin"/>
    <s v="Small Business"/>
    <x v="2"/>
    <x v="3"/>
    <s v="Monitors"/>
    <x v="452"/>
    <n v="813.97"/>
    <n v="1568.83"/>
    <n v="1.7000000000000001E-2"/>
    <n v="15"/>
    <s v="Valid"/>
    <n v="1568.83"/>
    <b v="0"/>
    <n v="1.7000000000000001E-2"/>
    <n v="28"/>
    <d v="2023-06-21T00:00:00"/>
    <n v="28"/>
    <n v="2352844.9483499997"/>
    <n v="23532.449999999997"/>
    <n v="2329312.4983499995"/>
    <n v="0.98999829971095077"/>
    <s v="May-2023"/>
    <s v="Q2-2023"/>
    <s v="Americas → USA → Austin"/>
    <x v="1"/>
    <s v="Low"/>
    <s v="USA"/>
    <d v="2023-01-13T00:00:00"/>
    <x v="0"/>
    <x v="14"/>
  </r>
  <r>
    <s v="ORD-2024-257550"/>
    <d v="2024-12-27T00:00:00"/>
    <d v="2024-12-29T00:00:00"/>
    <x v="1"/>
    <x v="2"/>
    <s v="Vancouver"/>
    <s v="Enterprise"/>
    <x v="2"/>
    <x v="0"/>
    <s v="Accessories"/>
    <x v="453"/>
    <n v="1146.72"/>
    <n v="2074.34"/>
    <n v="0.111"/>
    <n v="8"/>
    <s v="Valid"/>
    <n v="2074.34"/>
    <b v="0"/>
    <n v="0.111"/>
    <n v="2"/>
    <d v="2024-12-29T00:00:00"/>
    <n v="2"/>
    <n v="1657629.9860799999"/>
    <n v="16594.72"/>
    <n v="1641035.26608"/>
    <n v="0.98998888766530846"/>
    <s v="Dec-2024"/>
    <s v="Q4-2024"/>
    <s v="Americas → Canada → Vancouver"/>
    <x v="0"/>
    <s v="High"/>
    <s v="CANADA"/>
    <d v="2023-01-02T00:00:00"/>
    <x v="0"/>
    <x v="5"/>
  </r>
  <r>
    <s v="ORD-2023-581799"/>
    <d v="2023-12-05T00:00:00"/>
    <d v="2023-12-12T00:00:00"/>
    <x v="1"/>
    <x v="4"/>
    <s v="Brasília"/>
    <s v="Corporate"/>
    <x v="4"/>
    <x v="8"/>
    <s v="Phones"/>
    <x v="454"/>
    <n v="307.43"/>
    <n v="495.19"/>
    <n v="0"/>
    <n v="42"/>
    <s v="Valid"/>
    <n v="495.19"/>
    <b v="0"/>
    <n v="0"/>
    <n v="7"/>
    <d v="2023-12-12T00:00:00"/>
    <n v="7"/>
    <n v="2079798"/>
    <n v="20797.98"/>
    <n v="2059000.02"/>
    <n v="0.99"/>
    <s v="Dec-2023"/>
    <s v="Q4-2023"/>
    <s v="Americas → Brazil → Brasília"/>
    <x v="2"/>
    <s v="Medium"/>
    <s v="BRAZIL"/>
    <d v="2023-01-29T00:00:00"/>
    <x v="0"/>
    <x v="26"/>
  </r>
  <r>
    <s v="ORD-2023-880296"/>
    <d v="2023-05-02T00:00:00"/>
    <d v="2023-05-19T00:00:00"/>
    <x v="2"/>
    <x v="9"/>
    <s v="Shanghai"/>
    <s v="Non-Profit"/>
    <x v="4"/>
    <x v="1"/>
    <s v="Monitors"/>
    <x v="455"/>
    <n v="714.28"/>
    <n v="757.59"/>
    <n v="0.13600000000000001"/>
    <n v="12"/>
    <s v="Valid"/>
    <n v="757.59"/>
    <b v="0"/>
    <n v="0.13600000000000001"/>
    <n v="17"/>
    <d v="2023-05-19T00:00:00"/>
    <n v="17"/>
    <n v="907871.61311999999"/>
    <n v="9091.08"/>
    <n v="898780.53312000004"/>
    <n v="0.98998638147881124"/>
    <s v="May-2023"/>
    <s v="Q2-2023"/>
    <s v="Asia → China → Shanghai"/>
    <x v="1"/>
    <s v="Low"/>
    <s v="CHINA"/>
    <d v="2023-01-12T00:00:00"/>
    <x v="0"/>
    <x v="14"/>
  </r>
  <r>
    <s v="ORD-2023-191563"/>
    <d v="2023-11-30T00:00:00"/>
    <d v="2023-12-10T00:00:00"/>
    <x v="3"/>
    <x v="5"/>
    <s v="Munich"/>
    <s v="Small Business"/>
    <x v="4"/>
    <x v="8"/>
    <s v="Laptops"/>
    <x v="456"/>
    <n v="174.74"/>
    <n v="415.96"/>
    <n v="0.125"/>
    <n v="21"/>
    <s v="Valid"/>
    <n v="415.96"/>
    <b v="0"/>
    <n v="0.125"/>
    <n v="10"/>
    <d v="2023-12-10T00:00:00"/>
    <n v="10"/>
    <n v="872424.10499999998"/>
    <n v="8735.16"/>
    <n v="863688.94499999995"/>
    <n v="0.98998748435544426"/>
    <s v="Nov-2023"/>
    <s v="Q4-2023"/>
    <s v="Europe → Germany → Munich"/>
    <x v="2"/>
    <s v="Low"/>
    <s v="GERMANY"/>
    <d v="2023-01-22T00:00:00"/>
    <x v="0"/>
    <x v="30"/>
  </r>
  <r>
    <s v="ORD-2024-202166"/>
    <d v="2024-05-05T00:00:00"/>
    <d v="2024-05-18T00:00:00"/>
    <x v="3"/>
    <x v="7"/>
    <s v="Marseille"/>
    <s v="Corporate"/>
    <x v="2"/>
    <x v="7"/>
    <s v="Components"/>
    <x v="457"/>
    <n v="1264.04"/>
    <n v="1870.89"/>
    <n v="0"/>
    <n v="13"/>
    <s v="Valid"/>
    <n v="1870.89"/>
    <b v="0"/>
    <n v="0"/>
    <n v="13"/>
    <d v="2024-05-18T00:00:00"/>
    <n v="13"/>
    <n v="2432157"/>
    <n v="24321.57"/>
    <n v="2407835.4300000002"/>
    <n v="0.9900000000000001"/>
    <s v="May-2024"/>
    <s v="Q2-2024"/>
    <s v="Europe → France → Marseille"/>
    <x v="0"/>
    <s v="Medium"/>
    <s v="FRANCE"/>
    <d v="2023-01-10T00:00:00"/>
    <x v="0"/>
    <x v="6"/>
  </r>
  <r>
    <s v="ORD-2023-539967"/>
    <d v="2023-07-09T00:00:00"/>
    <d v="2023-07-19T00:00:00"/>
    <x v="2"/>
    <x v="6"/>
    <s v="Tokyo"/>
    <s v="Enterprise"/>
    <x v="3"/>
    <x v="12"/>
    <s v="Components"/>
    <x v="458"/>
    <n v="141.26"/>
    <n v="206.88"/>
    <n v="0.107"/>
    <n v="9"/>
    <s v="Valid"/>
    <n v="206.88"/>
    <b v="0"/>
    <n v="0.107"/>
    <n v="10"/>
    <d v="2023-07-19T00:00:00"/>
    <n v="10"/>
    <n v="185992.77456000002"/>
    <n v="1861.92"/>
    <n v="184130.85456000001"/>
    <n v="0.98998928853873636"/>
    <s v="Jul-2023"/>
    <s v="Q3-2023"/>
    <s v="Asia → Japan → Tokyo"/>
    <x v="0"/>
    <s v="Low"/>
    <s v="JAPAN"/>
    <d v="2023-03-03T00:00:00"/>
    <x v="1"/>
    <x v="23"/>
  </r>
  <r>
    <s v="ORD-2023-704111"/>
    <d v="2023-05-17T00:00:00"/>
    <d v="2023-06-15T00:00:00"/>
    <x v="0"/>
    <x v="11"/>
    <s v="Durban"/>
    <s v="Enterprise"/>
    <x v="0"/>
    <x v="10"/>
    <s v="Accessories"/>
    <x v="459"/>
    <n v="40.89"/>
    <n v="62.82"/>
    <n v="0.129"/>
    <n v="17"/>
    <s v="Valid"/>
    <n v="62.82"/>
    <b v="0"/>
    <n v="0.129"/>
    <n v="29"/>
    <d v="2023-06-15T00:00:00"/>
    <n v="29"/>
    <n v="106656.23574"/>
    <n v="1067.94"/>
    <n v="105588.29574"/>
    <n v="0.9899870833375054"/>
    <s v="May-2023"/>
    <s v="Q2-2023"/>
    <s v="Africa → South Africa → Durban"/>
    <x v="0"/>
    <s v="Low"/>
    <s v="SOUTH AFRICA"/>
    <d v="2023-01-07T00:00:00"/>
    <x v="0"/>
    <x v="14"/>
  </r>
  <r>
    <s v="ORD-2024-356812"/>
    <d v="2024-03-07T00:00:00"/>
    <d v="2024-04-03T00:00:00"/>
    <x v="3"/>
    <x v="5"/>
    <s v="Frankfurt"/>
    <s v="Corporate"/>
    <x v="4"/>
    <x v="11"/>
    <s v="Printers"/>
    <x v="460"/>
    <n v="738.16"/>
    <n v="956.49"/>
    <n v="0.152"/>
    <n v="5"/>
    <s v="Valid"/>
    <n v="956.49"/>
    <b v="0"/>
    <n v="0.152"/>
    <n v="27"/>
    <d v="2024-04-03T00:00:00"/>
    <n v="27"/>
    <n v="477518.06759999995"/>
    <n v="4782.45"/>
    <n v="472735.61759999994"/>
    <n v="0.98998477686082842"/>
    <s v="Mar-2024"/>
    <s v="Q1-2024"/>
    <s v="Europe → Germany → Frankfurt"/>
    <x v="1"/>
    <s v="Medium"/>
    <s v="GERMANY"/>
    <d v="2023-01-22T00:00:00"/>
    <x v="0"/>
    <x v="0"/>
  </r>
  <r>
    <s v="ORD-2025-306251"/>
    <d v="2025-04-10T00:00:00"/>
    <d v="2025-04-19T00:00:00"/>
    <x v="0"/>
    <x v="11"/>
    <s v="Durban"/>
    <s v="Enterprise"/>
    <x v="5"/>
    <x v="3"/>
    <s v="Networking"/>
    <x v="461"/>
    <n v="113.74"/>
    <n v="165.7"/>
    <n v="0.124"/>
    <n v="13"/>
    <s v="Valid"/>
    <n v="165.7"/>
    <b v="0"/>
    <n v="0.124"/>
    <n v="9"/>
    <d v="2025-04-19T00:00:00"/>
    <n v="9"/>
    <n v="215142.8916"/>
    <n v="2154.1"/>
    <n v="212988.7916"/>
    <n v="0.9899875846049101"/>
    <s v="Apr-2025"/>
    <s v="Q2-2025"/>
    <s v="Africa → South Africa → Durban"/>
    <x v="0"/>
    <s v="High"/>
    <s v="SOUTH AFRICA"/>
    <d v="2023-01-07T00:00:00"/>
    <x v="0"/>
    <x v="18"/>
  </r>
  <r>
    <s v="ORD-2025-496178"/>
    <d v="2025-07-27T00:00:00"/>
    <d v="2025-08-15T00:00:00"/>
    <x v="2"/>
    <x v="6"/>
    <s v="Tokyo"/>
    <s v="Small Business"/>
    <x v="2"/>
    <x v="1"/>
    <s v="Components"/>
    <x v="462"/>
    <n v="275.43"/>
    <n v="608.36"/>
    <n v="0.25700000000000001"/>
    <n v="4"/>
    <s v="Valid"/>
    <n v="608.36"/>
    <b v="0"/>
    <n v="0.25700000000000001"/>
    <n v="19"/>
    <d v="2025-08-15T00:00:00"/>
    <n v="19"/>
    <n v="242718.60592"/>
    <n v="2433.44"/>
    <n v="240285.16592"/>
    <n v="0.98997423378081673"/>
    <s v="Jul-2025"/>
    <s v="Q3-2025"/>
    <s v="Asia → Japan → Tokyo"/>
    <x v="0"/>
    <s v="High"/>
    <s v="JAPAN"/>
    <d v="2023-03-03T00:00:00"/>
    <x v="1"/>
    <x v="12"/>
  </r>
  <r>
    <s v="ORD-2024-508213"/>
    <d v="2024-11-22T00:00:00"/>
    <d v="2024-12-15T00:00:00"/>
    <x v="0"/>
    <x v="0"/>
    <s v="Mombasa"/>
    <s v="Non-Profit"/>
    <x v="3"/>
    <x v="0"/>
    <s v="Components"/>
    <x v="463"/>
    <n v="1335.76"/>
    <n v="2665.91"/>
    <n v="0.21099999999999999"/>
    <n v="40"/>
    <s v="Valid"/>
    <n v="2665.91"/>
    <b v="0"/>
    <n v="0.21099999999999999"/>
    <n v="23"/>
    <d v="2024-12-15T00:00:00"/>
    <n v="23"/>
    <n v="10641139.719599999"/>
    <n v="106636.4"/>
    <n v="10534503.319599999"/>
    <n v="0.98997885538486208"/>
    <s v="Nov-2024"/>
    <s v="Q4-2024"/>
    <s v="Africa → Kenya → Mombasa"/>
    <x v="0"/>
    <s v="High"/>
    <s v="KENYA"/>
    <d v="2023-01-20T00:00:00"/>
    <x v="0"/>
    <x v="17"/>
  </r>
  <r>
    <s v="ORD-2024-787018"/>
    <d v="2024-06-23T00:00:00"/>
    <d v="2024-06-28T00:00:00"/>
    <x v="0"/>
    <x v="1"/>
    <s v="Port Harcourt"/>
    <s v="Non-Profit"/>
    <x v="4"/>
    <x v="11"/>
    <s v="Accessories"/>
    <x v="464"/>
    <n v="242.31"/>
    <n v="587.95000000000005"/>
    <n v="0.22900000000000001"/>
    <n v="6"/>
    <s v="Valid"/>
    <n v="587.95000000000005"/>
    <b v="0"/>
    <n v="0.22900000000000001"/>
    <n v="5"/>
    <d v="2024-06-28T00:00:00"/>
    <n v="5"/>
    <n v="351962.15670000005"/>
    <n v="3527.7000000000003"/>
    <n v="348434.45670000004"/>
    <n v="0.98997704743863446"/>
    <s v="Jun-2024"/>
    <s v="Q2-2024"/>
    <s v="Africa → Nigeria → Port Harcourt"/>
    <x v="0"/>
    <s v="Medium"/>
    <s v="NIGERIA"/>
    <d v="2023-01-15T00:00:00"/>
    <x v="0"/>
    <x v="16"/>
  </r>
  <r>
    <s v="ORD-2023-728177"/>
    <d v="2023-12-18T00:00:00"/>
    <d v="2024-01-14T00:00:00"/>
    <x v="2"/>
    <x v="3"/>
    <s v="Mumbai"/>
    <s v="Consumer"/>
    <x v="3"/>
    <x v="13"/>
    <s v="Networking"/>
    <x v="465"/>
    <n v="1408.3"/>
    <n v="2193.13"/>
    <n v="7.0999999999999994E-2"/>
    <n v="7"/>
    <s v="Valid"/>
    <n v="2193.13"/>
    <b v="0"/>
    <n v="7.0999999999999994E-2"/>
    <n v="27"/>
    <d v="2024-01-14T00:00:00"/>
    <n v="27"/>
    <n v="1534101.0143899999"/>
    <n v="15351.91"/>
    <n v="1518749.10439"/>
    <n v="0.98999289495541842"/>
    <s v="Dec-2023"/>
    <s v="Q4-2023"/>
    <s v="Asia → India → Mumbai"/>
    <x v="0"/>
    <s v="Medium"/>
    <s v="INDIA"/>
    <d v="2023-01-29T00:00:00"/>
    <x v="0"/>
    <x v="26"/>
  </r>
  <r>
    <s v="ORD-2025-795385"/>
    <d v="2025-06-01T00:00:00"/>
    <d v="2025-06-05T00:00:00"/>
    <x v="3"/>
    <x v="5"/>
    <s v="Munich"/>
    <s v="Enterprise"/>
    <x v="4"/>
    <x v="11"/>
    <s v="Components"/>
    <x v="466"/>
    <n v="1171.42"/>
    <n v="2187.8000000000002"/>
    <n v="0.23"/>
    <n v="15"/>
    <s v="Valid"/>
    <n v="2187.8000000000002"/>
    <b v="0"/>
    <n v="0.23"/>
    <n v="4"/>
    <d v="2025-06-05T00:00:00"/>
    <n v="4"/>
    <n v="3274152.09"/>
    <n v="32817"/>
    <n v="3241335.09"/>
    <n v="0.9899769469780495"/>
    <s v="Jun-2025"/>
    <s v="Q2-2025"/>
    <s v="Europe → Germany → Munich"/>
    <x v="0"/>
    <s v="High"/>
    <s v="GERMANY"/>
    <d v="2023-01-22T00:00:00"/>
    <x v="0"/>
    <x v="15"/>
  </r>
  <r>
    <s v="ORD-2025-947929"/>
    <d v="2025-03-23T00:00:00"/>
    <d v="2025-04-02T00:00:00"/>
    <x v="3"/>
    <x v="5"/>
    <s v="Berlin"/>
    <s v="Enterprise"/>
    <x v="1"/>
    <x v="5"/>
    <s v="Printers"/>
    <x v="467"/>
    <n v="663.61"/>
    <n v="1002.11"/>
    <n v="4.5999999999999999E-2"/>
    <n v="17"/>
    <s v="Valid"/>
    <n v="1002.11"/>
    <b v="0"/>
    <n v="4.5999999999999999E-2"/>
    <n v="10"/>
    <d v="2025-04-02T00:00:00"/>
    <n v="10"/>
    <n v="1702803.3499799997"/>
    <n v="17035.87"/>
    <n v="1685767.4799799996"/>
    <n v="0.98999539788302615"/>
    <s v="Mar-2025"/>
    <s v="Q1-2025"/>
    <s v="Europe → Germany → Berlin"/>
    <x v="1"/>
    <s v="High"/>
    <s v="GERMANY"/>
    <d v="2023-01-22T00:00:00"/>
    <x v="0"/>
    <x v="3"/>
  </r>
  <r>
    <s v="ORD-2023-931633"/>
    <d v="2023-05-14T00:00:00"/>
    <d v="2023-05-22T00:00:00"/>
    <x v="0"/>
    <x v="0"/>
    <s v="Mombasa"/>
    <s v="Small Business"/>
    <x v="3"/>
    <x v="8"/>
    <s v="Printers"/>
    <x v="468"/>
    <n v="432.01"/>
    <n v="913.78"/>
    <n v="4.9000000000000002E-2"/>
    <n v="12"/>
    <s v="Valid"/>
    <n v="913.78"/>
    <b v="0"/>
    <n v="4.9000000000000002E-2"/>
    <n v="8"/>
    <d v="2023-05-22T00:00:00"/>
    <n v="8"/>
    <n v="1095998.6973599999"/>
    <n v="10965.36"/>
    <n v="1085033.3373599998"/>
    <n v="0.98999509759782289"/>
    <s v="May-2023"/>
    <s v="Q2-2023"/>
    <s v="Africa → Kenya → Mombasa"/>
    <x v="1"/>
    <s v="Low"/>
    <s v="KENYA"/>
    <d v="2023-01-20T00:00:00"/>
    <x v="0"/>
    <x v="14"/>
  </r>
  <r>
    <s v="ORD-2023-243704"/>
    <d v="2023-08-29T00:00:00"/>
    <d v="2023-09-19T00:00:00"/>
    <x v="3"/>
    <x v="7"/>
    <s v="Lyon"/>
    <s v="Small Business"/>
    <x v="4"/>
    <x v="4"/>
    <s v="Printers"/>
    <x v="469"/>
    <n v="784.46"/>
    <n v="1843.51"/>
    <n v="0.13800000000000001"/>
    <n v="23"/>
    <s v="Valid"/>
    <n v="1843.51"/>
    <b v="0"/>
    <n v="0.13800000000000001"/>
    <n v="21"/>
    <d v="2023-09-19T00:00:00"/>
    <n v="21"/>
    <n v="4234221.6992600001"/>
    <n v="42400.73"/>
    <n v="4191820.9692600002"/>
    <n v="0.98998618092968294"/>
    <s v="Aug-2023"/>
    <s v="Q3-2023"/>
    <s v="Europe → France → Lyon"/>
    <x v="1"/>
    <s v="Low"/>
    <s v="FRANCE"/>
    <d v="2023-01-10T00:00:00"/>
    <x v="0"/>
    <x v="24"/>
  </r>
  <r>
    <s v="ORD-2025-779659"/>
    <d v="2025-07-03T00:00:00"/>
    <d v="2025-07-23T00:00:00"/>
    <x v="2"/>
    <x v="9"/>
    <s v="Beijing"/>
    <s v="Small Business"/>
    <x v="1"/>
    <x v="11"/>
    <s v="Components"/>
    <x v="470"/>
    <n v="647.36"/>
    <n v="1383.6"/>
    <n v="7.3999999999999996E-2"/>
    <n v="12"/>
    <s v="Valid"/>
    <n v="1383.6"/>
    <b v="0"/>
    <n v="7.3999999999999996E-2"/>
    <n v="20"/>
    <d v="2025-07-23T00:00:00"/>
    <n v="20"/>
    <n v="1659091.3631999998"/>
    <n v="16603.199999999997"/>
    <n v="1642488.1631999998"/>
    <n v="0.98999259451994481"/>
    <s v="Jul-2025"/>
    <s v="Q3-2025"/>
    <s v="Asia → China → Beijing"/>
    <x v="0"/>
    <s v="High"/>
    <s v="CHINA"/>
    <d v="2023-01-12T00:00:00"/>
    <x v="0"/>
    <x v="12"/>
  </r>
  <r>
    <s v="ORD-2024-647571"/>
    <d v="2024-02-06T00:00:00"/>
    <d v="2024-02-28T00:00:00"/>
    <x v="0"/>
    <x v="0"/>
    <s v="Kisumu"/>
    <s v="Non-Profit"/>
    <x v="1"/>
    <x v="10"/>
    <s v="Monitors"/>
    <x v="471"/>
    <n v="834.93"/>
    <n v="1588.53"/>
    <n v="0.126"/>
    <n v="6"/>
    <s v="Valid"/>
    <n v="1588.53"/>
    <b v="0"/>
    <n v="0.126"/>
    <n v="22"/>
    <d v="2024-02-28T00:00:00"/>
    <n v="22"/>
    <n v="951917.07131999999"/>
    <n v="9531.18"/>
    <n v="942385.89131999994"/>
    <n v="0.98998738410397091"/>
    <s v="Feb-2024"/>
    <s v="Q1-2024"/>
    <s v="Africa → Kenya → Kisumu"/>
    <x v="1"/>
    <s v="Medium"/>
    <s v="KENYA"/>
    <d v="2023-01-20T00:00:00"/>
    <x v="0"/>
    <x v="31"/>
  </r>
  <r>
    <s v="ORD-2025-683043"/>
    <d v="2025-08-13T00:00:00"/>
    <d v="2025-09-03T00:00:00"/>
    <x v="3"/>
    <x v="7"/>
    <s v="Paris"/>
    <s v="Education"/>
    <x v="0"/>
    <x v="2"/>
    <s v="Phones"/>
    <x v="472"/>
    <n v="603.47"/>
    <n v="1344.05"/>
    <n v="0.20499999999999999"/>
    <n v="18"/>
    <s v="Valid"/>
    <n v="1344.05"/>
    <b v="0"/>
    <n v="0.20499999999999999"/>
    <n v="21"/>
    <d v="2025-09-03T00:00:00"/>
    <n v="21"/>
    <n v="2414330.4554999997"/>
    <n v="24192.899999999998"/>
    <n v="2390137.5554999998"/>
    <n v="0.98997945788867181"/>
    <s v="Aug-2025"/>
    <s v="Q3-2025"/>
    <s v="Europe → France → Paris"/>
    <x v="2"/>
    <s v="High"/>
    <s v="FRANCE"/>
    <d v="2023-01-10T00:00:00"/>
    <x v="0"/>
    <x v="28"/>
  </r>
  <r>
    <s v="ORD-2023-588455"/>
    <d v="2023-05-23T00:00:00"/>
    <d v="2023-05-25T00:00:00"/>
    <x v="1"/>
    <x v="4"/>
    <s v="Rio de Janeiro"/>
    <s v="Enterprise"/>
    <x v="0"/>
    <x v="11"/>
    <s v="Printers"/>
    <x v="473"/>
    <n v="690.49"/>
    <n v="1290.29"/>
    <n v="4.2000000000000003E-2"/>
    <n v="22"/>
    <s v="Valid"/>
    <n v="1290.29"/>
    <b v="0"/>
    <n v="4.2000000000000003E-2"/>
    <n v="2"/>
    <d v="2023-05-25T00:00:00"/>
    <n v="2"/>
    <n v="2837445.7720399997"/>
    <n v="28386.379999999997"/>
    <n v="2809059.3920399998"/>
    <n v="0.98999579823525885"/>
    <s v="May-2023"/>
    <s v="Q2-2023"/>
    <s v="Americas → Brazil → Rio de Janeiro"/>
    <x v="1"/>
    <s v="Low"/>
    <s v="BRAZIL"/>
    <d v="2023-01-29T00:00:00"/>
    <x v="0"/>
    <x v="14"/>
  </r>
  <r>
    <s v="ORD-2024-641220"/>
    <d v="2024-05-10T00:00:00"/>
    <d v="2024-05-16T00:00:00"/>
    <x v="3"/>
    <x v="8"/>
    <s v="Birmingham"/>
    <s v="Non-Profit"/>
    <x v="4"/>
    <x v="3"/>
    <s v="Laptops"/>
    <x v="474"/>
    <n v="210.76"/>
    <n v="221.58"/>
    <n v="8.8999999999999996E-2"/>
    <n v="5"/>
    <s v="Valid"/>
    <n v="221.58"/>
    <b v="0"/>
    <n v="8.8999999999999996E-2"/>
    <n v="6"/>
    <d v="2024-05-16T00:00:00"/>
    <n v="6"/>
    <n v="110691.39690000001"/>
    <n v="1107.9000000000001"/>
    <n v="109583.49690000001"/>
    <n v="0.98999109207194413"/>
    <s v="May-2024"/>
    <s v="Q2-2024"/>
    <s v="Europe → United Kingdom → Birmingham"/>
    <x v="2"/>
    <s v="Medium"/>
    <s v="UNITED KINGDOM"/>
    <d v="2023-01-19T00:00:00"/>
    <x v="0"/>
    <x v="6"/>
  </r>
  <r>
    <s v="ORD-2023-799597"/>
    <d v="2023-03-14T00:00:00"/>
    <d v="2023-03-18T00:00:00"/>
    <x v="3"/>
    <x v="5"/>
    <s v="Frankfurt"/>
    <s v="Enterprise"/>
    <x v="4"/>
    <x v="7"/>
    <s v="Components"/>
    <x v="475"/>
    <n v="472.33"/>
    <n v="360.34"/>
    <n v="0.16500000000000001"/>
    <n v="14"/>
    <s v="Valid"/>
    <n v="360.34"/>
    <b v="0"/>
    <n v="0.16500000000000001"/>
    <n v="4"/>
    <d v="2023-03-18T00:00:00"/>
    <n v="4"/>
    <n v="503643.61459999991"/>
    <n v="5044.7599999999993"/>
    <n v="498598.8545999999"/>
    <n v="0.98998347273000453"/>
    <s v="Mar-2023"/>
    <s v="Q1-2023"/>
    <s v="Europe → Germany → Frankfurt"/>
    <x v="0"/>
    <s v="Low"/>
    <s v="GERMANY"/>
    <d v="2023-01-22T00:00:00"/>
    <x v="0"/>
    <x v="21"/>
  </r>
  <r>
    <s v="ORD-2023-569862"/>
    <d v="2023-07-16T00:00:00"/>
    <d v="2023-08-13T00:00:00"/>
    <x v="3"/>
    <x v="8"/>
    <s v="Manchester"/>
    <s v="Non-Profit"/>
    <x v="1"/>
    <x v="1"/>
    <s v="Laptops"/>
    <x v="476"/>
    <n v="1039.03"/>
    <n v="2545.81"/>
    <n v="0.216"/>
    <n v="21"/>
    <s v="Valid"/>
    <n v="2545.81"/>
    <b v="0"/>
    <n v="0.216"/>
    <n v="28"/>
    <d v="2023-08-13T00:00:00"/>
    <n v="28"/>
    <n v="5334653.2058400009"/>
    <n v="53462.01"/>
    <n v="5281191.1958400011"/>
    <n v="0.98997835324300498"/>
    <s v="Jul-2023"/>
    <s v="Q3-2023"/>
    <s v="Europe → United Kingdom → Manchester"/>
    <x v="2"/>
    <s v="Low"/>
    <s v="UNITED KINGDOM"/>
    <d v="2023-01-19T00:00:00"/>
    <x v="0"/>
    <x v="23"/>
  </r>
  <r>
    <s v="ORD-2023-609394"/>
    <d v="2023-04-16T00:00:00"/>
    <d v="2023-04-19T00:00:00"/>
    <x v="3"/>
    <x v="5"/>
    <s v="Munich"/>
    <s v="Corporate"/>
    <x v="4"/>
    <x v="4"/>
    <s v="Accessories"/>
    <x v="477"/>
    <n v="553.61"/>
    <n v="699.47"/>
    <n v="0.02"/>
    <n v="33"/>
    <s v="Valid"/>
    <n v="699.47"/>
    <b v="0"/>
    <n v="0.02"/>
    <n v="3"/>
    <d v="2023-04-19T00:00:00"/>
    <n v="3"/>
    <n v="2307789.3498000004"/>
    <n v="23082.510000000002"/>
    <n v="2284706.8398000007"/>
    <n v="0.98999799959992008"/>
    <s v="Apr-2023"/>
    <s v="Q2-2023"/>
    <s v="Europe → Germany → Munich"/>
    <x v="0"/>
    <s v="Low"/>
    <s v="GERMANY"/>
    <d v="2023-01-22T00:00:00"/>
    <x v="0"/>
    <x v="11"/>
  </r>
  <r>
    <s v="ORD-2024-105586"/>
    <d v="2024-01-02T00:00:00"/>
    <d v="2024-01-15T00:00:00"/>
    <x v="2"/>
    <x v="6"/>
    <s v="Nagoya"/>
    <s v="Small Business"/>
    <x v="2"/>
    <x v="3"/>
    <s v="Networking"/>
    <x v="478"/>
    <n v="1219.06"/>
    <n v="2738.69"/>
    <n v="7.5999999999999998E-2"/>
    <n v="16"/>
    <s v="Valid"/>
    <n v="2738.69"/>
    <b v="0"/>
    <n v="7.5999999999999998E-2"/>
    <n v="13"/>
    <d v="2024-01-15T00:00:00"/>
    <n v="13"/>
    <n v="4378573.7529600002"/>
    <n v="43819.040000000001"/>
    <n v="4334754.7129600001"/>
    <n v="0.98999239421960694"/>
    <s v="Jan-2024"/>
    <s v="Q1-2024"/>
    <s v="Asia → Japan → Nagoya"/>
    <x v="0"/>
    <s v="Medium"/>
    <s v="JAPAN"/>
    <d v="2023-03-03T00:00:00"/>
    <x v="1"/>
    <x v="8"/>
  </r>
  <r>
    <s v="ORD-2024-207792"/>
    <d v="2024-09-03T00:00:00"/>
    <d v="2024-09-07T00:00:00"/>
    <x v="2"/>
    <x v="6"/>
    <s v="Tokyo"/>
    <s v="Small Business"/>
    <x v="3"/>
    <x v="12"/>
    <s v="Printers"/>
    <x v="479"/>
    <n v="43.23"/>
    <n v="94.78"/>
    <n v="9.0999999999999998E-2"/>
    <n v="55"/>
    <s v="Valid"/>
    <n v="94.78"/>
    <b v="0"/>
    <n v="9.0999999999999998E-2"/>
    <n v="4"/>
    <d v="2024-09-07T00:00:00"/>
    <n v="4"/>
    <n v="520815.62609999999"/>
    <n v="5212.8999999999996"/>
    <n v="515602.72609999997"/>
    <n v="0.98999089171145738"/>
    <s v="Sep-2024"/>
    <s v="Q3-2024"/>
    <s v="Asia → Japan → Tokyo"/>
    <x v="1"/>
    <s v="Medium"/>
    <s v="JAPAN"/>
    <d v="2023-03-03T00:00:00"/>
    <x v="1"/>
    <x v="29"/>
  </r>
  <r>
    <s v="ORD-2025-417336"/>
    <d v="2025-08-30T00:00:00"/>
    <d v="2025-09-03T00:00:00"/>
    <x v="3"/>
    <x v="7"/>
    <s v="Marseille"/>
    <s v="Small Business"/>
    <x v="2"/>
    <x v="1"/>
    <s v="Laptops"/>
    <x v="480"/>
    <n v="1286.56"/>
    <n v="2777.35"/>
    <n v="0.13200000000000001"/>
    <n v="15"/>
    <s v="Valid"/>
    <n v="2777.35"/>
    <b v="0"/>
    <n v="0.13200000000000001"/>
    <n v="4"/>
    <d v="2025-09-03T00:00:00"/>
    <n v="4"/>
    <n v="4160525.8469999996"/>
    <n v="41660.25"/>
    <n v="4118865.5969999996"/>
    <n v="0.9899867825529699"/>
    <s v="Aug-2025"/>
    <s v="Q3-2025"/>
    <s v="Europe → France → Marseille"/>
    <x v="2"/>
    <s v="High"/>
    <s v="FRANCE"/>
    <d v="2023-01-10T00:00:00"/>
    <x v="0"/>
    <x v="28"/>
  </r>
  <r>
    <s v="ORD-2025-252117"/>
    <d v="2025-04-28T00:00:00"/>
    <d v="2025-05-19T00:00:00"/>
    <x v="3"/>
    <x v="5"/>
    <s v="Berlin"/>
    <s v="Corporate"/>
    <x v="3"/>
    <x v="4"/>
    <s v="Phones"/>
    <x v="481"/>
    <n v="350.76"/>
    <n v="492.18"/>
    <n v="5.2999999999999999E-2"/>
    <n v="11"/>
    <s v="Valid"/>
    <n v="492.18"/>
    <b v="0"/>
    <n v="5.2999999999999999E-2"/>
    <n v="21"/>
    <d v="2025-05-19T00:00:00"/>
    <n v="21"/>
    <n v="541111.05906000012"/>
    <n v="5413.9800000000005"/>
    <n v="535697.07906000013"/>
    <n v="0.9899946971895105"/>
    <s v="Apr-2025"/>
    <s v="Q2-2025"/>
    <s v="Europe → Germany → Berlin"/>
    <x v="2"/>
    <s v="High"/>
    <s v="GERMANY"/>
    <d v="2023-01-22T00:00:00"/>
    <x v="0"/>
    <x v="18"/>
  </r>
  <r>
    <s v="ORD-2023-867175"/>
    <d v="2023-08-10T00:00:00"/>
    <d v="2023-08-15T00:00:00"/>
    <x v="1"/>
    <x v="4"/>
    <s v="São Paulo"/>
    <s v="Education"/>
    <x v="4"/>
    <x v="3"/>
    <s v="Networking"/>
    <x v="482"/>
    <n v="1307.52"/>
    <n v="1921.65"/>
    <n v="0.123"/>
    <n v="13"/>
    <s v="Valid"/>
    <n v="1921.65"/>
    <b v="0"/>
    <n v="0.123"/>
    <n v="5"/>
    <d v="2023-08-15T00:00:00"/>
    <n v="5"/>
    <n v="2495072.2816499998"/>
    <n v="24981.45"/>
    <n v="2470090.8316499996"/>
    <n v="0.98998768485236832"/>
    <s v="Aug-2023"/>
    <s v="Q3-2023"/>
    <s v="Americas → Brazil → São Paulo"/>
    <x v="0"/>
    <s v="Low"/>
    <s v="BRAZIL"/>
    <d v="2023-01-29T00:00:00"/>
    <x v="0"/>
    <x v="24"/>
  </r>
  <r>
    <s v="ORD-2024-382152"/>
    <d v="2024-12-08T00:00:00"/>
    <d v="2024-12-08T00:00:00"/>
    <x v="3"/>
    <x v="7"/>
    <s v="Lyon"/>
    <s v="Enterprise"/>
    <x v="0"/>
    <x v="9"/>
    <s v="Components"/>
    <x v="483"/>
    <n v="257.44"/>
    <n v="290.33"/>
    <n v="9.1999999999999998E-2"/>
    <n v="23"/>
    <s v="Valid"/>
    <n v="290.33"/>
    <b v="0"/>
    <n v="9.1999999999999998E-2"/>
    <n v="0"/>
    <d v="2024-12-08T00:00:00"/>
    <n v="0"/>
    <n v="667144.66171999997"/>
    <n v="6677.5899999999992"/>
    <n v="660467.07172000001"/>
    <n v="0.98999079152820602"/>
    <s v="Dec-2024"/>
    <s v="Q4-2024"/>
    <s v="Europe → France → Lyon"/>
    <x v="0"/>
    <s v="High"/>
    <s v="FRANCE"/>
    <d v="2023-01-10T00:00:00"/>
    <x v="0"/>
    <x v="5"/>
  </r>
  <r>
    <s v="ORD-2023-597666"/>
    <d v="2023-10-25T00:00:00"/>
    <d v="2023-11-24T00:00:00"/>
    <x v="3"/>
    <x v="7"/>
    <s v="Paris"/>
    <s v="Enterprise"/>
    <x v="3"/>
    <x v="0"/>
    <s v="Phones"/>
    <x v="484"/>
    <n v="287.85000000000002"/>
    <n v="602.91999999999996"/>
    <n v="0.222"/>
    <n v="11"/>
    <s v="Valid"/>
    <n v="602.91999999999996"/>
    <b v="0"/>
    <n v="0.222"/>
    <n v="30"/>
    <d v="2023-11-24T00:00:00"/>
    <n v="30"/>
    <n v="661739.66936000006"/>
    <n v="6632.12"/>
    <n v="655107.54936000006"/>
    <n v="0.98997775060634607"/>
    <s v="Oct-2023"/>
    <s v="Q4-2023"/>
    <s v="Europe → France → Paris"/>
    <x v="2"/>
    <s v="Low"/>
    <s v="FRANCE"/>
    <d v="2023-01-10T00:00:00"/>
    <x v="0"/>
    <x v="32"/>
  </r>
  <r>
    <s v="ORD-2024-371409"/>
    <d v="2024-11-17T00:00:00"/>
    <d v="2024-11-28T00:00:00"/>
    <x v="1"/>
    <x v="2"/>
    <s v="Unknown City "/>
    <s v="Consumer"/>
    <x v="3"/>
    <x v="7"/>
    <s v="Printers"/>
    <x v="485"/>
    <n v="1008.16"/>
    <n v="2077.5"/>
    <n v="7.3999999999999996E-2"/>
    <n v="15"/>
    <s v="Valid"/>
    <n v="2077.5"/>
    <b v="0"/>
    <n v="7.3999999999999996E-2"/>
    <n v="11"/>
    <d v="2024-11-28T00:00:00"/>
    <n v="11"/>
    <n v="3113943.9750000001"/>
    <n v="31162.5"/>
    <n v="3082781.4750000001"/>
    <n v="0.98999259451994481"/>
    <s v="Nov-2024"/>
    <s v="Q4-2024"/>
    <s v="Americas → Canada → Unknown City "/>
    <x v="1"/>
    <s v="High"/>
    <s v="CANADA"/>
    <d v="2023-01-02T00:00:00"/>
    <x v="0"/>
    <x v="17"/>
  </r>
  <r>
    <s v="ORD-2024-973420"/>
    <d v="2024-05-12T00:00:00"/>
    <d v="2024-05-24T00:00:00"/>
    <x v="3"/>
    <x v="8"/>
    <s v="Manchester"/>
    <s v="Education"/>
    <x v="2"/>
    <x v="10"/>
    <s v="Printers"/>
    <x v="486"/>
    <n v="111.02"/>
    <n v="172.88"/>
    <n v="0.19700000000000001"/>
    <n v="29"/>
    <s v="Valid"/>
    <n v="172.88"/>
    <b v="0"/>
    <n v="0.19700000000000001"/>
    <n v="12"/>
    <d v="2024-05-24T00:00:00"/>
    <n v="12"/>
    <n v="500364.33655999997"/>
    <n v="5013.5199999999995"/>
    <n v="495350.81655999995"/>
    <n v="0.9899802611143953"/>
    <s v="May-2024"/>
    <s v="Q2-2024"/>
    <s v="Europe → United Kingdom → Manchester"/>
    <x v="1"/>
    <s v="Medium"/>
    <s v="UNITED KINGDOM"/>
    <d v="2023-01-19T00:00:00"/>
    <x v="0"/>
    <x v="6"/>
  </r>
  <r>
    <s v="ORD-2025-254721"/>
    <d v="2025-05-15T00:00:00"/>
    <d v="2025-06-05T00:00:00"/>
    <x v="2"/>
    <x v="6"/>
    <s v="Osaka"/>
    <s v="Enterprise"/>
    <x v="4"/>
    <x v="9"/>
    <s v="Phones"/>
    <x v="487"/>
    <n v="1466.5"/>
    <n v="2778.74"/>
    <n v="0.13500000000000001"/>
    <n v="4"/>
    <s v="Valid"/>
    <n v="2778.74"/>
    <b v="0"/>
    <n v="0.13500000000000001"/>
    <n v="21"/>
    <d v="2025-06-05T00:00:00"/>
    <n v="21"/>
    <n v="1109995.4803999998"/>
    <n v="11114.96"/>
    <n v="1098880.5203999998"/>
    <n v="0.98998648175036297"/>
    <s v="May-2025"/>
    <s v="Q2-2025"/>
    <s v="Asia → Japan → Osaka"/>
    <x v="2"/>
    <s v="High"/>
    <s v="JAPAN"/>
    <d v="2023-03-03T00:00:00"/>
    <x v="1"/>
    <x v="7"/>
  </r>
  <r>
    <s v="ORD-2024-247032"/>
    <d v="2024-04-21T00:00:00"/>
    <d v="2024-05-19T00:00:00"/>
    <x v="0"/>
    <x v="1"/>
    <s v="Lagos"/>
    <s v="Corporate"/>
    <x v="3"/>
    <x v="7"/>
    <s v="Accessories"/>
    <x v="488"/>
    <n v="187.22"/>
    <n v="309.47000000000003"/>
    <n v="0"/>
    <n v="5"/>
    <s v="Valid"/>
    <n v="309.47000000000003"/>
    <b v="0"/>
    <n v="0"/>
    <n v="28"/>
    <d v="2024-05-19T00:00:00"/>
    <n v="28"/>
    <n v="154735"/>
    <n v="1547.3500000000001"/>
    <n v="153187.65"/>
    <n v="0.99"/>
    <s v="Apr-2024"/>
    <s v="Q2-2024"/>
    <s v="Africa → Nigeria → Lagos"/>
    <x v="0"/>
    <s v="Medium"/>
    <s v="NIGERIA"/>
    <d v="2023-01-15T00:00:00"/>
    <x v="0"/>
    <x v="19"/>
  </r>
  <r>
    <s v="ORD-2024-792353"/>
    <d v="2024-08-19T00:00:00"/>
    <d v="2024-09-07T00:00:00"/>
    <x v="3"/>
    <x v="7"/>
    <s v="Lyon"/>
    <s v="Corporate"/>
    <x v="4"/>
    <x v="1"/>
    <s v="Components"/>
    <x v="489"/>
    <n v="297.58999999999997"/>
    <n v="666.41"/>
    <n v="0"/>
    <n v="10"/>
    <s v="Valid"/>
    <n v="666.41"/>
    <b v="0"/>
    <n v="0"/>
    <n v="19"/>
    <d v="2024-09-07T00:00:00"/>
    <n v="19"/>
    <n v="666410"/>
    <n v="6664.0999999999995"/>
    <n v="659745.9"/>
    <n v="0.99"/>
    <s v="Aug-2024"/>
    <s v="Q3-2024"/>
    <s v="Europe → France → Lyon"/>
    <x v="0"/>
    <s v="Medium"/>
    <s v="FRANCE"/>
    <d v="2023-01-10T00:00:00"/>
    <x v="0"/>
    <x v="20"/>
  </r>
  <r>
    <s v="ORD-2025-703623"/>
    <d v="2025-07-23T00:00:00"/>
    <d v="2025-08-19T00:00:00"/>
    <x v="2"/>
    <x v="6"/>
    <s v="Nagoya"/>
    <s v="Consumer"/>
    <x v="2"/>
    <x v="4"/>
    <s v="Accessories"/>
    <x v="490"/>
    <n v="896.09"/>
    <n v="744.27"/>
    <n v="8.3000000000000004E-2"/>
    <n v="11"/>
    <s v="Valid"/>
    <n v="744.27"/>
    <b v="0"/>
    <n v="8.3000000000000004E-2"/>
    <n v="27"/>
    <d v="2025-08-19T00:00:00"/>
    <n v="27"/>
    <n v="818017.48148999992"/>
    <n v="8186.9699999999993"/>
    <n v="809830.51148999995"/>
    <n v="0.98999169310527746"/>
    <s v="Jul-2025"/>
    <s v="Q3-2025"/>
    <s v="Asia → Japan → Nagoya"/>
    <x v="0"/>
    <s v="High"/>
    <s v="JAPAN"/>
    <d v="2023-03-03T00:00:00"/>
    <x v="1"/>
    <x v="12"/>
  </r>
  <r>
    <s v="ORD-2024-516704"/>
    <d v="2024-03-01T00:00:00"/>
    <d v="2024-02-29T00:00:00"/>
    <x v="1"/>
    <x v="4"/>
    <s v="São Paulo"/>
    <s v="Non-Profit"/>
    <x v="4"/>
    <x v="2"/>
    <s v="Phones"/>
    <x v="491"/>
    <n v="5.34"/>
    <n v="12.69"/>
    <n v="0.13200000000000001"/>
    <n v="10"/>
    <s v="Valid"/>
    <n v="12.69"/>
    <b v="0"/>
    <n v="0.13200000000000001"/>
    <n v="-1"/>
    <d v="2024-03-08T00:00:00"/>
    <n v="7"/>
    <n v="12673.249199999998"/>
    <n v="126.89999999999999"/>
    <n v="12546.349199999999"/>
    <n v="0.9899867825529699"/>
    <s v="Mar-2024"/>
    <s v="Q1-2024"/>
    <s v="Americas → Brazil → São Paulo"/>
    <x v="2"/>
    <s v="Medium"/>
    <s v="BRAZIL"/>
    <d v="2023-01-29T00:00:00"/>
    <x v="0"/>
    <x v="0"/>
  </r>
  <r>
    <s v="ORD-2024-578646"/>
    <d v="2024-05-27T00:00:00"/>
    <d v="2024-06-17T00:00:00"/>
    <x v="2"/>
    <x v="3"/>
    <s v="Delhi"/>
    <s v="Small Business"/>
    <x v="1"/>
    <x v="9"/>
    <s v="Accessories"/>
    <x v="492"/>
    <n v="465.02"/>
    <n v="651.55999999999995"/>
    <n v="4.2000000000000003E-2"/>
    <n v="19"/>
    <s v="Valid"/>
    <n v="651.55999999999995"/>
    <b v="0"/>
    <n v="4.2000000000000003E-2"/>
    <n v="21"/>
    <d v="2024-06-17T00:00:00"/>
    <n v="21"/>
    <n v="1237444.0551199999"/>
    <n v="12379.64"/>
    <n v="1225064.41512"/>
    <n v="0.98999579823525885"/>
    <s v="May-2024"/>
    <s v="Q2-2024"/>
    <s v="Asia → India → Delhi"/>
    <x v="0"/>
    <s v="Medium"/>
    <s v="INDIA"/>
    <d v="2023-01-29T00:00:00"/>
    <x v="0"/>
    <x v="6"/>
  </r>
  <r>
    <s v="ORD-2024-433936"/>
    <d v="2024-08-04T00:00:00"/>
    <d v="2024-08-17T00:00:00"/>
    <x v="1"/>
    <x v="10"/>
    <s v="Austin"/>
    <s v="Consumer"/>
    <x v="0"/>
    <x v="13"/>
    <s v="Monitors"/>
    <x v="493"/>
    <n v="352.79"/>
    <n v="754.22"/>
    <n v="0.113"/>
    <n v="7"/>
    <s v="Valid"/>
    <n v="754.22"/>
    <b v="0"/>
    <n v="0.113"/>
    <n v="13"/>
    <d v="2024-08-17T00:00:00"/>
    <n v="13"/>
    <n v="527357.41197999998"/>
    <n v="5279.54"/>
    <n v="522077.87198"/>
    <n v="0.98998868721655475"/>
    <s v="Aug-2024"/>
    <s v="Q3-2024"/>
    <s v="Americas → USA → Austin"/>
    <x v="1"/>
    <s v="Medium"/>
    <s v="USA"/>
    <d v="2023-01-13T00:00:00"/>
    <x v="0"/>
    <x v="20"/>
  </r>
  <r>
    <s v="ORD-2023-434071"/>
    <d v="2023-06-20T00:00:00"/>
    <d v="2023-07-04T00:00:00"/>
    <x v="1"/>
    <x v="4"/>
    <s v="Brasília"/>
    <s v="Non-Profit"/>
    <x v="4"/>
    <x v="0"/>
    <s v="Networking"/>
    <x v="494"/>
    <n v="1292.8599999999999"/>
    <n v="2981.01"/>
    <n v="0.14199999999999999"/>
    <n v="12"/>
    <s v="Valid"/>
    <n v="2981.01"/>
    <b v="0"/>
    <n v="0.14199999999999999"/>
    <n v="14"/>
    <d v="2023-07-04T00:00:00"/>
    <n v="14"/>
    <n v="3572132.3589600003"/>
    <n v="35772.120000000003"/>
    <n v="3536360.2389600002"/>
    <n v="0.98998577980732638"/>
    <s v="Jun-2023"/>
    <s v="Q2-2023"/>
    <s v="Americas → Brazil → Brasília"/>
    <x v="0"/>
    <s v="Low"/>
    <s v="BRAZIL"/>
    <d v="2023-01-29T00:00:00"/>
    <x v="0"/>
    <x v="22"/>
  </r>
  <r>
    <s v="ORD-2024-728474"/>
    <d v="2024-09-09T00:00:00"/>
    <d v="2024-09-13T00:00:00"/>
    <x v="3"/>
    <x v="8"/>
    <s v="London"/>
    <s v="Consumer"/>
    <x v="2"/>
    <x v="8"/>
    <s v="Networking"/>
    <x v="495"/>
    <n v="1133.08"/>
    <n v="976.17"/>
    <n v="4.2000000000000003E-2"/>
    <n v="27"/>
    <s v="Valid"/>
    <n v="976.17"/>
    <b v="0"/>
    <n v="4.2000000000000003E-2"/>
    <n v="4"/>
    <d v="2024-09-13T00:00:00"/>
    <n v="4"/>
    <n v="2634552.0232199999"/>
    <n v="26356.59"/>
    <n v="2608195.43322"/>
    <n v="0.98999579823525885"/>
    <s v="Sep-2024"/>
    <s v="Q3-2024"/>
    <s v="Europe → United Kingdom → London"/>
    <x v="0"/>
    <s v="Medium"/>
    <s v="UNITED KINGDOM"/>
    <d v="2023-01-19T00:00:00"/>
    <x v="0"/>
    <x v="29"/>
  </r>
  <r>
    <s v="ORD-2023-406606"/>
    <d v="2023-10-25T00:00:00"/>
    <d v="2023-10-28T00:00:00"/>
    <x v="1"/>
    <x v="4"/>
    <s v="Brasília"/>
    <s v="Corporate"/>
    <x v="3"/>
    <x v="14"/>
    <s v="Accessories"/>
    <x v="496"/>
    <n v="509.31"/>
    <n v="1145.9000000000001"/>
    <n v="5.7000000000000002E-2"/>
    <n v="8"/>
    <s v="Valid"/>
    <n v="1145.9000000000001"/>
    <b v="0"/>
    <n v="5.7000000000000002E-2"/>
    <n v="3"/>
    <d v="2023-10-28T00:00:00"/>
    <n v="3"/>
    <n v="916197.46960000007"/>
    <n v="9167.2000000000007"/>
    <n v="907030.26960000012"/>
    <n v="0.98999429674914707"/>
    <s v="Oct-2023"/>
    <s v="Q4-2023"/>
    <s v="Americas → Brazil → Brasília"/>
    <x v="0"/>
    <s v="Low"/>
    <s v="BRAZIL"/>
    <d v="2023-01-29T00:00:00"/>
    <x v="0"/>
    <x v="32"/>
  </r>
  <r>
    <s v="ORD-2025-823055"/>
    <d v="2025-09-08T00:00:00"/>
    <d v="2025-10-05T00:00:00"/>
    <x v="1"/>
    <x v="4"/>
    <s v="Rio de Janeiro"/>
    <s v="Education"/>
    <x v="1"/>
    <x v="0"/>
    <s v="Monitors"/>
    <x v="497"/>
    <n v="660.78"/>
    <n v="1630.39"/>
    <n v="0.218"/>
    <n v="13"/>
    <s v="Valid"/>
    <n v="1630.39"/>
    <b v="0"/>
    <n v="0.218"/>
    <n v="27"/>
    <d v="2025-10-05T00:00:00"/>
    <n v="27"/>
    <n v="2114886.47474"/>
    <n v="21195.07"/>
    <n v="2093691.4047399999"/>
    <n v="0.98997815237217135"/>
    <s v="Sep-2025"/>
    <s v="Q3-2025"/>
    <s v="Americas → Brazil → Rio de Janeiro"/>
    <x v="1"/>
    <s v="High"/>
    <s v="BRAZIL"/>
    <d v="2023-01-29T00:00:00"/>
    <x v="0"/>
    <x v="10"/>
  </r>
  <r>
    <s v="ORD-2023-573656"/>
    <d v="2023-05-02T00:00:00"/>
    <d v="2023-05-16T00:00:00"/>
    <x v="2"/>
    <x v="3"/>
    <s v="Bengaluru"/>
    <s v="Non-Profit"/>
    <x v="0"/>
    <x v="14"/>
    <s v="Monitors"/>
    <x v="498"/>
    <n v="475.37"/>
    <n v="963.73"/>
    <n v="4.1000000000000002E-2"/>
    <n v="22"/>
    <s v="Valid"/>
    <n v="963.73"/>
    <b v="0"/>
    <n v="4.1000000000000002E-2"/>
    <n v="14"/>
    <d v="2023-05-16T00:00:00"/>
    <n v="14"/>
    <n v="2119336.7155400002"/>
    <n v="21202.06"/>
    <n v="2098134.6555400002"/>
    <n v="0.98999589831831047"/>
    <s v="May-2023"/>
    <s v="Q2-2023"/>
    <s v="Asia → India → Bengaluru"/>
    <x v="1"/>
    <s v="Low"/>
    <s v="INDIA"/>
    <d v="2023-01-29T00:00:00"/>
    <x v="0"/>
    <x v="14"/>
  </r>
  <r>
    <s v="ORD-2024-567435"/>
    <d v="2024-04-26T00:00:00"/>
    <d v="2024-04-24T00:00:00"/>
    <x v="3"/>
    <x v="8"/>
    <s v="London"/>
    <s v="Non-Profit"/>
    <x v="3"/>
    <x v="12"/>
    <s v="Phones"/>
    <x v="499"/>
    <n v="1232.77"/>
    <n v="891.73"/>
    <n v="0.16700000000000001"/>
    <n v="10"/>
    <s v="Valid"/>
    <n v="891.73"/>
    <b v="0"/>
    <n v="0.16700000000000001"/>
    <n v="-2"/>
    <d v="2024-05-03T00:00:00"/>
    <n v="7"/>
    <n v="890240.81089999992"/>
    <n v="8917.2999999999993"/>
    <n v="881323.51089999988"/>
    <n v="0.98998327206434744"/>
    <s v="Apr-2024"/>
    <s v="Q2-2024"/>
    <s v="Europe → United Kingdom → London"/>
    <x v="2"/>
    <s v="Medium"/>
    <s v="UNITED KINGDOM"/>
    <d v="2023-01-19T00:00:00"/>
    <x v="0"/>
    <x v="19"/>
  </r>
  <r>
    <s v="ORD-2023-744942"/>
    <d v="2023-02-23T00:00:00"/>
    <d v="2023-03-18T00:00:00"/>
    <x v="2"/>
    <x v="9"/>
    <s v="Beijing"/>
    <s v="Education"/>
    <x v="3"/>
    <x v="10"/>
    <s v="Printers"/>
    <x v="500"/>
    <n v="770.11"/>
    <n v="1667.82"/>
    <n v="6.9000000000000006E-2"/>
    <n v="7"/>
    <s v="Valid"/>
    <n v="1667.82"/>
    <b v="0"/>
    <n v="6.9000000000000006E-2"/>
    <n v="23"/>
    <d v="2023-03-18T00:00:00"/>
    <n v="23"/>
    <n v="1166668.44294"/>
    <n v="11674.74"/>
    <n v="1154993.70294"/>
    <n v="0.98999309523571266"/>
    <s v="Feb-2023"/>
    <s v="Q1-2023"/>
    <s v="Asia → China → Beijing"/>
    <x v="1"/>
    <s v="Low"/>
    <s v="CHINA"/>
    <d v="2023-01-12T00:00:00"/>
    <x v="0"/>
    <x v="2"/>
  </r>
  <r>
    <s v="ORD-2025-331237"/>
    <d v="2025-03-24T00:00:00"/>
    <d v="2025-03-25T00:00:00"/>
    <x v="2"/>
    <x v="9"/>
    <s v="Beijing"/>
    <s v="Non-Profit"/>
    <x v="1"/>
    <x v="3"/>
    <s v="Networking"/>
    <x v="501"/>
    <n v="1133.03"/>
    <n v="1921.51"/>
    <n v="0.10100000000000001"/>
    <n v="5"/>
    <s v="Valid"/>
    <n v="1921.51"/>
    <b v="0"/>
    <n v="0.10100000000000001"/>
    <n v="1"/>
    <d v="2025-03-25T00:00:00"/>
    <n v="1"/>
    <n v="959784.63744999992"/>
    <n v="9607.5499999999993"/>
    <n v="950177.08744999988"/>
    <n v="0.98998988978868652"/>
    <s v="Mar-2025"/>
    <s v="Q1-2025"/>
    <s v="Asia → China → Beijing"/>
    <x v="0"/>
    <s v="High"/>
    <s v="CHINA"/>
    <d v="2023-01-12T00:00:00"/>
    <x v="0"/>
    <x v="3"/>
  </r>
  <r>
    <s v="ORD-2025-680118"/>
    <d v="2025-03-10T00:00:00"/>
    <d v="2025-03-27T00:00:00"/>
    <x v="1"/>
    <x v="4"/>
    <s v="Rio de Janeiro"/>
    <s v="Enterprise"/>
    <x v="4"/>
    <x v="8"/>
    <s v="Networking"/>
    <x v="502"/>
    <n v="996.73"/>
    <n v="1217.43"/>
    <n v="7.0000000000000007E-2"/>
    <n v="9"/>
    <s v="Valid"/>
    <n v="1217.43"/>
    <b v="0"/>
    <n v="7.0000000000000007E-2"/>
    <n v="17"/>
    <d v="2025-03-27T00:00:00"/>
    <n v="17"/>
    <n v="1094920.0191000002"/>
    <n v="10956.87"/>
    <n v="1083963.1491"/>
    <n v="0.98999299509656746"/>
    <s v="Mar-2025"/>
    <s v="Q1-2025"/>
    <s v="Americas → Brazil → Rio de Janeiro"/>
    <x v="0"/>
    <s v="High"/>
    <s v="BRAZIL"/>
    <d v="2023-01-29T00:00:00"/>
    <x v="0"/>
    <x v="3"/>
  </r>
  <r>
    <s v="ORD-2024-310809"/>
    <d v="2024-04-05T00:00:00"/>
    <d v="2024-04-09T00:00:00"/>
    <x v="0"/>
    <x v="1"/>
    <s v="Lagos"/>
    <s v="Non-Profit"/>
    <x v="4"/>
    <x v="10"/>
    <s v="Components"/>
    <x v="503"/>
    <n v="395.07"/>
    <n v="970.27"/>
    <n v="0.123"/>
    <n v="38"/>
    <s v="Valid"/>
    <n v="970.27"/>
    <b v="0"/>
    <n v="0.123"/>
    <n v="4"/>
    <d v="2024-04-09T00:00:00"/>
    <n v="4"/>
    <n v="3682490.9580200003"/>
    <n v="36870.26"/>
    <n v="3645620.6980200005"/>
    <n v="0.98998768485236843"/>
    <s v="Apr-2024"/>
    <s v="Q2-2024"/>
    <s v="Africa → Nigeria → Lagos"/>
    <x v="0"/>
    <s v="Medium"/>
    <s v="NIGERIA"/>
    <d v="2023-01-15T00:00:00"/>
    <x v="0"/>
    <x v="19"/>
  </r>
  <r>
    <s v="ORD-2025-474368"/>
    <d v="2025-04-27T00:00:00"/>
    <d v="2025-05-17T00:00:00"/>
    <x v="1"/>
    <x v="10"/>
    <s v="Austin"/>
    <s v="Corporate"/>
    <x v="4"/>
    <x v="12"/>
    <s v="Phones"/>
    <x v="504"/>
    <n v="932.26"/>
    <n v="1624.67"/>
    <n v="0.23499999999999999"/>
    <n v="28"/>
    <s v="Valid"/>
    <n v="1624.67"/>
    <b v="0"/>
    <n v="0.23499999999999999"/>
    <n v="20"/>
    <d v="2025-05-17T00:00:00"/>
    <n v="20"/>
    <n v="4538385.6714000003"/>
    <n v="45490.76"/>
    <n v="4492894.9114000006"/>
    <n v="0.98997644464491563"/>
    <s v="Apr-2025"/>
    <s v="Q2-2025"/>
    <s v="Americas → USA → Austin"/>
    <x v="2"/>
    <s v="High"/>
    <s v="USA"/>
    <d v="2023-01-13T00:00:00"/>
    <x v="0"/>
    <x v="18"/>
  </r>
  <r>
    <s v="ORD-2024-732543"/>
    <d v="2024-10-24T00:00:00"/>
    <d v="2024-10-28T00:00:00"/>
    <x v="2"/>
    <x v="9"/>
    <s v="Shanghai"/>
    <s v="Small Business"/>
    <x v="3"/>
    <x v="2"/>
    <s v="Networking"/>
    <x v="505"/>
    <n v="1331.77"/>
    <n v="2606.11"/>
    <n v="0.02"/>
    <n v="6"/>
    <s v="Valid"/>
    <n v="2606.11"/>
    <b v="0"/>
    <n v="0.02"/>
    <n v="4"/>
    <d v="2024-10-28T00:00:00"/>
    <n v="4"/>
    <n v="1563353.2668000001"/>
    <n v="15636.66"/>
    <n v="1547716.6068000002"/>
    <n v="0.98999799959992008"/>
    <s v="Oct-2024"/>
    <s v="Q4-2024"/>
    <s v="Asia → China → Shanghai"/>
    <x v="0"/>
    <s v="High"/>
    <s v="CHINA"/>
    <d v="2023-01-12T00:00:00"/>
    <x v="0"/>
    <x v="1"/>
  </r>
  <r>
    <s v="ORD-2023-867166"/>
    <d v="2023-04-13T00:00:00"/>
    <d v="2023-04-20T00:00:00"/>
    <x v="3"/>
    <x v="7"/>
    <s v="Lyon"/>
    <s v="Small Business"/>
    <x v="1"/>
    <x v="7"/>
    <s v="Laptops"/>
    <x v="506"/>
    <n v="227.02"/>
    <n v="434.72"/>
    <n v="9.8000000000000004E-2"/>
    <n v="10"/>
    <s v="Valid"/>
    <n v="434.72"/>
    <b v="0"/>
    <n v="9.8000000000000004E-2"/>
    <n v="7"/>
    <d v="2023-04-20T00:00:00"/>
    <n v="7"/>
    <n v="434293.97440000006"/>
    <n v="4347.2000000000007"/>
    <n v="429946.77440000005"/>
    <n v="0.98999019038657887"/>
    <s v="Apr-2023"/>
    <s v="Q2-2023"/>
    <s v="Europe → France → Lyon"/>
    <x v="2"/>
    <s v="Low"/>
    <s v="FRANCE"/>
    <d v="2023-01-10T00:00:00"/>
    <x v="0"/>
    <x v="11"/>
  </r>
  <r>
    <s v="ORD-2024-776337"/>
    <d v="2024-11-12T00:00:00"/>
    <d v="2024-11-21T00:00:00"/>
    <x v="2"/>
    <x v="3"/>
    <s v="Mumbai"/>
    <s v="Corporate"/>
    <x v="4"/>
    <x v="9"/>
    <s v="Laptops"/>
    <x v="507"/>
    <n v="903.41"/>
    <n v="1860.41"/>
    <n v="0.108"/>
    <n v="5"/>
    <s v="Valid"/>
    <n v="1860.41"/>
    <b v="0"/>
    <n v="0.108"/>
    <n v="9"/>
    <d v="2024-11-21T00:00:00"/>
    <n v="9"/>
    <n v="929200.37860000005"/>
    <n v="9302.0500000000011"/>
    <n v="919898.32860000001"/>
    <n v="0.98998918832338922"/>
    <s v="Nov-2024"/>
    <s v="Q4-2024"/>
    <s v="Asia → India → Mumbai"/>
    <x v="2"/>
    <s v="High"/>
    <s v="INDIA"/>
    <d v="2023-01-29T00:00:00"/>
    <x v="0"/>
    <x v="17"/>
  </r>
  <r>
    <s v="ORD-2023-913592"/>
    <d v="2023-05-10T00:00:00"/>
    <d v="2023-05-14T00:00:00"/>
    <x v="2"/>
    <x v="3"/>
    <s v="Delhi"/>
    <s v="Non-Profit"/>
    <x v="3"/>
    <x v="0"/>
    <s v="Monitors"/>
    <x v="508"/>
    <n v="622.6"/>
    <n v="833.69"/>
    <n v="0.20899999999999999"/>
    <n v="14"/>
    <s v="Valid"/>
    <n v="833.69"/>
    <b v="0"/>
    <n v="0.20899999999999999"/>
    <n v="4"/>
    <d v="2023-05-14T00:00:00"/>
    <n v="4"/>
    <n v="1164726.6230599999"/>
    <n v="11671.66"/>
    <n v="1153054.96306"/>
    <n v="0.98997905622751559"/>
    <s v="May-2023"/>
    <s v="Q2-2023"/>
    <s v="Asia → India → Delhi"/>
    <x v="1"/>
    <s v="Low"/>
    <s v="INDIA"/>
    <d v="2023-01-29T00:00:00"/>
    <x v="0"/>
    <x v="14"/>
  </r>
  <r>
    <s v="ORD-2024-961501"/>
    <d v="2024-03-02T00:00:00"/>
    <d v="2024-03-23T00:00:00"/>
    <x v="1"/>
    <x v="10"/>
    <s v="Chicago"/>
    <s v="Small Business"/>
    <x v="1"/>
    <x v="8"/>
    <s v="Components"/>
    <x v="509"/>
    <n v="225.01"/>
    <n v="333.48"/>
    <n v="0.11899999999999999"/>
    <n v="12"/>
    <s v="Valid"/>
    <n v="333.48"/>
    <b v="0"/>
    <n v="0.11899999999999999"/>
    <n v="21"/>
    <d v="2024-03-23T00:00:00"/>
    <n v="21"/>
    <n v="399699.79055999999"/>
    <n v="4001.76"/>
    <n v="395698.03055999998"/>
    <n v="0.98998808582212827"/>
    <s v="Mar-2024"/>
    <s v="Q1-2024"/>
    <s v="Americas → USA → Chicago"/>
    <x v="0"/>
    <s v="Medium"/>
    <s v="USA"/>
    <d v="2023-01-13T00:00:00"/>
    <x v="0"/>
    <x v="0"/>
  </r>
  <r>
    <s v="ORD-2024-964950"/>
    <d v="2024-10-10T00:00:00"/>
    <d v="2024-10-11T00:00:00"/>
    <x v="3"/>
    <x v="8"/>
    <s v="Manchester"/>
    <s v="Non-Profit"/>
    <x v="3"/>
    <x v="14"/>
    <s v="Components"/>
    <x v="510"/>
    <n v="1389.46"/>
    <n v="1784.7"/>
    <n v="0.14599999999999999"/>
    <n v="33"/>
    <s v="Valid"/>
    <n v="1784.7"/>
    <b v="0"/>
    <n v="0.14599999999999999"/>
    <n v="1"/>
    <d v="2024-10-11T00:00:00"/>
    <n v="1"/>
    <n v="5880911.3153999997"/>
    <n v="58895.1"/>
    <n v="5822016.2154000001"/>
    <n v="0.9899853786528332"/>
    <s v="Oct-2024"/>
    <s v="Q4-2024"/>
    <s v="Europe → United Kingdom → Manchester"/>
    <x v="0"/>
    <s v="Medium"/>
    <s v="UNITED KINGDOM"/>
    <d v="2023-01-19T00:00:00"/>
    <x v="0"/>
    <x v="1"/>
  </r>
  <r>
    <s v="ORD-2023-349264"/>
    <d v="2023-06-01T00:00:00"/>
    <d v="2023-06-08T00:00:00"/>
    <x v="3"/>
    <x v="5"/>
    <s v="Frankfurt"/>
    <s v="Consumer"/>
    <x v="1"/>
    <x v="7"/>
    <s v="Phones"/>
    <x v="511"/>
    <n v="804.17"/>
    <n v="1072.29"/>
    <n v="3.2000000000000001E-2"/>
    <n v="5"/>
    <s v="Valid"/>
    <n v="1072.29"/>
    <b v="0"/>
    <n v="3.2000000000000001E-2"/>
    <n v="7"/>
    <d v="2023-06-08T00:00:00"/>
    <n v="7"/>
    <n v="535973.43359999999"/>
    <n v="5361.45"/>
    <n v="530611.98360000004"/>
    <n v="0.98999679897567228"/>
    <s v="Jun-2023"/>
    <s v="Q2-2023"/>
    <s v="Europe → Germany → Frankfurt"/>
    <x v="2"/>
    <s v="Low"/>
    <s v="GERMANY"/>
    <d v="2023-01-22T00:00:00"/>
    <x v="0"/>
    <x v="22"/>
  </r>
  <r>
    <s v="ORD-2025-137394"/>
    <d v="2025-01-04T00:00:00"/>
    <d v="2025-01-05T00:00:00"/>
    <x v="2"/>
    <x v="3"/>
    <s v="Delhi"/>
    <s v="Education"/>
    <x v="0"/>
    <x v="2"/>
    <s v="Components"/>
    <x v="512"/>
    <n v="1428.33"/>
    <n v="3028.05"/>
    <n v="0"/>
    <n v="11"/>
    <s v="Valid"/>
    <n v="3028.05"/>
    <b v="0"/>
    <n v="0"/>
    <n v="1"/>
    <d v="2025-01-05T00:00:00"/>
    <n v="1"/>
    <n v="3330855.0000000005"/>
    <n v="33308.550000000003"/>
    <n v="3297546.4500000007"/>
    <n v="0.9900000000000001"/>
    <s v="Jan-2025"/>
    <s v="Q1-2025"/>
    <s v="Asia → India → Delhi"/>
    <x v="0"/>
    <s v="High"/>
    <s v="INDIA"/>
    <d v="2023-01-29T00:00:00"/>
    <x v="0"/>
    <x v="9"/>
  </r>
  <r>
    <s v="ORD-2025-635337"/>
    <d v="2025-08-05T00:00:00"/>
    <d v="2025-08-28T00:00:00"/>
    <x v="2"/>
    <x v="3"/>
    <s v="Mumbai"/>
    <s v="Non-Profit"/>
    <x v="3"/>
    <x v="12"/>
    <s v="Laptops"/>
    <x v="513"/>
    <n v="638.54"/>
    <n v="987.24"/>
    <n v="0"/>
    <n v="11"/>
    <s v="Valid"/>
    <n v="987.24"/>
    <b v="0"/>
    <n v="0"/>
    <n v="23"/>
    <d v="2025-08-28T00:00:00"/>
    <n v="23"/>
    <n v="1085964"/>
    <n v="10859.64"/>
    <n v="1075104.3600000001"/>
    <n v="0.9900000000000001"/>
    <s v="Aug-2025"/>
    <s v="Q3-2025"/>
    <s v="Asia → India → Mumbai"/>
    <x v="2"/>
    <s v="High"/>
    <s v="INDIA"/>
    <d v="2023-01-29T00:00:00"/>
    <x v="0"/>
    <x v="28"/>
  </r>
  <r>
    <s v="ORD-2023-568013"/>
    <d v="2023-09-30T00:00:00"/>
    <d v="2023-10-30T00:00:00"/>
    <x v="2"/>
    <x v="6"/>
    <s v="Tokyo"/>
    <s v="Enterprise"/>
    <x v="1"/>
    <x v="13"/>
    <s v="Printers"/>
    <x v="514"/>
    <n v="649.13"/>
    <n v="975.43"/>
    <n v="0.157"/>
    <n v="27"/>
    <s v="Valid"/>
    <n v="975.43"/>
    <b v="0"/>
    <n v="0.157"/>
    <n v="30"/>
    <d v="2023-10-30T00:00:00"/>
    <n v="30"/>
    <n v="2629526.1522299997"/>
    <n v="26336.609999999997"/>
    <n v="2603189.5422299998"/>
    <n v="0.98998427531224031"/>
    <s v="Sep-2023"/>
    <s v="Q3-2023"/>
    <s v="Asia → Japan → Tokyo"/>
    <x v="1"/>
    <s v="Low"/>
    <s v="JAPAN"/>
    <d v="2023-03-03T00:00:00"/>
    <x v="1"/>
    <x v="27"/>
  </r>
  <r>
    <s v="ORD-2025-828263"/>
    <d v="2025-05-17T00:00:00"/>
    <d v="2025-05-30T00:00:00"/>
    <x v="0"/>
    <x v="1"/>
    <s v="Lagos"/>
    <s v="Consumer"/>
    <x v="3"/>
    <x v="8"/>
    <s v="Accessories"/>
    <x v="515"/>
    <n v="66.400000000000006"/>
    <n v="141.43"/>
    <n v="0.107"/>
    <n v="8"/>
    <s v="Valid"/>
    <n v="141.43"/>
    <b v="0"/>
    <n v="0.107"/>
    <n v="13"/>
    <d v="2025-05-30T00:00:00"/>
    <n v="13"/>
    <n v="113022.93592"/>
    <n v="1131.44"/>
    <n v="111891.49592"/>
    <n v="0.98998928853873647"/>
    <s v="May-2025"/>
    <s v="Q2-2025"/>
    <s v="Africa → Nigeria → Lagos"/>
    <x v="0"/>
    <s v="High"/>
    <s v="NIGERIA"/>
    <d v="2023-01-15T00:00:00"/>
    <x v="0"/>
    <x v="7"/>
  </r>
  <r>
    <s v="ORD-2024-402240"/>
    <d v="2024-05-01T00:00:00"/>
    <d v="2024-05-26T00:00:00"/>
    <x v="3"/>
    <x v="5"/>
    <s v="Berlin"/>
    <s v="Non-Profit"/>
    <x v="0"/>
    <x v="4"/>
    <s v="Networking"/>
    <x v="516"/>
    <n v="930.71"/>
    <n v="1625.42"/>
    <n v="0.13800000000000001"/>
    <n v="7"/>
    <s v="Valid"/>
    <n v="1625.42"/>
    <b v="0"/>
    <n v="0.13800000000000001"/>
    <n v="25"/>
    <d v="2024-05-26T00:00:00"/>
    <n v="25"/>
    <n v="1136223.8442800001"/>
    <n v="11377.94"/>
    <n v="1124845.9042800001"/>
    <n v="0.98998618092968305"/>
    <s v="May-2024"/>
    <s v="Q2-2024"/>
    <s v="Europe → Germany → Berlin"/>
    <x v="0"/>
    <s v="Medium"/>
    <s v="GERMANY"/>
    <d v="2023-01-22T00:00:00"/>
    <x v="0"/>
    <x v="6"/>
  </r>
  <r>
    <s v="ORD-2023-125739"/>
    <d v="2023-05-01T00:00:00"/>
    <d v="2023-05-18T00:00:00"/>
    <x v="0"/>
    <x v="1"/>
    <s v="Port Harcourt"/>
    <s v="Corporate"/>
    <x v="4"/>
    <x v="8"/>
    <s v="Components"/>
    <x v="517"/>
    <n v="327.97"/>
    <n v="299.94"/>
    <n v="4.9000000000000002E-2"/>
    <n v="3"/>
    <s v="Valid"/>
    <n v="299.94"/>
    <b v="0"/>
    <n v="4.9000000000000002E-2"/>
    <n v="17"/>
    <d v="2023-05-18T00:00:00"/>
    <n v="17"/>
    <n v="89937.908819999982"/>
    <n v="899.81999999999994"/>
    <n v="89038.088819999975"/>
    <n v="0.98999509759782289"/>
    <s v="May-2023"/>
    <s v="Q2-2023"/>
    <s v="Africa → Nigeria → Port Harcourt"/>
    <x v="0"/>
    <s v="Low"/>
    <s v="NIGERIA"/>
    <d v="2023-01-15T00:00:00"/>
    <x v="0"/>
    <x v="14"/>
  </r>
  <r>
    <s v="ORD-2024-892879"/>
    <d v="2024-07-09T00:00:00"/>
    <d v="2024-08-08T00:00:00"/>
    <x v="3"/>
    <x v="7"/>
    <s v="Marseille"/>
    <s v="Corporate"/>
    <x v="4"/>
    <x v="1"/>
    <s v="Components"/>
    <x v="518"/>
    <n v="1062.3800000000001"/>
    <n v="1503.96"/>
    <n v="0.18"/>
    <n v="6"/>
    <s v="Valid"/>
    <n v="1503.96"/>
    <b v="0"/>
    <n v="0.18"/>
    <n v="30"/>
    <d v="2024-08-08T00:00:00"/>
    <n v="30"/>
    <n v="900751.72320000001"/>
    <n v="9023.76"/>
    <n v="891727.9632"/>
    <n v="0.98998196754157486"/>
    <s v="Jul-2024"/>
    <s v="Q3-2024"/>
    <s v="Europe → France → Marseille"/>
    <x v="0"/>
    <s v="Medium"/>
    <s v="FRANCE"/>
    <d v="2023-01-10T00:00:00"/>
    <x v="0"/>
    <x v="13"/>
  </r>
  <r>
    <s v="ORD-2023-472050"/>
    <d v="2023-05-10T00:00:00"/>
    <d v="2023-05-27T00:00:00"/>
    <x v="2"/>
    <x v="3"/>
    <s v="Mumbai"/>
    <s v="Consumer"/>
    <x v="0"/>
    <x v="11"/>
    <s v="Laptops"/>
    <x v="519"/>
    <n v="1286.1600000000001"/>
    <n v="3101.11"/>
    <n v="0.1"/>
    <n v="23"/>
    <s v="Valid"/>
    <n v="3101.11"/>
    <b v="0"/>
    <n v="0.1"/>
    <n v="17"/>
    <d v="2023-05-27T00:00:00"/>
    <n v="17"/>
    <n v="7125420.4470000006"/>
    <n v="71325.53"/>
    <n v="7054094.9170000004"/>
    <n v="0.98998998998998999"/>
    <s v="May-2023"/>
    <s v="Q2-2023"/>
    <s v="Asia → India → Mumbai"/>
    <x v="2"/>
    <s v="Low"/>
    <s v="INDIA"/>
    <d v="2023-01-29T00:00:00"/>
    <x v="0"/>
    <x v="14"/>
  </r>
  <r>
    <s v="ORD-2024-468615"/>
    <d v="2024-07-09T00:00:00"/>
    <d v="2024-07-12T00:00:00"/>
    <x v="2"/>
    <x v="9"/>
    <s v="Shanghai"/>
    <s v="Small Business"/>
    <x v="0"/>
    <x v="13"/>
    <s v="Accessories"/>
    <x v="520"/>
    <n v="748.39"/>
    <n v="979.42"/>
    <n v="0"/>
    <n v="23"/>
    <s v="Valid"/>
    <n v="979.42"/>
    <b v="0"/>
    <n v="0"/>
    <n v="3"/>
    <d v="2024-07-12T00:00:00"/>
    <n v="3"/>
    <n v="2252666"/>
    <n v="22526.66"/>
    <n v="2230139.34"/>
    <n v="0.98999999999999988"/>
    <s v="Jul-2024"/>
    <s v="Q3-2024"/>
    <s v="Asia → China → Shanghai"/>
    <x v="0"/>
    <s v="Medium"/>
    <s v="CHINA"/>
    <d v="2023-01-12T00:00:00"/>
    <x v="0"/>
    <x v="13"/>
  </r>
  <r>
    <s v="ORD-2024-833375"/>
    <d v="2024-04-24T00:00:00"/>
    <d v="2024-05-10T00:00:00"/>
    <x v="0"/>
    <x v="0"/>
    <s v="Kisumu"/>
    <s v="Non-Profit"/>
    <x v="1"/>
    <x v="12"/>
    <s v="Monitors"/>
    <x v="521"/>
    <n v="513.30999999999995"/>
    <n v="1186.26"/>
    <n v="9.4E-2"/>
    <n v="15"/>
    <s v="Valid"/>
    <n v="1186.26"/>
    <b v="0"/>
    <n v="9.4E-2"/>
    <n v="16"/>
    <d v="2024-05-10T00:00:00"/>
    <n v="16"/>
    <n v="1777717.3734000002"/>
    <n v="17793.900000000001"/>
    <n v="1759923.4734000002"/>
    <n v="0.98999059115568644"/>
    <s v="Apr-2024"/>
    <s v="Q2-2024"/>
    <s v="Africa → Kenya → Kisumu"/>
    <x v="1"/>
    <s v="Medium"/>
    <s v="KENYA"/>
    <d v="2023-01-20T00:00:00"/>
    <x v="0"/>
    <x v="19"/>
  </r>
  <r>
    <s v="ORD-2024-206311"/>
    <d v="2024-01-13T00:00:00"/>
    <d v="2024-01-15T00:00:00"/>
    <x v="1"/>
    <x v="10"/>
    <s v="San Francisco"/>
    <s v="Non-Profit"/>
    <x v="4"/>
    <x v="5"/>
    <s v="Components"/>
    <x v="522"/>
    <n v="1061.3699999999999"/>
    <n v="1938.33"/>
    <n v="0.17"/>
    <n v="4"/>
    <s v="Valid"/>
    <n v="1938.33"/>
    <b v="0"/>
    <n v="0.17"/>
    <n v="2"/>
    <d v="2024-01-15T00:00:00"/>
    <n v="2"/>
    <n v="774013.93559999997"/>
    <n v="7753.32"/>
    <n v="766260.61560000002"/>
    <n v="0.98998297105078636"/>
    <s v="Jan-2024"/>
    <s v="Q1-2024"/>
    <s v="Americas → USA → San Francisco"/>
    <x v="0"/>
    <s v="Medium"/>
    <s v="USA"/>
    <d v="2023-01-13T00:00:00"/>
    <x v="0"/>
    <x v="8"/>
  </r>
  <r>
    <s v="ORD-2024-364080"/>
    <d v="2024-04-16T00:00:00"/>
    <d v="2024-04-27T00:00:00"/>
    <x v="0"/>
    <x v="0"/>
    <s v="Nakuru"/>
    <s v="Enterprise"/>
    <x v="1"/>
    <x v="13"/>
    <s v="Printers"/>
    <x v="523"/>
    <n v="401.3"/>
    <n v="826.47"/>
    <n v="0.22500000000000001"/>
    <n v="13"/>
    <s v="Valid"/>
    <n v="826.47"/>
    <b v="0"/>
    <n v="0.22500000000000001"/>
    <n v="11"/>
    <d v="2024-04-27T00:00:00"/>
    <n v="11"/>
    <n v="1071993.5752500002"/>
    <n v="10744.11"/>
    <n v="1061249.4652500001"/>
    <n v="0.98997744926083675"/>
    <s v="Apr-2024"/>
    <s v="Q2-2024"/>
    <s v="Africa → Kenya → Nakuru"/>
    <x v="1"/>
    <s v="Medium"/>
    <s v="KENYA"/>
    <d v="2023-01-20T00:00:00"/>
    <x v="0"/>
    <x v="19"/>
  </r>
  <r>
    <s v="ORD-2025-460466"/>
    <d v="2025-02-07T00:00:00"/>
    <d v="2025-02-16T00:00:00"/>
    <x v="0"/>
    <x v="1"/>
    <s v="Lagos"/>
    <s v="Small Business"/>
    <x v="3"/>
    <x v="0"/>
    <s v="Printers"/>
    <x v="524"/>
    <n v="90.68"/>
    <n v="118.17"/>
    <n v="0.13500000000000001"/>
    <n v="21"/>
    <s v="Valid"/>
    <n v="118.17"/>
    <b v="0"/>
    <n v="0.13500000000000001"/>
    <n v="9"/>
    <d v="2025-02-16T00:00:00"/>
    <n v="9"/>
    <n v="247821.98805000001"/>
    <n v="2481.5700000000002"/>
    <n v="245340.41805000001"/>
    <n v="0.98998648175036297"/>
    <s v="Feb-2025"/>
    <s v="Q1-2025"/>
    <s v="Africa → Nigeria → Lagos"/>
    <x v="1"/>
    <s v="High"/>
    <s v="NIGERIA"/>
    <d v="2023-01-15T00:00:00"/>
    <x v="0"/>
    <x v="25"/>
  </r>
  <r>
    <s v="ORD-2023-700699"/>
    <d v="2023-01-12T00:00:00"/>
    <d v="2023-01-26T00:00:00"/>
    <x v="2"/>
    <x v="9"/>
    <s v="Shenzhen"/>
    <s v="Non-Profit"/>
    <x v="0"/>
    <x v="11"/>
    <s v="Printers"/>
    <x v="525"/>
    <n v="1083.0899999999999"/>
    <n v="1425.87"/>
    <n v="0"/>
    <n v="8"/>
    <s v="Valid"/>
    <n v="1425.87"/>
    <b v="0"/>
    <n v="0"/>
    <n v="14"/>
    <d v="2023-01-26T00:00:00"/>
    <n v="14"/>
    <n v="1140696"/>
    <n v="11406.96"/>
    <n v="1129289.04"/>
    <n v="0.99"/>
    <s v="Jan-2023"/>
    <s v="Q1-2023"/>
    <s v="Asia → China → Shenzhen"/>
    <x v="1"/>
    <s v="Low"/>
    <s v="CHINA"/>
    <d v="2023-01-12T00:00:00"/>
    <x v="0"/>
    <x v="4"/>
  </r>
  <r>
    <s v="ORD-2024-713332"/>
    <d v="2024-06-05T00:00:00"/>
    <d v="2024-06-23T00:00:00"/>
    <x v="0"/>
    <x v="0"/>
    <s v="Nairobi"/>
    <s v="Consumer"/>
    <x v="3"/>
    <x v="13"/>
    <s v="Laptops"/>
    <x v="526"/>
    <n v="1208.74"/>
    <n v="1594.78"/>
    <n v="5.8999999999999997E-2"/>
    <n v="39"/>
    <s v="Valid"/>
    <n v="1594.78"/>
    <b v="0"/>
    <n v="5.8999999999999997E-2"/>
    <n v="18"/>
    <d v="2024-06-23T00:00:00"/>
    <n v="18"/>
    <n v="6215972.4112200001"/>
    <n v="62196.42"/>
    <n v="6153775.9912200002"/>
    <n v="0.98999409651694503"/>
    <s v="Jun-2024"/>
    <s v="Q2-2024"/>
    <s v="Africa → Kenya → Nairobi"/>
    <x v="2"/>
    <s v="Medium"/>
    <s v="KENYA"/>
    <d v="2023-01-20T00:00:00"/>
    <x v="0"/>
    <x v="16"/>
  </r>
  <r>
    <s v="ORD-2023-640022"/>
    <d v="2023-08-24T00:00:00"/>
    <d v="2023-09-20T00:00:00"/>
    <x v="0"/>
    <x v="11"/>
    <s v="Durban"/>
    <s v="Small Business"/>
    <x v="2"/>
    <x v="11"/>
    <s v="Printers"/>
    <x v="527"/>
    <n v="1399.64"/>
    <n v="3342.11"/>
    <n v="0"/>
    <n v="10"/>
    <s v="Valid"/>
    <n v="3342.11"/>
    <b v="0"/>
    <n v="0"/>
    <n v="27"/>
    <d v="2023-09-20T00:00:00"/>
    <n v="27"/>
    <n v="3342110"/>
    <n v="33421.1"/>
    <n v="3308688.9"/>
    <n v="0.99"/>
    <s v="Aug-2023"/>
    <s v="Q3-2023"/>
    <s v="Africa → South Africa → Durban"/>
    <x v="1"/>
    <s v="Low"/>
    <s v="SOUTH AFRICA"/>
    <d v="2023-01-07T00:00:00"/>
    <x v="0"/>
    <x v="24"/>
  </r>
  <r>
    <s v="ORD-2024-532184"/>
    <d v="2024-01-25T00:00:00"/>
    <d v="2024-02-08T00:00:00"/>
    <x v="2"/>
    <x v="6"/>
    <s v="Osaka"/>
    <s v="Consumer"/>
    <x v="2"/>
    <x v="2"/>
    <s v="Networking"/>
    <x v="528"/>
    <n v="937.16"/>
    <n v="1069.77"/>
    <n v="3.7999999999999999E-2"/>
    <n v="9"/>
    <s v="Valid"/>
    <n v="1069.77"/>
    <b v="0"/>
    <n v="3.7999999999999999E-2"/>
    <n v="14"/>
    <d v="2024-02-08T00:00:00"/>
    <n v="14"/>
    <n v="962427.13866000006"/>
    <n v="9627.93"/>
    <n v="952799.20866"/>
    <n v="0.98999619855545107"/>
    <s v="Jan-2024"/>
    <s v="Q1-2024"/>
    <s v="Asia → Japan → Osaka"/>
    <x v="0"/>
    <s v="Medium"/>
    <s v="JAPAN"/>
    <d v="2023-03-03T00:00:00"/>
    <x v="1"/>
    <x v="8"/>
  </r>
  <r>
    <s v="ORD-2025-926547"/>
    <d v="2025-03-11T00:00:00"/>
    <d v="2025-03-26T00:00:00"/>
    <x v="3"/>
    <x v="5"/>
    <s v="Berlin"/>
    <s v="Small Business"/>
    <x v="1"/>
    <x v="2"/>
    <s v="Phones"/>
    <x v="529"/>
    <n v="116.97"/>
    <n v="140.82"/>
    <n v="0.122"/>
    <n v="5"/>
    <s v="Valid"/>
    <n v="140.82"/>
    <b v="0"/>
    <n v="0.122"/>
    <n v="15"/>
    <d v="2025-03-26T00:00:00"/>
    <n v="15"/>
    <n v="70324.099799999996"/>
    <n v="704.09999999999991"/>
    <n v="69619.999799999991"/>
    <n v="0.98998778509781926"/>
    <s v="Mar-2025"/>
    <s v="Q1-2025"/>
    <s v="Europe → Germany → Berlin"/>
    <x v="2"/>
    <s v="High"/>
    <s v="GERMANY"/>
    <d v="2023-01-22T00:00:00"/>
    <x v="0"/>
    <x v="3"/>
  </r>
  <r>
    <s v="ORD-2025-778145"/>
    <d v="2025-04-22T00:00:00"/>
    <d v="2025-05-12T00:00:00"/>
    <x v="3"/>
    <x v="7"/>
    <s v="Lyon"/>
    <s v="Enterprise"/>
    <x v="2"/>
    <x v="10"/>
    <s v="Monitors"/>
    <x v="530"/>
    <n v="59.51"/>
    <n v="67.040000000000006"/>
    <n v="0.114"/>
    <n v="9"/>
    <s v="Valid"/>
    <n v="67.040000000000006"/>
    <b v="0"/>
    <n v="0.114"/>
    <n v="20"/>
    <d v="2025-05-12T00:00:00"/>
    <n v="20"/>
    <n v="60267.216959999998"/>
    <n v="603.36"/>
    <n v="59663.856959999997"/>
    <n v="0.9899885869891677"/>
    <s v="Apr-2025"/>
    <s v="Q2-2025"/>
    <s v="Europe → France → Lyon"/>
    <x v="1"/>
    <s v="High"/>
    <s v="FRANCE"/>
    <d v="2023-01-10T00:00:00"/>
    <x v="0"/>
    <x v="18"/>
  </r>
  <r>
    <s v="ORD-2023-525643"/>
    <d v="2023-08-17T00:00:00"/>
    <d v="2023-09-03T00:00:00"/>
    <x v="0"/>
    <x v="11"/>
    <s v="Durban"/>
    <s v="Enterprise"/>
    <x v="0"/>
    <x v="7"/>
    <s v="Phones"/>
    <x v="531"/>
    <n v="676.37"/>
    <n v="1276.67"/>
    <n v="6.6000000000000003E-2"/>
    <n v="10"/>
    <s v="Valid"/>
    <n v="1276.67"/>
    <b v="0"/>
    <n v="6.6000000000000003E-2"/>
    <n v="17"/>
    <d v="2023-09-03T00:00:00"/>
    <n v="17"/>
    <n v="1275827.3978000002"/>
    <n v="12766.7"/>
    <n v="1263060.6978000002"/>
    <n v="0.98999339564112321"/>
    <s v="Aug-2023"/>
    <s v="Q3-2023"/>
    <s v="Africa → South Africa → Durban"/>
    <x v="2"/>
    <s v="Low"/>
    <s v="SOUTH AFRICA"/>
    <d v="2023-01-07T00:00:00"/>
    <x v="0"/>
    <x v="24"/>
  </r>
  <r>
    <s v="ORD-2025-312803"/>
    <d v="2025-06-24T00:00:00"/>
    <d v="2025-07-14T00:00:00"/>
    <x v="0"/>
    <x v="11"/>
    <s v="Johannesburg"/>
    <s v="Enterprise"/>
    <x v="2"/>
    <x v="1"/>
    <s v="Laptops"/>
    <x v="532"/>
    <n v="1151.06"/>
    <n v="2821.36"/>
    <n v="0.248"/>
    <n v="20"/>
    <s v="Valid"/>
    <n v="2821.36"/>
    <b v="0"/>
    <n v="0.248"/>
    <n v="20"/>
    <d v="2025-07-14T00:00:00"/>
    <n v="20"/>
    <n v="5628726.0543999998"/>
    <n v="56427.200000000004"/>
    <n v="5572298.8543999996"/>
    <n v="0.98997513834309081"/>
    <s v="Jun-2025"/>
    <s v="Q2-2025"/>
    <s v="Africa → South Africa → Johannesburg"/>
    <x v="2"/>
    <s v="High"/>
    <s v="SOUTH AFRICA"/>
    <d v="2023-01-07T00:00:00"/>
    <x v="0"/>
    <x v="15"/>
  </r>
  <r>
    <s v="ORD-2025-149156"/>
    <d v="2025-01-10T00:00:00"/>
    <d v="2025-02-06T00:00:00"/>
    <x v="1"/>
    <x v="4"/>
    <s v="Brasília"/>
    <s v="Non-Profit"/>
    <x v="0"/>
    <x v="4"/>
    <s v="Laptops"/>
    <x v="533"/>
    <n v="725.62"/>
    <n v="1559.19"/>
    <n v="0.19"/>
    <n v="12"/>
    <s v="Valid"/>
    <n v="1559.19"/>
    <b v="0"/>
    <n v="0.19"/>
    <n v="27"/>
    <d v="2025-02-06T00:00:00"/>
    <n v="27"/>
    <n v="1867473.0467999999"/>
    <n v="18710.28"/>
    <n v="1848762.7667999999"/>
    <n v="0.98998096383127943"/>
    <s v="Jan-2025"/>
    <s v="Q1-2025"/>
    <s v="Americas → Brazil → Brasília"/>
    <x v="2"/>
    <s v="High"/>
    <s v="BRAZIL"/>
    <d v="2023-01-29T00:00:00"/>
    <x v="0"/>
    <x v="9"/>
  </r>
  <r>
    <s v="ORD-2023-215819"/>
    <d v="2023-07-01T00:00:00"/>
    <d v="2023-07-11T00:00:00"/>
    <x v="3"/>
    <x v="7"/>
    <s v="Paris"/>
    <s v="Corporate"/>
    <x v="4"/>
    <x v="8"/>
    <s v="Networking"/>
    <x v="534"/>
    <n v="479.5"/>
    <n v="656.66"/>
    <n v="0.14899999999999999"/>
    <n v="14"/>
    <s v="Valid"/>
    <n v="656.66"/>
    <b v="0"/>
    <n v="0.14899999999999999"/>
    <n v="10"/>
    <d v="2023-07-11T00:00:00"/>
    <n v="10"/>
    <n v="917954.20724000002"/>
    <n v="9193.24"/>
    <n v="908760.96724000003"/>
    <n v="0.98998507776587119"/>
    <s v="Jul-2023"/>
    <s v="Q3-2023"/>
    <s v="Europe → France → Paris"/>
    <x v="0"/>
    <s v="Low"/>
    <s v="FRANCE"/>
    <d v="2023-01-10T00:00:00"/>
    <x v="0"/>
    <x v="23"/>
  </r>
  <r>
    <s v="ORD-2024-353078"/>
    <d v="2024-08-16T00:00:00"/>
    <d v="2024-08-26T00:00:00"/>
    <x v="1"/>
    <x v="10"/>
    <s v="Chicago"/>
    <s v="Corporate"/>
    <x v="3"/>
    <x v="14"/>
    <s v="Laptops"/>
    <x v="386"/>
    <n v="1291.7"/>
    <n v="2657.84"/>
    <n v="8.6999999999999994E-2"/>
    <n v="21"/>
    <s v="Valid"/>
    <n v="2657.84"/>
    <b v="0"/>
    <n v="8.6999999999999994E-2"/>
    <n v="10"/>
    <d v="2024-08-26T00:00:00"/>
    <n v="10"/>
    <n v="5576608.1263199998"/>
    <n v="55814.64"/>
    <n v="5520793.4863200001"/>
    <n v="0.98999129242440931"/>
    <s v="Aug-2024"/>
    <s v="Q3-2024"/>
    <s v="Americas → USA → Chicago"/>
    <x v="2"/>
    <s v="Medium"/>
    <s v="USA"/>
    <d v="2023-01-13T00:00:00"/>
    <x v="0"/>
    <x v="20"/>
  </r>
  <r>
    <s v="ORD-2023-621393"/>
    <d v="2023-07-07T00:00:00"/>
    <d v="2023-07-13T00:00:00"/>
    <x v="0"/>
    <x v="11"/>
    <s v="Cape Town"/>
    <s v="Small Business"/>
    <x v="2"/>
    <x v="4"/>
    <s v="Accessories"/>
    <x v="535"/>
    <n v="612.59"/>
    <n v="1424.74"/>
    <n v="4.3999999999999997E-2"/>
    <n v="15"/>
    <s v="Valid"/>
    <n v="1424.74"/>
    <b v="0"/>
    <n v="4.3999999999999997E-2"/>
    <n v="6"/>
    <d v="2023-07-13T00:00:00"/>
    <n v="6"/>
    <n v="2136169.6716"/>
    <n v="21371.1"/>
    <n v="2114798.5715999999"/>
    <n v="0.98999559806314774"/>
    <s v="Jul-2023"/>
    <s v="Q3-2023"/>
    <s v="Africa → South Africa → Cape Town"/>
    <x v="0"/>
    <s v="Low"/>
    <s v="SOUTH AFRICA"/>
    <d v="2023-01-07T00:00:00"/>
    <x v="0"/>
    <x v="23"/>
  </r>
  <r>
    <s v="ORD-2023-974506"/>
    <d v="2023-12-28T00:00:00"/>
    <d v="2024-01-01T00:00:00"/>
    <x v="0"/>
    <x v="11"/>
    <s v="Cape Town"/>
    <s v="Education"/>
    <x v="3"/>
    <x v="7"/>
    <s v="Printers"/>
    <x v="536"/>
    <n v="1141.8"/>
    <n v="2318.7399999999998"/>
    <n v="0.107"/>
    <n v="32"/>
    <s v="Valid"/>
    <n v="2318.7399999999998"/>
    <b v="0"/>
    <n v="0.107"/>
    <n v="4"/>
    <d v="2024-01-01T00:00:00"/>
    <n v="4"/>
    <n v="7412028.6342399996"/>
    <n v="74199.679999999993"/>
    <n v="7337828.9542399999"/>
    <n v="0.98998928853873647"/>
    <s v="Dec-2023"/>
    <s v="Q4-2023"/>
    <s v="Africa → South Africa → Cape Town"/>
    <x v="1"/>
    <s v="Medium"/>
    <s v="SOUTH AFRICA"/>
    <d v="2023-01-07T00:00:00"/>
    <x v="0"/>
    <x v="26"/>
  </r>
  <r>
    <s v="ORD-2023-811823"/>
    <d v="2023-01-26T00:00:00"/>
    <d v="2023-02-15T00:00:00"/>
    <x v="3"/>
    <x v="5"/>
    <s v="Berlin"/>
    <s v="Small Business"/>
    <x v="1"/>
    <x v="6"/>
    <s v="Networking"/>
    <x v="537"/>
    <n v="492.62"/>
    <n v="366.7"/>
    <n v="8.8999999999999996E-2"/>
    <n v="10"/>
    <s v="Valid"/>
    <n v="366.7"/>
    <b v="0"/>
    <n v="8.8999999999999996E-2"/>
    <n v="20"/>
    <d v="2023-02-15T00:00:00"/>
    <n v="20"/>
    <n v="366373.63699999999"/>
    <n v="3667"/>
    <n v="362706.63699999999"/>
    <n v="0.98999109207194402"/>
    <s v="Jan-2023"/>
    <s v="Q1-2023"/>
    <s v="Europe → Germany → Berlin"/>
    <x v="0"/>
    <s v="Low"/>
    <s v="GERMANY"/>
    <d v="2023-01-22T00:00:00"/>
    <x v="0"/>
    <x v="4"/>
  </r>
  <r>
    <s v="ORD-2023-286720"/>
    <d v="2023-07-08T00:00:00"/>
    <d v="2023-07-09T00:00:00"/>
    <x v="0"/>
    <x v="0"/>
    <s v="Nairobi"/>
    <s v="Consumer"/>
    <x v="1"/>
    <x v="13"/>
    <s v="Laptops"/>
    <x v="538"/>
    <n v="1258.72"/>
    <n v="2797.41"/>
    <n v="0"/>
    <n v="7"/>
    <s v="Valid"/>
    <n v="2797.41"/>
    <b v="0"/>
    <n v="0"/>
    <n v="1"/>
    <d v="2023-07-09T00:00:00"/>
    <n v="1"/>
    <n v="1958187"/>
    <n v="19581.87"/>
    <n v="1938605.13"/>
    <n v="0.99"/>
    <s v="Jul-2023"/>
    <s v="Q3-2023"/>
    <s v="Africa → Kenya → Nairobi"/>
    <x v="2"/>
    <s v="Low"/>
    <s v="KENYA"/>
    <d v="2023-01-20T00:00:00"/>
    <x v="0"/>
    <x v="23"/>
  </r>
  <r>
    <s v="ORD-2024-626925"/>
    <d v="2024-06-07T00:00:00"/>
    <d v="2024-06-09T00:00:00"/>
    <x v="2"/>
    <x v="9"/>
    <s v="Shanghai"/>
    <s v="Corporate"/>
    <x v="0"/>
    <x v="6"/>
    <s v="Monitors"/>
    <x v="539"/>
    <n v="1370.28"/>
    <n v="2209.66"/>
    <n v="0.13300000000000001"/>
    <n v="16"/>
    <s v="Valid"/>
    <n v="2209.66"/>
    <b v="0"/>
    <n v="0.13300000000000001"/>
    <n v="2"/>
    <d v="2024-06-09T00:00:00"/>
    <n v="2"/>
    <n v="3530753.8435200001"/>
    <n v="35354.559999999998"/>
    <n v="3495399.2835200001"/>
    <n v="0.98998668228744224"/>
    <s v="Jun-2024"/>
    <s v="Q2-2024"/>
    <s v="Asia → China → Shanghai"/>
    <x v="1"/>
    <s v="Medium"/>
    <s v="CHINA"/>
    <d v="2023-01-12T00:00:00"/>
    <x v="0"/>
    <x v="16"/>
  </r>
  <r>
    <s v="ORD-2023-960380"/>
    <d v="2023-02-11T00:00:00"/>
    <d v="2023-02-12T00:00:00"/>
    <x v="0"/>
    <x v="1"/>
    <s v="Port Harcourt"/>
    <s v="Non-Profit"/>
    <x v="4"/>
    <x v="13"/>
    <s v="Accessories"/>
    <x v="540"/>
    <n v="944.61"/>
    <n v="839.04"/>
    <n v="5.8999999999999997E-2"/>
    <n v="6"/>
    <s v="Valid"/>
    <n v="839.04"/>
    <b v="0"/>
    <n v="5.8999999999999997E-2"/>
    <n v="1"/>
    <d v="2023-02-12T00:00:00"/>
    <n v="1"/>
    <n v="503126.97983999999"/>
    <n v="5034.24"/>
    <n v="498092.73983999999"/>
    <n v="0.98999409651694503"/>
    <s v="Feb-2023"/>
    <s v="Q1-2023"/>
    <s v="Africa → Nigeria → Port Harcourt"/>
    <x v="0"/>
    <s v="Low"/>
    <s v="NIGERIA"/>
    <d v="2023-01-15T00:00:00"/>
    <x v="0"/>
    <x v="2"/>
  </r>
  <r>
    <s v="ORD-2023-453699"/>
    <d v="2023-07-01T00:00:00"/>
    <d v="2023-07-08T00:00:00"/>
    <x v="3"/>
    <x v="5"/>
    <s v="Frankfurt"/>
    <s v="Small Business"/>
    <x v="3"/>
    <x v="12"/>
    <s v="Laptops"/>
    <x v="541"/>
    <n v="460.21"/>
    <n v="1139.1500000000001"/>
    <n v="0.115"/>
    <n v="14"/>
    <s v="Valid"/>
    <n v="1139.1500000000001"/>
    <b v="0"/>
    <n v="0.115"/>
    <n v="7"/>
    <d v="2023-07-08T00:00:00"/>
    <n v="7"/>
    <n v="1592975.9685000002"/>
    <n v="15948.100000000002"/>
    <n v="1577027.8685000001"/>
    <n v="0.98998848675977369"/>
    <s v="Jul-2023"/>
    <s v="Q3-2023"/>
    <s v="Europe → Germany → Frankfurt"/>
    <x v="2"/>
    <s v="Low"/>
    <s v="GERMANY"/>
    <d v="2023-01-22T00:00:00"/>
    <x v="0"/>
    <x v="23"/>
  </r>
  <r>
    <s v="ORD-2025-960931"/>
    <d v="2025-08-20T00:00:00"/>
    <d v="2025-08-26T00:00:00"/>
    <x v="1"/>
    <x v="10"/>
    <s v="New York"/>
    <s v="Corporate"/>
    <x v="0"/>
    <x v="11"/>
    <s v="Networking"/>
    <x v="542"/>
    <n v="1304.95"/>
    <n v="1712.03"/>
    <n v="0.21199999999999999"/>
    <n v="8"/>
    <s v="Valid"/>
    <n v="1712.03"/>
    <b v="0"/>
    <n v="0.21199999999999999"/>
    <n v="6"/>
    <d v="2025-08-26T00:00:00"/>
    <n v="6"/>
    <n v="1366720.3971199999"/>
    <n v="13696.24"/>
    <n v="1353024.1571199999"/>
    <n v="0.98997875496051635"/>
    <s v="Aug-2025"/>
    <s v="Q3-2025"/>
    <s v="Americas → USA → New York"/>
    <x v="0"/>
    <s v="High"/>
    <s v="USA"/>
    <d v="2023-01-13T00:00:00"/>
    <x v="0"/>
    <x v="28"/>
  </r>
  <r>
    <s v="ORD-2024-419248"/>
    <d v="2024-03-04T00:00:00"/>
    <d v="2024-03-16T00:00:00"/>
    <x v="0"/>
    <x v="11"/>
    <s v="Johannesburg"/>
    <s v="Enterprise"/>
    <x v="3"/>
    <x v="11"/>
    <s v="Monitors"/>
    <x v="543"/>
    <n v="441.08"/>
    <n v="1054.29"/>
    <n v="0.23699999999999999"/>
    <n v="6"/>
    <s v="Valid"/>
    <n v="1054.29"/>
    <b v="0"/>
    <n v="0.23699999999999999"/>
    <n v="12"/>
    <d v="2024-03-16T00:00:00"/>
    <n v="12"/>
    <n v="631074.79962000006"/>
    <n v="6325.74"/>
    <n v="624749.05962000007"/>
    <n v="0.98997624369756321"/>
    <s v="Mar-2024"/>
    <s v="Q1-2024"/>
    <s v="Africa → South Africa → Johannesburg"/>
    <x v="1"/>
    <s v="Medium"/>
    <s v="SOUTH AFRICA"/>
    <d v="2023-01-07T00:00:00"/>
    <x v="0"/>
    <x v="0"/>
  </r>
  <r>
    <s v="ORD-2023-488227"/>
    <d v="2023-09-08T00:00:00"/>
    <d v="2023-10-02T00:00:00"/>
    <x v="1"/>
    <x v="2"/>
    <s v="Toronto"/>
    <s v="Education"/>
    <x v="4"/>
    <x v="7"/>
    <s v="Accessories"/>
    <x v="544"/>
    <n v="1299.03"/>
    <n v="2451.2199999999998"/>
    <n v="0.20799999999999999"/>
    <n v="8"/>
    <s v="Valid"/>
    <n v="2451.2199999999998"/>
    <b v="0"/>
    <n v="0.20799999999999999"/>
    <n v="24"/>
    <d v="2023-10-02T00:00:00"/>
    <n v="24"/>
    <n v="1956897.1699199998"/>
    <n v="19609.759999999998"/>
    <n v="1937287.4099199998"/>
    <n v="0.98997915664582326"/>
    <s v="Sep-2023"/>
    <s v="Q3-2023"/>
    <s v="Americas → Canada → Toronto"/>
    <x v="0"/>
    <s v="Low"/>
    <s v="CANADA"/>
    <d v="2023-01-02T00:00:00"/>
    <x v="0"/>
    <x v="27"/>
  </r>
  <r>
    <s v="ORD-2023-472078"/>
    <d v="2023-02-28T00:00:00"/>
    <d v="2023-03-06T00:00:00"/>
    <x v="3"/>
    <x v="5"/>
    <s v="Frankfurt"/>
    <s v="Small Business"/>
    <x v="2"/>
    <x v="13"/>
    <s v="Printers"/>
    <x v="545"/>
    <n v="880.02"/>
    <n v="1251.21"/>
    <n v="0.123"/>
    <n v="29"/>
    <s v="Valid"/>
    <n v="1251.21"/>
    <b v="0"/>
    <n v="0.123"/>
    <n v="6"/>
    <d v="2023-03-06T00:00:00"/>
    <n v="6"/>
    <n v="3624045.9339300003"/>
    <n v="36285.090000000004"/>
    <n v="3587760.8439300004"/>
    <n v="0.98998768485236843"/>
    <s v="Feb-2023"/>
    <s v="Q1-2023"/>
    <s v="Europe → Germany → Frankfurt"/>
    <x v="1"/>
    <s v="Low"/>
    <s v="GERMANY"/>
    <d v="2023-01-22T00:00:00"/>
    <x v="0"/>
    <x v="2"/>
  </r>
  <r>
    <s v="ORD-2024-202877"/>
    <d v="2024-07-13T00:00:00"/>
    <d v="2024-08-03T00:00:00"/>
    <x v="1"/>
    <x v="4"/>
    <s v="Rio de Janeiro"/>
    <s v="Corporate"/>
    <x v="2"/>
    <x v="11"/>
    <s v="Monitors"/>
    <x v="546"/>
    <n v="702.98"/>
    <n v="1104.8"/>
    <n v="0.17499999999999999"/>
    <n v="12"/>
    <s v="Valid"/>
    <n v="1104.8"/>
    <b v="0"/>
    <n v="0.17499999999999999"/>
    <n v="21"/>
    <d v="2024-08-03T00:00:00"/>
    <n v="21"/>
    <n v="1323439.92"/>
    <n v="13257.599999999999"/>
    <n v="1310182.3199999998"/>
    <n v="0.98998246932131218"/>
    <s v="Jul-2024"/>
    <s v="Q3-2024"/>
    <s v="Americas → Brazil → Rio de Janeiro"/>
    <x v="1"/>
    <s v="Medium"/>
    <s v="BRAZIL"/>
    <d v="2023-01-29T00:00:00"/>
    <x v="0"/>
    <x v="13"/>
  </r>
  <r>
    <s v="ORD-2024-140633"/>
    <d v="2024-12-07T00:00:00"/>
    <d v="2024-12-26T00:00:00"/>
    <x v="3"/>
    <x v="8"/>
    <s v="London"/>
    <s v="Enterprise"/>
    <x v="1"/>
    <x v="13"/>
    <s v="Networking"/>
    <x v="547"/>
    <n v="1035.24"/>
    <n v="2383.41"/>
    <n v="0.17"/>
    <n v="15"/>
    <s v="Valid"/>
    <n v="2383.41"/>
    <b v="0"/>
    <n v="0.17"/>
    <n v="19"/>
    <d v="2024-12-26T00:00:00"/>
    <n v="19"/>
    <n v="3569037.3044999992"/>
    <n v="35751.149999999994"/>
    <n v="3533286.1544999992"/>
    <n v="0.98998297105078636"/>
    <s v="Dec-2024"/>
    <s v="Q4-2024"/>
    <s v="Europe → United Kingdom → London"/>
    <x v="0"/>
    <s v="High"/>
    <s v="UNITED KINGDOM"/>
    <d v="2023-01-19T00:00:00"/>
    <x v="0"/>
    <x v="5"/>
  </r>
  <r>
    <s v="ORD-2025-419532"/>
    <d v="2025-08-06T00:00:00"/>
    <d v="2025-08-23T00:00:00"/>
    <x v="1"/>
    <x v="4"/>
    <s v="Brasília"/>
    <s v="Consumer"/>
    <x v="3"/>
    <x v="7"/>
    <s v="Monitors"/>
    <x v="548"/>
    <n v="86.64"/>
    <n v="213.06"/>
    <n v="0.21199999999999999"/>
    <n v="11"/>
    <s v="Valid"/>
    <n v="213.06"/>
    <b v="0"/>
    <n v="0.21199999999999999"/>
    <n v="17"/>
    <d v="2025-08-23T00:00:00"/>
    <n v="17"/>
    <n v="233869.14407999997"/>
    <n v="2343.66"/>
    <n v="231525.48407999997"/>
    <n v="0.98997875496051624"/>
    <s v="Aug-2025"/>
    <s v="Q3-2025"/>
    <s v="Americas → Brazil → Brasília"/>
    <x v="1"/>
    <s v="High"/>
    <s v="BRAZIL"/>
    <d v="2023-01-29T00:00:00"/>
    <x v="0"/>
    <x v="28"/>
  </r>
  <r>
    <s v="ORD-2023-139236"/>
    <d v="2023-03-03T00:00:00"/>
    <d v="2023-03-20T00:00:00"/>
    <x v="2"/>
    <x v="6"/>
    <s v="Nagoya"/>
    <s v="Small Business"/>
    <x v="1"/>
    <x v="13"/>
    <s v="Networking"/>
    <x v="549"/>
    <n v="1171.17"/>
    <n v="2030.64"/>
    <n v="0.157"/>
    <n v="11"/>
    <s v="Valid"/>
    <n v="2030.64"/>
    <b v="0"/>
    <n v="0.157"/>
    <n v="17"/>
    <d v="2023-03-20T00:00:00"/>
    <n v="17"/>
    <n v="2230197.0847200002"/>
    <n v="22337.040000000001"/>
    <n v="2207860.0447200001"/>
    <n v="0.9899842753122402"/>
    <s v="Mar-2023"/>
    <s v="Q1-2023"/>
    <s v="Asia → Japan → Nagoya"/>
    <x v="0"/>
    <s v="Low"/>
    <s v="JAPAN"/>
    <d v="2023-03-03T00:00:00"/>
    <x v="1"/>
    <x v="21"/>
  </r>
  <r>
    <s v="ORD-2025-337268"/>
    <d v="2025-02-16T00:00:00"/>
    <d v="2025-03-17T00:00:00"/>
    <x v="3"/>
    <x v="5"/>
    <s v="Munich"/>
    <s v="Consumer"/>
    <x v="0"/>
    <x v="14"/>
    <s v="Accessories"/>
    <x v="550"/>
    <n v="730.42"/>
    <n v="956.7"/>
    <n v="4.2000000000000003E-2"/>
    <n v="22"/>
    <s v="Valid"/>
    <n v="956.7"/>
    <b v="0"/>
    <n v="4.2000000000000003E-2"/>
    <n v="29"/>
    <d v="2025-03-17T00:00:00"/>
    <n v="29"/>
    <n v="2103856.0092000002"/>
    <n v="21047.4"/>
    <n v="2082808.6092000003"/>
    <n v="0.98999579823525885"/>
    <s v="Feb-2025"/>
    <s v="Q1-2025"/>
    <s v="Europe → Germany → Munich"/>
    <x v="0"/>
    <s v="High"/>
    <s v="GERMANY"/>
    <d v="2023-01-22T00:00:00"/>
    <x v="0"/>
    <x v="25"/>
  </r>
  <r>
    <s v="ORD-2025-332931"/>
    <d v="2025-02-15T00:00:00"/>
    <d v="2025-03-01T00:00:00"/>
    <x v="0"/>
    <x v="0"/>
    <s v="Mombasa"/>
    <s v="Education"/>
    <x v="4"/>
    <x v="14"/>
    <s v="Accessories"/>
    <x v="551"/>
    <n v="1162.8599999999999"/>
    <n v="1447.68"/>
    <n v="8.6999999999999994E-2"/>
    <n v="12"/>
    <s v="Valid"/>
    <n v="1447.68"/>
    <b v="0"/>
    <n v="8.6999999999999994E-2"/>
    <n v="14"/>
    <d v="2025-03-01T00:00:00"/>
    <n v="14"/>
    <n v="1735704.6220799999"/>
    <n v="17372.16"/>
    <n v="1718332.46208"/>
    <n v="0.98999129242440931"/>
    <s v="Feb-2025"/>
    <s v="Q1-2025"/>
    <s v="Africa → Kenya → Mombasa"/>
    <x v="0"/>
    <s v="High"/>
    <s v="KENYA"/>
    <d v="2023-01-20T00:00:00"/>
    <x v="0"/>
    <x v="25"/>
  </r>
  <r>
    <s v="ORD-2024-536442"/>
    <d v="2024-08-31T00:00:00"/>
    <d v="2024-09-26T00:00:00"/>
    <x v="2"/>
    <x v="6"/>
    <s v="Tokyo"/>
    <s v="Education"/>
    <x v="1"/>
    <x v="2"/>
    <s v="Phones"/>
    <x v="552"/>
    <n v="1189.03"/>
    <n v="2949.62"/>
    <n v="0.125"/>
    <n v="13"/>
    <s v="Valid"/>
    <n v="2949.62"/>
    <b v="0"/>
    <n v="0.125"/>
    <n v="26"/>
    <d v="2024-09-26T00:00:00"/>
    <n v="26"/>
    <n v="3829712.8674999997"/>
    <n v="38345.06"/>
    <n v="3791367.8074999996"/>
    <n v="0.98998748435544426"/>
    <s v="Aug-2024"/>
    <s v="Q3-2024"/>
    <s v="Asia → Japan → Tokyo"/>
    <x v="2"/>
    <s v="Medium"/>
    <s v="JAPAN"/>
    <d v="2023-03-03T00:00:00"/>
    <x v="1"/>
    <x v="20"/>
  </r>
  <r>
    <s v="ORD-2023-957692"/>
    <d v="2023-05-07T00:00:00"/>
    <d v="2023-05-20T00:00:00"/>
    <x v="2"/>
    <x v="3"/>
    <s v="Mumbai"/>
    <s v="Enterprise"/>
    <x v="0"/>
    <x v="13"/>
    <s v="Accessories"/>
    <x v="553"/>
    <n v="1443.28"/>
    <n v="2580.5700000000002"/>
    <n v="0"/>
    <n v="18"/>
    <s v="Valid"/>
    <n v="2580.5700000000002"/>
    <b v="0"/>
    <n v="0"/>
    <n v="13"/>
    <d v="2023-05-20T00:00:00"/>
    <n v="13"/>
    <n v="4645026"/>
    <n v="46450.26"/>
    <n v="4598575.74"/>
    <n v="0.9900000000000001"/>
    <s v="May-2023"/>
    <s v="Q2-2023"/>
    <s v="Asia → India → Mumbai"/>
    <x v="0"/>
    <s v="Low"/>
    <s v="INDIA"/>
    <d v="2023-01-29T00:00:00"/>
    <x v="0"/>
    <x v="14"/>
  </r>
  <r>
    <s v="ORD-2025-874124"/>
    <d v="2025-05-14T00:00:00"/>
    <d v="2025-05-12T00:00:00"/>
    <x v="1"/>
    <x v="2"/>
    <s v="Vancouver"/>
    <s v="Non-Profit"/>
    <x v="3"/>
    <x v="8"/>
    <s v="Printers"/>
    <x v="554"/>
    <n v="883.5"/>
    <n v="1978.91"/>
    <n v="5.3999999999999999E-2"/>
    <n v="27"/>
    <s v="Valid"/>
    <n v="1978.91"/>
    <b v="0"/>
    <n v="5.3999999999999999E-2"/>
    <n v="-2"/>
    <d v="2025-05-21T00:00:00"/>
    <n v="7"/>
    <n v="5340171.7492199996"/>
    <n v="53430.57"/>
    <n v="5286741.1792199994"/>
    <n v="0.98999459708242443"/>
    <s v="May-2025"/>
    <s v="Q2-2025"/>
    <s v="Americas → Canada → Vancouver"/>
    <x v="1"/>
    <s v="High"/>
    <s v="CANADA"/>
    <d v="2023-01-02T00:00:00"/>
    <x v="0"/>
    <x v="7"/>
  </r>
  <r>
    <s v="ORD-2024-687073"/>
    <d v="2024-03-11T00:00:00"/>
    <d v="2024-03-29T00:00:00"/>
    <x v="1"/>
    <x v="10"/>
    <s v="New York"/>
    <s v="Corporate"/>
    <x v="0"/>
    <x v="11"/>
    <s v="Monitors"/>
    <x v="555"/>
    <n v="710.98"/>
    <n v="1481.45"/>
    <n v="0.21099999999999999"/>
    <n v="9"/>
    <s v="Valid"/>
    <n v="1481.45"/>
    <b v="0"/>
    <n v="0.21099999999999999"/>
    <n v="18"/>
    <d v="2024-03-29T00:00:00"/>
    <n v="18"/>
    <n v="1330491.7264500002"/>
    <n v="13333.050000000001"/>
    <n v="1317158.6764500001"/>
    <n v="0.98997885538486208"/>
    <s v="Mar-2024"/>
    <s v="Q1-2024"/>
    <s v="Americas → USA → New York"/>
    <x v="1"/>
    <s v="Medium"/>
    <s v="USA"/>
    <d v="2023-01-13T00:00:00"/>
    <x v="0"/>
    <x v="0"/>
  </r>
  <r>
    <s v="ORD-2024-555229"/>
    <d v="2024-05-18T00:00:00"/>
    <d v="2024-05-22T00:00:00"/>
    <x v="0"/>
    <x v="0"/>
    <s v="Nairobi"/>
    <s v="Corporate"/>
    <x v="4"/>
    <x v="9"/>
    <s v="Accessories"/>
    <x v="556"/>
    <n v="857.42"/>
    <n v="1658.92"/>
    <n v="0.122"/>
    <n v="9"/>
    <s v="Valid"/>
    <n v="1658.92"/>
    <b v="0"/>
    <n v="0.122"/>
    <n v="4"/>
    <d v="2024-05-22T00:00:00"/>
    <n v="4"/>
    <n v="1491206.50584"/>
    <n v="14930.28"/>
    <n v="1476276.22584"/>
    <n v="0.98998778509781937"/>
    <s v="May-2024"/>
    <s v="Q2-2024"/>
    <s v="Africa → Kenya → Nairobi"/>
    <x v="0"/>
    <s v="Medium"/>
    <s v="KENYA"/>
    <d v="2023-01-20T00:00:00"/>
    <x v="0"/>
    <x v="6"/>
  </r>
  <r>
    <s v="ORD-2024-872291"/>
    <d v="2024-01-08T00:00:00"/>
    <d v="2024-01-12T00:00:00"/>
    <x v="2"/>
    <x v="3"/>
    <s v="Bengaluru"/>
    <s v="Corporate"/>
    <x v="4"/>
    <x v="5"/>
    <s v="Printers"/>
    <x v="557"/>
    <n v="802.32"/>
    <n v="602.34"/>
    <n v="0.12"/>
    <n v="25"/>
    <s v="Valid"/>
    <n v="602.34"/>
    <b v="0"/>
    <n v="0.12"/>
    <n v="4"/>
    <d v="2024-01-12T00:00:00"/>
    <n v="4"/>
    <n v="1504042.98"/>
    <n v="15058.5"/>
    <n v="1488984.48"/>
    <n v="0.98998798558269929"/>
    <s v="Jan-2024"/>
    <s v="Q1-2024"/>
    <s v="Asia → India → Bengaluru"/>
    <x v="1"/>
    <s v="Medium"/>
    <s v="INDIA"/>
    <d v="2023-01-29T00:00:00"/>
    <x v="0"/>
    <x v="8"/>
  </r>
  <r>
    <s v="ORD-2024-250862"/>
    <d v="2024-10-25T00:00:00"/>
    <d v="2024-11-05T00:00:00"/>
    <x v="1"/>
    <x v="10"/>
    <s v="New York"/>
    <s v="Corporate"/>
    <x v="3"/>
    <x v="12"/>
    <s v="Components"/>
    <x v="558"/>
    <n v="446.66"/>
    <n v="527.64"/>
    <n v="0.14499999999999999"/>
    <n v="15"/>
    <s v="Valid"/>
    <n v="527.64"/>
    <b v="0"/>
    <n v="0.14499999999999999"/>
    <n v="11"/>
    <d v="2024-11-05T00:00:00"/>
    <n v="11"/>
    <n v="790312.38300000003"/>
    <n v="7914.5999999999995"/>
    <n v="782397.78300000005"/>
    <n v="0.98998547894446953"/>
    <s v="Oct-2024"/>
    <s v="Q4-2024"/>
    <s v="Americas → USA → New York"/>
    <x v="0"/>
    <s v="High"/>
    <s v="USA"/>
    <d v="2023-01-13T00:00:00"/>
    <x v="0"/>
    <x v="1"/>
  </r>
  <r>
    <s v="ORD-2024-331226"/>
    <d v="2024-11-30T00:00:00"/>
    <d v="2024-12-19T00:00:00"/>
    <x v="0"/>
    <x v="0"/>
    <s v="Kisumu"/>
    <s v="Corporate"/>
    <x v="1"/>
    <x v="14"/>
    <s v="Phones"/>
    <x v="559"/>
    <n v="1195.98"/>
    <n v="1841.9"/>
    <n v="5.5E-2"/>
    <n v="19"/>
    <s v="Valid"/>
    <n v="1841.9"/>
    <b v="0"/>
    <n v="5.5E-2"/>
    <n v="19"/>
    <d v="2024-12-19T00:00:00"/>
    <n v="19"/>
    <n v="3497685.2144999998"/>
    <n v="34996.1"/>
    <n v="3462689.1144999997"/>
    <n v="0.9899944969733353"/>
    <s v="Nov-2024"/>
    <s v="Q4-2024"/>
    <s v="Africa → Kenya → Kisumu"/>
    <x v="2"/>
    <s v="High"/>
    <s v="KENYA"/>
    <d v="2023-01-20T00:00:00"/>
    <x v="0"/>
    <x v="17"/>
  </r>
  <r>
    <s v="ORD-2023-356427"/>
    <d v="2023-04-13T00:00:00"/>
    <d v="2023-05-02T00:00:00"/>
    <x v="1"/>
    <x v="2"/>
    <s v="Montreal"/>
    <s v="Consumer"/>
    <x v="3"/>
    <x v="5"/>
    <s v="Monitors"/>
    <x v="560"/>
    <n v="671.05"/>
    <n v="1645.48"/>
    <n v="0.13700000000000001"/>
    <n v="6"/>
    <s v="Valid"/>
    <n v="1645.48"/>
    <b v="0"/>
    <n v="0.13700000000000001"/>
    <n v="19"/>
    <d v="2023-05-02T00:00:00"/>
    <n v="19"/>
    <n v="985935.41544000013"/>
    <n v="9872.880000000001"/>
    <n v="976062.53544000012"/>
    <n v="0.98998628120525123"/>
    <s v="Apr-2023"/>
    <s v="Q2-2023"/>
    <s v="Americas → Canada → Montreal"/>
    <x v="1"/>
    <s v="Low"/>
    <s v="CANADA"/>
    <d v="2023-01-02T00:00:00"/>
    <x v="0"/>
    <x v="11"/>
  </r>
  <r>
    <s v="ORD-2025-659650"/>
    <d v="2025-02-04T00:00:00"/>
    <d v="2025-02-08T00:00:00"/>
    <x v="3"/>
    <x v="8"/>
    <s v="Manchester"/>
    <s v="Enterprise"/>
    <x v="2"/>
    <x v="14"/>
    <s v="Networking"/>
    <x v="561"/>
    <n v="586.21"/>
    <n v="727.22"/>
    <n v="6.8000000000000005E-2"/>
    <n v="15"/>
    <s v="Valid"/>
    <n v="727.22"/>
    <b v="0"/>
    <n v="6.8000000000000005E-2"/>
    <n v="4"/>
    <d v="2025-02-08T00:00:00"/>
    <n v="4"/>
    <n v="1090088.2356000002"/>
    <n v="10908.300000000001"/>
    <n v="1079179.9356000002"/>
    <n v="0.98999319537285346"/>
    <s v="Feb-2025"/>
    <s v="Q1-2025"/>
    <s v="Europe → United Kingdom → Manchester"/>
    <x v="0"/>
    <s v="High"/>
    <s v="UNITED KINGDOM"/>
    <d v="2023-01-19T00:00:00"/>
    <x v="0"/>
    <x v="25"/>
  </r>
  <r>
    <s v="ORD-2024-207669"/>
    <d v="2024-01-24T00:00:00"/>
    <d v="2024-02-04T00:00:00"/>
    <x v="3"/>
    <x v="8"/>
    <s v="Manchester"/>
    <s v="Consumer"/>
    <x v="0"/>
    <x v="4"/>
    <s v="Laptops"/>
    <x v="562"/>
    <n v="525.34"/>
    <n v="1233.79"/>
    <n v="0.14299999999999999"/>
    <n v="4"/>
    <s v="Valid"/>
    <n v="1233.79"/>
    <b v="0"/>
    <n v="0.14299999999999999"/>
    <n v="11"/>
    <d v="2024-02-04T00:00:00"/>
    <n v="11"/>
    <n v="492810.27211999998"/>
    <n v="4935.16"/>
    <n v="487875.11212000001"/>
    <n v="0.98998567952171612"/>
    <s v="Jan-2024"/>
    <s v="Q1-2024"/>
    <s v="Europe → United Kingdom → Manchester"/>
    <x v="2"/>
    <s v="Medium"/>
    <s v="UNITED KINGDOM"/>
    <d v="2023-01-19T00:00:00"/>
    <x v="0"/>
    <x v="8"/>
  </r>
  <r>
    <s v="ORD-2024-979401"/>
    <d v="2024-02-08T00:00:00"/>
    <d v="2024-02-09T00:00:00"/>
    <x v="0"/>
    <x v="0"/>
    <s v="Mombasa"/>
    <s v="Corporate"/>
    <x v="4"/>
    <x v="8"/>
    <s v="Components"/>
    <x v="563"/>
    <n v="1233.52"/>
    <n v="1543.76"/>
    <n v="0.126"/>
    <n v="13"/>
    <s v="Valid"/>
    <n v="1543.76"/>
    <b v="0"/>
    <n v="0.126"/>
    <n v="1"/>
    <d v="2024-02-09T00:00:00"/>
    <n v="1"/>
    <n v="2004359.32112"/>
    <n v="20068.88"/>
    <n v="1984290.4411200001"/>
    <n v="0.98998738410397102"/>
    <s v="Feb-2024"/>
    <s v="Q1-2024"/>
    <s v="Africa → Kenya → Mombasa"/>
    <x v="0"/>
    <s v="Medium"/>
    <s v="KENYA"/>
    <d v="2023-01-20T00:00:00"/>
    <x v="0"/>
    <x v="31"/>
  </r>
  <r>
    <s v="ORD-2025-929414"/>
    <d v="2025-06-26T00:00:00"/>
    <d v="2025-07-11T00:00:00"/>
    <x v="0"/>
    <x v="1"/>
    <s v="Port Harcourt"/>
    <s v="Small Business"/>
    <x v="1"/>
    <x v="7"/>
    <s v="Laptops"/>
    <x v="564"/>
    <n v="1170.1500000000001"/>
    <n v="2115.19"/>
    <n v="9.1999999999999998E-2"/>
    <n v="23"/>
    <s v="Valid"/>
    <n v="2115.19"/>
    <b v="0"/>
    <n v="9.1999999999999998E-2"/>
    <n v="15"/>
    <d v="2025-07-11T00:00:00"/>
    <n v="15"/>
    <n v="4860461.2579600001"/>
    <n v="48649.37"/>
    <n v="4811811.88796"/>
    <n v="0.9899907915282059"/>
    <s v="Jun-2025"/>
    <s v="Q2-2025"/>
    <s v="Africa → Nigeria → Port Harcourt"/>
    <x v="2"/>
    <s v="High"/>
    <s v="NIGERIA"/>
    <d v="2023-01-15T00:00:00"/>
    <x v="0"/>
    <x v="15"/>
  </r>
  <r>
    <s v="ORD-2024-766980"/>
    <d v="2024-11-04T00:00:00"/>
    <d v="2024-11-07T00:00:00"/>
    <x v="3"/>
    <x v="7"/>
    <s v="Lyon"/>
    <s v="Corporate"/>
    <x v="1"/>
    <x v="6"/>
    <s v="Monitors"/>
    <x v="565"/>
    <n v="740.68"/>
    <n v="1837.19"/>
    <n v="0.19700000000000001"/>
    <n v="17"/>
    <s v="Valid"/>
    <n v="1837.19"/>
    <b v="0"/>
    <n v="0.19700000000000001"/>
    <n v="3"/>
    <d v="2024-11-07T00:00:00"/>
    <n v="3"/>
    <n v="3117070.2506899997"/>
    <n v="31232.23"/>
    <n v="3085838.0206899997"/>
    <n v="0.98998026111439541"/>
    <s v="Nov-2024"/>
    <s v="Q4-2024"/>
    <s v="Europe → France → Lyon"/>
    <x v="1"/>
    <s v="High"/>
    <s v="FRANCE"/>
    <d v="2023-01-10T00:00:00"/>
    <x v="0"/>
    <x v="17"/>
  </r>
  <r>
    <s v="ORD-2024-437164"/>
    <d v="2024-02-20T00:00:00"/>
    <d v="2024-02-20T00:00:00"/>
    <x v="1"/>
    <x v="10"/>
    <s v="New York"/>
    <s v="Enterprise"/>
    <x v="1"/>
    <x v="0"/>
    <s v="Networking"/>
    <x v="566"/>
    <n v="1407.05"/>
    <n v="2858.93"/>
    <n v="0"/>
    <n v="12"/>
    <s v="Valid"/>
    <n v="2858.93"/>
    <b v="0"/>
    <n v="0"/>
    <n v="0"/>
    <d v="2024-02-20T00:00:00"/>
    <n v="0"/>
    <n v="3430715.9999999995"/>
    <n v="34307.159999999996"/>
    <n v="3396408.8399999994"/>
    <n v="0.99"/>
    <s v="Feb-2024"/>
    <s v="Q1-2024"/>
    <s v="Americas → USA → New York"/>
    <x v="0"/>
    <s v="Medium"/>
    <s v="USA"/>
    <d v="2023-01-13T00:00:00"/>
    <x v="0"/>
    <x v="31"/>
  </r>
  <r>
    <s v="ORD-2025-169093"/>
    <d v="2025-04-13T00:00:00"/>
    <d v="2025-04-14T00:00:00"/>
    <x v="2"/>
    <x v="6"/>
    <s v="Osaka"/>
    <s v="Enterprise"/>
    <x v="1"/>
    <x v="3"/>
    <s v="Components"/>
    <x v="567"/>
    <n v="138.9"/>
    <n v="289.92"/>
    <n v="2.9000000000000001E-2"/>
    <n v="12"/>
    <s v="Valid"/>
    <n v="289.92"/>
    <b v="0"/>
    <n v="2.9000000000000001E-2"/>
    <n v="1"/>
    <d v="2025-04-14T00:00:00"/>
    <n v="1"/>
    <n v="347803.10784000001"/>
    <n v="3479.04"/>
    <n v="344324.06784000003"/>
    <n v="0.98999709915875611"/>
    <s v="Apr-2025"/>
    <s v="Q2-2025"/>
    <s v="Asia → Japan → Osaka"/>
    <x v="0"/>
    <s v="High"/>
    <s v="JAPAN"/>
    <d v="2023-03-03T00:00:00"/>
    <x v="1"/>
    <x v="18"/>
  </r>
  <r>
    <s v="ORD-2023-868460"/>
    <d v="2023-06-01T00:00:00"/>
    <d v="2023-06-01T00:00:00"/>
    <x v="2"/>
    <x v="3"/>
    <s v="Bengaluru"/>
    <s v="Corporate"/>
    <x v="0"/>
    <x v="5"/>
    <s v="Accessories"/>
    <x v="568"/>
    <n v="669.37"/>
    <n v="997.2"/>
    <n v="8.2000000000000003E-2"/>
    <n v="5"/>
    <s v="Valid"/>
    <n v="997.2"/>
    <b v="0"/>
    <n v="8.2000000000000003E-2"/>
    <n v="0"/>
    <d v="2023-06-01T00:00:00"/>
    <n v="0"/>
    <n v="498191.14800000004"/>
    <n v="4986"/>
    <n v="493205.14800000004"/>
    <n v="0.98999179327048181"/>
    <s v="Jun-2023"/>
    <s v="Q2-2023"/>
    <s v="Asia → India → Bengaluru"/>
    <x v="0"/>
    <s v="Low"/>
    <s v="INDIA"/>
    <d v="2023-01-29T00:00:00"/>
    <x v="0"/>
    <x v="22"/>
  </r>
  <r>
    <s v="ORD-2025-177994"/>
    <d v="2025-03-24T00:00:00"/>
    <d v="2025-04-04T00:00:00"/>
    <x v="2"/>
    <x v="3"/>
    <s v="Mumbai"/>
    <s v="Education"/>
    <x v="2"/>
    <x v="1"/>
    <s v="Phones"/>
    <x v="569"/>
    <n v="23.83"/>
    <n v="47.29"/>
    <n v="6.4000000000000001E-2"/>
    <n v="19"/>
    <s v="Valid"/>
    <n v="47.29"/>
    <b v="0"/>
    <n v="6.4000000000000001E-2"/>
    <n v="11"/>
    <d v="2025-04-04T00:00:00"/>
    <n v="11"/>
    <n v="89793.495360000001"/>
    <n v="898.51"/>
    <n v="88894.985360000006"/>
    <n v="0.98999359590137692"/>
    <s v="Mar-2025"/>
    <s v="Q1-2025"/>
    <s v="Asia → India → Mumbai"/>
    <x v="2"/>
    <s v="High"/>
    <s v="INDIA"/>
    <d v="2023-01-29T00:00:00"/>
    <x v="0"/>
    <x v="3"/>
  </r>
  <r>
    <s v="ORD-2024-355095"/>
    <d v="2024-01-02T00:00:00"/>
    <d v="2024-01-02T00:00:00"/>
    <x v="1"/>
    <x v="2"/>
    <s v="Vancouver"/>
    <s v="Education"/>
    <x v="4"/>
    <x v="7"/>
    <s v="Laptops"/>
    <x v="570"/>
    <n v="444.41"/>
    <n v="754.24"/>
    <n v="0.20699999999999999"/>
    <n v="32"/>
    <s v="Valid"/>
    <n v="754.24"/>
    <b v="0"/>
    <n v="0.20699999999999999"/>
    <n v="0"/>
    <d v="2024-01-02T00:00:00"/>
    <n v="0"/>
    <n v="2408571.9142400003"/>
    <n v="24135.68"/>
    <n v="2384436.2342400001"/>
    <n v="0.98997925706211853"/>
    <s v="Jan-2024"/>
    <s v="Q1-2024"/>
    <s v="Americas → Canada → Vancouver"/>
    <x v="2"/>
    <s v="Medium"/>
    <s v="CANADA"/>
    <d v="2023-01-02T00:00:00"/>
    <x v="0"/>
    <x v="8"/>
  </r>
  <r>
    <s v="ORD-2023-126505"/>
    <d v="2023-12-19T00:00:00"/>
    <d v="2024-01-01T00:00:00"/>
    <x v="1"/>
    <x v="2"/>
    <s v="Toronto"/>
    <s v="Enterprise"/>
    <x v="0"/>
    <x v="10"/>
    <s v="Monitors"/>
    <x v="571"/>
    <n v="856.1"/>
    <n v="901.48"/>
    <n v="5.6000000000000001E-2"/>
    <n v="17"/>
    <s v="Valid"/>
    <n v="901.48"/>
    <b v="0"/>
    <n v="5.6000000000000001E-2"/>
    <n v="13"/>
    <d v="2024-01-01T00:00:00"/>
    <n v="13"/>
    <n v="1531657.79104"/>
    <n v="15325.16"/>
    <n v="1516332.6310400001"/>
    <n v="0.98999439686224289"/>
    <s v="Dec-2023"/>
    <s v="Q4-2023"/>
    <s v="Americas → Canada → Toronto"/>
    <x v="1"/>
    <s v="Medium"/>
    <s v="CANADA"/>
    <d v="2023-01-02T00:00:00"/>
    <x v="0"/>
    <x v="26"/>
  </r>
  <r>
    <s v="ORD-2023-340056"/>
    <d v="2023-04-26T00:00:00"/>
    <d v="2023-04-26T00:00:00"/>
    <x v="3"/>
    <x v="7"/>
    <s v="Marseille"/>
    <s v="Consumer"/>
    <x v="4"/>
    <x v="11"/>
    <s v="Components"/>
    <x v="572"/>
    <n v="81.489999999999995"/>
    <n v="113.08"/>
    <n v="0.121"/>
    <n v="5"/>
    <s v="Valid"/>
    <n v="113.08"/>
    <b v="0"/>
    <n v="0.121"/>
    <n v="0"/>
    <d v="2023-04-26T00:00:00"/>
    <n v="0"/>
    <n v="56471.586600000002"/>
    <n v="565.4"/>
    <n v="55906.186600000001"/>
    <n v="0.98998788534126292"/>
    <s v="Apr-2023"/>
    <s v="Q2-2023"/>
    <s v="Europe → France → Marseille"/>
    <x v="0"/>
    <s v="Low"/>
    <s v="FRANCE"/>
    <d v="2023-01-10T00:00:00"/>
    <x v="0"/>
    <x v="11"/>
  </r>
  <r>
    <s v="ORD-2025-281413"/>
    <d v="2025-08-03T00:00:00"/>
    <d v="2025-08-16T00:00:00"/>
    <x v="1"/>
    <x v="2"/>
    <s v="Montreal"/>
    <s v="Enterprise"/>
    <x v="3"/>
    <x v="6"/>
    <s v="Networking"/>
    <x v="573"/>
    <n v="698.66"/>
    <n v="868.62"/>
    <n v="7.1999999999999995E-2"/>
    <n v="15"/>
    <s v="Valid"/>
    <n v="868.62"/>
    <b v="0"/>
    <n v="7.1999999999999995E-2"/>
    <n v="13"/>
    <d v="2025-08-16T00:00:00"/>
    <n v="13"/>
    <n v="1301991.8903999999"/>
    <n v="13029.3"/>
    <n v="1288962.5903999999"/>
    <n v="0.98999279481226476"/>
    <s v="Aug-2025"/>
    <s v="Q3-2025"/>
    <s v="Americas → Canada → Montreal"/>
    <x v="0"/>
    <s v="High"/>
    <s v="CANADA"/>
    <d v="2023-01-02T00:00:00"/>
    <x v="0"/>
    <x v="28"/>
  </r>
  <r>
    <s v="ORD-2023-713614"/>
    <d v="2023-08-02T00:00:00"/>
    <d v="2023-08-19T00:00:00"/>
    <x v="1"/>
    <x v="2"/>
    <s v="Vancouver"/>
    <s v="Corporate"/>
    <x v="1"/>
    <x v="8"/>
    <s v="Networking"/>
    <x v="574"/>
    <n v="175.38"/>
    <n v="347.9"/>
    <n v="7.1999999999999995E-2"/>
    <n v="43"/>
    <s v="Valid"/>
    <n v="347.9"/>
    <b v="0"/>
    <n v="7.1999999999999995E-2"/>
    <n v="17"/>
    <d v="2023-08-19T00:00:00"/>
    <n v="17"/>
    <n v="1494892.9015999998"/>
    <n v="14959.699999999999"/>
    <n v="1479933.2015999998"/>
    <n v="0.98999279481226488"/>
    <s v="Aug-2023"/>
    <s v="Q3-2023"/>
    <s v="Americas → Canada → Vancouver"/>
    <x v="0"/>
    <s v="Low"/>
    <s v="CANADA"/>
    <d v="2023-01-02T00:00:00"/>
    <x v="0"/>
    <x v="24"/>
  </r>
  <r>
    <s v="ORD-2023-173313"/>
    <d v="2023-06-15T00:00:00"/>
    <d v="2023-07-12T00:00:00"/>
    <x v="3"/>
    <x v="8"/>
    <s v="Manchester"/>
    <s v="Consumer"/>
    <x v="4"/>
    <x v="2"/>
    <s v="Accessories"/>
    <x v="575"/>
    <n v="751.28"/>
    <n v="1111.8800000000001"/>
    <n v="0.13500000000000001"/>
    <n v="7"/>
    <s v="Valid"/>
    <n v="1111.8800000000001"/>
    <b v="0"/>
    <n v="0.13500000000000001"/>
    <n v="27"/>
    <d v="2023-07-12T00:00:00"/>
    <n v="27"/>
    <n v="777265.27340000006"/>
    <n v="7783.1600000000008"/>
    <n v="769482.11340000003"/>
    <n v="0.98998648175036297"/>
    <s v="Jun-2023"/>
    <s v="Q2-2023"/>
    <s v="Europe → United Kingdom → Manchester"/>
    <x v="0"/>
    <s v="Low"/>
    <s v="UNITED KINGDOM"/>
    <d v="2023-01-19T00:00:00"/>
    <x v="0"/>
    <x v="22"/>
  </r>
  <r>
    <s v="ORD-2024-496601"/>
    <d v="2024-11-11T00:00:00"/>
    <d v="2024-11-24T00:00:00"/>
    <x v="3"/>
    <x v="8"/>
    <s v="London"/>
    <s v="Corporate"/>
    <x v="0"/>
    <x v="5"/>
    <s v="Networking"/>
    <x v="576"/>
    <n v="164.53"/>
    <n v="327.72"/>
    <n v="6.7000000000000004E-2"/>
    <n v="14"/>
    <s v="Valid"/>
    <n v="327.72"/>
    <b v="0"/>
    <n v="6.7000000000000004E-2"/>
    <n v="13"/>
    <d v="2024-11-24T00:00:00"/>
    <n v="13"/>
    <n v="458500.59864000004"/>
    <n v="4588.08"/>
    <n v="453912.51864000002"/>
    <n v="0.98999329550799031"/>
    <s v="Nov-2024"/>
    <s v="Q4-2024"/>
    <s v="Europe → United Kingdom → London"/>
    <x v="0"/>
    <s v="High"/>
    <s v="UNITED KINGDOM"/>
    <d v="2023-01-19T00:00:00"/>
    <x v="0"/>
    <x v="17"/>
  </r>
  <r>
    <s v="ORD-2025-155182"/>
    <d v="2025-07-11T00:00:00"/>
    <d v="2025-08-03T00:00:00"/>
    <x v="0"/>
    <x v="0"/>
    <s v="Nakuru"/>
    <s v="Small Business"/>
    <x v="0"/>
    <x v="0"/>
    <s v="Phones"/>
    <x v="577"/>
    <n v="389.93"/>
    <n v="486.13"/>
    <n v="0.13200000000000001"/>
    <n v="17"/>
    <s v="Valid"/>
    <n v="486.13"/>
    <b v="0"/>
    <n v="0.13200000000000001"/>
    <n v="23"/>
    <d v="2025-08-03T00:00:00"/>
    <n v="23"/>
    <n v="825330.12427999987"/>
    <n v="8264.2099999999991"/>
    <n v="817065.91427999991"/>
    <n v="0.98998678255297001"/>
    <s v="Jul-2025"/>
    <s v="Q3-2025"/>
    <s v="Africa → Kenya → Nakuru"/>
    <x v="2"/>
    <s v="High"/>
    <s v="KENYA"/>
    <d v="2023-01-20T00:00:00"/>
    <x v="0"/>
    <x v="12"/>
  </r>
  <r>
    <s v="ORD-2023-244375"/>
    <d v="2023-06-03T00:00:00"/>
    <d v="2023-07-01T00:00:00"/>
    <x v="1"/>
    <x v="4"/>
    <s v="Brasília"/>
    <s v="Small Business"/>
    <x v="2"/>
    <x v="7"/>
    <s v="Components"/>
    <x v="578"/>
    <n v="860.4"/>
    <n v="2066.6"/>
    <n v="0.01"/>
    <n v="3"/>
    <s v="Valid"/>
    <n v="2066.6"/>
    <b v="0"/>
    <n v="0.01"/>
    <n v="28"/>
    <d v="2023-07-01T00:00:00"/>
    <n v="28"/>
    <n v="619918.00199999986"/>
    <n v="6199.7999999999993"/>
    <n v="613718.20199999982"/>
    <n v="0.98999899989998996"/>
    <s v="Jun-2023"/>
    <s v="Q2-2023"/>
    <s v="Americas → Brazil → Brasília"/>
    <x v="0"/>
    <s v="Low"/>
    <s v="BRAZIL"/>
    <d v="2023-01-29T00:00:00"/>
    <x v="0"/>
    <x v="22"/>
  </r>
  <r>
    <s v="ORD-2023-856322"/>
    <d v="2023-01-29T00:00:00"/>
    <d v="2023-02-06T00:00:00"/>
    <x v="1"/>
    <x v="4"/>
    <s v="Brasília"/>
    <s v="Corporate"/>
    <x v="2"/>
    <x v="13"/>
    <s v="Monitors"/>
    <x v="579"/>
    <n v="41.84"/>
    <n v="86.2"/>
    <n v="0.22600000000000001"/>
    <n v="27"/>
    <s v="Valid"/>
    <n v="86.2"/>
    <b v="0"/>
    <n v="0.22600000000000001"/>
    <n v="8"/>
    <d v="2023-02-06T00:00:00"/>
    <n v="8"/>
    <n v="232214.00760000001"/>
    <n v="2327.4"/>
    <n v="229886.60760000002"/>
    <n v="0.98997734880830679"/>
    <s v="Jan-2023"/>
    <s v="Q1-2023"/>
    <s v="Americas → Brazil → Brasília"/>
    <x v="1"/>
    <s v="Low"/>
    <s v="BRAZIL"/>
    <d v="2023-01-29T00:00:00"/>
    <x v="0"/>
    <x v="4"/>
  </r>
  <r>
    <s v="ORD-2024-594527"/>
    <d v="2024-09-06T00:00:00"/>
    <d v="2024-09-04T00:00:00"/>
    <x v="2"/>
    <x v="6"/>
    <s v="Osaka"/>
    <s v="Corporate"/>
    <x v="4"/>
    <x v="7"/>
    <s v="Laptops"/>
    <x v="580"/>
    <n v="1368.17"/>
    <n v="2307.75"/>
    <n v="0.16300000000000001"/>
    <n v="21"/>
    <s v="Valid"/>
    <n v="2307.75"/>
    <b v="0"/>
    <n v="0.16300000000000001"/>
    <n v="-2"/>
    <d v="2024-09-13T00:00:00"/>
    <n v="7"/>
    <n v="4838375.5717500001"/>
    <n v="48462.75"/>
    <n v="4789912.8217500001"/>
    <n v="0.98998367338762183"/>
    <s v="Sep-2024"/>
    <s v="Q3-2024"/>
    <s v="Asia → Japan → Osaka"/>
    <x v="2"/>
    <s v="Medium"/>
    <s v="JAPAN"/>
    <d v="2023-03-03T00:00:00"/>
    <x v="1"/>
    <x v="29"/>
  </r>
  <r>
    <s v="ORD-2024-689872"/>
    <d v="2024-08-03T00:00:00"/>
    <d v="2024-08-09T00:00:00"/>
    <x v="0"/>
    <x v="0"/>
    <s v="Mombasa"/>
    <s v="Consumer"/>
    <x v="2"/>
    <x v="9"/>
    <s v="Laptops"/>
    <x v="581"/>
    <n v="643.21"/>
    <n v="1112.81"/>
    <n v="0.14099999999999999"/>
    <n v="4"/>
    <s v="Valid"/>
    <n v="1112.81"/>
    <b v="0"/>
    <n v="0.14099999999999999"/>
    <n v="6"/>
    <d v="2024-08-09T00:00:00"/>
    <n v="6"/>
    <n v="444496.37515999994"/>
    <n v="4451.24"/>
    <n v="440045.13515999995"/>
    <n v="0.98998588009092825"/>
    <s v="Aug-2024"/>
    <s v="Q3-2024"/>
    <s v="Africa → Kenya → Mombasa"/>
    <x v="2"/>
    <s v="Medium"/>
    <s v="KENYA"/>
    <d v="2023-01-20T00:00:00"/>
    <x v="0"/>
    <x v="20"/>
  </r>
  <r>
    <s v="ORD-2025-246692"/>
    <d v="2025-04-17T00:00:00"/>
    <d v="2025-04-17T00:00:00"/>
    <x v="1"/>
    <x v="4"/>
    <s v="São Paulo"/>
    <s v="Corporate"/>
    <x v="3"/>
    <x v="14"/>
    <s v="Phones"/>
    <x v="582"/>
    <n v="719.41"/>
    <n v="1125.99"/>
    <n v="4.1000000000000002E-2"/>
    <n v="21"/>
    <s v="Valid"/>
    <n v="1125.99"/>
    <b v="0"/>
    <n v="4.1000000000000002E-2"/>
    <n v="0"/>
    <d v="2025-04-17T00:00:00"/>
    <n v="0"/>
    <n v="2363609.5226100003"/>
    <n v="23645.79"/>
    <n v="2339963.7326100003"/>
    <n v="0.98999589831831047"/>
    <s v="Apr-2025"/>
    <s v="Q2-2025"/>
    <s v="Americas → Brazil → São Paulo"/>
    <x v="2"/>
    <s v="High"/>
    <s v="BRAZIL"/>
    <d v="2023-01-29T00:00:00"/>
    <x v="0"/>
    <x v="18"/>
  </r>
  <r>
    <s v="ORD-2023-378676"/>
    <d v="2023-05-03T00:00:00"/>
    <d v="2023-05-16T00:00:00"/>
    <x v="1"/>
    <x v="10"/>
    <s v="New York"/>
    <s v="Corporate"/>
    <x v="2"/>
    <x v="14"/>
    <s v="Phones"/>
    <x v="583"/>
    <n v="64.5"/>
    <n v="123.62"/>
    <n v="0"/>
    <n v="3"/>
    <s v="Valid"/>
    <n v="123.62"/>
    <b v="0"/>
    <n v="0"/>
    <n v="13"/>
    <d v="2023-05-16T00:00:00"/>
    <n v="13"/>
    <n v="37086"/>
    <n v="370.86"/>
    <n v="36715.14"/>
    <n v="0.99"/>
    <s v="May-2023"/>
    <s v="Q2-2023"/>
    <s v="Americas → USA → New York"/>
    <x v="2"/>
    <s v="Low"/>
    <s v="USA"/>
    <d v="2023-01-13T00:00:00"/>
    <x v="0"/>
    <x v="14"/>
  </r>
  <r>
    <s v="ORD-2024-243988"/>
    <d v="2024-03-13T00:00:00"/>
    <d v="2024-04-06T00:00:00"/>
    <x v="0"/>
    <x v="1"/>
    <s v="Abuja"/>
    <s v="Consumer"/>
    <x v="3"/>
    <x v="14"/>
    <s v="Components"/>
    <x v="584"/>
    <n v="1232.78"/>
    <n v="1731.75"/>
    <n v="9.2999999999999999E-2"/>
    <n v="16"/>
    <s v="Valid"/>
    <n v="1731.75"/>
    <b v="0"/>
    <n v="9.2999999999999999E-2"/>
    <n v="24"/>
    <d v="2024-04-06T00:00:00"/>
    <n v="24"/>
    <n v="2768223.156"/>
    <n v="27708"/>
    <n v="2740515.156"/>
    <n v="0.98999069134294893"/>
    <s v="Mar-2024"/>
    <s v="Q1-2024"/>
    <s v="Africa → Nigeria → Abuja"/>
    <x v="0"/>
    <s v="Medium"/>
    <s v="NIGERIA"/>
    <d v="2023-01-15T00:00:00"/>
    <x v="0"/>
    <x v="0"/>
  </r>
  <r>
    <s v="ORD-2024-572312"/>
    <d v="2024-06-16T00:00:00"/>
    <d v="2024-06-21T00:00:00"/>
    <x v="2"/>
    <x v="6"/>
    <s v="Tokyo"/>
    <s v="Small Business"/>
    <x v="3"/>
    <x v="8"/>
    <s v="Phones"/>
    <x v="585"/>
    <n v="1367.13"/>
    <n v="3062.01"/>
    <n v="0.10299999999999999"/>
    <n v="25"/>
    <s v="Valid"/>
    <n v="3062.01"/>
    <b v="0"/>
    <n v="0.10299999999999999"/>
    <n v="5"/>
    <d v="2024-06-21T00:00:00"/>
    <n v="5"/>
    <n v="7647140.3242500005"/>
    <n v="76550.25"/>
    <n v="7570590.0742500005"/>
    <n v="0.98998968938006149"/>
    <s v="Jun-2024"/>
    <s v="Q2-2024"/>
    <s v="Asia → Japan → Tokyo"/>
    <x v="2"/>
    <s v="Medium"/>
    <s v="JAPAN"/>
    <d v="2023-03-03T00:00:00"/>
    <x v="1"/>
    <x v="16"/>
  </r>
  <r>
    <s v="ORD-2025-281062"/>
    <d v="2025-02-15T00:00:00"/>
    <d v="2025-02-27T00:00:00"/>
    <x v="3"/>
    <x v="7"/>
    <s v="Lyon"/>
    <s v="Non-Profit"/>
    <x v="4"/>
    <x v="10"/>
    <s v="Accessories"/>
    <x v="586"/>
    <n v="1027.26"/>
    <n v="2200.41"/>
    <n v="8.7999999999999995E-2"/>
    <n v="6"/>
    <s v="Valid"/>
    <n v="2200.41"/>
    <b v="0"/>
    <n v="8.7999999999999995E-2"/>
    <n v="12"/>
    <d v="2025-02-27T00:00:00"/>
    <n v="12"/>
    <n v="1319084.18352"/>
    <n v="13202.46"/>
    <n v="1305881.72352"/>
    <n v="0.98999119224917931"/>
    <s v="Feb-2025"/>
    <s v="Q1-2025"/>
    <s v="Europe → France → Lyon"/>
    <x v="0"/>
    <s v="High"/>
    <s v="FRANCE"/>
    <d v="2023-01-10T00:00:00"/>
    <x v="0"/>
    <x v="25"/>
  </r>
  <r>
    <s v="ORD-2023-727290"/>
    <d v="2023-04-03T00:00:00"/>
    <d v="2023-04-16T00:00:00"/>
    <x v="3"/>
    <x v="7"/>
    <s v="Marseille"/>
    <s v="Non-Profit"/>
    <x v="2"/>
    <x v="11"/>
    <s v="Accessories"/>
    <x v="587"/>
    <n v="790.54"/>
    <n v="601.49"/>
    <n v="0"/>
    <n v="15"/>
    <s v="Valid"/>
    <n v="601.49"/>
    <b v="0"/>
    <n v="0"/>
    <n v="13"/>
    <d v="2023-04-16T00:00:00"/>
    <n v="13"/>
    <n v="902235"/>
    <n v="9022.35"/>
    <n v="893212.65"/>
    <n v="0.99"/>
    <s v="Apr-2023"/>
    <s v="Q2-2023"/>
    <s v="Europe → France → Marseille"/>
    <x v="0"/>
    <s v="Low"/>
    <s v="FRANCE"/>
    <d v="2023-01-10T00:00:00"/>
    <x v="0"/>
    <x v="11"/>
  </r>
  <r>
    <s v="ORD-2025-993993"/>
    <d v="2025-08-30T00:00:00"/>
    <d v="2025-09-22T00:00:00"/>
    <x v="3"/>
    <x v="7"/>
    <s v="Marseille"/>
    <s v="Corporate"/>
    <x v="4"/>
    <x v="5"/>
    <s v="Components"/>
    <x v="588"/>
    <n v="663.9"/>
    <n v="947.77"/>
    <n v="0.17399999999999999"/>
    <n v="15"/>
    <s v="Valid"/>
    <n v="947.77"/>
    <b v="0"/>
    <n v="0.17399999999999999"/>
    <n v="23"/>
    <d v="2025-09-22T00:00:00"/>
    <n v="23"/>
    <n v="1419181.3202999998"/>
    <n v="14216.55"/>
    <n v="1404964.7702999997"/>
    <n v="0.98998256967122789"/>
    <s v="Aug-2025"/>
    <s v="Q3-2025"/>
    <s v="Europe → France → Marseille"/>
    <x v="0"/>
    <s v="High"/>
    <s v="FRANCE"/>
    <d v="2023-01-10T00:00:00"/>
    <x v="0"/>
    <x v="28"/>
  </r>
  <r>
    <s v="ORD-2023-619493"/>
    <d v="2023-02-27T00:00:00"/>
    <d v="2023-02-26T00:00:00"/>
    <x v="1"/>
    <x v="10"/>
    <s v="San Francisco"/>
    <s v="Non-Profit"/>
    <x v="1"/>
    <x v="14"/>
    <s v="Networking"/>
    <x v="589"/>
    <n v="1015.91"/>
    <n v="2331.48"/>
    <n v="0.14599999999999999"/>
    <n v="26"/>
    <s v="Valid"/>
    <n v="2331.48"/>
    <b v="0"/>
    <n v="0.14599999999999999"/>
    <n v="-1"/>
    <d v="2023-03-06T00:00:00"/>
    <n v="7"/>
    <n v="6052997.7019199999"/>
    <n v="60618.48"/>
    <n v="5992379.2219199995"/>
    <n v="0.98998537865283309"/>
    <s v="Feb-2023"/>
    <s v="Q1-2023"/>
    <s v="Americas → USA → San Francisco"/>
    <x v="0"/>
    <s v="Low"/>
    <s v="USA"/>
    <d v="2023-01-13T00:00:00"/>
    <x v="0"/>
    <x v="2"/>
  </r>
  <r>
    <s v="ORD-2024-947056"/>
    <d v="2024-07-31T00:00:00"/>
    <d v="2024-08-15T00:00:00"/>
    <x v="2"/>
    <x v="6"/>
    <s v="Tokyo"/>
    <s v="Corporate"/>
    <x v="2"/>
    <x v="8"/>
    <s v="Monitors"/>
    <x v="590"/>
    <n v="1252.52"/>
    <n v="1417.24"/>
    <n v="0.192"/>
    <n v="5"/>
    <s v="Valid"/>
    <n v="1417.24"/>
    <b v="0"/>
    <n v="0.192"/>
    <n v="15"/>
    <d v="2024-08-15T00:00:00"/>
    <n v="15"/>
    <n v="707259.44960000005"/>
    <n v="7086.2"/>
    <n v="700173.2496000001"/>
    <n v="0.98998076306508498"/>
    <s v="Jul-2024"/>
    <s v="Q3-2024"/>
    <s v="Asia → Japan → Tokyo"/>
    <x v="1"/>
    <s v="Medium"/>
    <s v="JAPAN"/>
    <d v="2023-03-03T00:00:00"/>
    <x v="1"/>
    <x v="13"/>
  </r>
  <r>
    <s v="ORD-2025-856556"/>
    <d v="2025-06-15T00:00:00"/>
    <d v="2025-07-12T00:00:00"/>
    <x v="3"/>
    <x v="7"/>
    <s v="Marseille"/>
    <s v="Consumer"/>
    <x v="4"/>
    <x v="0"/>
    <s v="Accessories"/>
    <x v="591"/>
    <n v="318.83"/>
    <n v="699.5"/>
    <n v="0.08"/>
    <n v="13"/>
    <s v="Valid"/>
    <n v="699.5"/>
    <b v="0"/>
    <n v="0.08"/>
    <n v="27"/>
    <d v="2025-07-12T00:00:00"/>
    <n v="27"/>
    <n v="908622.52"/>
    <n v="9093.5"/>
    <n v="899529.02"/>
    <n v="0.98999199359487589"/>
    <s v="Jun-2025"/>
    <s v="Q2-2025"/>
    <s v="Europe → France → Marseille"/>
    <x v="0"/>
    <s v="High"/>
    <s v="FRANCE"/>
    <d v="2023-01-10T00:00:00"/>
    <x v="0"/>
    <x v="15"/>
  </r>
  <r>
    <s v="ORD-2024-442776"/>
    <d v="2024-06-30T00:00:00"/>
    <d v="2024-07-21T00:00:00"/>
    <x v="0"/>
    <x v="0"/>
    <s v="Kisumu"/>
    <s v="Small Business"/>
    <x v="0"/>
    <x v="10"/>
    <s v="Laptops"/>
    <x v="592"/>
    <n v="753.43"/>
    <n v="1787.2"/>
    <n v="7.2999999999999995E-2"/>
    <n v="9"/>
    <s v="Valid"/>
    <n v="1787.2"/>
    <b v="0"/>
    <n v="7.2999999999999995E-2"/>
    <n v="21"/>
    <d v="2024-07-21T00:00:00"/>
    <n v="21"/>
    <n v="1607305.8096000003"/>
    <n v="16084.800000000001"/>
    <n v="1591221.0096000002"/>
    <n v="0.98999269466710693"/>
    <s v="Jun-2024"/>
    <s v="Q2-2024"/>
    <s v="Africa → Kenya → Kisumu"/>
    <x v="2"/>
    <s v="Medium"/>
    <s v="KENYA"/>
    <d v="2023-01-20T00:00:00"/>
    <x v="0"/>
    <x v="16"/>
  </r>
  <r>
    <s v="ORD-2025-705398"/>
    <d v="2025-02-17T00:00:00"/>
    <d v="2025-02-15T00:00:00"/>
    <x v="1"/>
    <x v="2"/>
    <s v="Toronto"/>
    <s v="Small Business"/>
    <x v="0"/>
    <x v="13"/>
    <s v="Components"/>
    <x v="593"/>
    <n v="1133.47"/>
    <n v="1698.75"/>
    <n v="4.2999999999999997E-2"/>
    <n v="5"/>
    <s v="Valid"/>
    <n v="1698.75"/>
    <b v="0"/>
    <n v="4.2999999999999997E-2"/>
    <n v="-2"/>
    <d v="2025-02-24T00:00:00"/>
    <n v="7"/>
    <n v="849009.76874999993"/>
    <n v="8493.75"/>
    <n v="840516.01874999993"/>
    <n v="0.98999569815020461"/>
    <s v="Feb-2025"/>
    <s v="Q1-2025"/>
    <s v="Americas → Canada → Toronto"/>
    <x v="0"/>
    <s v="High"/>
    <s v="CANADA"/>
    <d v="2023-01-02T00:00:00"/>
    <x v="0"/>
    <x v="25"/>
  </r>
  <r>
    <s v="ORD-2023-689428"/>
    <d v="2023-01-07T00:00:00"/>
    <d v="2023-01-30T00:00:00"/>
    <x v="0"/>
    <x v="11"/>
    <s v="Cape Town"/>
    <s v="Consumer"/>
    <x v="1"/>
    <x v="7"/>
    <s v="Printers"/>
    <x v="594"/>
    <n v="299.02"/>
    <n v="724.7"/>
    <n v="0.14000000000000001"/>
    <n v="5"/>
    <s v="Valid"/>
    <n v="724.7"/>
    <b v="0"/>
    <n v="0.14000000000000001"/>
    <n v="23"/>
    <d v="2023-01-30T00:00:00"/>
    <n v="23"/>
    <n v="361842.71"/>
    <n v="3623.5"/>
    <n v="358219.21"/>
    <n v="0.9899859803725215"/>
    <s v="Jan-2023"/>
    <s v="Q1-2023"/>
    <s v="Africa → South Africa → Cape Town"/>
    <x v="1"/>
    <s v="Low"/>
    <s v="SOUTH AFRICA"/>
    <d v="2023-01-07T00:00:00"/>
    <x v="0"/>
    <x v="4"/>
  </r>
  <r>
    <s v="ORD-2025-683247"/>
    <d v="2025-03-10T00:00:00"/>
    <d v="2025-04-04T00:00:00"/>
    <x v="2"/>
    <x v="6"/>
    <s v="Osaka"/>
    <s v="Corporate"/>
    <x v="4"/>
    <x v="9"/>
    <s v="Printers"/>
    <x v="595"/>
    <n v="783.72"/>
    <n v="1355.94"/>
    <n v="0.187"/>
    <n v="4"/>
    <s v="Valid"/>
    <n v="1355.94"/>
    <b v="0"/>
    <n v="0.187"/>
    <n v="25"/>
    <d v="2025-04-04T00:00:00"/>
    <n v="25"/>
    <n v="541361.75688"/>
    <n v="5423.76"/>
    <n v="535937.99687999999"/>
    <n v="0.98998126496548544"/>
    <s v="Mar-2025"/>
    <s v="Q1-2025"/>
    <s v="Asia → Japan → Osaka"/>
    <x v="1"/>
    <s v="High"/>
    <s v="JAPAN"/>
    <d v="2023-03-03T00:00:00"/>
    <x v="1"/>
    <x v="3"/>
  </r>
  <r>
    <s v="ORD-2024-585443"/>
    <d v="2024-08-17T00:00:00"/>
    <d v="2024-08-15T00:00:00"/>
    <x v="1"/>
    <x v="4"/>
    <s v="Rio de Janeiro"/>
    <s v="Consumer"/>
    <x v="4"/>
    <x v="11"/>
    <s v="Monitors"/>
    <x v="596"/>
    <n v="165.3"/>
    <n v="275.07"/>
    <n v="0.13300000000000001"/>
    <n v="25"/>
    <s v="Valid"/>
    <n v="275.07"/>
    <b v="0"/>
    <n v="0.13300000000000001"/>
    <n v="-2"/>
    <d v="2024-08-24T00:00:00"/>
    <n v="7"/>
    <n v="686760.39225000003"/>
    <n v="6876.75"/>
    <n v="679883.64225000003"/>
    <n v="0.98998668228744224"/>
    <s v="Aug-2024"/>
    <s v="Q3-2024"/>
    <s v="Americas → Brazil → Rio de Janeiro"/>
    <x v="1"/>
    <s v="Medium"/>
    <s v="BRAZIL"/>
    <d v="2023-01-29T00:00:00"/>
    <x v="0"/>
    <x v="20"/>
  </r>
  <r>
    <s v="ORD-2024-907733"/>
    <d v="2024-03-09T00:00:00"/>
    <d v="2024-03-22T00:00:00"/>
    <x v="3"/>
    <x v="8"/>
    <s v="Manchester"/>
    <s v="Consumer"/>
    <x v="1"/>
    <x v="5"/>
    <s v="Laptops"/>
    <x v="597"/>
    <n v="985.45"/>
    <n v="1802.44"/>
    <n v="8.9999999999999993E-3"/>
    <n v="19"/>
    <s v="Valid"/>
    <n v="1802.44"/>
    <b v="0"/>
    <n v="8.9999999999999993E-3"/>
    <n v="13"/>
    <d v="2024-03-22T00:00:00"/>
    <n v="13"/>
    <n v="3424327.7827599999"/>
    <n v="34246.36"/>
    <n v="3390081.42276"/>
    <n v="0.98999909991899271"/>
    <s v="Mar-2024"/>
    <s v="Q1-2024"/>
    <s v="Europe → United Kingdom → Manchester"/>
    <x v="2"/>
    <s v="Medium"/>
    <s v="UNITED KINGDOM"/>
    <d v="2023-01-19T00:00:00"/>
    <x v="0"/>
    <x v="0"/>
  </r>
  <r>
    <s v="ORD-2024-550400"/>
    <d v="2024-08-19T00:00:00"/>
    <d v="2024-09-02T00:00:00"/>
    <x v="1"/>
    <x v="2"/>
    <s v="Toronto"/>
    <s v="Consumer"/>
    <x v="3"/>
    <x v="0"/>
    <s v="Printers"/>
    <x v="598"/>
    <n v="1337.01"/>
    <n v="1269.78"/>
    <n v="0.16"/>
    <n v="7"/>
    <s v="Valid"/>
    <n v="1269.78"/>
    <b v="0"/>
    <n v="0.16"/>
    <n v="14"/>
    <d v="2024-09-02T00:00:00"/>
    <n v="14"/>
    <n v="887423.84639999992"/>
    <n v="8888.4599999999991"/>
    <n v="878535.38639999996"/>
    <n v="0.98998397435897445"/>
    <s v="Aug-2024"/>
    <s v="Q3-2024"/>
    <s v="Americas → Canada → Toronto"/>
    <x v="1"/>
    <s v="Medium"/>
    <s v="CANADA"/>
    <d v="2023-01-02T00:00:00"/>
    <x v="0"/>
    <x v="20"/>
  </r>
  <r>
    <s v="ORD-2025-189846"/>
    <d v="2025-08-11T00:00:00"/>
    <d v="2025-08-28T00:00:00"/>
    <x v="3"/>
    <x v="7"/>
    <s v="Paris"/>
    <s v="Education"/>
    <x v="1"/>
    <x v="8"/>
    <s v="Networking"/>
    <x v="599"/>
    <n v="416.16"/>
    <n v="571.9"/>
    <n v="7.0999999999999994E-2"/>
    <n v="2"/>
    <s v="Valid"/>
    <n v="571.9"/>
    <b v="0"/>
    <n v="7.0999999999999994E-2"/>
    <n v="17"/>
    <d v="2025-08-28T00:00:00"/>
    <n v="17"/>
    <n v="114298.7902"/>
    <n v="1143.8"/>
    <n v="113154.9902"/>
    <n v="0.98999289495541831"/>
    <s v="Aug-2025"/>
    <s v="Q3-2025"/>
    <s v="Europe → France → Paris"/>
    <x v="0"/>
    <s v="High"/>
    <s v="FRANCE"/>
    <d v="2023-01-10T00:00:00"/>
    <x v="0"/>
    <x v="28"/>
  </r>
  <r>
    <s v="ORD-2025-752192"/>
    <d v="2025-05-16T00:00:00"/>
    <d v="2025-05-18T00:00:00"/>
    <x v="2"/>
    <x v="6"/>
    <s v="Tokyo"/>
    <s v="Enterprise"/>
    <x v="0"/>
    <x v="1"/>
    <s v="Printers"/>
    <x v="600"/>
    <n v="1144.3800000000001"/>
    <n v="2755.04"/>
    <n v="0.15"/>
    <n v="17"/>
    <s v="Valid"/>
    <n v="2755.04"/>
    <b v="0"/>
    <n v="0.15"/>
    <n v="2"/>
    <d v="2025-05-18T00:00:00"/>
    <n v="2"/>
    <n v="4676542.648"/>
    <n v="46835.68"/>
    <n v="4629706.9680000003"/>
    <n v="0.9899849774661994"/>
    <s v="May-2025"/>
    <s v="Q2-2025"/>
    <s v="Asia → Japan → Tokyo"/>
    <x v="1"/>
    <s v="High"/>
    <s v="JAPAN"/>
    <d v="2023-03-03T00:00:00"/>
    <x v="1"/>
    <x v="7"/>
  </r>
  <r>
    <s v="ORD-2023-294716"/>
    <d v="2023-04-10T00:00:00"/>
    <d v="2023-04-25T00:00:00"/>
    <x v="3"/>
    <x v="8"/>
    <s v="London"/>
    <s v="Small Business"/>
    <x v="0"/>
    <x v="13"/>
    <s v="Printers"/>
    <x v="601"/>
    <n v="405.66"/>
    <n v="962.51"/>
    <n v="0.19"/>
    <n v="7"/>
    <s v="Valid"/>
    <n v="962.51"/>
    <b v="0"/>
    <n v="0.19"/>
    <n v="15"/>
    <d v="2023-04-25T00:00:00"/>
    <n v="15"/>
    <n v="672476.86170000001"/>
    <n v="6737.57"/>
    <n v="665739.29170000006"/>
    <n v="0.98998096383127954"/>
    <s v="Apr-2023"/>
    <s v="Q2-2023"/>
    <s v="Europe → United Kingdom → London"/>
    <x v="1"/>
    <s v="Low"/>
    <s v="UNITED KINGDOM"/>
    <d v="2023-01-19T00:00:00"/>
    <x v="0"/>
    <x v="11"/>
  </r>
  <r>
    <s v="ORD-2023-552115"/>
    <d v="2023-09-17T00:00:00"/>
    <d v="2023-10-02T00:00:00"/>
    <x v="1"/>
    <x v="4"/>
    <s v="Rio de Janeiro"/>
    <s v="Small Business"/>
    <x v="0"/>
    <x v="4"/>
    <s v="Laptops"/>
    <x v="602"/>
    <n v="689.33"/>
    <n v="668.27"/>
    <n v="0.186"/>
    <n v="13"/>
    <s v="Valid"/>
    <n v="668.27"/>
    <b v="0"/>
    <n v="0.186"/>
    <n v="15"/>
    <d v="2023-10-02T00:00:00"/>
    <n v="15"/>
    <n v="867135.12313999992"/>
    <n v="8687.51"/>
    <n v="858447.61313999991"/>
    <n v="0.98998136533953152"/>
    <s v="Sep-2023"/>
    <s v="Q3-2023"/>
    <s v="Americas → Brazil → Rio de Janeiro"/>
    <x v="2"/>
    <s v="Low"/>
    <s v="BRAZIL"/>
    <d v="2023-01-29T00:00:00"/>
    <x v="0"/>
    <x v="27"/>
  </r>
  <r>
    <s v="ORD-2023-107265"/>
    <d v="2023-04-22T00:00:00"/>
    <d v="2023-05-14T00:00:00"/>
    <x v="2"/>
    <x v="6"/>
    <s v="Nagoya"/>
    <s v="Enterprise"/>
    <x v="0"/>
    <x v="7"/>
    <s v="Accessories"/>
    <x v="603"/>
    <n v="1209.22"/>
    <n v="1404.33"/>
    <n v="0.10299999999999999"/>
    <n v="11"/>
    <s v="Valid"/>
    <n v="1404.33"/>
    <b v="0"/>
    <n v="0.10299999999999999"/>
    <n v="22"/>
    <d v="2023-05-14T00:00:00"/>
    <n v="22"/>
    <n v="1543171.89411"/>
    <n v="15447.63"/>
    <n v="1527724.2641100001"/>
    <n v="0.98998968938006149"/>
    <s v="Apr-2023"/>
    <s v="Q2-2023"/>
    <s v="Asia → Japan → Nagoya"/>
    <x v="0"/>
    <s v="Low"/>
    <s v="JAPAN"/>
    <d v="2023-03-03T00:00:00"/>
    <x v="1"/>
    <x v="11"/>
  </r>
  <r>
    <s v="ORD-2025-262434"/>
    <d v="2025-06-19T00:00:00"/>
    <d v="2025-06-21T00:00:00"/>
    <x v="0"/>
    <x v="11"/>
    <s v="Johannesburg"/>
    <s v="Small Business"/>
    <x v="5"/>
    <x v="9"/>
    <s v="Phones"/>
    <x v="604"/>
    <n v="1466.27"/>
    <n v="3589.89"/>
    <n v="9.7000000000000003E-2"/>
    <n v="9"/>
    <s v="Valid"/>
    <n v="3589.89"/>
    <b v="0"/>
    <n v="9.7000000000000003E-2"/>
    <n v="2"/>
    <d v="2025-06-21T00:00:00"/>
    <n v="2"/>
    <n v="3227767.0260299998"/>
    <n v="32309.01"/>
    <n v="3195458.0160300001"/>
    <n v="0.9899902905818645"/>
    <s v="Jun-2025"/>
    <s v="Q2-2025"/>
    <s v="Africa → South Africa → Johannesburg"/>
    <x v="2"/>
    <s v="High"/>
    <s v="SOUTH AFRICA"/>
    <d v="2023-01-07T00:00:00"/>
    <x v="0"/>
    <x v="15"/>
  </r>
  <r>
    <s v="ORD-2024-266562"/>
    <d v="2024-11-27T00:00:00"/>
    <d v="2024-12-24T00:00:00"/>
    <x v="0"/>
    <x v="0"/>
    <s v="Mombasa"/>
    <s v="Corporate"/>
    <x v="3"/>
    <x v="4"/>
    <s v="Printers"/>
    <x v="605"/>
    <n v="143.33000000000001"/>
    <n v="233.51"/>
    <n v="0.16300000000000001"/>
    <n v="14"/>
    <s v="Valid"/>
    <n v="233.51"/>
    <b v="0"/>
    <n v="0.16300000000000001"/>
    <n v="27"/>
    <d v="2024-12-24T00:00:00"/>
    <n v="27"/>
    <n v="326381.13017999998"/>
    <n v="3269.14"/>
    <n v="323111.99017999996"/>
    <n v="0.98998367338762183"/>
    <s v="Nov-2024"/>
    <s v="Q4-2024"/>
    <s v="Africa → Kenya → Mombasa"/>
    <x v="1"/>
    <s v="High"/>
    <s v="KENYA"/>
    <d v="2023-01-20T00:00:00"/>
    <x v="0"/>
    <x v="17"/>
  </r>
  <r>
    <s v="ORD-2024-838925"/>
    <d v="2024-01-28T00:00:00"/>
    <d v="2024-01-27T00:00:00"/>
    <x v="0"/>
    <x v="11"/>
    <s v="Cape Town"/>
    <s v="Enterprise"/>
    <x v="4"/>
    <x v="6"/>
    <s v="Components"/>
    <x v="606"/>
    <n v="109.75"/>
    <n v="124.25"/>
    <n v="0.12"/>
    <n v="19"/>
    <s v="Valid"/>
    <n v="124.25"/>
    <b v="0"/>
    <n v="0.12"/>
    <n v="-1"/>
    <d v="2024-02-04T00:00:00"/>
    <n v="7"/>
    <n v="235791.71"/>
    <n v="2360.75"/>
    <n v="233430.96"/>
    <n v="0.98998798558269929"/>
    <s v="Jan-2024"/>
    <s v="Q1-2024"/>
    <s v="Africa → South Africa → Cape Town"/>
    <x v="0"/>
    <s v="Medium"/>
    <s v="SOUTH AFRICA"/>
    <d v="2023-01-07T00:00:00"/>
    <x v="0"/>
    <x v="8"/>
  </r>
  <r>
    <s v="ORD-2023-664790"/>
    <d v="2023-04-16T00:00:00"/>
    <d v="2023-04-23T00:00:00"/>
    <x v="1"/>
    <x v="10"/>
    <s v="Austin"/>
    <s v="Corporate"/>
    <x v="3"/>
    <x v="6"/>
    <s v="Printers"/>
    <x v="607"/>
    <n v="1099.1500000000001"/>
    <n v="1431.37"/>
    <n v="0.104"/>
    <n v="8"/>
    <s v="Valid"/>
    <n v="1431.37"/>
    <b v="0"/>
    <n v="0.104"/>
    <n v="7"/>
    <d v="2023-04-23T00:00:00"/>
    <n v="7"/>
    <n v="1143905.1001599999"/>
    <n v="11450.96"/>
    <n v="1132454.14016"/>
    <n v="0.98998958917273971"/>
    <s v="Apr-2023"/>
    <s v="Q2-2023"/>
    <s v="Americas → USA → Austin"/>
    <x v="1"/>
    <s v="Low"/>
    <s v="USA"/>
    <d v="2023-01-13T00:00:00"/>
    <x v="0"/>
    <x v="11"/>
  </r>
  <r>
    <s v="ORD-2024-331408"/>
    <d v="2024-02-01T00:00:00"/>
    <d v="2024-02-01T00:00:00"/>
    <x v="1"/>
    <x v="10"/>
    <s v="Austin"/>
    <s v="Consumer"/>
    <x v="3"/>
    <x v="9"/>
    <s v="Printers"/>
    <x v="608"/>
    <n v="714.43"/>
    <n v="1595.52"/>
    <n v="0.19400000000000001"/>
    <n v="14"/>
    <s v="Valid"/>
    <n v="1595.52"/>
    <b v="0"/>
    <n v="0.19400000000000001"/>
    <n v="0"/>
    <d v="2024-02-01T00:00:00"/>
    <n v="0"/>
    <n v="2229394.5676799999"/>
    <n v="22337.279999999999"/>
    <n v="2207057.2876800001"/>
    <n v="0.9899805622908443"/>
    <s v="Feb-2024"/>
    <s v="Q1-2024"/>
    <s v="Americas → USA → Austin"/>
    <x v="1"/>
    <s v="Medium"/>
    <s v="USA"/>
    <d v="2023-01-13T00:00:00"/>
    <x v="0"/>
    <x v="31"/>
  </r>
  <r>
    <s v="ORD-2024-741404"/>
    <d v="2024-10-19T00:00:00"/>
    <d v="2024-11-06T00:00:00"/>
    <x v="1"/>
    <x v="10"/>
    <s v="Chicago"/>
    <s v="Education"/>
    <x v="5"/>
    <x v="0"/>
    <s v="Monitors"/>
    <x v="609"/>
    <n v="942.02"/>
    <n v="1028.46"/>
    <n v="0"/>
    <n v="9"/>
    <s v="Valid"/>
    <n v="1028.46"/>
    <b v="0"/>
    <n v="0"/>
    <n v="18"/>
    <d v="2024-11-06T00:00:00"/>
    <n v="18"/>
    <n v="925614"/>
    <n v="9256.14"/>
    <n v="916357.86"/>
    <n v="0.99"/>
    <s v="Oct-2024"/>
    <s v="Q4-2024"/>
    <s v="Americas → USA → Chicago"/>
    <x v="1"/>
    <s v="Medium"/>
    <s v="USA"/>
    <d v="2023-01-13T00:00:00"/>
    <x v="0"/>
    <x v="1"/>
  </r>
  <r>
    <s v="ORD-2024-341535"/>
    <d v="2024-06-25T00:00:00"/>
    <d v="2024-06-30T00:00:00"/>
    <x v="0"/>
    <x v="0"/>
    <s v="Kisumu"/>
    <s v="Education"/>
    <x v="4"/>
    <x v="11"/>
    <s v="Networking"/>
    <x v="610"/>
    <n v="1323.55"/>
    <n v="3230.35"/>
    <n v="2.1999999999999999E-2"/>
    <n v="26"/>
    <s v="Valid"/>
    <n v="3230.35"/>
    <b v="0"/>
    <n v="2.1999999999999999E-2"/>
    <n v="5"/>
    <d v="2024-06-30T00:00:00"/>
    <n v="5"/>
    <n v="8397062.2397999987"/>
    <n v="83989.099999999991"/>
    <n v="8313073.1397999991"/>
    <n v="0.98999779951589351"/>
    <s v="Jun-2024"/>
    <s v="Q2-2024"/>
    <s v="Africa → Kenya → Kisumu"/>
    <x v="0"/>
    <s v="Medium"/>
    <s v="KENYA"/>
    <d v="2023-01-20T00:00:00"/>
    <x v="0"/>
    <x v="16"/>
  </r>
  <r>
    <s v="ORD-2023-451931"/>
    <d v="2023-07-30T00:00:00"/>
    <d v="2023-08-19T00:00:00"/>
    <x v="3"/>
    <x v="7"/>
    <s v="Paris"/>
    <s v="Enterprise"/>
    <x v="2"/>
    <x v="3"/>
    <s v="Networking"/>
    <x v="611"/>
    <n v="1418.51"/>
    <n v="2789.61"/>
    <n v="0.17100000000000001"/>
    <n v="8"/>
    <s v="Valid"/>
    <n v="2789.61"/>
    <b v="0"/>
    <n v="0.17100000000000001"/>
    <n v="20"/>
    <d v="2023-08-19T00:00:00"/>
    <n v="20"/>
    <n v="2227871.8135199999"/>
    <n v="22316.880000000001"/>
    <n v="2205554.93352"/>
    <n v="0.98998287070891233"/>
    <s v="Jul-2023"/>
    <s v="Q3-2023"/>
    <s v="Europe → France → Paris"/>
    <x v="0"/>
    <s v="Low"/>
    <s v="FRANCE"/>
    <d v="2023-01-10T00:00:00"/>
    <x v="0"/>
    <x v="23"/>
  </r>
  <r>
    <s v="ORD-2025-532859"/>
    <d v="2025-03-11T00:00:00"/>
    <d v="2025-03-27T00:00:00"/>
    <x v="2"/>
    <x v="6"/>
    <s v="Tokyo"/>
    <s v="Enterprise"/>
    <x v="3"/>
    <x v="4"/>
    <s v="Printers"/>
    <x v="612"/>
    <n v="1317.58"/>
    <n v="1897.74"/>
    <n v="8.1000000000000003E-2"/>
    <n v="6"/>
    <s v="Valid"/>
    <n v="1897.74"/>
    <b v="0"/>
    <n v="8.1000000000000003E-2"/>
    <n v="16"/>
    <d v="2025-03-27T00:00:00"/>
    <n v="16"/>
    <n v="1137721.69836"/>
    <n v="11386.44"/>
    <n v="1126335.2583600001"/>
    <n v="0.98999189343368132"/>
    <s v="Mar-2025"/>
    <s v="Q1-2025"/>
    <s v="Asia → Japan → Tokyo"/>
    <x v="1"/>
    <s v="High"/>
    <s v="JAPAN"/>
    <d v="2023-03-03T00:00:00"/>
    <x v="1"/>
    <x v="3"/>
  </r>
  <r>
    <s v="ORD-2023-502205"/>
    <d v="2023-10-09T00:00:00"/>
    <d v="2023-10-11T00:00:00"/>
    <x v="0"/>
    <x v="1"/>
    <s v="Port Harcourt"/>
    <s v="Education"/>
    <x v="2"/>
    <x v="10"/>
    <s v="Networking"/>
    <x v="613"/>
    <n v="391.16"/>
    <n v="902.47"/>
    <n v="4.0000000000000001E-3"/>
    <n v="12"/>
    <s v="Valid"/>
    <n v="902.47"/>
    <b v="0"/>
    <n v="4.0000000000000001E-3"/>
    <n v="2"/>
    <d v="2023-10-11T00:00:00"/>
    <n v="2"/>
    <n v="1082920.68144"/>
    <n v="10829.64"/>
    <n v="1072091.0414400001"/>
    <n v="0.98999959998399945"/>
    <s v="Oct-2023"/>
    <s v="Q4-2023"/>
    <s v="Africa → Nigeria → Port Harcourt"/>
    <x v="0"/>
    <s v="Low"/>
    <s v="NIGERIA"/>
    <d v="2023-01-15T00:00:00"/>
    <x v="0"/>
    <x v="32"/>
  </r>
  <r>
    <s v="ORD-2024-930679"/>
    <d v="2024-12-17T00:00:00"/>
    <d v="2025-01-16T00:00:00"/>
    <x v="3"/>
    <x v="8"/>
    <s v="Manchester"/>
    <s v="Corporate"/>
    <x v="0"/>
    <x v="13"/>
    <s v="Monitors"/>
    <x v="614"/>
    <n v="722.87"/>
    <n v="-33.659999999999997"/>
    <n v="0.10199999999999999"/>
    <n v="28"/>
    <b v="0"/>
    <n v="33.659999999999997"/>
    <b v="0"/>
    <n v="0.10199999999999999"/>
    <n v="30"/>
    <d v="2025-01-16T00:00:00"/>
    <n v="30"/>
    <n v="94151.867039999983"/>
    <n v="942.4799999999999"/>
    <n v="93209.387039999987"/>
    <n v="0.98998978958537709"/>
    <s v="Dec-2024"/>
    <s v="Q4-2024"/>
    <s v="Europe → United Kingdom → Manchester"/>
    <x v="1"/>
    <s v="High"/>
    <s v="UNITED KINGDOM"/>
    <d v="2023-01-19T00:00:00"/>
    <x v="0"/>
    <x v="5"/>
  </r>
  <r>
    <s v="ORD-2025-150713"/>
    <d v="2025-07-11T00:00:00"/>
    <d v="2025-07-16T00:00:00"/>
    <x v="3"/>
    <x v="8"/>
    <s v="London"/>
    <s v="Enterprise"/>
    <x v="1"/>
    <x v="10"/>
    <s v="Printers"/>
    <x v="615"/>
    <n v="930.03"/>
    <n v="1086.68"/>
    <n v="0.109"/>
    <n v="26"/>
    <s v="Valid"/>
    <n v="1086.68"/>
    <b v="0"/>
    <n v="0.109"/>
    <n v="5"/>
    <d v="2025-07-16T00:00:00"/>
    <n v="5"/>
    <n v="2822288.3488800004"/>
    <n v="28253.68"/>
    <n v="2794034.6688800002"/>
    <n v="0.98998908810603548"/>
    <s v="Jul-2025"/>
    <s v="Q3-2025"/>
    <s v="Europe → United Kingdom → London"/>
    <x v="1"/>
    <s v="High"/>
    <s v="UNITED KINGDOM"/>
    <d v="2023-01-19T00:00:00"/>
    <x v="0"/>
    <x v="12"/>
  </r>
  <r>
    <s v="ORD-2024-756884"/>
    <d v="2024-10-13T00:00:00"/>
    <d v="2024-10-24T00:00:00"/>
    <x v="3"/>
    <x v="7"/>
    <s v="Paris"/>
    <s v="Education"/>
    <x v="3"/>
    <x v="8"/>
    <s v="Components"/>
    <x v="616"/>
    <n v="816.7"/>
    <n v="1010.75"/>
    <n v="4.7E-2"/>
    <n v="43"/>
    <s v="Valid"/>
    <n v="1010.75"/>
    <b v="0"/>
    <n v="4.7E-2"/>
    <n v="11"/>
    <d v="2024-10-24T00:00:00"/>
    <n v="11"/>
    <n v="4344182.2742499998"/>
    <n v="43462.25"/>
    <n v="4300720.0242499998"/>
    <n v="0.98999529778996131"/>
    <s v="Oct-2024"/>
    <s v="Q4-2024"/>
    <s v="Europe → France → Paris"/>
    <x v="0"/>
    <s v="Medium"/>
    <s v="FRANCE"/>
    <d v="2023-01-10T00:00:00"/>
    <x v="0"/>
    <x v="1"/>
  </r>
  <r>
    <s v="ORD-2023-755337"/>
    <d v="2023-09-08T00:00:00"/>
    <d v="2023-09-14T00:00:00"/>
    <x v="0"/>
    <x v="0"/>
    <s v="Nakuru"/>
    <s v="Education"/>
    <x v="4"/>
    <x v="2"/>
    <s v="Accessories"/>
    <x v="617"/>
    <n v="251.03"/>
    <n v="411.48"/>
    <n v="0.16500000000000001"/>
    <n v="3"/>
    <s v="Valid"/>
    <n v="411.48"/>
    <b v="0"/>
    <n v="0.16500000000000001"/>
    <n v="6"/>
    <d v="2023-09-14T00:00:00"/>
    <n v="6"/>
    <n v="123240.3174"/>
    <n v="1234.44"/>
    <n v="122005.8774"/>
    <n v="0.98998347273000453"/>
    <s v="Sep-2023"/>
    <s v="Q3-2023"/>
    <s v="Africa → Kenya → Nakuru"/>
    <x v="0"/>
    <s v="Low"/>
    <s v="KENYA"/>
    <d v="2023-01-20T00:00:00"/>
    <x v="0"/>
    <x v="27"/>
  </r>
  <r>
    <s v="ORD-2025-907040"/>
    <d v="2025-04-17T00:00:00"/>
    <d v="2025-05-03T00:00:00"/>
    <x v="1"/>
    <x v="4"/>
    <s v="Rio de Janeiro"/>
    <s v="Consumer"/>
    <x v="2"/>
    <x v="1"/>
    <s v="Networking"/>
    <x v="618"/>
    <n v="168.68"/>
    <n v="413.34"/>
    <n v="0.186"/>
    <n v="7"/>
    <s v="Valid"/>
    <n v="413.34"/>
    <b v="0"/>
    <n v="0.186"/>
    <n v="16"/>
    <d v="2025-05-03T00:00:00"/>
    <n v="16"/>
    <n v="288799.83131999994"/>
    <n v="2893.3799999999997"/>
    <n v="285906.45131999993"/>
    <n v="0.98998136533953152"/>
    <s v="Apr-2025"/>
    <s v="Q2-2025"/>
    <s v="Americas → Brazil → Rio de Janeiro"/>
    <x v="0"/>
    <s v="High"/>
    <s v="BRAZIL"/>
    <d v="2023-01-29T00:00:00"/>
    <x v="0"/>
    <x v="18"/>
  </r>
  <r>
    <s v="ORD-2024-817997"/>
    <d v="2024-07-28T00:00:00"/>
    <d v="2024-08-23T00:00:00"/>
    <x v="2"/>
    <x v="3"/>
    <s v="Hyderabad"/>
    <s v="Corporate"/>
    <x v="0"/>
    <x v="1"/>
    <s v="Networking"/>
    <x v="619"/>
    <n v="1339.24"/>
    <n v="1558.89"/>
    <n v="0.192"/>
    <n v="24"/>
    <s v="Valid"/>
    <n v="1558.89"/>
    <b v="0"/>
    <n v="0.192"/>
    <n v="26"/>
    <d v="2024-08-23T00:00:00"/>
    <n v="26"/>
    <n v="3734152.6348800003"/>
    <n v="37413.360000000001"/>
    <n v="3696739.2748800004"/>
    <n v="0.98998076306508498"/>
    <s v="Jul-2024"/>
    <s v="Q3-2024"/>
    <s v="Asia → India → Hyderabad"/>
    <x v="0"/>
    <s v="Medium"/>
    <s v="INDIA"/>
    <d v="2023-01-29T00:00:00"/>
    <x v="0"/>
    <x v="13"/>
  </r>
  <r>
    <s v="ORD-2025-649633"/>
    <d v="2025-07-19T00:00:00"/>
    <d v="2025-07-31T00:00:00"/>
    <x v="0"/>
    <x v="0"/>
    <s v="Nairobi"/>
    <s v="Small Business"/>
    <x v="2"/>
    <x v="6"/>
    <s v="Accessories"/>
    <x v="620"/>
    <n v="619.64"/>
    <n v="861.16"/>
    <n v="0.113"/>
    <n v="14"/>
    <s v="Valid"/>
    <n v="861.16"/>
    <b v="0"/>
    <n v="0.113"/>
    <n v="12"/>
    <d v="2025-07-31T00:00:00"/>
    <n v="12"/>
    <n v="1204261.64488"/>
    <n v="12056.24"/>
    <n v="1192205.40488"/>
    <n v="0.98998868721655475"/>
    <s v="Jul-2025"/>
    <s v="Q3-2025"/>
    <s v="Africa → Kenya → Nairobi"/>
    <x v="0"/>
    <s v="High"/>
    <s v="KENYA"/>
    <d v="2023-01-20T00:00:00"/>
    <x v="0"/>
    <x v="12"/>
  </r>
  <r>
    <s v="ORD-2023-885216"/>
    <d v="2023-08-03T00:00:00"/>
    <d v="2023-08-02T00:00:00"/>
    <x v="2"/>
    <x v="9"/>
    <s v="Shanghai"/>
    <s v="Non-Profit"/>
    <x v="4"/>
    <x v="1"/>
    <s v="Networking"/>
    <x v="621"/>
    <n v="1021.97"/>
    <n v="2296.25"/>
    <n v="0.161"/>
    <n v="26"/>
    <s v="Valid"/>
    <n v="2296.25"/>
    <b v="0"/>
    <n v="0.161"/>
    <n v="-1"/>
    <d v="2023-08-10T00:00:00"/>
    <n v="7"/>
    <n v="5960637.8975"/>
    <n v="59702.5"/>
    <n v="5900935.3975"/>
    <n v="0.9899838740371999"/>
    <s v="Aug-2023"/>
    <s v="Q3-2023"/>
    <s v="Asia → China → Shanghai"/>
    <x v="0"/>
    <s v="Low"/>
    <s v="CHINA"/>
    <d v="2023-01-12T00:00:00"/>
    <x v="0"/>
    <x v="24"/>
  </r>
  <r>
    <s v="ORD-2023-561823"/>
    <d v="2023-11-19T00:00:00"/>
    <d v="2023-12-12T00:00:00"/>
    <x v="2"/>
    <x v="3"/>
    <s v="Delhi"/>
    <s v="Small Business"/>
    <x v="4"/>
    <x v="0"/>
    <s v="Networking"/>
    <x v="622"/>
    <n v="1349.04"/>
    <n v="2636.6"/>
    <n v="0.114"/>
    <n v="14"/>
    <s v="Valid"/>
    <n v="2636.6"/>
    <b v="0"/>
    <n v="0.114"/>
    <n v="23"/>
    <d v="2023-12-12T00:00:00"/>
    <n v="23"/>
    <n v="3687031.9863999998"/>
    <n v="36912.400000000001"/>
    <n v="3650119.5863999999"/>
    <n v="0.9899885869891677"/>
    <s v="Nov-2023"/>
    <s v="Q4-2023"/>
    <s v="Asia → India → Delhi"/>
    <x v="0"/>
    <s v="Low"/>
    <s v="INDIA"/>
    <d v="2023-01-29T00:00:00"/>
    <x v="0"/>
    <x v="30"/>
  </r>
  <r>
    <s v="ORD-2023-249805"/>
    <d v="2023-12-22T00:00:00"/>
    <d v="2024-01-16T00:00:00"/>
    <x v="2"/>
    <x v="3"/>
    <s v="Hyderabad"/>
    <s v="Small Business"/>
    <x v="0"/>
    <x v="7"/>
    <s v="Components"/>
    <x v="623"/>
    <n v="1346.81"/>
    <n v="978.09"/>
    <n v="0.159"/>
    <n v="17"/>
    <s v="Valid"/>
    <n v="978.09"/>
    <b v="0"/>
    <n v="0.159"/>
    <n v="25"/>
    <d v="2024-01-16T00:00:00"/>
    <n v="25"/>
    <n v="1660109.2227299998"/>
    <n v="16627.53"/>
    <n v="1643481.6927299998"/>
    <n v="0.98998407467873917"/>
    <s v="Dec-2023"/>
    <s v="Q4-2023"/>
    <s v="Asia → India → Hyderabad"/>
    <x v="0"/>
    <s v="Medium"/>
    <s v="INDIA"/>
    <d v="2023-01-29T00:00:00"/>
    <x v="0"/>
    <x v="26"/>
  </r>
  <r>
    <s v="ORD-2023-548934"/>
    <d v="2023-08-03T00:00:00"/>
    <d v="2023-08-30T00:00:00"/>
    <x v="2"/>
    <x v="9"/>
    <s v="Shanghai"/>
    <s v="Consumer"/>
    <x v="3"/>
    <x v="12"/>
    <s v="Monitors"/>
    <x v="624"/>
    <n v="226.04"/>
    <n v="545.72"/>
    <n v="0.151"/>
    <n v="11"/>
    <s v="Valid"/>
    <n v="545.72"/>
    <b v="0"/>
    <n v="0.151"/>
    <n v="27"/>
    <d v="2023-08-30T00:00:00"/>
    <n v="27"/>
    <n v="599385.55908000004"/>
    <n v="6002.92"/>
    <n v="593382.63907999999"/>
    <n v="0.98998487716451833"/>
    <s v="Aug-2023"/>
    <s v="Q3-2023"/>
    <s v="Asia → China → Shanghai"/>
    <x v="1"/>
    <s v="Low"/>
    <s v="CHINA"/>
    <d v="2023-01-12T00:00:00"/>
    <x v="0"/>
    <x v="24"/>
  </r>
  <r>
    <s v="ORD-2023-921939"/>
    <d v="2023-06-23T00:00:00"/>
    <d v="2023-07-18T00:00:00"/>
    <x v="1"/>
    <x v="2"/>
    <s v="Vancouver"/>
    <s v="Enterprise"/>
    <x v="1"/>
    <x v="12"/>
    <s v="Phones"/>
    <x v="625"/>
    <n v="807.02"/>
    <n v="1435.54"/>
    <n v="0"/>
    <n v="23"/>
    <s v="Valid"/>
    <n v="1435.54"/>
    <b v="0"/>
    <n v="0"/>
    <n v="25"/>
    <d v="2023-07-18T00:00:00"/>
    <n v="25"/>
    <n v="3301742"/>
    <n v="33017.42"/>
    <n v="3268724.58"/>
    <n v="0.99"/>
    <s v="Jun-2023"/>
    <s v="Q2-2023"/>
    <s v="Americas → Canada → Vancouver"/>
    <x v="2"/>
    <s v="Low"/>
    <s v="CANADA"/>
    <d v="2023-01-02T00:00:00"/>
    <x v="0"/>
    <x v="22"/>
  </r>
  <r>
    <s v="ORD-2023-961864"/>
    <d v="2023-12-07T00:00:00"/>
    <d v="2024-01-02T00:00:00"/>
    <x v="3"/>
    <x v="5"/>
    <s v="Frankfurt"/>
    <s v="Enterprise"/>
    <x v="3"/>
    <x v="5"/>
    <s v="Components"/>
    <x v="626"/>
    <n v="1071.99"/>
    <n v="2397.3000000000002"/>
    <n v="6.2E-2"/>
    <n v="18"/>
    <s v="Valid"/>
    <n v="2397.3000000000002"/>
    <b v="0"/>
    <n v="6.2E-2"/>
    <n v="26"/>
    <d v="2024-01-02T00:00:00"/>
    <n v="26"/>
    <n v="4312464.6132000005"/>
    <n v="43151.4"/>
    <n v="4269313.2132000001"/>
    <n v="0.98999379615361516"/>
    <s v="Dec-2023"/>
    <s v="Q4-2023"/>
    <s v="Europe → Germany → Frankfurt"/>
    <x v="0"/>
    <s v="Medium"/>
    <s v="GERMANY"/>
    <d v="2023-01-22T00:00:00"/>
    <x v="0"/>
    <x v="26"/>
  </r>
  <r>
    <s v="ORD-2023-455933"/>
    <d v="2023-11-19T00:00:00"/>
    <d v="2023-12-19T00:00:00"/>
    <x v="2"/>
    <x v="6"/>
    <s v="Nagoya"/>
    <s v="Consumer"/>
    <x v="0"/>
    <x v="15"/>
    <s v="Phones"/>
    <x v="627"/>
    <n v="807.11"/>
    <n v="1853.86"/>
    <n v="0.13900000000000001"/>
    <n v="8"/>
    <s v="Valid"/>
    <n v="1853.86"/>
    <b v="0"/>
    <n v="0.13900000000000001"/>
    <n v="30"/>
    <d v="2023-12-19T00:00:00"/>
    <n v="30"/>
    <n v="1481026.50768"/>
    <n v="14830.88"/>
    <n v="1466195.6276800002"/>
    <n v="0.98998608065210647"/>
    <s v="Nov-2023"/>
    <s v="Q4-2023"/>
    <s v="Asia → Japan → Nagoya"/>
    <x v="2"/>
    <s v="Low"/>
    <s v="JAPAN"/>
    <d v="2023-03-03T00:00:00"/>
    <x v="1"/>
    <x v="30"/>
  </r>
  <r>
    <s v="ORD-2025-728935"/>
    <d v="2025-02-28T00:00:00"/>
    <d v="2025-03-10T00:00:00"/>
    <x v="2"/>
    <x v="6"/>
    <s v="Osaka"/>
    <s v="Education"/>
    <x v="3"/>
    <x v="12"/>
    <s v="Laptops"/>
    <x v="628"/>
    <n v="51.86"/>
    <n v="45.98"/>
    <n v="0.17299999999999999"/>
    <n v="7"/>
    <s v="Valid"/>
    <n v="45.98"/>
    <b v="0"/>
    <n v="0.17299999999999999"/>
    <n v="10"/>
    <d v="2025-03-10T00:00:00"/>
    <n v="10"/>
    <n v="32130.318219999994"/>
    <n v="321.85999999999996"/>
    <n v="31808.458219999993"/>
    <n v="0.98998267001913309"/>
    <s v="Feb-2025"/>
    <s v="Q1-2025"/>
    <s v="Asia → Japan → Osaka"/>
    <x v="2"/>
    <s v="High"/>
    <s v="JAPAN"/>
    <d v="2023-03-03T00:00:00"/>
    <x v="1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">
  <r>
    <s v="ORD-2024-275203"/>
    <d v="2024-03-11T00:00:00"/>
    <d v="2024-04-06T00:00:00"/>
    <s v="Africa"/>
    <x v="0"/>
    <s v="Kisumu"/>
    <s v="Corporate"/>
    <s v="Retail"/>
    <s v="C. Otieno"/>
    <x v="0"/>
    <s v="CMP-8270"/>
    <n v="279.24"/>
    <n v="608.9"/>
    <n v="0.112"/>
    <n v="9"/>
    <s v="Valid"/>
    <n v="608.9"/>
    <b v="0"/>
    <n v="0.112"/>
    <n v="26"/>
    <d v="2024-04-06T00:00:00"/>
    <n v="26"/>
    <n v="547396.22879999992"/>
    <n v="5480.0999999999995"/>
    <n v="541916.12879999995"/>
    <n v="0.98998878744193497"/>
    <s v="Mar-2024"/>
    <s v="Q1-2024"/>
    <s v="Africa → Kenya → Kisumu"/>
    <x v="0"/>
    <s v="Medium"/>
    <s v="KENYA"/>
    <d v="2023-01-20T00:00:00"/>
    <s v="Jan-2023"/>
    <d v="2024-03-31T00:00:00"/>
    <n v="0"/>
  </r>
  <r>
    <s v="ORD-2024-358795"/>
    <d v="2024-10-23T00:00:00"/>
    <d v="2024-10-22T00:00:00"/>
    <s v="Africa"/>
    <x v="1"/>
    <s v="Port Harcourt"/>
    <s v="Education"/>
    <s v="Online"/>
    <s v="J. Njeri"/>
    <x v="1"/>
    <s v="PRN-9322"/>
    <n v="1084.3900000000001"/>
    <n v="759.33"/>
    <n v="0.23699999999999999"/>
    <n v="31"/>
    <s v="Valid"/>
    <n v="759.33"/>
    <b v="0"/>
    <n v="0.23699999999999999"/>
    <n v="-1"/>
    <d v="2024-10-30T00:00:00"/>
    <n v="7"/>
    <n v="2348344.2024900001"/>
    <n v="23539.23"/>
    <n v="2324804.9724900001"/>
    <n v="0.98997624369756321"/>
    <s v="Oct-2024"/>
    <s v="Q4-2024"/>
    <s v="Africa → Nigeria → Port Harcourt"/>
    <x v="1"/>
    <s v="Medium"/>
    <s v="NIGERIA"/>
    <d v="2023-01-15T00:00:00"/>
    <s v="Jan-2023"/>
    <d v="2024-10-31T00:00:00"/>
    <n v="1"/>
  </r>
  <r>
    <s v="ORD-2023-373538"/>
    <d v="2023-02-28T00:00:00"/>
    <d v="2023-03-25T00:00:00"/>
    <s v="Africa"/>
    <x v="0"/>
    <s v="Nairobi"/>
    <s v="Corporate"/>
    <s v="Retail"/>
    <s v="I. Johnson"/>
    <x v="2"/>
    <s v="NET-9666"/>
    <n v="1460.76"/>
    <n v="-30.66"/>
    <n v="0.13100000000000001"/>
    <n v="12"/>
    <b v="0"/>
    <n v="30.66"/>
    <b v="0"/>
    <n v="0.13100000000000001"/>
    <n v="25"/>
    <d v="2023-03-25T00:00:00"/>
    <n v="25"/>
    <n v="36743.802479999998"/>
    <n v="367.92"/>
    <n v="36375.88248"/>
    <n v="0.98998688281648961"/>
    <s v="Feb-2023"/>
    <s v="Q1-2023"/>
    <s v="Africa → Kenya → Nairobi"/>
    <x v="0"/>
    <s v="Low"/>
    <s v="KENYA"/>
    <d v="2023-01-20T00:00:00"/>
    <s v="Jan-2023"/>
    <d v="2023-02-28T00:00:00"/>
    <n v="0"/>
  </r>
  <r>
    <s v="ORD-2025-168148"/>
    <d v="2025-03-29T00:00:00"/>
    <d v="2025-04-02T00:00:00"/>
    <s v="Africa"/>
    <x v="1"/>
    <s v="Lagos"/>
    <s v="Non-Profit"/>
    <s v="Marketplace"/>
    <s v="G. Dubois"/>
    <x v="3"/>
    <s v="PHN-4556"/>
    <n v="259.93"/>
    <n v="255.94"/>
    <n v="7.1999999999999995E-2"/>
    <n v="22"/>
    <s v="Valid"/>
    <n v="255.94"/>
    <b v="0"/>
    <n v="7.1999999999999995E-2"/>
    <n v="4"/>
    <d v="2025-04-02T00:00:00"/>
    <n v="4"/>
    <n v="562662.59103999997"/>
    <n v="5630.68"/>
    <n v="557031.91103999992"/>
    <n v="0.98999279481226476"/>
    <s v="Mar-2025"/>
    <s v="Q1-2025"/>
    <s v="Africa → Nigeria → Lagos"/>
    <x v="2"/>
    <s v="High"/>
    <s v="NIGERIA"/>
    <d v="2023-01-15T00:00:00"/>
    <s v="Jan-2023"/>
    <d v="2025-03-31T00:00:00"/>
    <n v="1"/>
  </r>
  <r>
    <s v="ORD-2023-723587"/>
    <d v="2023-01-02T00:00:00"/>
    <d v="2023-01-05T00:00:00"/>
    <s v="Americas"/>
    <x v="2"/>
    <s v="Toronto"/>
    <s v="Corporate"/>
    <s v="Distributor"/>
    <s v="B. Chen"/>
    <x v="4"/>
    <s v="LAP-8555"/>
    <n v="315.87"/>
    <n v="591.67999999999995"/>
    <n v="0"/>
    <n v="7"/>
    <s v="Valid"/>
    <n v="591.67999999999995"/>
    <b v="0"/>
    <n v="0"/>
    <n v="3"/>
    <d v="2023-01-05T00:00:00"/>
    <n v="3"/>
    <n v="414175.99999999994"/>
    <n v="4141.7599999999993"/>
    <n v="410034.23999999993"/>
    <n v="0.99"/>
    <s v="Jan-2023"/>
    <s v="Q1-2023"/>
    <s v="Americas → Canada → Toronto"/>
    <x v="2"/>
    <s v="Low"/>
    <s v="CANADA"/>
    <d v="2023-01-02T00:00:00"/>
    <s v="Jan-2023"/>
    <d v="2023-01-31T00:00:00"/>
    <n v="1"/>
  </r>
  <r>
    <s v="ORD-2024-336584"/>
    <d v="2024-12-27T00:00:00"/>
    <d v="2025-01-14T00:00:00"/>
    <s v="Asia"/>
    <x v="3"/>
    <s v="Bengaluru"/>
    <s v="Small Business"/>
    <s v="Marketplace"/>
    <s v="E. Garcia"/>
    <x v="5"/>
    <s v="MON-8629"/>
    <n v="586.07000000000005"/>
    <n v="845.97"/>
    <n v="0.14699999999999999"/>
    <n v="4"/>
    <s v="Valid"/>
    <n v="845.97"/>
    <b v="0"/>
    <n v="0.14699999999999999"/>
    <n v="18"/>
    <d v="2025-01-14T00:00:00"/>
    <n v="18"/>
    <n v="337890.56964"/>
    <n v="3383.88"/>
    <n v="334506.68964"/>
    <n v="0.98998527835918804"/>
    <s v="Dec-2024"/>
    <s v="Q4-2024"/>
    <s v="Asia → India → Bengaluru"/>
    <x v="1"/>
    <s v="High"/>
    <s v="INDIA"/>
    <d v="2023-01-29T00:00:00"/>
    <s v="Jan-2023"/>
    <d v="2024-12-31T00:00:00"/>
    <n v="0"/>
  </r>
  <r>
    <s v="ORD-2023-112666"/>
    <d v="2023-01-15T00:00:00"/>
    <d v="2023-01-13T00:00:00"/>
    <s v="Africa"/>
    <x v="1"/>
    <s v="Abuja"/>
    <s v="Education"/>
    <s v="Online"/>
    <s v="O. Wang"/>
    <x v="1"/>
    <s v="PRN-6276"/>
    <n v="28.38"/>
    <n v="47.22"/>
    <n v="0.19400000000000001"/>
    <n v="18"/>
    <s v="Valid"/>
    <n v="47.22"/>
    <b v="0"/>
    <n v="0.19400000000000001"/>
    <n v="-2"/>
    <d v="2023-01-22T00:00:00"/>
    <n v="7"/>
    <n v="84831.107759999999"/>
    <n v="849.96"/>
    <n v="83981.147759999993"/>
    <n v="0.98998056229084419"/>
    <s v="Jan-2023"/>
    <s v="Q1-2023"/>
    <s v="Africa → Nigeria → Abuja"/>
    <x v="1"/>
    <s v="Low"/>
    <s v="NIGERIA"/>
    <d v="2023-01-15T00:00:00"/>
    <s v="Jan-2023"/>
    <d v="2023-01-31T00:00:00"/>
    <n v="1"/>
  </r>
  <r>
    <s v="ORD-2024-589570"/>
    <d v="2024-05-04T00:00:00"/>
    <d v="2024-05-29T00:00:00"/>
    <s v="Africa"/>
    <x v="1"/>
    <s v="Abuja"/>
    <s v="Non-Profit"/>
    <s v="Marketplace"/>
    <s v="O. Wang"/>
    <x v="5"/>
    <s v="MON-6892"/>
    <n v="1295.3399999999999"/>
    <n v="2530.81"/>
    <n v="3.1E-2"/>
    <n v="6"/>
    <s v="Valid"/>
    <n v="2530.81"/>
    <b v="0"/>
    <n v="3.1E-2"/>
    <n v="25"/>
    <d v="2024-05-29T00:00:00"/>
    <n v="25"/>
    <n v="1518015.2693399999"/>
    <n v="15184.86"/>
    <n v="1502830.4093399998"/>
    <n v="0.98999689903870192"/>
    <s v="May-2024"/>
    <s v="Q2-2024"/>
    <s v="Africa → Nigeria → Abuja"/>
    <x v="1"/>
    <s v="Medium"/>
    <s v="NIGERIA"/>
    <d v="2023-01-15T00:00:00"/>
    <s v="Jan-2023"/>
    <d v="2024-05-31T00:00:00"/>
    <n v="0"/>
  </r>
  <r>
    <s v="ORD-2025-997421"/>
    <d v="2025-05-21T00:00:00"/>
    <d v="2025-06-09T00:00:00"/>
    <s v="Americas"/>
    <x v="4"/>
    <s v="São Paulo"/>
    <s v="Non-Profit"/>
    <s v="Online"/>
    <s v="A. Patel"/>
    <x v="0"/>
    <s v="CMP-3731"/>
    <n v="1331.38"/>
    <n v="2309.56"/>
    <n v="0.14899999999999999"/>
    <n v="31"/>
    <s v="Valid"/>
    <n v="2309.56"/>
    <b v="0"/>
    <n v="0.14899999999999999"/>
    <n v="19"/>
    <d v="2025-06-09T00:00:00"/>
    <n v="19"/>
    <n v="7148968.1423599999"/>
    <n v="71596.36"/>
    <n v="7077371.7823599996"/>
    <n v="0.98998507776587108"/>
    <s v="May-2025"/>
    <s v="Q2-2025"/>
    <s v="Americas → Brazil → São Paulo"/>
    <x v="0"/>
    <s v="High"/>
    <s v="BRAZIL"/>
    <d v="2023-01-29T00:00:00"/>
    <s v="Jan-2023"/>
    <d v="2025-05-31T00:00:00"/>
    <n v="0"/>
  </r>
  <r>
    <s v="ORD-2024-210687"/>
    <d v="2024-01-28T00:00:00"/>
    <d v="2024-02-09T00:00:00"/>
    <s v="Europe"/>
    <x v="5"/>
    <s v="Berlin"/>
    <s v="Corporate"/>
    <s v="Online"/>
    <s v="G. Dubois"/>
    <x v="6"/>
    <s v="ACC-7938"/>
    <n v="644.16999999999996"/>
    <n v="700.12"/>
    <n v="6.0000000000000001E-3"/>
    <n v="23"/>
    <s v="Valid"/>
    <n v="700.12"/>
    <b v="0"/>
    <n v="6.0000000000000001E-3"/>
    <n v="12"/>
    <d v="2024-02-09T00:00:00"/>
    <n v="12"/>
    <n v="1610179.38344"/>
    <n v="16102.76"/>
    <n v="1594076.62344"/>
    <n v="0.98999939996399788"/>
    <s v="Jan-2024"/>
    <s v="Q1-2024"/>
    <s v="Europe → Germany → Berlin"/>
    <x v="0"/>
    <s v="Medium"/>
    <s v="GERMANY"/>
    <d v="2023-01-22T00:00:00"/>
    <s v="Jan-2023"/>
    <d v="2024-01-31T00:00:00"/>
    <n v="0"/>
  </r>
  <r>
    <s v="ORD-2025-515515"/>
    <d v="2025-01-03T00:00:00"/>
    <d v="2025-01-23T00:00:00"/>
    <s v="Asia"/>
    <x v="6"/>
    <s v="Osaka"/>
    <s v="Corporate"/>
    <s v="Distributor"/>
    <s v="F. Müller"/>
    <x v="3"/>
    <s v="PHN-7019"/>
    <n v="908.6"/>
    <n v="691.37"/>
    <n v="0.25"/>
    <n v="20"/>
    <s v="Valid"/>
    <n v="691.37"/>
    <b v="0"/>
    <n v="0.25"/>
    <n v="20"/>
    <d v="2025-01-23T00:00:00"/>
    <n v="20"/>
    <n v="1379283.15"/>
    <n v="13827.4"/>
    <n v="1365455.75"/>
    <n v="0.98997493734335851"/>
    <s v="Jan-2025"/>
    <s v="Q1-2025"/>
    <s v="Asia → Japan → Osaka"/>
    <x v="2"/>
    <s v="High"/>
    <s v="JAPAN"/>
    <d v="2023-03-03T00:00:00"/>
    <s v="Mar-2023"/>
    <d v="2025-01-31T00:00:00"/>
    <n v="0"/>
  </r>
  <r>
    <s v="ORD-2025-487261"/>
    <d v="2025-03-06T00:00:00"/>
    <d v="2025-03-31T00:00:00"/>
    <s v="Americas"/>
    <x v="4"/>
    <s v="Brasília"/>
    <s v="Non-Profit"/>
    <s v="Online"/>
    <s v="J. Njeri"/>
    <x v="0"/>
    <s v="CMP-3693"/>
    <n v="331.57"/>
    <n v="548.4"/>
    <n v="9.4E-2"/>
    <n v="10"/>
    <s v="Valid"/>
    <n v="548.4"/>
    <b v="0"/>
    <n v="9.4E-2"/>
    <n v="25"/>
    <d v="2025-03-31T00:00:00"/>
    <n v="25"/>
    <n v="547884.50400000007"/>
    <n v="5484"/>
    <n v="542400.50400000007"/>
    <n v="0.98999059115568633"/>
    <s v="Mar-2025"/>
    <s v="Q1-2025"/>
    <s v="Americas → Brazil → Brasília"/>
    <x v="0"/>
    <s v="High"/>
    <s v="BRAZIL"/>
    <d v="2023-01-29T00:00:00"/>
    <s v="Jan-2023"/>
    <d v="2025-03-31T00:00:00"/>
    <n v="0"/>
  </r>
  <r>
    <s v="ORD-2024-890180"/>
    <d v="2024-01-20T00:00:00"/>
    <d v="2024-02-13T00:00:00"/>
    <s v="Europe"/>
    <x v="7"/>
    <s v="Marseille"/>
    <s v="Corporate"/>
    <s v="Retail"/>
    <s v="H. Kim"/>
    <x v="1"/>
    <s v="PRN-8392"/>
    <n v="643.53"/>
    <n v="1439.01"/>
    <n v="0"/>
    <n v="15"/>
    <s v="Valid"/>
    <n v="1439.01"/>
    <b v="0"/>
    <n v="0"/>
    <n v="24"/>
    <d v="2024-02-13T00:00:00"/>
    <n v="24"/>
    <n v="2158515"/>
    <n v="21585.15"/>
    <n v="2136929.85"/>
    <n v="0.99"/>
    <s v="Jan-2024"/>
    <s v="Q1-2024"/>
    <s v="Europe → France → Marseille"/>
    <x v="1"/>
    <s v="Medium"/>
    <s v="FRANCE"/>
    <d v="2023-01-10T00:00:00"/>
    <s v="Jan-2023"/>
    <d v="2024-01-31T00:00:00"/>
    <n v="0"/>
  </r>
  <r>
    <s v="ORD-2025-840976"/>
    <d v="2025-09-01T00:00:00"/>
    <d v="2025-09-30T00:00:00"/>
    <s v="Americas"/>
    <x v="4"/>
    <s v="Brasília"/>
    <s v="Education"/>
    <s v="Retail"/>
    <s v="K. Singh"/>
    <x v="6"/>
    <s v="ACC-1663"/>
    <n v="780.59"/>
    <n v="631.57000000000005"/>
    <n v="0"/>
    <n v="12"/>
    <s v="Valid"/>
    <n v="631.57000000000005"/>
    <b v="0"/>
    <n v="0"/>
    <n v="29"/>
    <d v="2025-09-30T00:00:00"/>
    <n v="29"/>
    <n v="757884"/>
    <n v="7578.84"/>
    <n v="750305.16"/>
    <n v="0.99"/>
    <s v="Sep-2025"/>
    <s v="Q3-2025"/>
    <s v="Americas → Brazil → Brasília"/>
    <x v="0"/>
    <s v="High"/>
    <s v="BRAZIL"/>
    <d v="2023-01-29T00:00:00"/>
    <s v="Jan-2023"/>
    <d v="2025-09-30T00:00:00"/>
    <n v="0"/>
  </r>
  <r>
    <s v="ORD-2023-937291"/>
    <d v="2023-04-23T00:00:00"/>
    <d v="2023-04-22T00:00:00"/>
    <s v="Africa"/>
    <x v="0"/>
    <s v="Nairobi"/>
    <s v="Small Business"/>
    <s v="Direct"/>
    <s v="E. Garcia"/>
    <x v="4"/>
    <s v="LAP-1698"/>
    <n v="756.51"/>
    <n v="850.8"/>
    <n v="7.3999999999999996E-2"/>
    <n v="9"/>
    <s v="Valid"/>
    <n v="850.8"/>
    <b v="0"/>
    <n v="7.3999999999999996E-2"/>
    <n v="-1"/>
    <d v="2023-04-30T00:00:00"/>
    <n v="7"/>
    <n v="765153.36719999998"/>
    <n v="7657.2"/>
    <n v="757496.16720000003"/>
    <n v="0.98999259451994481"/>
    <s v="Apr-2023"/>
    <s v="Q2-2023"/>
    <s v="Africa → Kenya → Nairobi"/>
    <x v="2"/>
    <s v="Low"/>
    <s v="KENYA"/>
    <d v="2023-01-20T00:00:00"/>
    <s v="Jan-2023"/>
    <d v="2023-04-30T00:00:00"/>
    <n v="1"/>
  </r>
  <r>
    <s v="ORD-2024-206081"/>
    <d v="2024-12-10T00:00:00"/>
    <d v="2025-01-08T00:00:00"/>
    <s v="Europe"/>
    <x v="7"/>
    <s v="Marseille"/>
    <s v="Small Business"/>
    <s v="Retail"/>
    <s v="K. Singh"/>
    <x v="1"/>
    <s v="PRN-6791"/>
    <n v="891.08"/>
    <n v="1040.0999999999999"/>
    <n v="0.109"/>
    <n v="28"/>
    <s v="Valid"/>
    <n v="1040.0999999999999"/>
    <b v="0"/>
    <n v="0.109"/>
    <n v="29"/>
    <d v="2025-01-08T00:00:00"/>
    <n v="29"/>
    <n v="2909105.6147999996"/>
    <n v="29122.799999999996"/>
    <n v="2879982.8147999998"/>
    <n v="0.98998908810603559"/>
    <s v="Dec-2024"/>
    <s v="Q4-2024"/>
    <s v="Europe → France → Marseille"/>
    <x v="1"/>
    <s v="High"/>
    <s v="FRANCE"/>
    <d v="2023-01-10T00:00:00"/>
    <s v="Jan-2023"/>
    <d v="2024-12-31T00:00:00"/>
    <n v="0"/>
  </r>
  <r>
    <s v="ORD-2025-233883"/>
    <d v="2025-09-08T00:00:00"/>
    <d v="2025-09-16T00:00:00"/>
    <s v="Asia"/>
    <x v="6"/>
    <s v="Osaka"/>
    <s v="Corporate"/>
    <s v="Distributor"/>
    <s v="C. Otieno"/>
    <x v="3"/>
    <s v="PHN-1197"/>
    <n v="1225.57"/>
    <n v="2705.57"/>
    <n v="0.183"/>
    <n v="16"/>
    <s v="Valid"/>
    <n v="2705.57"/>
    <b v="0"/>
    <n v="0.183"/>
    <n v="8"/>
    <d v="2025-09-16T00:00:00"/>
    <n v="8"/>
    <n v="4320990.0910400003"/>
    <n v="43289.120000000003"/>
    <n v="4277700.9710400002"/>
    <n v="0.98998166644960273"/>
    <s v="Sep-2025"/>
    <s v="Q3-2025"/>
    <s v="Asia → Japan → Osaka"/>
    <x v="2"/>
    <s v="High"/>
    <s v="JAPAN"/>
    <d v="2023-03-03T00:00:00"/>
    <s v="Mar-2023"/>
    <d v="2025-09-30T00:00:00"/>
    <n v="0"/>
  </r>
  <r>
    <s v="ORD-2025-843974"/>
    <d v="2025-07-20T00:00:00"/>
    <d v="2025-08-05T00:00:00"/>
    <s v="Americas"/>
    <x v="4"/>
    <s v="Brasília"/>
    <s v="Enterprise"/>
    <s v="Marketplace"/>
    <s v="G. Dubois"/>
    <x v="6"/>
    <s v="ACC-8098"/>
    <n v="1068.17"/>
    <n v="2375.37"/>
    <n v="0.109"/>
    <n v="18"/>
    <s v="Valid"/>
    <n v="2375.37"/>
    <b v="0"/>
    <n v="0.109"/>
    <n v="16"/>
    <d v="2025-08-05T00:00:00"/>
    <n v="16"/>
    <n v="4271005.5240599997"/>
    <n v="42756.659999999996"/>
    <n v="4228248.8640599996"/>
    <n v="0.98998908810603559"/>
    <s v="Jul-2025"/>
    <s v="Q3-2025"/>
    <s v="Americas → Brazil → Brasília"/>
    <x v="0"/>
    <s v="High"/>
    <s v="BRAZIL"/>
    <d v="2023-01-29T00:00:00"/>
    <s v="Jan-2023"/>
    <d v="2025-07-31T00:00:00"/>
    <n v="0"/>
  </r>
  <r>
    <s v="ORD-2025-745263"/>
    <d v="2025-05-21T00:00:00"/>
    <d v="2025-05-19T00:00:00"/>
    <s v="Europe"/>
    <x v="8"/>
    <s v="Birmingham"/>
    <s v="Enterprise"/>
    <s v="Online"/>
    <s v="M. Rossi"/>
    <x v="4"/>
    <s v="LAP-3385"/>
    <n v="1015.16"/>
    <n v="2148.14"/>
    <n v="3.7999999999999999E-2"/>
    <n v="19"/>
    <s v="Valid"/>
    <n v="2148.14"/>
    <b v="0"/>
    <n v="3.7999999999999999E-2"/>
    <n v="-2"/>
    <d v="2025-05-28T00:00:00"/>
    <n v="7"/>
    <n v="4079915.0429199999"/>
    <n v="40814.659999999996"/>
    <n v="4039100.3829199998"/>
    <n v="0.98999619855545107"/>
    <s v="May-2025"/>
    <s v="Q2-2025"/>
    <s v="Europe → United Kingdom → Birmingham"/>
    <x v="2"/>
    <s v="High"/>
    <s v="UNITED KINGDOM"/>
    <d v="2023-01-19T00:00:00"/>
    <s v="Jan-2023"/>
    <d v="2025-05-31T00:00:00"/>
    <n v="1"/>
  </r>
  <r>
    <s v="ORD-2024-798002"/>
    <d v="2024-07-25T00:00:00"/>
    <d v="2024-07-24T00:00:00"/>
    <s v="Africa"/>
    <x v="0"/>
    <s v="Mombasa"/>
    <s v="Non-Profit"/>
    <s v="Direct"/>
    <s v="J. Njeri"/>
    <x v="4"/>
    <s v="LAP-9815"/>
    <n v="1494.4"/>
    <n v="3661.07"/>
    <n v="7.1999999999999995E-2"/>
    <n v="7"/>
    <s v="Valid"/>
    <n v="3661.07"/>
    <b v="0"/>
    <n v="7.1999999999999995E-2"/>
    <n v="-1"/>
    <d v="2024-08-01T00:00:00"/>
    <n v="7"/>
    <n v="2560903.8207200002"/>
    <n v="25627.49"/>
    <n v="2535276.33072"/>
    <n v="0.98999279481226476"/>
    <s v="Jul-2024"/>
    <s v="Q3-2024"/>
    <s v="Africa → Kenya → Mombasa"/>
    <x v="2"/>
    <s v="Medium"/>
    <s v="KENYA"/>
    <d v="2023-01-20T00:00:00"/>
    <s v="Jan-2023"/>
    <d v="2024-07-31T00:00:00"/>
    <n v="1"/>
  </r>
  <r>
    <s v="ORD-2023-867836"/>
    <d v="2023-05-11T00:00:00"/>
    <d v="2023-05-28T00:00:00"/>
    <s v="Asia"/>
    <x v="9"/>
    <s v="Shenzhen"/>
    <s v="Enterprise"/>
    <s v="Marketplace"/>
    <s v="E. Garcia"/>
    <x v="2"/>
    <s v="NET-3255"/>
    <n v="1331.19"/>
    <n v="2903.09"/>
    <n v="0.14299999999999999"/>
    <n v="8"/>
    <s v="Valid"/>
    <n v="2903.09"/>
    <b v="0"/>
    <n v="0.14299999999999999"/>
    <n v="17"/>
    <d v="2023-05-28T00:00:00"/>
    <n v="17"/>
    <n v="2319150.8650400001"/>
    <n v="23224.720000000001"/>
    <n v="2295926.1450399999"/>
    <n v="0.98998567952171601"/>
    <s v="May-2023"/>
    <s v="Q2-2023"/>
    <s v="Asia → China → Shenzhen"/>
    <x v="0"/>
    <s v="Low"/>
    <s v="CHINA"/>
    <d v="2023-01-12T00:00:00"/>
    <s v="Jan-2023"/>
    <d v="2023-05-31T00:00:00"/>
    <n v="0"/>
  </r>
  <r>
    <s v="ORD-2025-580047"/>
    <d v="2025-06-14T00:00:00"/>
    <d v="2025-06-29T00:00:00"/>
    <s v="Africa"/>
    <x v="1"/>
    <s v="Port Harcourt"/>
    <s v="Consumer"/>
    <s v="Marketplace"/>
    <s v="M. Rossi"/>
    <x v="6"/>
    <s v="ACC-3961"/>
    <n v="730.99"/>
    <n v="1242.8399999999999"/>
    <n v="0.12"/>
    <n v="10"/>
    <s v="Valid"/>
    <n v="1242.8399999999999"/>
    <b v="0"/>
    <n v="0.12"/>
    <n v="15"/>
    <d v="2025-06-29T00:00:00"/>
    <n v="15"/>
    <n v="1241348.5919999999"/>
    <n v="12428.4"/>
    <n v="1228920.192"/>
    <n v="0.98998798558269929"/>
    <s v="Jun-2025"/>
    <s v="Q2-2025"/>
    <s v="Africa → Nigeria → Port Harcourt"/>
    <x v="0"/>
    <s v="High"/>
    <s v="NIGERIA"/>
    <d v="2023-01-15T00:00:00"/>
    <s v="Jan-2023"/>
    <d v="2025-06-30T00:00:00"/>
    <n v="0"/>
  </r>
  <r>
    <s v="ORD-2024-500109"/>
    <d v="2024-05-18T00:00:00"/>
    <d v="2024-05-23T00:00:00"/>
    <s v="Americas"/>
    <x v="10"/>
    <s v="Chicago"/>
    <s v="Enterprise"/>
    <s v="Retail"/>
    <s v="H. Kim"/>
    <x v="4"/>
    <s v="LAP-4987"/>
    <n v="1274.5899999999999"/>
    <n v="2553.69"/>
    <n v="0.01"/>
    <n v="8"/>
    <s v="Valid"/>
    <n v="2553.69"/>
    <b v="0"/>
    <n v="0.01"/>
    <n v="5"/>
    <d v="2024-05-23T00:00:00"/>
    <n v="5"/>
    <n v="2042747.7047999999"/>
    <n v="20429.52"/>
    <n v="2022318.1847999999"/>
    <n v="0.98999899989998996"/>
    <s v="May-2024"/>
    <s v="Q2-2024"/>
    <s v="Americas → USA → Chicago"/>
    <x v="2"/>
    <s v="Medium"/>
    <s v="USA"/>
    <d v="2023-01-13T00:00:00"/>
    <s v="Jan-2023"/>
    <d v="2024-05-31T00:00:00"/>
    <n v="1"/>
  </r>
  <r>
    <s v="ORD-2023-271836"/>
    <d v="2023-02-07T00:00:00"/>
    <d v="2023-02-12T00:00:00"/>
    <s v="Americas"/>
    <x v="4"/>
    <s v="São Paulo"/>
    <s v="Education"/>
    <s v="Online"/>
    <s v="N. Brown"/>
    <x v="0"/>
    <s v="CMP-2693"/>
    <n v="948.55"/>
    <n v="2089.16"/>
    <n v="7.0000000000000001E-3"/>
    <n v="12"/>
    <s v="Valid"/>
    <n v="2089.16"/>
    <b v="0"/>
    <n v="7.0000000000000001E-3"/>
    <n v="5"/>
    <d v="2023-02-12T00:00:00"/>
    <n v="5"/>
    <n v="2506816.5105599998"/>
    <n v="25069.919999999998"/>
    <n v="2481746.5905599999"/>
    <n v="0.98999929995099656"/>
    <s v="Feb-2023"/>
    <s v="Q1-2023"/>
    <s v="Americas → Brazil → São Paulo"/>
    <x v="0"/>
    <s v="Low"/>
    <s v="BRAZIL"/>
    <d v="2023-01-29T00:00:00"/>
    <s v="Jan-2023"/>
    <d v="2023-02-28T00:00:00"/>
    <n v="1"/>
  </r>
  <r>
    <s v="ORD-2024-215294"/>
    <d v="2024-06-30T00:00:00"/>
    <d v="2024-07-14T00:00:00"/>
    <s v="Americas"/>
    <x v="4"/>
    <s v="Brasília"/>
    <s v="Education"/>
    <s v="Retail"/>
    <s v="C. Otieno"/>
    <x v="6"/>
    <s v="ACC-8683"/>
    <n v="1491.85"/>
    <n v="2583.02"/>
    <n v="0.16800000000000001"/>
    <n v="4"/>
    <s v="Valid"/>
    <n v="2583.02"/>
    <b v="0"/>
    <n v="0.16800000000000001"/>
    <n v="14"/>
    <d v="2024-07-14T00:00:00"/>
    <n v="14"/>
    <n v="1031472.2105599999"/>
    <n v="10332.08"/>
    <n v="1021140.13056"/>
    <n v="0.98998317172850392"/>
    <s v="Jun-2024"/>
    <s v="Q2-2024"/>
    <s v="Americas → Brazil → Brasília"/>
    <x v="0"/>
    <s v="Medium"/>
    <s v="BRAZIL"/>
    <d v="2023-01-29T00:00:00"/>
    <s v="Jan-2023"/>
    <d v="2024-06-30T00:00:00"/>
    <n v="0"/>
  </r>
  <r>
    <s v="ORD-2024-788105"/>
    <d v="2024-11-30T00:00:00"/>
    <d v="2024-12-30T00:00:00"/>
    <s v="Europe"/>
    <x v="7"/>
    <s v="Marseille"/>
    <s v="Consumer"/>
    <s v="Marketplace"/>
    <s v="F. Müller"/>
    <x v="1"/>
    <s v="PRN-4170"/>
    <n v="117.64"/>
    <n v="175.67"/>
    <n v="0"/>
    <n v="10"/>
    <s v="Valid"/>
    <n v="175.67"/>
    <b v="0"/>
    <n v="0"/>
    <n v="30"/>
    <d v="2024-12-30T00:00:00"/>
    <n v="30"/>
    <n v="175669.99999999997"/>
    <n v="1756.6999999999998"/>
    <n v="173913.29999999996"/>
    <n v="0.98999999999999988"/>
    <s v="Nov-2024"/>
    <s v="Q4-2024"/>
    <s v="Europe → France → Marseille"/>
    <x v="1"/>
    <s v="High"/>
    <s v="FRANCE"/>
    <d v="2023-01-10T00:00:00"/>
    <s v="Jan-2023"/>
    <d v="2024-11-30T00:00:00"/>
    <n v="0"/>
  </r>
  <r>
    <s v="ORD-2024-855073"/>
    <d v="2024-07-19T00:00:00"/>
    <d v="2024-07-19T00:00:00"/>
    <s v="Africa"/>
    <x v="0"/>
    <s v="Kisumu"/>
    <s v="Small Business"/>
    <s v="Retail"/>
    <s v="A. Patel"/>
    <x v="3"/>
    <s v="PHN-6854"/>
    <n v="857.24"/>
    <n v="758.23"/>
    <n v="0.125"/>
    <n v="6"/>
    <s v="Valid"/>
    <n v="758.23"/>
    <b v="0"/>
    <n v="0.125"/>
    <n v="0"/>
    <d v="2024-07-19T00:00:00"/>
    <n v="0"/>
    <n v="454369.32750000001"/>
    <n v="4549.38"/>
    <n v="449819.94750000001"/>
    <n v="0.98998748435544426"/>
    <s v="Jul-2024"/>
    <s v="Q3-2024"/>
    <s v="Africa → Kenya → Kisumu"/>
    <x v="2"/>
    <s v="Medium"/>
    <s v="KENYA"/>
    <d v="2023-01-20T00:00:00"/>
    <s v="Jan-2023"/>
    <d v="2024-07-31T00:00:00"/>
    <n v="1"/>
  </r>
  <r>
    <s v="ORD-2023-897079"/>
    <d v="2023-04-14T00:00:00"/>
    <d v="2023-05-14T00:00:00"/>
    <s v="Africa"/>
    <x v="0"/>
    <s v="Nakuru"/>
    <s v="Consumer"/>
    <s v="Marketplace"/>
    <s v="M. Rossi"/>
    <x v="3"/>
    <s v="PHN-1784"/>
    <n v="209.25"/>
    <n v="434.8"/>
    <n v="0"/>
    <n v="9"/>
    <s v="Valid"/>
    <n v="434.8"/>
    <b v="0"/>
    <n v="0"/>
    <n v="30"/>
    <d v="2023-05-14T00:00:00"/>
    <n v="30"/>
    <n v="391320"/>
    <n v="3913.2000000000003"/>
    <n v="387406.8"/>
    <n v="0.99"/>
    <s v="Apr-2023"/>
    <s v="Q2-2023"/>
    <s v="Africa → Kenya → Nakuru"/>
    <x v="2"/>
    <s v="Low"/>
    <s v="KENYA"/>
    <d v="2023-01-20T00:00:00"/>
    <s v="Jan-2023"/>
    <d v="2023-04-30T00:00:00"/>
    <n v="0"/>
  </r>
  <r>
    <s v="ORD-2025-548982"/>
    <d v="2025-04-07T00:00:00"/>
    <d v="2025-04-11T00:00:00"/>
    <s v="Europe"/>
    <x v="7"/>
    <s v="Lyon"/>
    <s v="Education"/>
    <s v="Retail"/>
    <s v="E. Garcia"/>
    <x v="2"/>
    <s v="NET-9716"/>
    <n v="754.77"/>
    <n v="1666.18"/>
    <n v="0.13900000000000001"/>
    <n v="14"/>
    <s v="Valid"/>
    <n v="1666.18"/>
    <b v="0"/>
    <n v="0.13900000000000001"/>
    <n v="4"/>
    <d v="2025-04-11T00:00:00"/>
    <n v="4"/>
    <n v="2329409.6137200003"/>
    <n v="23326.52"/>
    <n v="2306083.0937200002"/>
    <n v="0.98998608065210647"/>
    <s v="Apr-2025"/>
    <s v="Q2-2025"/>
    <s v="Europe → France → Lyon"/>
    <x v="0"/>
    <s v="High"/>
    <s v="FRANCE"/>
    <d v="2023-01-10T00:00:00"/>
    <s v="Jan-2023"/>
    <d v="2025-04-30T00:00:00"/>
    <n v="1"/>
  </r>
  <r>
    <s v="ORD-2024-170313"/>
    <d v="2024-12-27T00:00:00"/>
    <d v="2025-01-15T00:00:00"/>
    <s v="Asia"/>
    <x v="3"/>
    <s v="Delhi"/>
    <s v="Non-Profit"/>
    <s v="Distributor"/>
    <s v="G. Dubois"/>
    <x v="0"/>
    <s v="CMP-6919"/>
    <n v="495.59"/>
    <n v="631.78"/>
    <n v="8.6999999999999994E-2"/>
    <n v="17"/>
    <s v="Valid"/>
    <n v="631.78"/>
    <b v="0"/>
    <n v="8.6999999999999994E-2"/>
    <n v="19"/>
    <d v="2025-01-15T00:00:00"/>
    <n v="19"/>
    <n v="1073091.5973799999"/>
    <n v="10740.26"/>
    <n v="1062351.3373799999"/>
    <n v="0.9899912924244092"/>
    <s v="Dec-2024"/>
    <s v="Q4-2024"/>
    <s v="Asia → India → Delhi"/>
    <x v="0"/>
    <s v="High"/>
    <s v="INDIA"/>
    <d v="2023-01-29T00:00:00"/>
    <s v="Jan-2023"/>
    <d v="2024-12-31T00:00:00"/>
    <n v="0"/>
  </r>
  <r>
    <s v="ORD-2023-562894"/>
    <d v="2023-02-23T00:00:00"/>
    <d v="2023-03-25T00:00:00"/>
    <s v="Americas"/>
    <x v="2"/>
    <s v="Montreal"/>
    <s v="Enterprise"/>
    <s v="Online"/>
    <s v="D. Smith"/>
    <x v="3"/>
    <s v="PHN-4854"/>
    <n v="1242.6600000000001"/>
    <n v="1794.07"/>
    <n v="8.8999999999999996E-2"/>
    <n v="16"/>
    <s v="Valid"/>
    <n v="1794.07"/>
    <b v="0"/>
    <n v="8.8999999999999996E-2"/>
    <n v="30"/>
    <d v="2023-03-25T00:00:00"/>
    <n v="30"/>
    <n v="2867957.2443200001"/>
    <n v="28705.119999999999"/>
    <n v="2839252.1243199999"/>
    <n v="0.98999109207194402"/>
    <s v="Feb-2023"/>
    <s v="Q1-2023"/>
    <s v="Americas → Canada → Montreal"/>
    <x v="2"/>
    <s v="Low"/>
    <s v="CANADA"/>
    <d v="2023-01-02T00:00:00"/>
    <s v="Jan-2023"/>
    <d v="2023-02-28T00:00:00"/>
    <n v="0"/>
  </r>
  <r>
    <s v="ORD-2025-474710"/>
    <d v="2025-07-24T00:00:00"/>
    <d v="2025-08-06T00:00:00"/>
    <s v="Africa"/>
    <x v="11"/>
    <s v="Johannesburg"/>
    <s v="Education"/>
    <s v="Marketplace"/>
    <s v="D. Smith"/>
    <x v="2"/>
    <s v="NET-7966"/>
    <n v="1463.9"/>
    <n v="2633.02"/>
    <n v="8.4000000000000005E-2"/>
    <n v="4"/>
    <s v="Valid"/>
    <n v="2633.02"/>
    <b v="0"/>
    <n v="8.4000000000000005E-2"/>
    <n v="13"/>
    <d v="2025-08-06T00:00:00"/>
    <n v="13"/>
    <n v="1052323.30528"/>
    <n v="10532.08"/>
    <n v="1041791.22528"/>
    <n v="0.98999159293806804"/>
    <s v="Jul-2025"/>
    <s v="Q3-2025"/>
    <s v="Africa → South Africa → Johannesburg"/>
    <x v="0"/>
    <s v="High"/>
    <s v="SOUTH AFRICA"/>
    <d v="2023-01-07T00:00:00"/>
    <s v="Jan-2023"/>
    <d v="2025-07-31T00:00:00"/>
    <n v="0"/>
  </r>
  <r>
    <s v="ORD-2024-629525"/>
    <d v="2024-04-18T00:00:00"/>
    <d v="2024-05-08T00:00:00"/>
    <s v="Europe"/>
    <x v="8"/>
    <s v="London"/>
    <s v="Non-Profit"/>
    <s v="Unknown Channel "/>
    <s v="D. Smith"/>
    <x v="4"/>
    <s v="LAP-9932"/>
    <n v="645.33000000000004"/>
    <n v="1321.85"/>
    <n v="0"/>
    <n v="10"/>
    <s v="Valid"/>
    <n v="1321.85"/>
    <b v="0"/>
    <n v="0"/>
    <n v="20"/>
    <d v="2024-05-08T00:00:00"/>
    <n v="20"/>
    <n v="1321850"/>
    <n v="13218.5"/>
    <n v="1308631.5"/>
    <n v="0.99"/>
    <s v="Apr-2024"/>
    <s v="Q2-2024"/>
    <s v="Europe → United Kingdom → London"/>
    <x v="2"/>
    <s v="Medium"/>
    <s v="UNITED KINGDOM"/>
    <d v="2023-01-19T00:00:00"/>
    <s v="Jan-2023"/>
    <d v="2024-04-30T00:00:00"/>
    <n v="0"/>
  </r>
  <r>
    <s v="ORD-2024-167215"/>
    <d v="2024-08-23T00:00:00"/>
    <d v="2024-08-21T00:00:00"/>
    <s v="Africa"/>
    <x v="11"/>
    <s v="Johannesburg"/>
    <s v="Education"/>
    <s v="Retail"/>
    <s v="E. Garcia"/>
    <x v="0"/>
    <s v="CMP-1559"/>
    <n v="1432.52"/>
    <n v="3036.87"/>
    <n v="0"/>
    <n v="9"/>
    <s v="Valid"/>
    <n v="3036.87"/>
    <b v="0"/>
    <n v="0"/>
    <n v="-2"/>
    <d v="2024-08-30T00:00:00"/>
    <n v="7"/>
    <n v="2733183"/>
    <n v="27331.829999999998"/>
    <n v="2705851.17"/>
    <n v="0.99"/>
    <s v="Aug-2024"/>
    <s v="Q3-2024"/>
    <s v="Africa → South Africa → Johannesburg"/>
    <x v="0"/>
    <s v="Medium"/>
    <s v="SOUTH AFRICA"/>
    <d v="2023-01-07T00:00:00"/>
    <s v="Jan-2023"/>
    <d v="2024-08-31T00:00:00"/>
    <n v="1"/>
  </r>
  <r>
    <s v="ORD-2023-864121"/>
    <d v="2023-03-27T00:00:00"/>
    <d v="2023-04-22T00:00:00"/>
    <s v="Asia"/>
    <x v="3"/>
    <s v="Delhi"/>
    <s v="Non-Profit"/>
    <s v="Marketplace"/>
    <s v="J. Njeri"/>
    <x v="1"/>
    <s v="PRN-4506"/>
    <n v="178.53"/>
    <n v="199.37"/>
    <n v="0.10100000000000001"/>
    <n v="37"/>
    <s v="Valid"/>
    <n v="199.37"/>
    <b v="0"/>
    <n v="0.10100000000000001"/>
    <n v="26"/>
    <d v="2023-04-22T00:00:00"/>
    <n v="26"/>
    <n v="736923.95431000006"/>
    <n v="7376.6900000000005"/>
    <n v="729547.26431000012"/>
    <n v="0.98998988978868663"/>
    <s v="Mar-2023"/>
    <s v="Q1-2023"/>
    <s v="Asia → India → Delhi"/>
    <x v="1"/>
    <s v="Low"/>
    <s v="INDIA"/>
    <d v="2023-01-29T00:00:00"/>
    <s v="Jan-2023"/>
    <d v="2023-03-31T00:00:00"/>
    <n v="0"/>
  </r>
  <r>
    <s v="ORD-2024-692673"/>
    <d v="2024-03-07T00:00:00"/>
    <d v="2024-03-25T00:00:00"/>
    <s v="Europe"/>
    <x v="5"/>
    <s v="Munich"/>
    <s v="Corporate"/>
    <s v="Online"/>
    <s v="B. Chen"/>
    <x v="0"/>
    <s v="CMP-7617"/>
    <n v="712.84"/>
    <n v="927.51"/>
    <n v="0.24299999999999999"/>
    <n v="27"/>
    <s v="Valid"/>
    <n v="927.51"/>
    <b v="0"/>
    <n v="0.24299999999999999"/>
    <n v="18"/>
    <d v="2024-03-25T00:00:00"/>
    <n v="18"/>
    <n v="2498191.6068899999"/>
    <n v="25042.77"/>
    <n v="2473148.8368899999"/>
    <n v="0.98997564080716138"/>
    <s v="Mar-2024"/>
    <s v="Q1-2024"/>
    <s v="Europe → Germany → Munich"/>
    <x v="0"/>
    <s v="Medium"/>
    <s v="GERMANY"/>
    <d v="2023-01-22T00:00:00"/>
    <s v="Jan-2023"/>
    <d v="2024-03-31T00:00:00"/>
    <n v="0"/>
  </r>
  <r>
    <s v="ORD-2025-718992"/>
    <d v="2025-06-24T00:00:00"/>
    <d v="2025-07-10T00:00:00"/>
    <s v="Asia"/>
    <x v="9"/>
    <s v="Shanghai"/>
    <s v="Enterprise"/>
    <s v="Direct"/>
    <s v="N. Brown"/>
    <x v="0"/>
    <s v="CMP-8390"/>
    <n v="757.19"/>
    <n v="1735.41"/>
    <n v="0.13600000000000001"/>
    <n v="8"/>
    <s v="Valid"/>
    <n v="1735.41"/>
    <b v="0"/>
    <n v="0.13600000000000001"/>
    <n v="16"/>
    <d v="2025-07-10T00:00:00"/>
    <n v="16"/>
    <n v="1386439.8739200002"/>
    <n v="13883.28"/>
    <n v="1372556.5939200001"/>
    <n v="0.98998638147881113"/>
    <s v="Jun-2025"/>
    <s v="Q2-2025"/>
    <s v="Asia → China → Shanghai"/>
    <x v="0"/>
    <s v="High"/>
    <s v="CHINA"/>
    <d v="2023-01-12T00:00:00"/>
    <s v="Jan-2023"/>
    <d v="2025-06-30T00:00:00"/>
    <n v="0"/>
  </r>
  <r>
    <s v="ORD-2024-599522"/>
    <d v="2024-04-19T00:00:00"/>
    <d v="2024-05-06T00:00:00"/>
    <s v="Africa"/>
    <x v="1"/>
    <s v="Port Harcourt"/>
    <s v="Non-Profit"/>
    <s v="Online"/>
    <s v="A. Patel"/>
    <x v="1"/>
    <s v="PRN-7303"/>
    <n v="865.33"/>
    <n v="1395.64"/>
    <n v="0.17499999999999999"/>
    <n v="13"/>
    <s v="Valid"/>
    <n v="1395.64"/>
    <b v="0"/>
    <n v="0.17499999999999999"/>
    <n v="17"/>
    <d v="2024-05-06T00:00:00"/>
    <n v="17"/>
    <n v="1811156.919"/>
    <n v="18143.32"/>
    <n v="1793013.5989999999"/>
    <n v="0.98998246932131229"/>
    <s v="Apr-2024"/>
    <s v="Q2-2024"/>
    <s v="Africa → Nigeria → Port Harcourt"/>
    <x v="1"/>
    <s v="Medium"/>
    <s v="NIGERIA"/>
    <d v="2023-01-15T00:00:00"/>
    <s v="Jan-2023"/>
    <d v="2024-04-30T00:00:00"/>
    <n v="0"/>
  </r>
  <r>
    <s v="ORD-2023-651638"/>
    <d v="2023-06-17T00:00:00"/>
    <d v="2023-06-24T00:00:00"/>
    <s v="Americas"/>
    <x v="10"/>
    <s v="San Francisco"/>
    <s v="Corporate"/>
    <s v="Retail"/>
    <s v="I. Johnson"/>
    <x v="1"/>
    <s v="PRN-6536"/>
    <n v="313.99"/>
    <n v="454.42"/>
    <n v="0.129"/>
    <n v="9"/>
    <s v="Valid"/>
    <n v="454.42"/>
    <b v="0"/>
    <n v="0.129"/>
    <n v="7"/>
    <d v="2023-06-24T00:00:00"/>
    <n v="7"/>
    <n v="408450.41837999999"/>
    <n v="4089.78"/>
    <n v="404360.63837999996"/>
    <n v="0.98998708333750529"/>
    <s v="Jun-2023"/>
    <s v="Q2-2023"/>
    <s v="Americas → USA → San Francisco"/>
    <x v="1"/>
    <s v="Low"/>
    <s v="USA"/>
    <d v="2023-01-13T00:00:00"/>
    <s v="Jan-2023"/>
    <d v="2023-06-30T00:00:00"/>
    <n v="1"/>
  </r>
  <r>
    <s v="ORD-2024-635626"/>
    <d v="2024-08-27T00:00:00"/>
    <d v="2024-09-19T00:00:00"/>
    <s v="Europe"/>
    <x v="5"/>
    <s v="Berlin"/>
    <s v="Small Business"/>
    <s v="Direct"/>
    <s v="D. Smith"/>
    <x v="5"/>
    <s v="MON-9967"/>
    <n v="1024.01"/>
    <n v="1580.97"/>
    <n v="3.6999999999999998E-2"/>
    <n v="27"/>
    <s v="Valid"/>
    <n v="1580.97"/>
    <b v="0"/>
    <n v="3.6999999999999998E-2"/>
    <n v="23"/>
    <d v="2024-09-19T00:00:00"/>
    <n v="23"/>
    <n v="4267039.6109699998"/>
    <n v="42686.19"/>
    <n v="4224353.4209699994"/>
    <n v="0.98999629863049321"/>
    <s v="Aug-2024"/>
    <s v="Q3-2024"/>
    <s v="Europe → Germany → Berlin"/>
    <x v="1"/>
    <s v="Medium"/>
    <s v="GERMANY"/>
    <d v="2023-01-22T00:00:00"/>
    <s v="Jan-2023"/>
    <d v="2024-08-31T00:00:00"/>
    <n v="0"/>
  </r>
  <r>
    <s v="ORD-2024-296582"/>
    <d v="2024-01-11T00:00:00"/>
    <d v="2024-02-02T00:00:00"/>
    <s v="Africa"/>
    <x v="11"/>
    <s v="Durban"/>
    <s v="Consumer"/>
    <s v="Online"/>
    <s v="K. Singh"/>
    <x v="2"/>
    <s v="NET-1412"/>
    <n v="1206.2"/>
    <n v="1759.79"/>
    <n v="0"/>
    <n v="6"/>
    <s v="Valid"/>
    <n v="1759.79"/>
    <b v="0"/>
    <n v="0"/>
    <n v="22"/>
    <d v="2024-02-02T00:00:00"/>
    <n v="22"/>
    <n v="1055874"/>
    <n v="10558.74"/>
    <n v="1045315.26"/>
    <n v="0.99"/>
    <s v="Jan-2024"/>
    <s v="Q1-2024"/>
    <s v="Africa → South Africa → Durban"/>
    <x v="0"/>
    <s v="Medium"/>
    <s v="SOUTH AFRICA"/>
    <d v="2023-01-07T00:00:00"/>
    <s v="Jan-2023"/>
    <d v="2024-01-31T00:00:00"/>
    <n v="0"/>
  </r>
  <r>
    <s v="ORD-2024-998320"/>
    <d v="2024-10-25T00:00:00"/>
    <d v="2024-11-14T00:00:00"/>
    <s v="Africa"/>
    <x v="0"/>
    <s v="Mombasa"/>
    <s v="Corporate"/>
    <s v="Direct"/>
    <s v="H. Kim"/>
    <x v="1"/>
    <s v="PRN-3143"/>
    <n v="1396.48"/>
    <n v="3204.5"/>
    <n v="0.318"/>
    <n v="14"/>
    <s v="Valid"/>
    <n v="3204.5"/>
    <s v="Excess"/>
    <n v="0.3"/>
    <n v="20"/>
    <d v="2024-11-14T00:00:00"/>
    <n v="20"/>
    <n v="4472841.1000000006"/>
    <n v="44863"/>
    <n v="4427978.1000000006"/>
    <n v="0.98996990972918752"/>
    <s v="Oct-2024"/>
    <s v="Q4-2024"/>
    <s v="Africa → Kenya → Mombasa"/>
    <x v="1"/>
    <s v="High"/>
    <s v="KENYA"/>
    <d v="2023-01-20T00:00:00"/>
    <s v="Jan-2023"/>
    <d v="2024-10-31T00:00:00"/>
    <n v="0"/>
  </r>
  <r>
    <s v="ORD-2025-820255"/>
    <d v="2025-05-29T00:00:00"/>
    <d v="2025-06-20T00:00:00"/>
    <s v="Europe"/>
    <x v="5"/>
    <s v="Berlin"/>
    <s v="Corporate"/>
    <s v="Direct"/>
    <s v="A. Patel"/>
    <x v="1"/>
    <s v="PRN-9787"/>
    <n v="483.47"/>
    <n v="1135.43"/>
    <n v="0.14599999999999999"/>
    <n v="11"/>
    <s v="Valid"/>
    <n v="1135.43"/>
    <b v="0"/>
    <n v="0.14599999999999999"/>
    <n v="22"/>
    <d v="2025-06-20T00:00:00"/>
    <n v="22"/>
    <n v="1247149.4994200002"/>
    <n v="12489.730000000001"/>
    <n v="1234659.7694200003"/>
    <n v="0.9899853786528332"/>
    <s v="May-2025"/>
    <s v="Q2-2025"/>
    <s v="Europe → Germany → Berlin"/>
    <x v="1"/>
    <s v="High"/>
    <s v="GERMANY"/>
    <d v="2023-01-22T00:00:00"/>
    <s v="Jan-2023"/>
    <d v="2025-05-31T00:00:00"/>
    <n v="0"/>
  </r>
  <r>
    <s v="ORD-2024-389336"/>
    <d v="2024-05-20T00:00:00"/>
    <d v="2024-06-02T00:00:00"/>
    <s v="Americas"/>
    <x v="2"/>
    <s v="Vancouver"/>
    <s v="Enterprise"/>
    <s v="Marketplace"/>
    <s v="K. Singh"/>
    <x v="0"/>
    <s v="CMP-5946"/>
    <n v="675.43"/>
    <n v="996.36"/>
    <n v="0.182"/>
    <n v="22"/>
    <s v="Valid"/>
    <n v="996.36"/>
    <b v="0"/>
    <n v="0.182"/>
    <n v="13"/>
    <d v="2024-06-02T00:00:00"/>
    <n v="13"/>
    <n v="2188002.5745600001"/>
    <n v="21919.920000000002"/>
    <n v="2166082.6545600002"/>
    <n v="0.98998176681560446"/>
    <s v="May-2024"/>
    <s v="Q2-2024"/>
    <s v="Americas → Canada → Vancouver"/>
    <x v="0"/>
    <s v="Medium"/>
    <s v="CANADA"/>
    <d v="2023-01-02T00:00:00"/>
    <s v="Jan-2023"/>
    <d v="2024-05-31T00:00:00"/>
    <n v="0"/>
  </r>
  <r>
    <s v="ORD-2023-308124"/>
    <d v="2023-04-19T00:00:00"/>
    <d v="2023-04-30T00:00:00"/>
    <s v="Asia"/>
    <x v="3"/>
    <s v="Delhi"/>
    <s v="Small Business"/>
    <s v="Retail"/>
    <s v="A. Patel"/>
    <x v="2"/>
    <s v="NET-2062"/>
    <n v="826.55"/>
    <n v="1397.05"/>
    <n v="0.16900000000000001"/>
    <n v="28"/>
    <s v="Valid"/>
    <n v="1397.05"/>
    <b v="0"/>
    <n v="0.16900000000000001"/>
    <n v="11"/>
    <d v="2023-04-30T00:00:00"/>
    <n v="11"/>
    <n v="3905129.1594000002"/>
    <n v="39117.4"/>
    <n v="3866011.7594000003"/>
    <n v="0.98998307139065023"/>
    <s v="Apr-2023"/>
    <s v="Q2-2023"/>
    <s v="Asia → India → Delhi"/>
    <x v="0"/>
    <s v="Low"/>
    <s v="INDIA"/>
    <d v="2023-01-29T00:00:00"/>
    <s v="Jan-2023"/>
    <d v="2023-04-30T00:00:00"/>
    <n v="0"/>
  </r>
  <r>
    <s v="ORD-2023-128295"/>
    <d v="2023-06-23T00:00:00"/>
    <d v="2023-07-03T00:00:00"/>
    <s v="Africa"/>
    <x v="1"/>
    <s v="Abuja"/>
    <s v="Consumer"/>
    <s v="Online"/>
    <s v="J. Njeri"/>
    <x v="1"/>
    <s v="PRN-2542"/>
    <n v="337.75"/>
    <n v="548.89"/>
    <n v="0"/>
    <n v="13"/>
    <s v="Valid"/>
    <n v="548.89"/>
    <b v="0"/>
    <n v="0"/>
    <n v="10"/>
    <d v="2023-07-03T00:00:00"/>
    <n v="10"/>
    <n v="713557"/>
    <n v="7135.57"/>
    <n v="706421.43"/>
    <n v="0.9900000000000001"/>
    <s v="Jun-2023"/>
    <s v="Q2-2023"/>
    <s v="Africa → Nigeria → Abuja"/>
    <x v="1"/>
    <s v="Low"/>
    <s v="NIGERIA"/>
    <d v="2023-01-15T00:00:00"/>
    <s v="Jan-2023"/>
    <d v="2023-06-30T00:00:00"/>
    <n v="0"/>
  </r>
  <r>
    <s v="ORD-2024-548345"/>
    <d v="2024-05-14T00:00:00"/>
    <d v="2024-05-28T00:00:00"/>
    <s v="Europe"/>
    <x v="8"/>
    <s v="Birmingham"/>
    <s v="Consumer"/>
    <s v="Retail"/>
    <s v="B. Chen"/>
    <x v="2"/>
    <s v="NET-2365"/>
    <n v="1421.14"/>
    <n v="3524"/>
    <n v="0"/>
    <n v="31"/>
    <s v="Valid"/>
    <n v="3524"/>
    <b v="0"/>
    <n v="0"/>
    <n v="14"/>
    <d v="2024-05-28T00:00:00"/>
    <n v="14"/>
    <n v="10924400"/>
    <n v="109244"/>
    <n v="10815156"/>
    <n v="0.99"/>
    <s v="May-2024"/>
    <s v="Q2-2024"/>
    <s v="Europe → United Kingdom → Birmingham"/>
    <x v="0"/>
    <s v="Medium"/>
    <s v="UNITED KINGDOM"/>
    <d v="2023-01-19T00:00:00"/>
    <s v="Jan-2023"/>
    <d v="2024-05-31T00:00:00"/>
    <n v="0"/>
  </r>
  <r>
    <s v="ORD-2024-966651"/>
    <d v="2024-10-14T00:00:00"/>
    <d v="2024-11-08T00:00:00"/>
    <s v="Africa"/>
    <x v="1"/>
    <s v="Lagos"/>
    <s v="Enterprise"/>
    <s v="Online"/>
    <s v="O. Wang"/>
    <x v="2"/>
    <s v="NET-5268"/>
    <n v="859.35"/>
    <n v="1825.61"/>
    <n v="0.187"/>
    <n v="24"/>
    <s v="Valid"/>
    <n v="1825.61"/>
    <b v="0"/>
    <n v="0.187"/>
    <n v="25"/>
    <d v="2024-11-08T00:00:00"/>
    <n v="25"/>
    <n v="4373270.6623200001"/>
    <n v="43814.64"/>
    <n v="4329456.0223200005"/>
    <n v="0.98998126496548555"/>
    <s v="Oct-2024"/>
    <s v="Q4-2024"/>
    <s v="Africa → Nigeria → Lagos"/>
    <x v="0"/>
    <s v="Medium"/>
    <s v="NIGERIA"/>
    <d v="2023-01-15T00:00:00"/>
    <s v="Jan-2023"/>
    <d v="2024-10-31T00:00:00"/>
    <n v="0"/>
  </r>
  <r>
    <s v="ORD-2023-292714"/>
    <d v="2023-07-10T00:00:00"/>
    <d v="2023-08-01T00:00:00"/>
    <s v="Europe"/>
    <x v="7"/>
    <s v="Marseille"/>
    <s v="Consumer"/>
    <s v="Marketplace"/>
    <s v="B. Chen"/>
    <x v="1"/>
    <s v="PRN-1504"/>
    <n v="1303.56"/>
    <n v="1791.37"/>
    <n v="0.126"/>
    <n v="22"/>
    <s v="Valid"/>
    <n v="1791.37"/>
    <b v="0"/>
    <n v="0.126"/>
    <n v="22"/>
    <d v="2023-08-01T00:00:00"/>
    <n v="22"/>
    <n v="3936048.3223599996"/>
    <n v="39410.14"/>
    <n v="3896638.1823599995"/>
    <n v="0.98998738410397102"/>
    <s v="Jul-2023"/>
    <s v="Q3-2023"/>
    <s v="Europe → France → Marseille"/>
    <x v="1"/>
    <s v="Low"/>
    <s v="FRANCE"/>
    <d v="2023-01-10T00:00:00"/>
    <s v="Jan-2023"/>
    <d v="2023-07-31T00:00:00"/>
    <n v="0"/>
  </r>
  <r>
    <s v="ORD-2024-468501"/>
    <d v="2024-11-06T00:00:00"/>
    <d v="2024-11-22T00:00:00"/>
    <s v="Americas"/>
    <x v="2"/>
    <s v="Toronto"/>
    <s v="Non-Profit"/>
    <s v="Distributor"/>
    <s v="D. Smith"/>
    <x v="6"/>
    <s v="ACC-6348"/>
    <n v="1454.11"/>
    <n v="2629.75"/>
    <n v="0.29199999999999998"/>
    <n v="8"/>
    <s v="Valid"/>
    <n v="2629.75"/>
    <b v="0"/>
    <n v="0.29199999999999998"/>
    <n v="16"/>
    <d v="2024-11-22T00:00:00"/>
    <n v="16"/>
    <n v="2097656.9040000001"/>
    <n v="21038"/>
    <n v="2076618.9040000001"/>
    <n v="0.98997071448630003"/>
    <s v="Nov-2024"/>
    <s v="Q4-2024"/>
    <s v="Americas → Canada → Toronto"/>
    <x v="0"/>
    <s v="High"/>
    <s v="CANADA"/>
    <d v="2023-01-02T00:00:00"/>
    <s v="Jan-2023"/>
    <d v="2024-11-30T00:00:00"/>
    <n v="0"/>
  </r>
  <r>
    <s v="ORD-2024-260775"/>
    <d v="2024-10-17T00:00:00"/>
    <d v="2024-11-06T00:00:00"/>
    <s v="Asia"/>
    <x v="3"/>
    <s v="Bengaluru"/>
    <s v="Enterprise"/>
    <s v="Distributor"/>
    <s v="O. Wang"/>
    <x v="5"/>
    <s v="MON-4330"/>
    <n v="72.94"/>
    <n v="106.3"/>
    <n v="0.29499999999999998"/>
    <n v="8"/>
    <s v="Valid"/>
    <n v="106.3"/>
    <b v="0"/>
    <n v="0.29499999999999998"/>
    <n v="20"/>
    <d v="2024-11-06T00:00:00"/>
    <n v="20"/>
    <n v="84789.131999999998"/>
    <n v="850.4"/>
    <n v="83938.732000000004"/>
    <n v="0.98997041271751673"/>
    <s v="Oct-2024"/>
    <s v="Q4-2024"/>
    <s v="Asia → India → Bengaluru"/>
    <x v="1"/>
    <s v="Medium"/>
    <s v="INDIA"/>
    <d v="2023-01-29T00:00:00"/>
    <s v="Jan-2023"/>
    <d v="2024-10-31T00:00:00"/>
    <n v="0"/>
  </r>
  <r>
    <s v="ORD-2023-419187"/>
    <d v="2023-03-31T00:00:00"/>
    <d v="2023-04-05T00:00:00"/>
    <s v="Africa"/>
    <x v="0"/>
    <s v="Nakuru"/>
    <s v="Education"/>
    <s v="Marketplace"/>
    <s v="B. Chen"/>
    <x v="4"/>
    <s v="LAP-7819"/>
    <n v="533.26"/>
    <n v="385.72"/>
    <n v="0"/>
    <n v="15"/>
    <s v="Valid"/>
    <n v="385.72"/>
    <b v="0"/>
    <n v="0"/>
    <n v="5"/>
    <d v="2023-04-05T00:00:00"/>
    <n v="5"/>
    <n v="578580"/>
    <n v="5785.8"/>
    <n v="572794.19999999995"/>
    <n v="0.98999999999999988"/>
    <s v="Mar-2023"/>
    <s v="Q1-2023"/>
    <s v="Africa → Kenya → Nakuru"/>
    <x v="2"/>
    <s v="Low"/>
    <s v="KENYA"/>
    <d v="2023-01-20T00:00:00"/>
    <s v="Jan-2023"/>
    <d v="2023-03-31T00:00:00"/>
    <n v="1"/>
  </r>
  <r>
    <s v="ORD-2025-578007"/>
    <d v="2025-01-21T00:00:00"/>
    <d v="2025-02-16T00:00:00"/>
    <s v="Europe"/>
    <x v="7"/>
    <s v="Lyon"/>
    <s v="Corporate"/>
    <s v="Distributor"/>
    <s v="O. Wang"/>
    <x v="4"/>
    <s v="LAP-3779"/>
    <n v="204.11"/>
    <n v="236.87"/>
    <n v="0.182"/>
    <n v="13"/>
    <s v="Valid"/>
    <n v="236.87"/>
    <b v="0"/>
    <n v="0.182"/>
    <n v="26"/>
    <d v="2025-02-16T00:00:00"/>
    <n v="26"/>
    <n v="307370.56557999999"/>
    <n v="3079.31"/>
    <n v="304291.25558"/>
    <n v="0.98998176681560446"/>
    <s v="Jan-2025"/>
    <s v="Q1-2025"/>
    <s v="Europe → France → Lyon"/>
    <x v="2"/>
    <s v="High"/>
    <s v="FRANCE"/>
    <d v="2023-01-10T00:00:00"/>
    <s v="Jan-2023"/>
    <d v="2025-01-31T00:00:00"/>
    <n v="0"/>
  </r>
  <r>
    <s v="ORD-2023-235230"/>
    <d v="2023-08-30T00:00:00"/>
    <d v="2023-09-01T00:00:00"/>
    <s v="Europe"/>
    <x v="5"/>
    <s v="Munich"/>
    <s v="Corporate"/>
    <s v="Direct"/>
    <s v="N. Brown"/>
    <x v="2"/>
    <s v="NET-9989"/>
    <n v="44.42"/>
    <n v="41.9"/>
    <n v="0.14399999999999999"/>
    <n v="6"/>
    <s v="Valid"/>
    <n v="41.9"/>
    <b v="0"/>
    <n v="0.14399999999999999"/>
    <n v="2"/>
    <d v="2023-09-01T00:00:00"/>
    <n v="2"/>
    <n v="25103.798399999996"/>
    <n v="251.39999999999998"/>
    <n v="24852.398399999995"/>
    <n v="0.98998557923409702"/>
    <s v="Aug-2023"/>
    <s v="Q3-2023"/>
    <s v="Europe → Germany → Munich"/>
    <x v="0"/>
    <s v="Low"/>
    <s v="GERMANY"/>
    <d v="2023-01-22T00:00:00"/>
    <s v="Jan-2023"/>
    <d v="2023-08-31T00:00:00"/>
    <n v="1"/>
  </r>
  <r>
    <s v="ORD-2025-765220"/>
    <d v="2025-04-06T00:00:00"/>
    <d v="2025-04-30T00:00:00"/>
    <s v="Americas"/>
    <x v="4"/>
    <s v="Brasília"/>
    <s v="Education"/>
    <s v="Online"/>
    <s v="K. Singh"/>
    <x v="5"/>
    <s v="MON-4925"/>
    <n v="855.78"/>
    <n v="977.38"/>
    <n v="0.14699999999999999"/>
    <n v="38"/>
    <s v="Valid"/>
    <n v="977.38"/>
    <b v="0"/>
    <n v="0.14699999999999999"/>
    <n v="24"/>
    <d v="2025-04-30T00:00:00"/>
    <n v="24"/>
    <n v="3708584.3553200001"/>
    <n v="37140.44"/>
    <n v="3671443.9153200001"/>
    <n v="0.98998527835918804"/>
    <s v="Apr-2025"/>
    <s v="Q2-2025"/>
    <s v="Americas → Brazil → Brasília"/>
    <x v="1"/>
    <s v="High"/>
    <s v="BRAZIL"/>
    <d v="2023-01-29T00:00:00"/>
    <s v="Jan-2023"/>
    <d v="2025-04-30T00:00:00"/>
    <n v="0"/>
  </r>
  <r>
    <s v="ORD-2025-931538"/>
    <d v="2025-02-09T00:00:00"/>
    <d v="2025-03-01T00:00:00"/>
    <s v="Americas"/>
    <x v="4"/>
    <s v="São Paulo"/>
    <s v="Corporate"/>
    <s v="Distributor"/>
    <s v="B. Chen"/>
    <x v="4"/>
    <s v="LAP-6989"/>
    <n v="1154.6400000000001"/>
    <n v="2794.13"/>
    <n v="3.5000000000000003E-2"/>
    <n v="11"/>
    <s v="Valid"/>
    <n v="2794.13"/>
    <b v="0"/>
    <n v="3.5000000000000003E-2"/>
    <n v="20"/>
    <d v="2025-03-01T00:00:00"/>
    <n v="20"/>
    <n v="3072467.2599500003"/>
    <n v="30735.43"/>
    <n v="3041731.8299500002"/>
    <n v="0.98999649877457108"/>
    <s v="Feb-2025"/>
    <s v="Q1-2025"/>
    <s v="Americas → Brazil → São Paulo"/>
    <x v="2"/>
    <s v="High"/>
    <s v="BRAZIL"/>
    <d v="2023-01-29T00:00:00"/>
    <s v="Jan-2023"/>
    <d v="2025-02-28T00:00:00"/>
    <n v="0"/>
  </r>
  <r>
    <s v="ORD-2024-289089"/>
    <d v="2024-12-17T00:00:00"/>
    <d v="2024-12-18T00:00:00"/>
    <s v="Europe"/>
    <x v="5"/>
    <s v="Munich"/>
    <s v="Education"/>
    <s v="Retail"/>
    <s v="L. Okafor"/>
    <x v="6"/>
    <s v="ACC-5780"/>
    <n v="346.82"/>
    <n v="701.95"/>
    <n v="0.14699999999999999"/>
    <n v="8"/>
    <s v="Valid"/>
    <n v="701.95"/>
    <b v="0"/>
    <n v="0.14699999999999999"/>
    <n v="1"/>
    <d v="2024-12-18T00:00:00"/>
    <n v="1"/>
    <n v="560734.50679999997"/>
    <n v="5615.6"/>
    <n v="555118.9068"/>
    <n v="0.98998527835918804"/>
    <s v="Dec-2024"/>
    <s v="Q4-2024"/>
    <s v="Europe → Germany → Munich"/>
    <x v="0"/>
    <s v="High"/>
    <s v="GERMANY"/>
    <d v="2023-01-22T00:00:00"/>
    <s v="Jan-2023"/>
    <d v="2024-12-31T00:00:00"/>
    <n v="1"/>
  </r>
  <r>
    <s v="ORD-2025-639542"/>
    <d v="2025-06-09T00:00:00"/>
    <d v="2025-06-18T00:00:00"/>
    <s v="Europe"/>
    <x v="7"/>
    <s v="Marseille"/>
    <s v="Small Business"/>
    <s v="Marketplace"/>
    <s v="H. Kim"/>
    <x v="6"/>
    <s v="ACC-1770"/>
    <n v="1225.5"/>
    <n v="-5.27"/>
    <n v="7.4999999999999997E-2"/>
    <n v="56"/>
    <b v="0"/>
    <n v="5.27"/>
    <b v="0"/>
    <n v="7.4999999999999997E-2"/>
    <n v="9"/>
    <d v="2025-06-18T00:00:00"/>
    <n v="9"/>
    <n v="29489.865999999998"/>
    <n v="295.12"/>
    <n v="29194.745999999999"/>
    <n v="0.98999249437077808"/>
    <s v="Jun-2025"/>
    <s v="Q2-2025"/>
    <s v="Europe → France → Marseille"/>
    <x v="0"/>
    <s v="High"/>
    <s v="FRANCE"/>
    <d v="2023-01-10T00:00:00"/>
    <s v="Jan-2023"/>
    <d v="2025-06-30T00:00:00"/>
    <n v="0"/>
  </r>
  <r>
    <s v="ORD-2025-762301"/>
    <d v="2025-05-02T00:00:00"/>
    <d v="2025-05-13T00:00:00"/>
    <s v="Africa"/>
    <x v="0"/>
    <s v="Nakuru"/>
    <s v="Small Business"/>
    <s v="Online"/>
    <s v="A. Patel"/>
    <x v="6"/>
    <s v="ACC-2252"/>
    <n v="1057.5999999999999"/>
    <n v="1437.06"/>
    <n v="0.20499999999999999"/>
    <n v="4"/>
    <s v="Valid"/>
    <n v="1437.06"/>
    <b v="0"/>
    <n v="0.20499999999999999"/>
    <n v="11"/>
    <d v="2025-05-13T00:00:00"/>
    <n v="11"/>
    <n v="573645.61080000002"/>
    <n v="5748.24"/>
    <n v="567897.37080000003"/>
    <n v="0.98997945788867181"/>
    <s v="May-2025"/>
    <s v="Q2-2025"/>
    <s v="Africa → Kenya → Nakuru"/>
    <x v="0"/>
    <s v="High"/>
    <s v="KENYA"/>
    <d v="2023-01-20T00:00:00"/>
    <s v="Jan-2023"/>
    <d v="2025-05-31T00:00:00"/>
    <n v="0"/>
  </r>
  <r>
    <s v="ORD-2024-906395"/>
    <d v="2024-03-10T00:00:00"/>
    <d v="2024-04-09T00:00:00"/>
    <s v="Europe"/>
    <x v="7"/>
    <s v="Lyon"/>
    <s v="Corporate"/>
    <s v="Direct"/>
    <s v="I. Johnson"/>
    <x v="0"/>
    <s v="CMP-8002"/>
    <n v="1176.56"/>
    <n v="1911.89"/>
    <n v="0.11899999999999999"/>
    <n v="20"/>
    <s v="Valid"/>
    <n v="1911.89"/>
    <b v="0"/>
    <n v="0.11899999999999999"/>
    <n v="30"/>
    <d v="2024-04-09T00:00:00"/>
    <n v="30"/>
    <n v="3819229.7018000004"/>
    <n v="38237.800000000003"/>
    <n v="3780991.9018000006"/>
    <n v="0.98998808582212838"/>
    <s v="Mar-2024"/>
    <s v="Q1-2024"/>
    <s v="Europe → France → Lyon"/>
    <x v="0"/>
    <s v="Medium"/>
    <s v="FRANCE"/>
    <d v="2023-01-10T00:00:00"/>
    <s v="Jan-2023"/>
    <d v="2024-03-31T00:00:00"/>
    <n v="0"/>
  </r>
  <r>
    <s v="ORD-2025-779574"/>
    <d v="2025-09-10T00:00:00"/>
    <d v="2025-09-12T00:00:00"/>
    <s v="Asia"/>
    <x v="6"/>
    <s v="Tokyo"/>
    <s v="Consumer"/>
    <s v="Online"/>
    <s v="O. Wang"/>
    <x v="0"/>
    <s v="CMP-6971"/>
    <n v="1470.15"/>
    <n v="2593.7800000000002"/>
    <n v="0.11"/>
    <n v="12"/>
    <s v="Valid"/>
    <n v="2593.7800000000002"/>
    <b v="0"/>
    <n v="0.11"/>
    <n v="2"/>
    <d v="2025-09-12T00:00:00"/>
    <n v="2"/>
    <n v="3109112.2104000002"/>
    <n v="31125.360000000001"/>
    <n v="3077986.8504000003"/>
    <n v="0.98998898788667533"/>
    <s v="Sep-2025"/>
    <s v="Q3-2025"/>
    <s v="Asia → Japan → Tokyo"/>
    <x v="0"/>
    <s v="High"/>
    <s v="JAPAN"/>
    <d v="2023-03-03T00:00:00"/>
    <s v="Mar-2023"/>
    <d v="2025-09-30T00:00:00"/>
    <n v="1"/>
  </r>
  <r>
    <s v="ORD-2025-526650"/>
    <d v="2025-04-27T00:00:00"/>
    <d v="2025-05-25T00:00:00"/>
    <s v="Europe"/>
    <x v="7"/>
    <s v="Paris"/>
    <s v="Small Business"/>
    <s v="Marketplace"/>
    <s v="I. Johnson"/>
    <x v="3"/>
    <s v="PHN-8350"/>
    <n v="603.45000000000005"/>
    <n v="1244.08"/>
    <n v="0.2"/>
    <n v="11"/>
    <s v="Valid"/>
    <n v="1244.08"/>
    <b v="0"/>
    <n v="0.2"/>
    <n v="28"/>
    <d v="2025-05-25T00:00:00"/>
    <n v="28"/>
    <n v="1365751.024"/>
    <n v="13684.88"/>
    <n v="1352066.1440000001"/>
    <n v="0.98997995991983978"/>
    <s v="Apr-2025"/>
    <s v="Q2-2025"/>
    <s v="Europe → France → Paris"/>
    <x v="2"/>
    <s v="High"/>
    <s v="FRANCE"/>
    <d v="2023-01-10T00:00:00"/>
    <s v="Jan-2023"/>
    <d v="2025-04-30T00:00:00"/>
    <n v="0"/>
  </r>
  <r>
    <s v="ORD-2024-247979"/>
    <d v="2024-11-02T00:00:00"/>
    <d v="2024-11-18T00:00:00"/>
    <s v="Asia"/>
    <x v="3"/>
    <s v="Mumbai"/>
    <s v="Small Business"/>
    <s v="Distributor"/>
    <s v="O. Wang"/>
    <x v="5"/>
    <s v="MON-5188"/>
    <n v="1233.58"/>
    <n v="1912.51"/>
    <n v="0.255"/>
    <n v="51"/>
    <s v="Valid"/>
    <n v="1912.51"/>
    <b v="0"/>
    <n v="0.255"/>
    <n v="16"/>
    <d v="2024-11-18T00:00:00"/>
    <n v="16"/>
    <n v="9728928.8074500002"/>
    <n v="97538.01"/>
    <n v="9631390.7974500004"/>
    <n v="0.98997443480876235"/>
    <s v="Nov-2024"/>
    <s v="Q4-2024"/>
    <s v="Asia → India → Mumbai"/>
    <x v="1"/>
    <s v="High"/>
    <s v="INDIA"/>
    <d v="2023-01-29T00:00:00"/>
    <s v="Jan-2023"/>
    <d v="2024-11-30T00:00:00"/>
    <n v="0"/>
  </r>
  <r>
    <s v="ORD-2023-480975"/>
    <d v="2023-02-15T00:00:00"/>
    <d v="2023-02-26T00:00:00"/>
    <s v="Africa"/>
    <x v="11"/>
    <s v="Johannesburg"/>
    <s v="Non-Profit"/>
    <s v="Retail"/>
    <s v="K. Singh"/>
    <x v="4"/>
    <s v="LAP-3393"/>
    <n v="498.5"/>
    <n v="755.87"/>
    <n v="0.13"/>
    <n v="40"/>
    <s v="Valid"/>
    <n v="755.87"/>
    <b v="0"/>
    <n v="0.13"/>
    <n v="11"/>
    <d v="2023-02-26T00:00:00"/>
    <n v="11"/>
    <n v="3019549.4760000003"/>
    <n v="30234.799999999999"/>
    <n v="2989314.6760000004"/>
    <n v="0.98998698307800148"/>
    <s v="Feb-2023"/>
    <s v="Q1-2023"/>
    <s v="Africa → South Africa → Johannesburg"/>
    <x v="2"/>
    <s v="Low"/>
    <s v="SOUTH AFRICA"/>
    <d v="2023-01-07T00:00:00"/>
    <s v="Jan-2023"/>
    <d v="2023-02-28T00:00:00"/>
    <n v="0"/>
  </r>
  <r>
    <s v="ORD-2023-239789"/>
    <d v="2023-12-03T00:00:00"/>
    <d v="2023-12-26T00:00:00"/>
    <s v="Americas"/>
    <x v="4"/>
    <s v="Rio de Janeiro"/>
    <s v="Education"/>
    <s v="Retail"/>
    <s v="O. Wang"/>
    <x v="3"/>
    <s v="PHN-4644"/>
    <n v="1303.1099999999999"/>
    <n v="1145.67"/>
    <n v="0.184"/>
    <n v="13"/>
    <s v="Valid"/>
    <n v="1145.67"/>
    <b v="0"/>
    <n v="0.184"/>
    <n v="23"/>
    <d v="2023-12-26T00:00:00"/>
    <n v="23"/>
    <n v="1486630.5573600002"/>
    <n v="14893.710000000001"/>
    <n v="1471736.8473600002"/>
    <n v="0.98998156608159016"/>
    <s v="Dec-2023"/>
    <s v="Q4-2023"/>
    <s v="Americas → Brazil → Rio de Janeiro"/>
    <x v="2"/>
    <s v="Low"/>
    <s v="BRAZIL"/>
    <d v="2023-01-29T00:00:00"/>
    <s v="Jan-2023"/>
    <d v="2023-12-31T00:00:00"/>
    <n v="0"/>
  </r>
  <r>
    <s v="ORD-2023-548874"/>
    <d v="2023-03-19T00:00:00"/>
    <d v="2023-04-09T00:00:00"/>
    <s v="Europe"/>
    <x v="8"/>
    <s v="Manchester"/>
    <s v="Consumer"/>
    <s v="Retail"/>
    <s v="L. Okafor"/>
    <x v="6"/>
    <s v="ACC-9150"/>
    <n v="1082.17"/>
    <n v="1234.0999999999999"/>
    <n v="0.189"/>
    <n v="16"/>
    <s v="Valid"/>
    <n v="1234.0999999999999"/>
    <b v="0"/>
    <n v="0.189"/>
    <n v="21"/>
    <d v="2023-04-09T00:00:00"/>
    <n v="21"/>
    <n v="1970828.0815999999"/>
    <n v="19745.599999999999"/>
    <n v="1951082.4815999998"/>
    <n v="0.98998106421135945"/>
    <s v="Mar-2023"/>
    <s v="Q1-2023"/>
    <s v="Europe → United Kingdom → Manchester"/>
    <x v="0"/>
    <s v="Low"/>
    <s v="UNITED KINGDOM"/>
    <d v="2023-01-19T00:00:00"/>
    <s v="Jan-2023"/>
    <d v="2023-03-31T00:00:00"/>
    <n v="0"/>
  </r>
  <r>
    <s v="ORD-2024-347736"/>
    <d v="2024-05-22T00:00:00"/>
    <d v="2024-06-06T00:00:00"/>
    <s v="Asia"/>
    <x v="6"/>
    <s v="Nagoya"/>
    <s v="Corporate"/>
    <s v="Distributor"/>
    <s v="C. Otieno"/>
    <x v="5"/>
    <s v="MON-6870"/>
    <n v="673.88"/>
    <n v="1228.01"/>
    <n v="0.105"/>
    <n v="13"/>
    <s v="Valid"/>
    <n v="1228.01"/>
    <b v="0"/>
    <n v="0.105"/>
    <n v="15"/>
    <d v="2024-06-06T00:00:00"/>
    <n v="15"/>
    <n v="1594736.7663499999"/>
    <n v="15964.13"/>
    <n v="1578772.63635"/>
    <n v="0.98998948896341166"/>
    <s v="May-2024"/>
    <s v="Q2-2024"/>
    <s v="Asia → Japan → Nagoya"/>
    <x v="1"/>
    <s v="Medium"/>
    <s v="JAPAN"/>
    <d v="2023-03-03T00:00:00"/>
    <s v="Mar-2023"/>
    <d v="2024-05-31T00:00:00"/>
    <n v="0"/>
  </r>
  <r>
    <s v="ORD-2023-749324"/>
    <d v="2023-08-19T00:00:00"/>
    <d v="2023-09-07T00:00:00"/>
    <s v="Africa"/>
    <x v="11"/>
    <s v="Johannesburg"/>
    <s v="Enterprise"/>
    <s v="Retail"/>
    <s v="D. Smith"/>
    <x v="5"/>
    <s v="MON-2296"/>
    <n v="494.61"/>
    <n v="605.23"/>
    <n v="0.20399999999999999"/>
    <n v="18"/>
    <s v="Valid"/>
    <n v="605.23"/>
    <b v="0"/>
    <n v="0.20399999999999999"/>
    <n v="19"/>
    <d v="2023-09-07T00:00:00"/>
    <n v="19"/>
    <n v="1087191.5954400001"/>
    <n v="10894.14"/>
    <n v="1076297.4554400002"/>
    <n v="0.98997955829892992"/>
    <s v="Aug-2023"/>
    <s v="Q3-2023"/>
    <s v="Africa → South Africa → Johannesburg"/>
    <x v="1"/>
    <s v="Low"/>
    <s v="SOUTH AFRICA"/>
    <d v="2023-01-07T00:00:00"/>
    <s v="Jan-2023"/>
    <d v="2023-08-31T00:00:00"/>
    <n v="0"/>
  </r>
  <r>
    <s v="ORD-2023-809913"/>
    <d v="2023-04-21T00:00:00"/>
    <d v="2023-05-10T00:00:00"/>
    <s v="Asia"/>
    <x v="9"/>
    <s v="Shanghai"/>
    <s v="Corporate"/>
    <s v="Retail"/>
    <s v="A. Patel"/>
    <x v="0"/>
    <s v="CMP-7371"/>
    <n v="882.33"/>
    <n v="1880.15"/>
    <n v="0.05"/>
    <n v="5"/>
    <s v="Valid"/>
    <n v="1880.15"/>
    <b v="0"/>
    <n v="0.05"/>
    <n v="19"/>
    <d v="2023-05-10T00:00:00"/>
    <n v="19"/>
    <n v="939604.96250000002"/>
    <n v="9400.75"/>
    <n v="930204.21250000002"/>
    <n v="0.98999499749874942"/>
    <s v="Apr-2023"/>
    <s v="Q2-2023"/>
    <s v="Asia → China → Shanghai"/>
    <x v="0"/>
    <s v="Low"/>
    <s v="CHINA"/>
    <d v="2023-01-12T00:00:00"/>
    <s v="Jan-2023"/>
    <d v="2023-04-30T00:00:00"/>
    <n v="0"/>
  </r>
  <r>
    <s v="ORD-2024-287210"/>
    <d v="2024-03-18T00:00:00"/>
    <d v="2024-03-21T00:00:00"/>
    <s v="Europe"/>
    <x v="5"/>
    <s v="Munich"/>
    <s v="Small Business"/>
    <s v="Online"/>
    <s v="M. Rossi"/>
    <x v="6"/>
    <s v="ACC-2761"/>
    <n v="910.63"/>
    <n v="1269.4000000000001"/>
    <n v="6.8000000000000005E-2"/>
    <n v="9"/>
    <s v="Valid"/>
    <n v="1269.4000000000001"/>
    <b v="0"/>
    <n v="6.8000000000000005E-2"/>
    <n v="3"/>
    <d v="2024-03-21T00:00:00"/>
    <n v="3"/>
    <n v="1141683.1272"/>
    <n v="11424.6"/>
    <n v="1130258.5271999999"/>
    <n v="0.98999319537285346"/>
    <s v="Mar-2024"/>
    <s v="Q1-2024"/>
    <s v="Europe → Germany → Munich"/>
    <x v="0"/>
    <s v="Medium"/>
    <s v="GERMANY"/>
    <d v="2023-01-22T00:00:00"/>
    <s v="Jan-2023"/>
    <d v="2024-03-31T00:00:00"/>
    <n v="1"/>
  </r>
  <r>
    <s v="ORD-2025-640677"/>
    <d v="2025-04-09T00:00:00"/>
    <d v="2025-05-06T00:00:00"/>
    <s v="Americas"/>
    <x v="4"/>
    <s v="Brasília"/>
    <s v="Enterprise"/>
    <s v="Marketplace"/>
    <s v="F. Müller"/>
    <x v="4"/>
    <s v="LAP-4517"/>
    <n v="264.19"/>
    <n v="620.92999999999995"/>
    <n v="0.14199999999999999"/>
    <n v="12"/>
    <s v="Valid"/>
    <n v="620.92999999999995"/>
    <b v="0"/>
    <n v="0.14199999999999999"/>
    <n v="27"/>
    <d v="2025-05-06T00:00:00"/>
    <n v="27"/>
    <n v="744057.93527999998"/>
    <n v="7451.16"/>
    <n v="736606.77527999994"/>
    <n v="0.98998577980732638"/>
    <s v="Apr-2025"/>
    <s v="Q2-2025"/>
    <s v="Americas → Brazil → Brasília"/>
    <x v="2"/>
    <s v="High"/>
    <s v="BRAZIL"/>
    <d v="2023-01-29T00:00:00"/>
    <s v="Jan-2023"/>
    <d v="2025-04-30T00:00:00"/>
    <n v="0"/>
  </r>
  <r>
    <s v="ORD-2024-939873"/>
    <d v="2024-04-12T00:00:00"/>
    <d v="2024-05-07T00:00:00"/>
    <s v="Africa"/>
    <x v="11"/>
    <s v="Johannesburg"/>
    <s v="Education"/>
    <s v="Distributor"/>
    <s v="A. Patel"/>
    <x v="4"/>
    <s v="LAP-8489"/>
    <n v="1376.51"/>
    <n v="1455.91"/>
    <n v="0.185"/>
    <n v="17"/>
    <s v="Valid"/>
    <n v="1455.91"/>
    <b v="0"/>
    <n v="0.185"/>
    <n v="25"/>
    <d v="2024-05-07T00:00:00"/>
    <n v="25"/>
    <n v="2470468.1630500001"/>
    <n v="24750.47"/>
    <n v="2445717.6930499999"/>
    <n v="0.98998146571156631"/>
    <s v="Apr-2024"/>
    <s v="Q2-2024"/>
    <s v="Africa → South Africa → Johannesburg"/>
    <x v="2"/>
    <s v="Medium"/>
    <s v="SOUTH AFRICA"/>
    <d v="2023-01-07T00:00:00"/>
    <s v="Jan-2023"/>
    <d v="2024-04-30T00:00:00"/>
    <n v="0"/>
  </r>
  <r>
    <s v="ORD-2024-800947"/>
    <d v="2024-12-15T00:00:00"/>
    <d v="2024-12-20T00:00:00"/>
    <s v="Asia"/>
    <x v="9"/>
    <s v="Shenzhen"/>
    <s v="Small Business"/>
    <s v="Direct"/>
    <s v="J. Njeri"/>
    <x v="2"/>
    <s v="NET-1846"/>
    <n v="717.55"/>
    <n v="546.42999999999995"/>
    <n v="4.7E-2"/>
    <n v="18"/>
    <s v="Valid"/>
    <n v="546.42999999999995"/>
    <b v="0"/>
    <n v="4.7E-2"/>
    <n v="5"/>
    <d v="2024-12-20T00:00:00"/>
    <n v="5"/>
    <n v="983111.72022000002"/>
    <n v="9835.74"/>
    <n v="973275.98022000003"/>
    <n v="0.98999529778996131"/>
    <s v="Dec-2024"/>
    <s v="Q4-2024"/>
    <s v="Asia → China → Shenzhen"/>
    <x v="0"/>
    <s v="High"/>
    <s v="CHINA"/>
    <d v="2023-01-12T00:00:00"/>
    <s v="Jan-2023"/>
    <d v="2024-12-31T00:00:00"/>
    <n v="1"/>
  </r>
  <r>
    <s v="ORD-2023-382272"/>
    <d v="2023-05-20T00:00:00"/>
    <d v="2023-05-18T00:00:00"/>
    <s v="Africa"/>
    <x v="11"/>
    <s v="Durban"/>
    <s v="Corporate"/>
    <s v="Distributor"/>
    <s v="A. Patel"/>
    <x v="0"/>
    <s v="CMP-5208"/>
    <n v="917.88"/>
    <n v="1347.92"/>
    <n v="0.34300000000000003"/>
    <n v="5"/>
    <s v="Valid"/>
    <n v="1347.92"/>
    <s v="Excess"/>
    <n v="0.3"/>
    <n v="-2"/>
    <d v="2023-05-27T00:00:00"/>
    <n v="7"/>
    <n v="671938.12000000011"/>
    <n v="6739.6"/>
    <n v="665198.52000000014"/>
    <n v="0.98996990972918764"/>
    <s v="May-2023"/>
    <s v="Q2-2023"/>
    <s v="Africa → South Africa → Durban"/>
    <x v="0"/>
    <s v="Low"/>
    <s v="SOUTH AFRICA"/>
    <d v="2023-01-07T00:00:00"/>
    <s v="Jan-2023"/>
    <d v="2023-05-31T00:00:00"/>
    <n v="1"/>
  </r>
  <r>
    <s v="ORD-2023-722117"/>
    <d v="2023-09-18T00:00:00"/>
    <d v="2023-10-08T00:00:00"/>
    <s v="Asia"/>
    <x v="3"/>
    <s v="Delhi"/>
    <s v="Small Business"/>
    <s v="Direct"/>
    <s v="B. Chen"/>
    <x v="0"/>
    <s v="CMP-1009"/>
    <n v="825.64"/>
    <n v="1108.43"/>
    <n v="0.114"/>
    <n v="7"/>
    <s v="Valid"/>
    <n v="1108.43"/>
    <b v="0"/>
    <n v="0.114"/>
    <n v="20"/>
    <d v="2023-10-08T00:00:00"/>
    <n v="20"/>
    <n v="775016.47285999998"/>
    <n v="7759.01"/>
    <n v="767257.46285999997"/>
    <n v="0.98998858698916758"/>
    <s v="Sep-2023"/>
    <s v="Q3-2023"/>
    <s v="Asia → India → Delhi"/>
    <x v="0"/>
    <s v="Low"/>
    <s v="INDIA"/>
    <d v="2023-01-29T00:00:00"/>
    <s v="Jan-2023"/>
    <d v="2023-09-30T00:00:00"/>
    <n v="0"/>
  </r>
  <r>
    <s v="ORD-2024-446699"/>
    <d v="2024-08-28T00:00:00"/>
    <d v="2024-09-25T00:00:00"/>
    <s v="Americas"/>
    <x v="4"/>
    <s v="Rio de Janeiro"/>
    <s v="Non-Profit"/>
    <s v="Online"/>
    <s v="Unidentified sales person "/>
    <x v="6"/>
    <s v="ACC-4490"/>
    <n v="1394.65"/>
    <n v="3144.1"/>
    <n v="0.13400000000000001"/>
    <n v="13"/>
    <s v="Valid"/>
    <n v="3144.1"/>
    <b v="0"/>
    <n v="0.13400000000000001"/>
    <n v="28"/>
    <d v="2024-09-25T00:00:00"/>
    <n v="28"/>
    <n v="4081852.9777999995"/>
    <n v="40873.299999999996"/>
    <n v="4040979.6777999997"/>
    <n v="0.98998658201990675"/>
    <s v="Aug-2024"/>
    <s v="Q3-2024"/>
    <s v="Americas → Brazil → Rio de Janeiro"/>
    <x v="0"/>
    <s v="Medium"/>
    <s v="BRAZIL"/>
    <d v="2023-01-29T00:00:00"/>
    <s v="Jan-2023"/>
    <d v="2024-08-31T00:00:00"/>
    <n v="0"/>
  </r>
  <r>
    <s v="ORD-2024-451005"/>
    <d v="2024-06-30T00:00:00"/>
    <d v="2024-06-28T00:00:00"/>
    <s v="Americas"/>
    <x v="4"/>
    <s v="Rio de Janeiro"/>
    <s v="Small Business"/>
    <s v="Direct"/>
    <s v="L. Okafor"/>
    <x v="6"/>
    <s v="ACC-9162"/>
    <n v="1112.98"/>
    <n v="2095.73"/>
    <n v="7.1999999999999995E-2"/>
    <n v="17"/>
    <s v="Valid"/>
    <n v="2095.73"/>
    <b v="0"/>
    <n v="7.1999999999999995E-2"/>
    <n v="-2"/>
    <d v="2024-07-07T00:00:00"/>
    <n v="7"/>
    <n v="3560175.8264800003"/>
    <n v="35627.410000000003"/>
    <n v="3524548.4164800001"/>
    <n v="0.98999279481226476"/>
    <s v="Jun-2024"/>
    <s v="Q2-2024"/>
    <s v="Americas → Brazil → Rio de Janeiro"/>
    <x v="0"/>
    <s v="Medium"/>
    <s v="BRAZIL"/>
    <d v="2023-01-29T00:00:00"/>
    <s v="Jan-2023"/>
    <d v="2024-06-30T00:00:00"/>
    <n v="1"/>
  </r>
  <r>
    <s v="ORD-2023-290279"/>
    <d v="2023-06-14T00:00:00"/>
    <d v="2023-06-16T00:00:00"/>
    <s v="Europe"/>
    <x v="8"/>
    <s v="Manchester"/>
    <s v="Non-Profit"/>
    <s v="Direct"/>
    <s v="K. Singh"/>
    <x v="0"/>
    <s v="CMP-5820"/>
    <n v="357.36"/>
    <n v="703.62"/>
    <n v="0.25700000000000001"/>
    <n v="20"/>
    <s v="Valid"/>
    <n v="703.62"/>
    <b v="0"/>
    <n v="0.25700000000000001"/>
    <n v="2"/>
    <d v="2023-06-16T00:00:00"/>
    <n v="2"/>
    <n v="1403623.3931999998"/>
    <n v="14072.4"/>
    <n v="1389550.9931999999"/>
    <n v="0.98997423378081673"/>
    <s v="Jun-2023"/>
    <s v="Q2-2023"/>
    <s v="Europe → United Kingdom → Manchester"/>
    <x v="0"/>
    <s v="Low"/>
    <s v="UNITED KINGDOM"/>
    <d v="2023-01-19T00:00:00"/>
    <s v="Jan-2023"/>
    <d v="2023-06-30T00:00:00"/>
    <n v="1"/>
  </r>
  <r>
    <s v="ORD-2024-192263"/>
    <d v="2024-11-21T00:00:00"/>
    <d v="2024-12-21T00:00:00"/>
    <s v="Europe"/>
    <x v="7"/>
    <s v="Marseille"/>
    <s v="Small Business"/>
    <s v="Direct"/>
    <s v="I. Johnson"/>
    <x v="5"/>
    <s v="MON-7943"/>
    <n v="1122.68"/>
    <n v="1997.19"/>
    <n v="0.186"/>
    <n v="3"/>
    <s v="Valid"/>
    <n v="1997.19"/>
    <b v="0"/>
    <n v="0.186"/>
    <n v="30"/>
    <d v="2024-12-21T00:00:00"/>
    <n v="30"/>
    <n v="598042.56797999993"/>
    <n v="5991.57"/>
    <n v="592050.99797999999"/>
    <n v="0.98998136533953163"/>
    <s v="Nov-2024"/>
    <s v="Q4-2024"/>
    <s v="Europe → France → Marseille"/>
    <x v="1"/>
    <s v="High"/>
    <s v="FRANCE"/>
    <d v="2023-01-10T00:00:00"/>
    <s v="Jan-2023"/>
    <d v="2024-11-30T00:00:00"/>
    <n v="0"/>
  </r>
  <r>
    <s v="ORD-2023-159379"/>
    <d v="2023-02-08T00:00:00"/>
    <d v="2023-02-11T00:00:00"/>
    <s v="Africa"/>
    <x v="11"/>
    <s v="Cape Town"/>
    <s v="Corporate"/>
    <s v="Direct"/>
    <s v="M. Rossi"/>
    <x v="2"/>
    <s v="NET-5018"/>
    <n v="1410.05"/>
    <n v="2763.95"/>
    <n v="0.161"/>
    <n v="26"/>
    <s v="Valid"/>
    <n v="2763.95"/>
    <b v="0"/>
    <n v="0.161"/>
    <n v="3"/>
    <d v="2023-02-11T00:00:00"/>
    <n v="3"/>
    <n v="7174700.1052999999"/>
    <n v="71862.7"/>
    <n v="7102837.4052999998"/>
    <n v="0.9899838740371999"/>
    <s v="Feb-2023"/>
    <s v="Q1-2023"/>
    <s v="Africa → South Africa → Cape Town"/>
    <x v="0"/>
    <s v="Low"/>
    <s v="SOUTH AFRICA"/>
    <d v="2023-01-07T00:00:00"/>
    <s v="Jan-2023"/>
    <d v="2023-02-28T00:00:00"/>
    <n v="1"/>
  </r>
  <r>
    <s v="ORD-2023-343322"/>
    <d v="2023-08-19T00:00:00"/>
    <d v="2023-09-12T00:00:00"/>
    <s v="Americas"/>
    <x v="2"/>
    <s v="Vancouver"/>
    <s v="Enterprise"/>
    <s v="Retail"/>
    <s v="I. Johnson"/>
    <x v="1"/>
    <s v="PRN-9669"/>
    <n v="1183.95"/>
    <n v="1503.53"/>
    <n v="0.24099999999999999"/>
    <n v="16"/>
    <s v="Valid"/>
    <n v="1503.53"/>
    <b v="0"/>
    <n v="0.24099999999999999"/>
    <n v="24"/>
    <d v="2023-09-12T00:00:00"/>
    <n v="24"/>
    <n v="2399850.3883199999"/>
    <n v="24056.48"/>
    <n v="2375793.9083199999"/>
    <n v="0.98997584177868669"/>
    <s v="Aug-2023"/>
    <s v="Q3-2023"/>
    <s v="Americas → Canada → Vancouver"/>
    <x v="1"/>
    <s v="Low"/>
    <s v="CANADA"/>
    <d v="2023-01-02T00:00:00"/>
    <s v="Jan-2023"/>
    <d v="2023-08-31T00:00:00"/>
    <n v="0"/>
  </r>
  <r>
    <s v="ORD-2025-114382"/>
    <d v="2025-05-14T00:00:00"/>
    <d v="2025-05-24T00:00:00"/>
    <s v="Europe"/>
    <x v="7"/>
    <s v="Paris"/>
    <s v="Small Business"/>
    <s v="Marketplace"/>
    <s v="K. Singh"/>
    <x v="0"/>
    <s v="CMP-2865"/>
    <n v="170.39"/>
    <n v="388.04"/>
    <n v="8.4000000000000005E-2"/>
    <n v="15"/>
    <s v="Valid"/>
    <n v="388.04"/>
    <b v="0"/>
    <n v="8.4000000000000005E-2"/>
    <n v="10"/>
    <d v="2025-05-24T00:00:00"/>
    <n v="10"/>
    <n v="581571.06960000005"/>
    <n v="5820.6"/>
    <n v="575750.46960000007"/>
    <n v="0.98999159293806804"/>
    <s v="May-2025"/>
    <s v="Q2-2025"/>
    <s v="Europe → France → Paris"/>
    <x v="0"/>
    <s v="High"/>
    <s v="FRANCE"/>
    <d v="2023-01-10T00:00:00"/>
    <s v="Jan-2023"/>
    <d v="2025-05-31T00:00:00"/>
    <n v="0"/>
  </r>
  <r>
    <s v="ORD-2025-488349"/>
    <d v="2025-04-23T00:00:00"/>
    <d v="2025-04-22T00:00:00"/>
    <s v="Americas"/>
    <x v="10"/>
    <s v="San Francisco"/>
    <s v="Non-Profit"/>
    <s v="Distributor"/>
    <s v="D. Smith"/>
    <x v="5"/>
    <s v="MON-3371"/>
    <n v="23.24"/>
    <n v="44.57"/>
    <n v="0.215"/>
    <n v="15"/>
    <s v="Valid"/>
    <n v="44.57"/>
    <b v="0"/>
    <n v="0.215"/>
    <n v="-1"/>
    <d v="2025-04-30T00:00:00"/>
    <n v="7"/>
    <n v="66711.261749999991"/>
    <n v="668.55"/>
    <n v="66042.711749999988"/>
    <n v="0.98997845367540205"/>
    <s v="Apr-2025"/>
    <s v="Q2-2025"/>
    <s v="Americas → USA → San Francisco"/>
    <x v="1"/>
    <s v="High"/>
    <s v="USA"/>
    <d v="2023-01-13T00:00:00"/>
    <s v="Jan-2023"/>
    <d v="2025-04-30T00:00:00"/>
    <n v="1"/>
  </r>
  <r>
    <s v="ORD-2025-330203"/>
    <d v="2025-03-25T00:00:00"/>
    <d v="2025-04-17T00:00:00"/>
    <s v="Europe"/>
    <x v="8"/>
    <s v="London"/>
    <s v="Consumer"/>
    <s v="Retail"/>
    <s v="H. Kim"/>
    <x v="2"/>
    <s v="NET-7166"/>
    <n v="1421.19"/>
    <n v="1808.26"/>
    <n v="0.104"/>
    <n v="13"/>
    <s v="Valid"/>
    <n v="1808.26"/>
    <b v="0"/>
    <n v="0.104"/>
    <n v="23"/>
    <d v="2025-04-17T00:00:00"/>
    <n v="23"/>
    <n v="2348293.2324800002"/>
    <n v="23507.38"/>
    <n v="2324785.8524800004"/>
    <n v="0.98998958917273971"/>
    <s v="Mar-2025"/>
    <s v="Q1-2025"/>
    <s v="Europe → United Kingdom → London"/>
    <x v="0"/>
    <s v="High"/>
    <s v="UNITED KINGDOM"/>
    <d v="2023-01-19T00:00:00"/>
    <s v="Jan-2023"/>
    <d v="2025-03-31T00:00:00"/>
    <n v="0"/>
  </r>
  <r>
    <s v="ORD-2023-841426"/>
    <d v="2023-12-22T00:00:00"/>
    <d v="2023-12-23T00:00:00"/>
    <s v="Africa"/>
    <x v="11"/>
    <s v="Cape Town"/>
    <s v="Non-Profit"/>
    <s v="Marketplace"/>
    <s v="D. Smith"/>
    <x v="0"/>
    <s v="CMP-4531"/>
    <n v="1186.18"/>
    <n v="1285.0899999999999"/>
    <n v="7.0000000000000007E-2"/>
    <n v="11"/>
    <s v="Valid"/>
    <n v="1285.0899999999999"/>
    <b v="0"/>
    <n v="7.0000000000000007E-2"/>
    <n v="1"/>
    <d v="2023-12-23T00:00:00"/>
    <n v="1"/>
    <n v="1412609.4807000002"/>
    <n v="14135.99"/>
    <n v="1398473.4907000002"/>
    <n v="0.98999299509656757"/>
    <s v="Dec-2023"/>
    <s v="Q4-2023"/>
    <s v="Africa → South Africa → Cape Town"/>
    <x v="0"/>
    <s v="Medium"/>
    <s v="SOUTH AFRICA"/>
    <d v="2023-01-07T00:00:00"/>
    <s v="Jan-2023"/>
    <d v="2023-12-31T00:00:00"/>
    <n v="1"/>
  </r>
  <r>
    <s v="ORD-2024-594592"/>
    <d v="2024-04-06T00:00:00"/>
    <d v="2024-04-25T00:00:00"/>
    <s v="Asia"/>
    <x v="9"/>
    <s v="Shanghai"/>
    <s v="Corporate"/>
    <s v="Retail"/>
    <s v="K. Singh"/>
    <x v="0"/>
    <s v="CMP-8196"/>
    <n v="1366.48"/>
    <n v="1678.14"/>
    <n v="0.154"/>
    <n v="10"/>
    <s v="Valid"/>
    <n v="1678.14"/>
    <b v="0"/>
    <n v="0.154"/>
    <n v="19"/>
    <d v="2024-04-25T00:00:00"/>
    <n v="19"/>
    <n v="1675555.6644000001"/>
    <n v="16781.400000000001"/>
    <n v="1658774.2644000002"/>
    <n v="0.98998457624742109"/>
    <s v="Apr-2024"/>
    <s v="Q2-2024"/>
    <s v="Asia → China → Shanghai"/>
    <x v="0"/>
    <s v="Medium"/>
    <s v="CHINA"/>
    <d v="2023-01-12T00:00:00"/>
    <s v="Jan-2023"/>
    <d v="2024-04-30T00:00:00"/>
    <n v="0"/>
  </r>
  <r>
    <s v="ORD-2025-863978"/>
    <d v="2025-08-07T00:00:00"/>
    <d v="2025-08-19T00:00:00"/>
    <s v="Africa"/>
    <x v="0"/>
    <s v="Nakuru"/>
    <s v="Corporate"/>
    <s v="Unknown Channel "/>
    <s v="M. Rossi"/>
    <x v="0"/>
    <s v="CMP-2854"/>
    <n v="601.51"/>
    <n v="679.35"/>
    <n v="0.188"/>
    <n v="3"/>
    <s v="Valid"/>
    <n v="679.35"/>
    <b v="0"/>
    <n v="0.188"/>
    <n v="12"/>
    <d v="2025-08-19T00:00:00"/>
    <n v="12"/>
    <n v="203421.84660000002"/>
    <n v="2038.0500000000002"/>
    <n v="201383.79660000003"/>
    <n v="0.9899811645894282"/>
    <s v="Aug-2025"/>
    <s v="Q3-2025"/>
    <s v="Africa → Kenya → Nakuru"/>
    <x v="0"/>
    <s v="High"/>
    <s v="KENYA"/>
    <d v="2023-01-20T00:00:00"/>
    <s v="Jan-2023"/>
    <d v="2025-08-31T00:00:00"/>
    <n v="0"/>
  </r>
  <r>
    <s v="ORD-2024-604471"/>
    <d v="2024-01-21T00:00:00"/>
    <d v="2024-01-25T00:00:00"/>
    <s v="Asia"/>
    <x v="3"/>
    <s v="Delhi"/>
    <s v="Consumer"/>
    <s v="Direct"/>
    <s v="C. Otieno"/>
    <x v="5"/>
    <s v="MON-8973"/>
    <n v="523.70000000000005"/>
    <n v="1109.92"/>
    <n v="0.03"/>
    <n v="11"/>
    <s v="Valid"/>
    <n v="1109.92"/>
    <b v="0"/>
    <n v="0.03"/>
    <n v="4"/>
    <d v="2024-01-25T00:00:00"/>
    <n v="4"/>
    <n v="1220545.7264"/>
    <n v="12209.12"/>
    <n v="1208336.6063999999"/>
    <n v="0.98999699909972982"/>
    <s v="Jan-2024"/>
    <s v="Q1-2024"/>
    <s v="Asia → India → Delhi"/>
    <x v="1"/>
    <s v="Medium"/>
    <s v="INDIA"/>
    <d v="2023-01-29T00:00:00"/>
    <s v="Jan-2023"/>
    <d v="2024-01-31T00:00:00"/>
    <n v="1"/>
  </r>
  <r>
    <s v="ORD-2023-258768"/>
    <d v="2023-06-29T00:00:00"/>
    <d v="2023-07-02T00:00:00"/>
    <s v="Asia"/>
    <x v="6"/>
    <s v="Nagoya"/>
    <s v="Education"/>
    <s v="Marketplace"/>
    <s v="F. Müller"/>
    <x v="5"/>
    <s v="MON-2990"/>
    <n v="55.65"/>
    <n v="83.57"/>
    <n v="6.6000000000000003E-2"/>
    <n v="8"/>
    <s v="Valid"/>
    <n v="83.57"/>
    <b v="0"/>
    <n v="6.6000000000000003E-2"/>
    <n v="3"/>
    <d v="2023-07-02T00:00:00"/>
    <n v="3"/>
    <n v="66811.875039999999"/>
    <n v="668.56"/>
    <n v="66143.315040000001"/>
    <n v="0.98999339564112321"/>
    <s v="Jun-2023"/>
    <s v="Q2-2023"/>
    <s v="Asia → Japan → Nagoya"/>
    <x v="1"/>
    <s v="Low"/>
    <s v="JAPAN"/>
    <d v="2023-03-03T00:00:00"/>
    <s v="Mar-2023"/>
    <d v="2023-06-30T00:00:00"/>
    <n v="1"/>
  </r>
  <r>
    <s v="ORD-2025-626047"/>
    <d v="2025-04-28T00:00:00"/>
    <d v="2025-05-15T00:00:00"/>
    <s v="Asia"/>
    <x v="6"/>
    <s v="Nagoya"/>
    <s v="Education"/>
    <s v="Direct"/>
    <s v="N. Brown"/>
    <x v="2"/>
    <s v="NET-1966"/>
    <n v="691.19"/>
    <n v="1284.3"/>
    <n v="7.3999999999999996E-2"/>
    <n v="7"/>
    <s v="Valid"/>
    <n v="1284.3"/>
    <b v="0"/>
    <n v="7.3999999999999996E-2"/>
    <n v="17"/>
    <d v="2025-05-15T00:00:00"/>
    <n v="17"/>
    <n v="898344.7326000001"/>
    <n v="8990.1"/>
    <n v="889354.63260000013"/>
    <n v="0.98999259451994481"/>
    <s v="Apr-2025"/>
    <s v="Q2-2025"/>
    <s v="Asia → Japan → Nagoya"/>
    <x v="0"/>
    <s v="High"/>
    <s v="JAPAN"/>
    <d v="2023-03-03T00:00:00"/>
    <s v="Mar-2023"/>
    <d v="2025-04-30T00:00:00"/>
    <n v="0"/>
  </r>
  <r>
    <s v="ORD-2025-526752"/>
    <d v="2025-06-09T00:00:00"/>
    <d v="2025-06-25T00:00:00"/>
    <s v="Asia"/>
    <x v="3"/>
    <s v="Hyderabad"/>
    <s v="Enterprise"/>
    <s v="Distributor"/>
    <s v="M. Rossi"/>
    <x v="3"/>
    <s v="PHN-3482"/>
    <n v="527.33000000000004"/>
    <n v="911.72"/>
    <n v="0.14399999999999999"/>
    <n v="25"/>
    <s v="Valid"/>
    <n v="911.72"/>
    <b v="0"/>
    <n v="0.14399999999999999"/>
    <n v="16"/>
    <d v="2025-06-25T00:00:00"/>
    <n v="16"/>
    <n v="2276017.8079999997"/>
    <n v="22793"/>
    <n v="2253224.8079999997"/>
    <n v="0.98998557923409713"/>
    <s v="Jun-2025"/>
    <s v="Q2-2025"/>
    <s v="Asia → India → Hyderabad"/>
    <x v="2"/>
    <s v="High"/>
    <s v="INDIA"/>
    <d v="2023-01-29T00:00:00"/>
    <s v="Jan-2023"/>
    <d v="2025-06-30T00:00:00"/>
    <n v="0"/>
  </r>
  <r>
    <s v="ORD-2023-374486"/>
    <d v="2023-06-24T00:00:00"/>
    <d v="2023-06-23T00:00:00"/>
    <s v="Americas"/>
    <x v="4"/>
    <s v="Rio de Janeiro"/>
    <s v="Non-Profit"/>
    <s v="Retail"/>
    <s v="E. Garcia"/>
    <x v="1"/>
    <s v="PRN-6490"/>
    <n v="804.01"/>
    <n v="1405.07"/>
    <n v="9.6000000000000002E-2"/>
    <n v="8"/>
    <s v="Valid"/>
    <n v="1405.07"/>
    <b v="0"/>
    <n v="9.6000000000000002E-2"/>
    <n v="-1"/>
    <d v="2023-07-01T00:00:00"/>
    <n v="7"/>
    <n v="1122976.9062399999"/>
    <n v="11240.56"/>
    <n v="1111736.3462399999"/>
    <n v="0.98999039077514406"/>
    <s v="Jun-2023"/>
    <s v="Q2-2023"/>
    <s v="Americas → Brazil → Rio de Janeiro"/>
    <x v="1"/>
    <s v="Low"/>
    <s v="BRAZIL"/>
    <d v="2023-01-29T00:00:00"/>
    <s v="Jan-2023"/>
    <d v="2023-06-30T00:00:00"/>
    <n v="1"/>
  </r>
  <r>
    <s v="ORD-2024-997336"/>
    <d v="2024-10-04T00:00:00"/>
    <d v="2024-11-02T00:00:00"/>
    <s v="Africa"/>
    <x v="1"/>
    <s v="Abuja"/>
    <s v="Corporate"/>
    <s v="Distributor"/>
    <s v="F. Müller"/>
    <x v="6"/>
    <s v="ACC-9038"/>
    <n v="412.09"/>
    <n v="968.94"/>
    <n v="9.9000000000000005E-2"/>
    <n v="23"/>
    <s v="Valid"/>
    <n v="968.94"/>
    <b v="0"/>
    <n v="9.9000000000000005E-2"/>
    <n v="29"/>
    <d v="2024-11-02T00:00:00"/>
    <n v="29"/>
    <n v="2226355.7236200003"/>
    <n v="22285.620000000003"/>
    <n v="2204070.1036200002"/>
    <n v="0.9899900901892873"/>
    <s v="Oct-2024"/>
    <s v="Q4-2024"/>
    <s v="Africa → Nigeria → Abuja"/>
    <x v="0"/>
    <s v="Medium"/>
    <s v="NIGERIA"/>
    <d v="2023-01-15T00:00:00"/>
    <s v="Jan-2023"/>
    <d v="2024-10-31T00:00:00"/>
    <n v="0"/>
  </r>
  <r>
    <s v="ORD-2025-725646"/>
    <d v="2025-09-10T00:00:00"/>
    <d v="2025-09-30T00:00:00"/>
    <s v="Africa"/>
    <x v="0"/>
    <s v="Mombasa"/>
    <s v="Corporate"/>
    <s v="Direct"/>
    <s v="L. Okafor"/>
    <x v="3"/>
    <s v="PHN-6954"/>
    <n v="1009.48"/>
    <n v="1088.81"/>
    <n v="0.16"/>
    <n v="6"/>
    <s v="Valid"/>
    <n v="1088.81"/>
    <b v="0"/>
    <n v="0.16"/>
    <n v="20"/>
    <d v="2025-09-30T00:00:00"/>
    <n v="20"/>
    <n v="652240.74239999999"/>
    <n v="6532.86"/>
    <n v="645707.8824"/>
    <n v="0.98998397435897434"/>
    <s v="Sep-2025"/>
    <s v="Q3-2025"/>
    <s v="Africa → Kenya → Mombasa"/>
    <x v="2"/>
    <s v="High"/>
    <s v="KENYA"/>
    <d v="2023-01-20T00:00:00"/>
    <s v="Jan-2023"/>
    <d v="2025-09-30T00:00:00"/>
    <n v="0"/>
  </r>
  <r>
    <s v="ORD-2023-868734"/>
    <d v="2023-04-06T00:00:00"/>
    <d v="2023-04-27T00:00:00"/>
    <s v="Europe"/>
    <x v="8"/>
    <s v="Manchester"/>
    <s v="Enterprise"/>
    <s v="Distributor"/>
    <s v="I. Johnson"/>
    <x v="1"/>
    <s v="PRN-8970"/>
    <n v="1084.79"/>
    <n v="2484.9899999999998"/>
    <n v="3.4000000000000002E-2"/>
    <n v="18"/>
    <s v="Valid"/>
    <n v="2484.9899999999998"/>
    <b v="0"/>
    <n v="3.4000000000000002E-2"/>
    <n v="21"/>
    <d v="2023-04-27T00:00:00"/>
    <n v="21"/>
    <n v="4471461.1861199988"/>
    <n v="44729.819999999992"/>
    <n v="4426731.3661199985"/>
    <n v="0.9899965988436068"/>
    <s v="Apr-2023"/>
    <s v="Q2-2023"/>
    <s v="Europe → United Kingdom → Manchester"/>
    <x v="1"/>
    <s v="Low"/>
    <s v="UNITED KINGDOM"/>
    <d v="2023-01-19T00:00:00"/>
    <s v="Jan-2023"/>
    <d v="2023-04-30T00:00:00"/>
    <n v="0"/>
  </r>
  <r>
    <s v="ORD-2025-262491"/>
    <d v="2025-08-01T00:00:00"/>
    <d v="2025-08-16T00:00:00"/>
    <s v="Asia"/>
    <x v="3"/>
    <s v="Unknown City "/>
    <s v="Enterprise"/>
    <s v="Direct"/>
    <s v="O. Wang"/>
    <x v="5"/>
    <s v="MON-1822"/>
    <n v="24.44"/>
    <n v="28.69"/>
    <n v="0.14599999999999999"/>
    <n v="6"/>
    <s v="Valid"/>
    <n v="28.69"/>
    <b v="0"/>
    <n v="0.14599999999999999"/>
    <n v="15"/>
    <d v="2025-08-16T00:00:00"/>
    <n v="15"/>
    <n v="17188.867560000002"/>
    <n v="172.14000000000001"/>
    <n v="17016.727560000003"/>
    <n v="0.9899853786528332"/>
    <s v="Aug-2025"/>
    <s v="Q3-2025"/>
    <s v="Asia → India → Unknown City "/>
    <x v="1"/>
    <s v="High"/>
    <s v="INDIA"/>
    <d v="2023-01-29T00:00:00"/>
    <s v="Jan-2023"/>
    <d v="2025-08-31T00:00:00"/>
    <n v="0"/>
  </r>
  <r>
    <s v="ORD-2024-638884"/>
    <d v="2024-05-28T00:00:00"/>
    <d v="2024-05-26T00:00:00"/>
    <s v="Africa"/>
    <x v="1"/>
    <s v="Abuja"/>
    <s v="Enterprise"/>
    <s v="Online"/>
    <s v="F. Müller"/>
    <x v="6"/>
    <s v="ACC-5177"/>
    <n v="1227.08"/>
    <n v="1896.62"/>
    <n v="0"/>
    <n v="18"/>
    <s v="Valid"/>
    <n v="1896.62"/>
    <b v="0"/>
    <n v="0"/>
    <n v="-2"/>
    <d v="2024-06-04T00:00:00"/>
    <n v="7"/>
    <n v="3413915.9999999995"/>
    <n v="34139.159999999996"/>
    <n v="3379776.8399999994"/>
    <n v="0.99"/>
    <s v="May-2024"/>
    <s v="Q2-2024"/>
    <s v="Africa → Nigeria → Abuja"/>
    <x v="0"/>
    <s v="Medium"/>
    <s v="NIGERIA"/>
    <d v="2023-01-15T00:00:00"/>
    <s v="Jan-2023"/>
    <d v="2024-05-31T00:00:00"/>
    <n v="1"/>
  </r>
  <r>
    <s v="ORD-2025-541501"/>
    <d v="2025-07-22T00:00:00"/>
    <d v="2025-08-18T00:00:00"/>
    <s v="Asia"/>
    <x v="9"/>
    <s v="Shenzhen"/>
    <s v="Non-Profit"/>
    <s v="Marketplace"/>
    <s v="M. Rossi"/>
    <x v="2"/>
    <s v="NET-1804"/>
    <n v="547.32000000000005"/>
    <n v="419.17"/>
    <n v="9.1999999999999998E-2"/>
    <n v="14"/>
    <s v="Valid"/>
    <n v="419.17"/>
    <b v="0"/>
    <n v="9.1999999999999998E-2"/>
    <n v="27"/>
    <d v="2025-08-18T00:00:00"/>
    <n v="27"/>
    <n v="586298.10904000001"/>
    <n v="5868.38"/>
    <n v="580429.72904000001"/>
    <n v="0.9899907915282059"/>
    <s v="Jul-2025"/>
    <s v="Q3-2025"/>
    <s v="Asia → China → Shenzhen"/>
    <x v="0"/>
    <s v="High"/>
    <s v="CHINA"/>
    <d v="2023-01-12T00:00:00"/>
    <s v="Jan-2023"/>
    <d v="2025-07-31T00:00:00"/>
    <n v="0"/>
  </r>
  <r>
    <s v="ORD-2023-422918"/>
    <d v="2023-02-28T00:00:00"/>
    <d v="2023-03-20T00:00:00"/>
    <s v="Europe"/>
    <x v="5"/>
    <s v="Berlin"/>
    <s v="Small Business"/>
    <s v="Direct"/>
    <s v="H. Kim"/>
    <x v="4"/>
    <s v="LAP-3679"/>
    <n v="1200.78"/>
    <n v="2001.17"/>
    <n v="0.29199999999999998"/>
    <n v="18"/>
    <s v="Valid"/>
    <n v="2001.17"/>
    <b v="0"/>
    <n v="0.29199999999999998"/>
    <n v="20"/>
    <d v="2023-03-20T00:00:00"/>
    <n v="20"/>
    <n v="3591587.8504799996"/>
    <n v="36021.06"/>
    <n v="3555566.7904799995"/>
    <n v="0.98997071448630003"/>
    <s v="Feb-2023"/>
    <s v="Q1-2023"/>
    <s v="Europe → Germany → Berlin"/>
    <x v="2"/>
    <s v="Low"/>
    <s v="GERMANY"/>
    <d v="2023-01-22T00:00:00"/>
    <s v="Jan-2023"/>
    <d v="2023-02-28T00:00:00"/>
    <n v="0"/>
  </r>
  <r>
    <s v="ORD-2025-328504"/>
    <d v="2025-01-27T00:00:00"/>
    <d v="2025-02-15T00:00:00"/>
    <s v="Asia"/>
    <x v="9"/>
    <s v="Shenzhen"/>
    <s v="Non-Profit"/>
    <s v="Direct"/>
    <s v="L. Okafor"/>
    <x v="3"/>
    <s v="PHN-8368"/>
    <n v="1253.22"/>
    <n v="3104.71"/>
    <n v="0"/>
    <n v="17"/>
    <s v="Valid"/>
    <n v="3104.71"/>
    <b v="0"/>
    <n v="0"/>
    <n v="19"/>
    <d v="2025-02-15T00:00:00"/>
    <n v="19"/>
    <n v="5278007"/>
    <n v="52780.07"/>
    <n v="5225226.93"/>
    <n v="0.99"/>
    <s v="Jan-2025"/>
    <s v="Q1-2025"/>
    <s v="Asia → China → Shenzhen"/>
    <x v="2"/>
    <s v="High"/>
    <s v="CHINA"/>
    <d v="2023-01-12T00:00:00"/>
    <s v="Jan-2023"/>
    <d v="2025-01-31T00:00:00"/>
    <n v="0"/>
  </r>
  <r>
    <s v="ORD-2024-851883"/>
    <d v="2024-01-13T00:00:00"/>
    <d v="2024-01-22T00:00:00"/>
    <s v="Asia"/>
    <x v="3"/>
    <s v="Mumbai"/>
    <s v="Enterprise"/>
    <s v="Marketplace"/>
    <s v="J. Njeri"/>
    <x v="0"/>
    <s v="CMP-8141"/>
    <n v="313.60000000000002"/>
    <n v="334.28"/>
    <n v="0.14000000000000001"/>
    <n v="22"/>
    <s v="Valid"/>
    <n v="334.28"/>
    <b v="0"/>
    <n v="0.14000000000000001"/>
    <n v="9"/>
    <d v="2024-01-22T00:00:00"/>
    <n v="9"/>
    <n v="734386.41759999993"/>
    <n v="7354.16"/>
    <n v="727032.2575999999"/>
    <n v="0.9899859803725215"/>
    <s v="Jan-2024"/>
    <s v="Q1-2024"/>
    <s v="Asia → India → Mumbai"/>
    <x v="0"/>
    <s v="Medium"/>
    <s v="INDIA"/>
    <d v="2023-01-29T00:00:00"/>
    <s v="Jan-2023"/>
    <d v="2024-01-31T00:00:00"/>
    <n v="0"/>
  </r>
  <r>
    <s v="ORD-2025-662997"/>
    <d v="2025-03-31T00:00:00"/>
    <d v="2025-04-04T00:00:00"/>
    <s v="Africa"/>
    <x v="0"/>
    <s v="Nakuru"/>
    <s v="Corporate"/>
    <s v="Direct"/>
    <s v="C. Otieno"/>
    <x v="4"/>
    <s v="LAP-7136"/>
    <n v="862.08"/>
    <n v="1952.83"/>
    <n v="0"/>
    <n v="7"/>
    <s v="Valid"/>
    <n v="1952.83"/>
    <b v="0"/>
    <n v="0"/>
    <n v="4"/>
    <d v="2025-04-04T00:00:00"/>
    <n v="4"/>
    <n v="1366981"/>
    <n v="13669.81"/>
    <n v="1353311.19"/>
    <n v="0.99"/>
    <s v="Mar-2025"/>
    <s v="Q1-2025"/>
    <s v="Africa → Kenya → Nakuru"/>
    <x v="2"/>
    <s v="High"/>
    <s v="KENYA"/>
    <d v="2023-01-20T00:00:00"/>
    <s v="Jan-2023"/>
    <d v="2025-03-31T00:00:00"/>
    <n v="1"/>
  </r>
  <r>
    <s v="ORD-2024-478165"/>
    <d v="2024-12-05T00:00:00"/>
    <d v="2024-12-28T00:00:00"/>
    <s v="Americas"/>
    <x v="2"/>
    <s v="Vancouver"/>
    <s v="Corporate"/>
    <s v="Direct"/>
    <s v="F. Müller"/>
    <x v="6"/>
    <s v="ACC-2386"/>
    <n v="107.03"/>
    <n v="242.29"/>
    <n v="0.18"/>
    <n v="30"/>
    <s v="Valid"/>
    <n v="242.29"/>
    <b v="0"/>
    <n v="0.18"/>
    <n v="23"/>
    <d v="2024-12-28T00:00:00"/>
    <n v="23"/>
    <n v="725561.63399999996"/>
    <n v="7268.7"/>
    <n v="718292.93400000001"/>
    <n v="0.98998196754157486"/>
    <s v="Dec-2024"/>
    <s v="Q4-2024"/>
    <s v="Americas → Canada → Vancouver"/>
    <x v="0"/>
    <s v="High"/>
    <s v="CANADA"/>
    <d v="2023-01-02T00:00:00"/>
    <s v="Jan-2023"/>
    <d v="2024-12-31T00:00:00"/>
    <n v="0"/>
  </r>
  <r>
    <s v="ORD-2024-771210"/>
    <d v="2024-09-14T00:00:00"/>
    <d v="2024-10-05T00:00:00"/>
    <s v="Asia"/>
    <x v="9"/>
    <s v="Shanghai"/>
    <s v="Small Business"/>
    <s v="Online"/>
    <s v="H. Kim"/>
    <x v="4"/>
    <s v="LAP-5150"/>
    <n v="1405.56"/>
    <n v="2968.87"/>
    <n v="0.16900000000000001"/>
    <n v="5"/>
    <s v="Valid"/>
    <n v="2968.87"/>
    <b v="0"/>
    <n v="0.16900000000000001"/>
    <n v="21"/>
    <d v="2024-10-05T00:00:00"/>
    <n v="21"/>
    <n v="1481926.30485"/>
    <n v="14844.349999999999"/>
    <n v="1467081.9548499999"/>
    <n v="0.98998307139065012"/>
    <s v="Sep-2024"/>
    <s v="Q3-2024"/>
    <s v="Asia → China → Shanghai"/>
    <x v="2"/>
    <s v="Medium"/>
    <s v="CHINA"/>
    <d v="2023-01-12T00:00:00"/>
    <s v="Jan-2023"/>
    <d v="2024-09-30T00:00:00"/>
    <n v="0"/>
  </r>
  <r>
    <s v="ORD-2024-155337"/>
    <d v="2024-05-21T00:00:00"/>
    <d v="2024-05-27T00:00:00"/>
    <s v="Africa"/>
    <x v="11"/>
    <s v="Johannesburg"/>
    <s v="Non-Profit"/>
    <s v="Online"/>
    <s v="M. Rossi"/>
    <x v="0"/>
    <s v="CMP-8101"/>
    <n v="1157.51"/>
    <n v="1394.3"/>
    <n v="0.27800000000000002"/>
    <n v="12"/>
    <s v="Valid"/>
    <n v="1394.3"/>
    <b v="0"/>
    <n v="0.27800000000000002"/>
    <n v="6"/>
    <d v="2024-05-27T00:00:00"/>
    <n v="6"/>
    <n v="1668508.6151999997"/>
    <n v="16731.599999999999"/>
    <n v="1651777.0151999996"/>
    <n v="0.98997212250055144"/>
    <s v="May-2024"/>
    <s v="Q2-2024"/>
    <s v="Africa → South Africa → Johannesburg"/>
    <x v="0"/>
    <s v="Medium"/>
    <s v="SOUTH AFRICA"/>
    <d v="2023-01-07T00:00:00"/>
    <s v="Jan-2023"/>
    <d v="2024-05-31T00:00:00"/>
    <n v="1"/>
  </r>
  <r>
    <s v="ORD-2023-251563"/>
    <d v="2023-05-11T00:00:00"/>
    <d v="2023-06-07T00:00:00"/>
    <s v="Africa"/>
    <x v="0"/>
    <s v="Mombasa"/>
    <s v="Corporate"/>
    <s v="Online"/>
    <s v="J. Njeri"/>
    <x v="3"/>
    <s v="PHN-8970"/>
    <n v="12.85"/>
    <n v="15.41"/>
    <n v="0.13700000000000001"/>
    <n v="39"/>
    <s v="Valid"/>
    <n v="15.41"/>
    <b v="0"/>
    <n v="0.13700000000000001"/>
    <n v="27"/>
    <d v="2023-06-07T00:00:00"/>
    <n v="27"/>
    <n v="60016.664369999999"/>
    <n v="600.99"/>
    <n v="59415.674370000001"/>
    <n v="0.98998628120525123"/>
    <s v="May-2023"/>
    <s v="Q2-2023"/>
    <s v="Africa → Kenya → Mombasa"/>
    <x v="2"/>
    <s v="Low"/>
    <s v="KENYA"/>
    <d v="2023-01-20T00:00:00"/>
    <s v="Jan-2023"/>
    <d v="2023-05-31T00:00:00"/>
    <n v="0"/>
  </r>
  <r>
    <s v="ORD-2024-286833"/>
    <d v="2024-08-14T00:00:00"/>
    <d v="2024-09-04T00:00:00"/>
    <s v="Europe"/>
    <x v="8"/>
    <s v="Manchester"/>
    <s v="Non-Profit"/>
    <s v="Online"/>
    <s v="J. Njeri"/>
    <x v="3"/>
    <s v="PHN-2341"/>
    <n v="1138.8"/>
    <n v="2250.81"/>
    <n v="0.123"/>
    <n v="12"/>
    <s v="Valid"/>
    <n v="2250.81"/>
    <b v="0"/>
    <n v="0.123"/>
    <n v="21"/>
    <d v="2024-09-04T00:00:00"/>
    <n v="21"/>
    <n v="2697649.8044400001"/>
    <n v="27009.72"/>
    <n v="2670640.0844399999"/>
    <n v="0.98998768485236832"/>
    <s v="Aug-2024"/>
    <s v="Q3-2024"/>
    <s v="Europe → United Kingdom → Manchester"/>
    <x v="2"/>
    <s v="Medium"/>
    <s v="UNITED KINGDOM"/>
    <d v="2023-01-19T00:00:00"/>
    <s v="Jan-2023"/>
    <d v="2024-08-31T00:00:00"/>
    <n v="0"/>
  </r>
  <r>
    <s v="ORD-2024-792558"/>
    <d v="2024-10-16T00:00:00"/>
    <d v="2024-11-08T00:00:00"/>
    <s v="Asia"/>
    <x v="6"/>
    <s v="Osaka"/>
    <s v="Small Business"/>
    <s v="Retail"/>
    <s v="J. Njeri"/>
    <x v="2"/>
    <s v="NET-6387"/>
    <n v="82.14"/>
    <n v="166.04"/>
    <n v="0"/>
    <n v="10"/>
    <s v="Valid"/>
    <n v="166.04"/>
    <b v="0"/>
    <n v="0"/>
    <n v="23"/>
    <d v="2024-11-08T00:00:00"/>
    <n v="23"/>
    <n v="166040"/>
    <n v="1660.3999999999999"/>
    <n v="164379.6"/>
    <n v="0.99"/>
    <s v="Oct-2024"/>
    <s v="Q4-2024"/>
    <s v="Asia → Japan → Osaka"/>
    <x v="0"/>
    <s v="Medium"/>
    <s v="JAPAN"/>
    <d v="2023-03-03T00:00:00"/>
    <s v="Mar-2023"/>
    <d v="2024-10-31T00:00:00"/>
    <n v="0"/>
  </r>
  <r>
    <s v="ORD-2024-166150"/>
    <d v="2024-06-02T00:00:00"/>
    <d v="2024-06-08T00:00:00"/>
    <s v="Africa"/>
    <x v="0"/>
    <s v="Kisumu"/>
    <s v="Consumer"/>
    <s v="Marketplace"/>
    <s v="A. Patel"/>
    <x v="6"/>
    <s v="ACC-9820"/>
    <n v="292.94"/>
    <n v="356.55"/>
    <n v="0.22900000000000001"/>
    <n v="2"/>
    <s v="Valid"/>
    <n v="356.55"/>
    <b v="0"/>
    <n v="0.22900000000000001"/>
    <n v="6"/>
    <d v="2024-06-08T00:00:00"/>
    <n v="6"/>
    <n v="71146.700100000002"/>
    <n v="713.1"/>
    <n v="70433.600099999996"/>
    <n v="0.98997704743863435"/>
    <s v="Jun-2024"/>
    <s v="Q2-2024"/>
    <s v="Africa → Kenya → Kisumu"/>
    <x v="0"/>
    <s v="Medium"/>
    <s v="KENYA"/>
    <d v="2023-01-20T00:00:00"/>
    <s v="Jan-2023"/>
    <d v="2024-06-30T00:00:00"/>
    <n v="1"/>
  </r>
  <r>
    <s v="ORD-2024-909942"/>
    <d v="2024-06-09T00:00:00"/>
    <d v="2024-07-07T00:00:00"/>
    <s v="Asia"/>
    <x v="9"/>
    <s v="Shenzhen"/>
    <s v="Corporate"/>
    <s v="Online"/>
    <s v="J. Njeri"/>
    <x v="0"/>
    <s v="CMP-6392"/>
    <n v="550.22"/>
    <n v="1025.05"/>
    <n v="0"/>
    <n v="27"/>
    <s v="Valid"/>
    <n v="1025.05"/>
    <b v="0"/>
    <n v="0"/>
    <n v="28"/>
    <d v="2024-07-07T00:00:00"/>
    <n v="28"/>
    <n v="2767635"/>
    <n v="27676.35"/>
    <n v="2739958.65"/>
    <n v="0.99"/>
    <s v="Jun-2024"/>
    <s v="Q2-2024"/>
    <s v="Asia → China → Shenzhen"/>
    <x v="0"/>
    <s v="Medium"/>
    <s v="CHINA"/>
    <d v="2023-01-12T00:00:00"/>
    <s v="Jan-2023"/>
    <d v="2024-06-30T00:00:00"/>
    <n v="0"/>
  </r>
  <r>
    <s v="ORD-2024-223618"/>
    <d v="2024-06-10T00:00:00"/>
    <d v="2024-06-11T00:00:00"/>
    <s v="Europe"/>
    <x v="8"/>
    <s v="Birmingham"/>
    <s v="Small Business"/>
    <s v="Marketplace"/>
    <s v="M. Rossi"/>
    <x v="4"/>
    <s v="LAP-9230"/>
    <n v="1187.1300000000001"/>
    <n v="1795.17"/>
    <n v="1.2E-2"/>
    <n v="17"/>
    <s v="Valid"/>
    <n v="1795.17"/>
    <b v="0"/>
    <n v="1.2E-2"/>
    <n v="1"/>
    <d v="2024-06-11T00:00:00"/>
    <n v="1"/>
    <n v="3051422.7853199998"/>
    <n v="30517.89"/>
    <n v="3020904.8953199997"/>
    <n v="0.98999879985598271"/>
    <s v="Jun-2024"/>
    <s v="Q2-2024"/>
    <s v="Europe → United Kingdom → Birmingham"/>
    <x v="2"/>
    <s v="Medium"/>
    <s v="UNITED KINGDOM"/>
    <d v="2023-01-19T00:00:00"/>
    <s v="Jan-2023"/>
    <d v="2024-06-30T00:00:00"/>
    <n v="1"/>
  </r>
  <r>
    <s v="ORD-2024-919471"/>
    <d v="2024-06-29T00:00:00"/>
    <d v="2024-07-26T00:00:00"/>
    <s v="Africa"/>
    <x v="11"/>
    <s v="Durban"/>
    <s v="Enterprise"/>
    <s v="Distributor"/>
    <s v="B. Chen"/>
    <x v="2"/>
    <s v="NET-4241"/>
    <n v="5.36"/>
    <n v="4.37"/>
    <n v="0.11799999999999999"/>
    <n v="9"/>
    <s v="Valid"/>
    <n v="4.37"/>
    <b v="0"/>
    <n v="0.11799999999999999"/>
    <n v="27"/>
    <d v="2024-07-26T00:00:00"/>
    <n v="27"/>
    <n v="3928.3590600000002"/>
    <n v="39.33"/>
    <n v="3889.0290600000003"/>
    <n v="0.9899881860595503"/>
    <s v="Jun-2024"/>
    <s v="Q2-2024"/>
    <s v="Africa → South Africa → Durban"/>
    <x v="0"/>
    <s v="Medium"/>
    <s v="SOUTH AFRICA"/>
    <d v="2023-01-07T00:00:00"/>
    <s v="Jan-2023"/>
    <d v="2024-06-30T00:00:00"/>
    <n v="0"/>
  </r>
  <r>
    <s v="ORD-2025-649239"/>
    <d v="2025-01-17T00:00:00"/>
    <d v="2025-01-24T00:00:00"/>
    <s v="Americas"/>
    <x v="10"/>
    <s v="Austin"/>
    <s v="Enterprise"/>
    <s v="Online"/>
    <s v="G. Dubois"/>
    <x v="6"/>
    <s v="ACC-4511"/>
    <n v="142.09"/>
    <n v="218.5"/>
    <n v="0.11899999999999999"/>
    <n v="11"/>
    <s v="Valid"/>
    <n v="218.5"/>
    <b v="0"/>
    <n v="0.11899999999999999"/>
    <n v="7"/>
    <d v="2025-01-24T00:00:00"/>
    <n v="7"/>
    <n v="240063.9835"/>
    <n v="2403.5"/>
    <n v="237660.4835"/>
    <n v="0.98998808582212838"/>
    <s v="Jan-2025"/>
    <s v="Q1-2025"/>
    <s v="Americas → USA → Austin"/>
    <x v="0"/>
    <s v="High"/>
    <s v="USA"/>
    <d v="2023-01-13T00:00:00"/>
    <s v="Jan-2023"/>
    <d v="2025-01-31T00:00:00"/>
    <n v="1"/>
  </r>
  <r>
    <s v="ORD-2023-975863"/>
    <d v="2023-11-20T00:00:00"/>
    <d v="2023-12-05T00:00:00"/>
    <s v="Asia"/>
    <x v="6"/>
    <s v="Tokyo"/>
    <s v="Enterprise"/>
    <s v="Retail"/>
    <s v="L. Okafor"/>
    <x v="2"/>
    <s v="NET-3033"/>
    <n v="354.24"/>
    <n v="249.87"/>
    <n v="0"/>
    <n v="6"/>
    <s v="Valid"/>
    <n v="249.87"/>
    <b v="0"/>
    <n v="0"/>
    <n v="15"/>
    <d v="2023-12-05T00:00:00"/>
    <n v="15"/>
    <n v="149922"/>
    <n v="1499.22"/>
    <n v="148422.78"/>
    <n v="0.99"/>
    <s v="Nov-2023"/>
    <s v="Q4-2023"/>
    <s v="Asia → Japan → Tokyo"/>
    <x v="0"/>
    <s v="Low"/>
    <s v="JAPAN"/>
    <d v="2023-03-03T00:00:00"/>
    <s v="Mar-2023"/>
    <d v="2023-11-30T00:00:00"/>
    <n v="0"/>
  </r>
  <r>
    <s v="ORD-2023-869884"/>
    <d v="2023-03-02T00:00:00"/>
    <d v="2023-03-05T00:00:00"/>
    <s v="Americas"/>
    <x v="4"/>
    <s v="Brasília"/>
    <s v="Enterprise"/>
    <s v="Direct"/>
    <s v="G. Dubois"/>
    <x v="5"/>
    <s v="MON-2828"/>
    <n v="1473.58"/>
    <n v="3436.52"/>
    <n v="0.108"/>
    <n v="8"/>
    <s v="Valid"/>
    <n v="3436.52"/>
    <b v="0"/>
    <n v="0.108"/>
    <n v="3"/>
    <d v="2023-03-05T00:00:00"/>
    <n v="3"/>
    <n v="2746246.8467199998"/>
    <n v="27492.16"/>
    <n v="2718754.6867199996"/>
    <n v="0.98998918832338922"/>
    <s v="Mar-2023"/>
    <s v="Q1-2023"/>
    <s v="Americas → Brazil → Brasília"/>
    <x v="1"/>
    <s v="Low"/>
    <s v="BRAZIL"/>
    <d v="2023-01-29T00:00:00"/>
    <s v="Jan-2023"/>
    <d v="2023-03-31T00:00:00"/>
    <n v="1"/>
  </r>
  <r>
    <s v="ORD-2025-698069"/>
    <d v="2025-06-03T00:00:00"/>
    <d v="2025-06-10T00:00:00"/>
    <s v="Americas"/>
    <x v="2"/>
    <s v="Toronto"/>
    <s v="Consumer"/>
    <s v="Distributor"/>
    <s v="O. Wang"/>
    <x v="1"/>
    <s v="PRN-6429"/>
    <n v="75.180000000000007"/>
    <n v="53.45"/>
    <n v="0.157"/>
    <n v="17"/>
    <s v="Valid"/>
    <n v="53.45"/>
    <b v="0"/>
    <n v="0.157"/>
    <n v="7"/>
    <d v="2025-06-10T00:00:00"/>
    <n v="7"/>
    <n v="90722.341950000016"/>
    <n v="908.65000000000009"/>
    <n v="89813.691950000022"/>
    <n v="0.98998427531224031"/>
    <s v="Jun-2025"/>
    <s v="Q2-2025"/>
    <s v="Americas → Canada → Toronto"/>
    <x v="1"/>
    <s v="High"/>
    <s v="CANADA"/>
    <d v="2023-01-02T00:00:00"/>
    <s v="Jan-2023"/>
    <d v="2025-06-30T00:00:00"/>
    <n v="1"/>
  </r>
  <r>
    <s v="ORD-2024-474999"/>
    <d v="2024-12-27T00:00:00"/>
    <d v="2025-01-02T00:00:00"/>
    <s v="Europe"/>
    <x v="5"/>
    <s v="Frankfurt"/>
    <s v="Education"/>
    <s v="Direct"/>
    <s v="F. Müller"/>
    <x v="4"/>
    <s v="LAP-8214"/>
    <n v="1391.99"/>
    <n v="3469.7"/>
    <n v="0.184"/>
    <n v="23"/>
    <s v="Valid"/>
    <n v="3469.7"/>
    <b v="0"/>
    <n v="0.184"/>
    <n v="6"/>
    <d v="2025-01-02T00:00:00"/>
    <n v="6"/>
    <n v="7965626.2295999993"/>
    <n v="79803.099999999991"/>
    <n v="7885823.1295999996"/>
    <n v="0.98998156608159016"/>
    <s v="Dec-2024"/>
    <s v="Q4-2024"/>
    <s v="Europe → Germany → Frankfurt"/>
    <x v="2"/>
    <s v="High"/>
    <s v="GERMANY"/>
    <d v="2023-01-22T00:00:00"/>
    <s v="Jan-2023"/>
    <d v="2024-12-31T00:00:00"/>
    <n v="1"/>
  </r>
  <r>
    <s v="ORD-2023-427304"/>
    <d v="2023-06-09T00:00:00"/>
    <d v="2023-06-19T00:00:00"/>
    <s v="Asia"/>
    <x v="9"/>
    <s v="Beijing"/>
    <s v="Enterprise"/>
    <s v="Retail"/>
    <s v="F. Müller"/>
    <x v="5"/>
    <s v="MON-9194"/>
    <n v="339.61"/>
    <n v="621.02"/>
    <n v="7.0999999999999994E-2"/>
    <n v="10"/>
    <s v="Valid"/>
    <n v="621.02"/>
    <b v="0"/>
    <n v="7.0999999999999994E-2"/>
    <n v="10"/>
    <d v="2023-06-19T00:00:00"/>
    <n v="10"/>
    <n v="620579.07579999999"/>
    <n v="6210.2"/>
    <n v="614368.87580000004"/>
    <n v="0.98999289495541842"/>
    <s v="Jun-2023"/>
    <s v="Q2-2023"/>
    <s v="Asia → China → Beijing"/>
    <x v="1"/>
    <s v="Low"/>
    <s v="CHINA"/>
    <d v="2023-01-12T00:00:00"/>
    <s v="Jan-2023"/>
    <d v="2023-06-30T00:00:00"/>
    <n v="0"/>
  </r>
  <r>
    <s v="ORD-2025-956101"/>
    <d v="2025-07-09T00:00:00"/>
    <d v="2025-07-18T00:00:00"/>
    <s v="Americas"/>
    <x v="2"/>
    <s v="Vancouver"/>
    <s v="Education"/>
    <s v="Distributor"/>
    <s v="I. Johnson"/>
    <x v="4"/>
    <s v="LAP-2218"/>
    <n v="57.96"/>
    <n v="88.51"/>
    <n v="4.2999999999999997E-2"/>
    <n v="7"/>
    <s v="Valid"/>
    <n v="88.51"/>
    <b v="0"/>
    <n v="4.2999999999999997E-2"/>
    <n v="9"/>
    <d v="2025-07-18T00:00:00"/>
    <n v="9"/>
    <n v="61930.358489999999"/>
    <n v="619.57000000000005"/>
    <n v="61310.788489999999"/>
    <n v="0.98999569815020461"/>
    <s v="Jul-2025"/>
    <s v="Q3-2025"/>
    <s v="Americas → Canada → Vancouver"/>
    <x v="2"/>
    <s v="High"/>
    <s v="CANADA"/>
    <d v="2023-01-02T00:00:00"/>
    <s v="Jan-2023"/>
    <d v="2025-07-31T00:00:00"/>
    <n v="0"/>
  </r>
  <r>
    <s v="ORD-2025-184082"/>
    <d v="2025-06-19T00:00:00"/>
    <d v="2025-07-12T00:00:00"/>
    <s v="Europe"/>
    <x v="8"/>
    <s v="Unknown City "/>
    <s v="Non-Profit"/>
    <s v="Direct"/>
    <s v="Unidentified sales person "/>
    <x v="2"/>
    <s v="NET-6370"/>
    <n v="801.24"/>
    <n v="1959.09"/>
    <n v="0.123"/>
    <n v="23"/>
    <s v="Valid"/>
    <n v="1959.09"/>
    <b v="0"/>
    <n v="0.123"/>
    <n v="23"/>
    <d v="2025-07-12T00:00:00"/>
    <n v="23"/>
    <n v="4500364.7343899999"/>
    <n v="45059.07"/>
    <n v="4455305.6643899996"/>
    <n v="0.98998768485236832"/>
    <s v="Jun-2025"/>
    <s v="Q2-2025"/>
    <s v="Europe → United Kingdom → Unknown City "/>
    <x v="0"/>
    <s v="High"/>
    <s v="UNITED KINGDOM"/>
    <d v="2023-01-19T00:00:00"/>
    <s v="Jan-2023"/>
    <d v="2025-06-30T00:00:00"/>
    <n v="0"/>
  </r>
  <r>
    <s v="ORD-2023-576840"/>
    <d v="2023-11-19T00:00:00"/>
    <d v="2023-12-13T00:00:00"/>
    <s v="Europe"/>
    <x v="7"/>
    <s v="Lyon"/>
    <s v="Non-Profit"/>
    <s v="Direct"/>
    <s v="H. Kim"/>
    <x v="5"/>
    <s v="MON-3745"/>
    <n v="1297.42"/>
    <n v="2742.97"/>
    <n v="6.9000000000000006E-2"/>
    <n v="9"/>
    <s v="Valid"/>
    <n v="2742.97"/>
    <b v="0"/>
    <n v="6.9000000000000006E-2"/>
    <n v="24"/>
    <d v="2023-12-13T00:00:00"/>
    <n v="24"/>
    <n v="2466969.6156299999"/>
    <n v="24686.73"/>
    <n v="2442282.8856299999"/>
    <n v="0.98999309523571266"/>
    <s v="Nov-2023"/>
    <s v="Q4-2023"/>
    <s v="Europe → France → Lyon"/>
    <x v="1"/>
    <s v="Low"/>
    <s v="FRANCE"/>
    <d v="2023-01-10T00:00:00"/>
    <s v="Jan-2023"/>
    <d v="2023-11-30T00:00:00"/>
    <n v="0"/>
  </r>
  <r>
    <s v="ORD-2023-178249"/>
    <d v="2023-12-29T00:00:00"/>
    <d v="2024-01-20T00:00:00"/>
    <s v="Africa"/>
    <x v="0"/>
    <s v="Kisumu"/>
    <s v="Corporate"/>
    <s v="Direct"/>
    <s v="L. Okafor"/>
    <x v="3"/>
    <s v="PHN-7924"/>
    <n v="1395.49"/>
    <n v="1679.42"/>
    <n v="0.20300000000000001"/>
    <n v="12"/>
    <s v="Valid"/>
    <n v="1679.42"/>
    <b v="0"/>
    <n v="0.20300000000000001"/>
    <n v="22"/>
    <d v="2024-01-20T00:00:00"/>
    <n v="22"/>
    <n v="2011212.93288"/>
    <n v="20153.04"/>
    <n v="1991059.8928799999"/>
    <n v="0.98997965870717552"/>
    <s v="Dec-2023"/>
    <s v="Q4-2023"/>
    <s v="Africa → Kenya → Kisumu"/>
    <x v="2"/>
    <s v="Medium"/>
    <s v="KENYA"/>
    <d v="2023-01-20T00:00:00"/>
    <s v="Jan-2023"/>
    <d v="2023-12-31T00:00:00"/>
    <n v="0"/>
  </r>
  <r>
    <s v="ORD-2024-588972"/>
    <d v="2024-11-02T00:00:00"/>
    <d v="2024-11-29T00:00:00"/>
    <s v="Americas"/>
    <x v="4"/>
    <s v="Brasília"/>
    <s v="Small Business"/>
    <s v="Direct"/>
    <s v="I. Johnson"/>
    <x v="2"/>
    <s v="NET-8561"/>
    <n v="1363.51"/>
    <n v="1433.9"/>
    <n v="5.7000000000000002E-2"/>
    <n v="8"/>
    <s v="Valid"/>
    <n v="1433.9"/>
    <b v="0"/>
    <n v="5.7000000000000002E-2"/>
    <n v="27"/>
    <d v="2024-11-29T00:00:00"/>
    <n v="27"/>
    <n v="1146466.1416"/>
    <n v="11471.2"/>
    <n v="1134994.9416"/>
    <n v="0.98999429674914707"/>
    <s v="Nov-2024"/>
    <s v="Q4-2024"/>
    <s v="Americas → Brazil → Brasília"/>
    <x v="0"/>
    <s v="High"/>
    <s v="BRAZIL"/>
    <d v="2023-01-29T00:00:00"/>
    <s v="Jan-2023"/>
    <d v="2024-11-30T00:00:00"/>
    <n v="0"/>
  </r>
  <r>
    <s v="ORD-2023-603238"/>
    <d v="2023-08-21T00:00:00"/>
    <d v="2023-09-04T00:00:00"/>
    <s v="Americas"/>
    <x v="2"/>
    <s v="Montreal"/>
    <s v="Education"/>
    <s v="Distributor"/>
    <s v="F. Müller"/>
    <x v="0"/>
    <s v="CMP-2136"/>
    <n v="178.19"/>
    <n v="284.43"/>
    <n v="8.8999999999999996E-2"/>
    <n v="8"/>
    <s v="Valid"/>
    <n v="284.43"/>
    <b v="0"/>
    <n v="8.8999999999999996E-2"/>
    <n v="14"/>
    <d v="2023-09-04T00:00:00"/>
    <n v="14"/>
    <n v="227341.48584000001"/>
    <n v="2275.44"/>
    <n v="225066.04584000001"/>
    <n v="0.98999109207194402"/>
    <s v="Aug-2023"/>
    <s v="Q3-2023"/>
    <s v="Americas → Canada → Montreal"/>
    <x v="0"/>
    <s v="Low"/>
    <s v="CANADA"/>
    <d v="2023-01-02T00:00:00"/>
    <s v="Jan-2023"/>
    <d v="2023-08-31T00:00:00"/>
    <n v="0"/>
  </r>
  <r>
    <s v="ORD-2023-883066"/>
    <d v="2023-08-12T00:00:00"/>
    <d v="2023-09-06T00:00:00"/>
    <s v="Asia"/>
    <x v="9"/>
    <s v="Shanghai"/>
    <s v="Small Business"/>
    <s v="Retail"/>
    <s v="B. Chen"/>
    <x v="0"/>
    <s v="CMP-6352"/>
    <n v="950.77"/>
    <n v="694.78"/>
    <n v="8.4000000000000005E-2"/>
    <n v="14"/>
    <s v="Valid"/>
    <n v="694.78"/>
    <b v="0"/>
    <n v="8.4000000000000005E-2"/>
    <n v="25"/>
    <d v="2023-09-06T00:00:00"/>
    <n v="25"/>
    <n v="971874.93871999998"/>
    <n v="9726.92"/>
    <n v="962148.01871999993"/>
    <n v="0.98999159293806793"/>
    <s v="Aug-2023"/>
    <s v="Q3-2023"/>
    <s v="Asia → China → Shanghai"/>
    <x v="0"/>
    <s v="Low"/>
    <s v="CHINA"/>
    <d v="2023-01-12T00:00:00"/>
    <s v="Jan-2023"/>
    <d v="2023-08-31T00:00:00"/>
    <n v="0"/>
  </r>
  <r>
    <s v="ORD-2024-584090"/>
    <d v="2024-06-07T00:00:00"/>
    <d v="2024-06-26T00:00:00"/>
    <s v="Europe"/>
    <x v="5"/>
    <s v="Berlin"/>
    <s v="Non-Profit"/>
    <s v="Marketplace"/>
    <s v="M. Rossi"/>
    <x v="0"/>
    <s v="CMP-2040"/>
    <n v="1064.32"/>
    <n v="1848.39"/>
    <n v="7.2999999999999995E-2"/>
    <n v="38"/>
    <s v="Valid"/>
    <n v="1848.39"/>
    <b v="0"/>
    <n v="7.2999999999999995E-2"/>
    <n v="19"/>
    <d v="2024-06-26T00:00:00"/>
    <n v="19"/>
    <n v="7018754.5661400007"/>
    <n v="70238.820000000007"/>
    <n v="6948515.7461400004"/>
    <n v="0.98999269466710693"/>
    <s v="Jun-2024"/>
    <s v="Q2-2024"/>
    <s v="Europe → Germany → Berlin"/>
    <x v="0"/>
    <s v="Medium"/>
    <s v="GERMANY"/>
    <d v="2023-01-22T00:00:00"/>
    <s v="Jan-2023"/>
    <d v="2024-06-30T00:00:00"/>
    <n v="0"/>
  </r>
  <r>
    <s v="ORD-2025-537785"/>
    <d v="2025-08-05T00:00:00"/>
    <d v="2025-08-14T00:00:00"/>
    <s v="Europe"/>
    <x v="8"/>
    <s v="London"/>
    <s v="Non-Profit"/>
    <s v="Direct"/>
    <s v="E. Garcia"/>
    <x v="0"/>
    <s v="CMP-6346"/>
    <n v="41.76"/>
    <n v="45.19"/>
    <n v="0.17899999999999999"/>
    <n v="23"/>
    <s v="Valid"/>
    <n v="45.19"/>
    <b v="0"/>
    <n v="0.17899999999999999"/>
    <n v="9"/>
    <d v="2025-08-14T00:00:00"/>
    <n v="9"/>
    <n v="103750.95276999999"/>
    <n v="1039.3699999999999"/>
    <n v="102711.58276999999"/>
    <n v="0.98998206790154386"/>
    <s v="Aug-2025"/>
    <s v="Q3-2025"/>
    <s v="Europe → United Kingdom → London"/>
    <x v="0"/>
    <s v="High"/>
    <s v="UNITED KINGDOM"/>
    <d v="2023-01-19T00:00:00"/>
    <s v="Jan-2023"/>
    <d v="2025-08-31T00:00:00"/>
    <n v="0"/>
  </r>
  <r>
    <s v="ORD-2024-605518"/>
    <d v="2024-05-30T00:00:00"/>
    <d v="2024-06-13T00:00:00"/>
    <s v="Americas"/>
    <x v="10"/>
    <s v="San Francisco"/>
    <s v="Small Business"/>
    <s v="Retail"/>
    <s v="F. Müller"/>
    <x v="3"/>
    <s v="PHN-4356"/>
    <n v="157.78"/>
    <n v="361.1"/>
    <n v="0.187"/>
    <n v="9"/>
    <s v="Valid"/>
    <n v="361.1"/>
    <b v="0"/>
    <n v="0.187"/>
    <n v="14"/>
    <d v="2024-06-13T00:00:00"/>
    <n v="14"/>
    <n v="324382.26870000002"/>
    <n v="3249.9"/>
    <n v="321132.36869999999"/>
    <n v="0.98998126496548544"/>
    <s v="May-2024"/>
    <s v="Q2-2024"/>
    <s v="Americas → USA → San Francisco"/>
    <x v="2"/>
    <s v="Medium"/>
    <s v="USA"/>
    <d v="2023-01-13T00:00:00"/>
    <s v="Jan-2023"/>
    <d v="2024-05-31T00:00:00"/>
    <n v="0"/>
  </r>
  <r>
    <s v="ORD-2023-521818"/>
    <d v="2023-01-22T00:00:00"/>
    <d v="2023-01-30T00:00:00"/>
    <s v="Americas"/>
    <x v="10"/>
    <s v="San Francisco"/>
    <s v="Small Business"/>
    <s v="Online"/>
    <s v="A. Patel"/>
    <x v="2"/>
    <s v="NET-4155"/>
    <n v="413.52"/>
    <n v="1004.34"/>
    <n v="0.111"/>
    <n v="18"/>
    <s v="Valid"/>
    <n v="1004.34"/>
    <b v="0"/>
    <n v="0.111"/>
    <n v="8"/>
    <d v="2023-01-30T00:00:00"/>
    <n v="8"/>
    <n v="1805805.3286799998"/>
    <n v="18078.12"/>
    <n v="1787727.2086799997"/>
    <n v="0.98998888766530846"/>
    <s v="Jan-2023"/>
    <s v="Q1-2023"/>
    <s v="Americas → USA → San Francisco"/>
    <x v="0"/>
    <s v="Low"/>
    <s v="USA"/>
    <d v="2023-01-13T00:00:00"/>
    <s v="Jan-2023"/>
    <d v="2023-01-31T00:00:00"/>
    <n v="0"/>
  </r>
  <r>
    <s v="ORD-2025-650719"/>
    <d v="2025-02-12T00:00:00"/>
    <d v="2025-02-28T00:00:00"/>
    <s v="Americas"/>
    <x v="4"/>
    <s v="São Paulo"/>
    <s v="Non-Profit"/>
    <s v="Direct"/>
    <s v="B. Chen"/>
    <x v="5"/>
    <s v="MON-5179"/>
    <n v="414.95"/>
    <n v="1027.73"/>
    <n v="6.3E-2"/>
    <n v="8"/>
    <s v="Valid"/>
    <n v="1027.73"/>
    <b v="0"/>
    <n v="6.3E-2"/>
    <n v="16"/>
    <d v="2025-02-28T00:00:00"/>
    <n v="16"/>
    <n v="821666.02408"/>
    <n v="8221.84"/>
    <n v="813444.18408000004"/>
    <n v="0.98999369602849796"/>
    <s v="Feb-2025"/>
    <s v="Q1-2025"/>
    <s v="Americas → Brazil → São Paulo"/>
    <x v="1"/>
    <s v="High"/>
    <s v="BRAZIL"/>
    <d v="2023-01-29T00:00:00"/>
    <s v="Jan-2023"/>
    <d v="2025-02-28T00:00:00"/>
    <n v="0"/>
  </r>
  <r>
    <s v="ORD-2025-501927"/>
    <d v="2025-03-03T00:00:00"/>
    <d v="2025-03-24T00:00:00"/>
    <s v="Africa"/>
    <x v="1"/>
    <s v="Abuja"/>
    <s v="Enterprise"/>
    <s v="Direct"/>
    <s v="H. Kim"/>
    <x v="6"/>
    <s v="ACC-4056"/>
    <n v="555.95000000000005"/>
    <n v="468.09"/>
    <n v="0.14199999999999999"/>
    <n v="11"/>
    <s v="Valid"/>
    <n v="468.09"/>
    <b v="0"/>
    <n v="0.14199999999999999"/>
    <n v="21"/>
    <d v="2025-03-24T00:00:00"/>
    <n v="21"/>
    <n v="514167.84341999999"/>
    <n v="5148.99"/>
    <n v="509018.85342"/>
    <n v="0.98998577980732638"/>
    <s v="Mar-2025"/>
    <s v="Q1-2025"/>
    <s v="Africa → Nigeria → Abuja"/>
    <x v="0"/>
    <s v="High"/>
    <s v="NIGERIA"/>
    <d v="2023-01-15T00:00:00"/>
    <s v="Jan-2023"/>
    <d v="2025-03-31T00:00:00"/>
    <n v="0"/>
  </r>
  <r>
    <s v="ORD-2023-430904"/>
    <d v="2023-01-27T00:00:00"/>
    <d v="2023-01-31T00:00:00"/>
    <s v="Europe"/>
    <x v="8"/>
    <s v="Manchester"/>
    <s v="Enterprise"/>
    <s v="Online"/>
    <s v="N. Brown"/>
    <x v="4"/>
    <s v="LAP-9782"/>
    <n v="941.2"/>
    <n v="668.02"/>
    <n v="0.22"/>
    <n v="16"/>
    <s v="Valid"/>
    <n v="668.02"/>
    <b v="0"/>
    <n v="0.22"/>
    <n v="4"/>
    <d v="2023-01-31T00:00:00"/>
    <n v="4"/>
    <n v="1066480.5696"/>
    <n v="10688.32"/>
    <n v="1055792.2496"/>
    <n v="0.98997795149328516"/>
    <s v="Jan-2023"/>
    <s v="Q1-2023"/>
    <s v="Europe → United Kingdom → Manchester"/>
    <x v="2"/>
    <s v="Low"/>
    <s v="UNITED KINGDOM"/>
    <d v="2023-01-19T00:00:00"/>
    <s v="Jan-2023"/>
    <d v="2023-01-31T00:00:00"/>
    <n v="1"/>
  </r>
  <r>
    <s v="ORD-2025-354346"/>
    <d v="2025-01-09T00:00:00"/>
    <d v="2025-01-15T00:00:00"/>
    <s v="Asia"/>
    <x v="9"/>
    <s v="Beijing"/>
    <s v="Education"/>
    <s v="Online"/>
    <s v="C. Otieno"/>
    <x v="3"/>
    <s v="PHN-2875"/>
    <n v="304.77999999999997"/>
    <n v="537.27"/>
    <n v="0.187"/>
    <n v="8"/>
    <s v="Valid"/>
    <n v="537.27"/>
    <b v="0"/>
    <n v="0.187"/>
    <n v="6"/>
    <d v="2025-01-15T00:00:00"/>
    <n v="6"/>
    <n v="429012.24407999997"/>
    <n v="4298.16"/>
    <n v="424714.08408"/>
    <n v="0.98998126496548555"/>
    <s v="Jan-2025"/>
    <s v="Q1-2025"/>
    <s v="Asia → China → Beijing"/>
    <x v="2"/>
    <s v="High"/>
    <s v="CHINA"/>
    <d v="2023-01-12T00:00:00"/>
    <s v="Jan-2023"/>
    <d v="2025-01-31T00:00:00"/>
    <n v="1"/>
  </r>
  <r>
    <s v="ORD-2024-164288"/>
    <d v="2024-12-21T00:00:00"/>
    <d v="2024-12-26T00:00:00"/>
    <s v="Americas"/>
    <x v="10"/>
    <s v="San Francisco"/>
    <s v="Consumer"/>
    <s v="Marketplace"/>
    <s v="M. Rossi"/>
    <x v="1"/>
    <s v="PRN-4788"/>
    <n v="699.57"/>
    <n v="572.71"/>
    <n v="0.192"/>
    <n v="26"/>
    <s v="Valid"/>
    <n v="572.71"/>
    <b v="0"/>
    <n v="0.192"/>
    <n v="5"/>
    <d v="2024-12-26T00:00:00"/>
    <n v="5"/>
    <n v="1486187.0316800002"/>
    <n v="14890.460000000001"/>
    <n v="1471296.5716800003"/>
    <n v="0.98998076306508498"/>
    <s v="Dec-2024"/>
    <s v="Q4-2024"/>
    <s v="Americas → USA → San Francisco"/>
    <x v="1"/>
    <s v="High"/>
    <s v="USA"/>
    <d v="2023-01-13T00:00:00"/>
    <s v="Jan-2023"/>
    <d v="2024-12-31T00:00:00"/>
    <n v="1"/>
  </r>
  <r>
    <s v="ORD-2023-867285"/>
    <d v="2023-04-12T00:00:00"/>
    <d v="2023-04-17T00:00:00"/>
    <s v="Europe"/>
    <x v="7"/>
    <s v="Lyon"/>
    <s v="Enterprise"/>
    <s v="Direct"/>
    <s v="E. Garcia"/>
    <x v="5"/>
    <s v="MON-3043"/>
    <n v="1087.81"/>
    <n v="2323.87"/>
    <n v="9.4E-2"/>
    <n v="13"/>
    <s v="Valid"/>
    <n v="2323.87"/>
    <b v="0"/>
    <n v="9.4E-2"/>
    <n v="5"/>
    <d v="2023-04-17T00:00:00"/>
    <n v="5"/>
    <n v="3018191.23086"/>
    <n v="30210.309999999998"/>
    <n v="2987980.92086"/>
    <n v="0.98999059115568633"/>
    <s v="Apr-2023"/>
    <s v="Q2-2023"/>
    <s v="Europe → France → Lyon"/>
    <x v="1"/>
    <s v="Low"/>
    <s v="FRANCE"/>
    <d v="2023-01-10T00:00:00"/>
    <s v="Jan-2023"/>
    <d v="2023-04-30T00:00:00"/>
    <n v="1"/>
  </r>
  <r>
    <s v="ORD-2024-836421"/>
    <d v="2024-12-14T00:00:00"/>
    <d v="2025-01-12T00:00:00"/>
    <s v="Asia"/>
    <x v="9"/>
    <s v="Shenzhen"/>
    <s v="Education"/>
    <s v="Online"/>
    <s v="J. Njeri"/>
    <x v="0"/>
    <s v="CMP-3720"/>
    <n v="1412.15"/>
    <n v="1631.04"/>
    <n v="8.9999999999999993E-3"/>
    <n v="6"/>
    <s v="Valid"/>
    <n v="1631.04"/>
    <b v="0"/>
    <n v="8.9999999999999993E-3"/>
    <n v="29"/>
    <d v="2025-01-12T00:00:00"/>
    <n v="29"/>
    <n v="978535.92383999994"/>
    <n v="9786.24"/>
    <n v="968749.68383999995"/>
    <n v="0.98999909991899271"/>
    <s v="Dec-2024"/>
    <s v="Q4-2024"/>
    <s v="Asia → China → Shenzhen"/>
    <x v="0"/>
    <s v="High"/>
    <s v="CHINA"/>
    <d v="2023-01-12T00:00:00"/>
    <s v="Jan-2023"/>
    <d v="2024-12-31T00:00:00"/>
    <n v="0"/>
  </r>
  <r>
    <s v="ORD-2023-613287"/>
    <d v="2023-03-31T00:00:00"/>
    <d v="2023-04-12T00:00:00"/>
    <s v="Africa"/>
    <x v="0"/>
    <s v="Mombasa"/>
    <s v="Small Business"/>
    <s v="Online"/>
    <s v="C. Otieno"/>
    <x v="3"/>
    <s v="PHN-8014"/>
    <n v="304.22000000000003"/>
    <n v="393.31"/>
    <n v="0.26500000000000001"/>
    <n v="15"/>
    <s v="Valid"/>
    <n v="393.31"/>
    <b v="0"/>
    <n v="0.26500000000000001"/>
    <n v="12"/>
    <d v="2023-04-12T00:00:00"/>
    <n v="12"/>
    <n v="588401.59274999995"/>
    <n v="5899.65"/>
    <n v="582501.94274999993"/>
    <n v="0.98997342958840928"/>
    <s v="Mar-2023"/>
    <s v="Q1-2023"/>
    <s v="Africa → Kenya → Mombasa"/>
    <x v="2"/>
    <s v="Low"/>
    <s v="KENYA"/>
    <d v="2023-01-20T00:00:00"/>
    <s v="Jan-2023"/>
    <d v="2023-03-31T00:00:00"/>
    <n v="0"/>
  </r>
  <r>
    <s v="ORD-2024-783321"/>
    <d v="2024-11-20T00:00:00"/>
    <d v="2024-12-15T00:00:00"/>
    <s v="Europe"/>
    <x v="7"/>
    <s v="Paris"/>
    <s v="Corporate"/>
    <s v="Online"/>
    <s v="G. Dubois"/>
    <x v="1"/>
    <s v="PRN-4911"/>
    <n v="1203.58"/>
    <n v="1856.16"/>
    <n v="0.129"/>
    <n v="22"/>
    <s v="Valid"/>
    <n v="1856.16"/>
    <b v="0"/>
    <n v="0.129"/>
    <n v="25"/>
    <d v="2024-12-15T00:00:00"/>
    <n v="25"/>
    <n v="4078284.2179200002"/>
    <n v="40835.520000000004"/>
    <n v="4037448.6979200002"/>
    <n v="0.9899870833375054"/>
    <s v="Nov-2024"/>
    <s v="Q4-2024"/>
    <s v="Europe → France → Paris"/>
    <x v="1"/>
    <s v="High"/>
    <s v="FRANCE"/>
    <d v="2023-01-10T00:00:00"/>
    <s v="Jan-2023"/>
    <d v="2024-11-30T00:00:00"/>
    <n v="0"/>
  </r>
  <r>
    <s v="ORD-2024-232632"/>
    <d v="2024-02-14T00:00:00"/>
    <d v="2024-02-14T00:00:00"/>
    <s v="Asia"/>
    <x v="9"/>
    <s v="Beijing"/>
    <s v="Corporate"/>
    <s v="Distributor"/>
    <s v="L. Okafor"/>
    <x v="6"/>
    <s v="ACC-1021"/>
    <n v="65.930000000000007"/>
    <n v="84.9"/>
    <n v="0.25900000000000001"/>
    <n v="23"/>
    <s v="Valid"/>
    <n v="84.9"/>
    <b v="0"/>
    <n v="0.25900000000000001"/>
    <n v="0"/>
    <d v="2024-02-14T00:00:00"/>
    <n v="0"/>
    <n v="194764.2507"/>
    <n v="1952.7"/>
    <n v="192811.55069999999"/>
    <n v="0.989974032744809"/>
    <s v="Feb-2024"/>
    <s v="Q1-2024"/>
    <s v="Asia → China → Beijing"/>
    <x v="0"/>
    <s v="Medium"/>
    <s v="CHINA"/>
    <d v="2023-01-12T00:00:00"/>
    <s v="Jan-2023"/>
    <d v="2024-02-29T00:00:00"/>
    <n v="1"/>
  </r>
  <r>
    <s v="ORD-2023-906481"/>
    <d v="2023-05-02T00:00:00"/>
    <d v="2023-05-18T00:00:00"/>
    <s v="Asia"/>
    <x v="3"/>
    <s v="Delhi"/>
    <s v="Small Business"/>
    <s v="Marketplace"/>
    <s v="K. Singh"/>
    <x v="5"/>
    <s v="MON-2266"/>
    <n v="1463.92"/>
    <n v="2252.2399999999998"/>
    <n v="0.11799999999999999"/>
    <n v="44"/>
    <s v="Valid"/>
    <n v="2252.2399999999998"/>
    <b v="0"/>
    <n v="0.11799999999999999"/>
    <n v="16"/>
    <d v="2023-05-18T00:00:00"/>
    <n v="16"/>
    <n v="9898162.3699200004"/>
    <n v="99098.559999999998"/>
    <n v="9799063.8099199999"/>
    <n v="0.98998818605955019"/>
    <s v="May-2023"/>
    <s v="Q2-2023"/>
    <s v="Asia → India → Delhi"/>
    <x v="1"/>
    <s v="Low"/>
    <s v="INDIA"/>
    <d v="2023-01-29T00:00:00"/>
    <s v="Jan-2023"/>
    <d v="2023-05-31T00:00:00"/>
    <n v="0"/>
  </r>
  <r>
    <s v="ORD-2024-902741"/>
    <d v="2024-12-23T00:00:00"/>
    <d v="2025-01-11T00:00:00"/>
    <s v="Europe"/>
    <x v="5"/>
    <s v="Berlin"/>
    <s v="Education"/>
    <s v="Retail"/>
    <s v="K. Singh"/>
    <x v="3"/>
    <s v="PHN-8057"/>
    <n v="501.81"/>
    <n v="921.62"/>
    <n v="0.01"/>
    <n v="9"/>
    <s v="Valid"/>
    <n v="921.62"/>
    <b v="0"/>
    <n v="0.01"/>
    <n v="19"/>
    <d v="2025-01-11T00:00:00"/>
    <n v="19"/>
    <n v="829375.0541999999"/>
    <n v="8294.58"/>
    <n v="821080.47419999994"/>
    <n v="0.98999899989999007"/>
    <s v="Dec-2024"/>
    <s v="Q4-2024"/>
    <s v="Europe → Germany → Berlin"/>
    <x v="2"/>
    <s v="High"/>
    <s v="GERMANY"/>
    <d v="2023-01-22T00:00:00"/>
    <s v="Jan-2023"/>
    <d v="2024-12-31T00:00:00"/>
    <n v="0"/>
  </r>
  <r>
    <s v="ORD-2023-912395"/>
    <d v="2023-07-26T00:00:00"/>
    <d v="2023-08-25T00:00:00"/>
    <s v="Americas"/>
    <x v="10"/>
    <s v="New York"/>
    <s v="Consumer"/>
    <s v="Retail"/>
    <s v="M. Rossi"/>
    <x v="6"/>
    <s v="ACC-7078"/>
    <n v="1261.48"/>
    <n v="1643.18"/>
    <n v="0.151"/>
    <n v="23"/>
    <s v="Valid"/>
    <n v="1643.18"/>
    <b v="0"/>
    <n v="0.151"/>
    <n v="30"/>
    <d v="2023-08-25T00:00:00"/>
    <n v="30"/>
    <n v="3773607.2358599999"/>
    <n v="37793.14"/>
    <n v="3735814.0958599998"/>
    <n v="0.98998487716451844"/>
    <s v="Jul-2023"/>
    <s v="Q3-2023"/>
    <s v="Americas → USA → New York"/>
    <x v="0"/>
    <s v="Low"/>
    <s v="USA"/>
    <d v="2023-01-13T00:00:00"/>
    <s v="Jan-2023"/>
    <d v="2023-07-31T00:00:00"/>
    <n v="0"/>
  </r>
  <r>
    <s v="ORD-2024-389102"/>
    <d v="2024-06-15T00:00:00"/>
    <d v="2024-07-06T00:00:00"/>
    <s v="Americas"/>
    <x v="2"/>
    <s v="Toronto"/>
    <s v="Enterprise"/>
    <s v="Distributor"/>
    <s v="L. Okafor"/>
    <x v="1"/>
    <s v="PRN-4453"/>
    <n v="817.23"/>
    <n v="1467.17"/>
    <n v="0.245"/>
    <n v="9"/>
    <s v="Valid"/>
    <n v="1467.17"/>
    <b v="0"/>
    <n v="0.245"/>
    <n v="21"/>
    <d v="2024-07-06T00:00:00"/>
    <n v="21"/>
    <n v="1317217.8901500001"/>
    <n v="13204.53"/>
    <n v="1304013.3601500001"/>
    <n v="0.98997543982757752"/>
    <s v="Jun-2024"/>
    <s v="Q2-2024"/>
    <s v="Americas → Canada → Toronto"/>
    <x v="1"/>
    <s v="Medium"/>
    <s v="CANADA"/>
    <d v="2023-01-02T00:00:00"/>
    <s v="Jan-2023"/>
    <d v="2024-06-30T00:00:00"/>
    <n v="0"/>
  </r>
  <r>
    <s v="ORD-2023-309373"/>
    <d v="2023-07-05T00:00:00"/>
    <d v="2023-07-14T00:00:00"/>
    <s v="Americas"/>
    <x v="4"/>
    <s v="Brasília"/>
    <s v="Enterprise"/>
    <s v="Direct"/>
    <s v="B. Chen"/>
    <x v="2"/>
    <s v="NET-2394"/>
    <n v="578.85"/>
    <n v="998.76"/>
    <n v="8.2000000000000003E-2"/>
    <n v="28"/>
    <s v="Valid"/>
    <n v="998.76"/>
    <b v="0"/>
    <n v="8.2000000000000003E-2"/>
    <n v="9"/>
    <d v="2023-07-14T00:00:00"/>
    <n v="9"/>
    <n v="2794234.8470399999"/>
    <n v="27965.279999999999"/>
    <n v="2766269.5670400001"/>
    <n v="0.98999179327048192"/>
    <s v="Jul-2023"/>
    <s v="Q3-2023"/>
    <s v="Americas → Brazil → Brasília"/>
    <x v="0"/>
    <s v="Low"/>
    <s v="BRAZIL"/>
    <d v="2023-01-29T00:00:00"/>
    <s v="Jan-2023"/>
    <d v="2023-07-31T00:00:00"/>
    <n v="0"/>
  </r>
  <r>
    <s v="ORD-2023-825495"/>
    <d v="2023-11-30T00:00:00"/>
    <d v="2023-11-29T00:00:00"/>
    <s v="Africa"/>
    <x v="11"/>
    <s v="Durban"/>
    <s v="Small Business"/>
    <s v="Marketplace"/>
    <s v="E. Garcia"/>
    <x v="4"/>
    <s v="LAP-1525"/>
    <n v="275.56"/>
    <n v="630.72"/>
    <n v="0.107"/>
    <n v="23"/>
    <s v="Valid"/>
    <n v="630.72"/>
    <b v="0"/>
    <n v="0.107"/>
    <n v="-1"/>
    <d v="2023-12-07T00:00:00"/>
    <n v="7"/>
    <n v="1449103.7980800001"/>
    <n v="14506.560000000001"/>
    <n v="1434597.23808"/>
    <n v="0.98998928853873636"/>
    <s v="Nov-2023"/>
    <s v="Q4-2023"/>
    <s v="Africa → South Africa → Durban"/>
    <x v="2"/>
    <s v="Low"/>
    <s v="SOUTH AFRICA"/>
    <d v="2023-01-07T00:00:00"/>
    <s v="Jan-2023"/>
    <d v="2023-11-30T00:00:00"/>
    <n v="1"/>
  </r>
  <r>
    <s v="ORD-2025-244832"/>
    <d v="2025-09-11T00:00:00"/>
    <d v="2025-09-28T00:00:00"/>
    <s v="Africa"/>
    <x v="0"/>
    <s v="Nairobi"/>
    <s v="Non-Profit"/>
    <s v="Distributor"/>
    <s v="J. Njeri"/>
    <x v="4"/>
    <s v="LAP-3278"/>
    <n v="891.46"/>
    <n v="728.61"/>
    <n v="0.185"/>
    <n v="6"/>
    <s v="Valid"/>
    <n v="728.61"/>
    <b v="0"/>
    <n v="0.185"/>
    <n v="17"/>
    <d v="2025-09-28T00:00:00"/>
    <n v="17"/>
    <n v="436357.24289999995"/>
    <n v="4371.66"/>
    <n v="431985.58289999998"/>
    <n v="0.98998146571156642"/>
    <s v="Sep-2025"/>
    <s v="Q3-2025"/>
    <s v="Africa → Kenya → Nairobi"/>
    <x v="2"/>
    <s v="High"/>
    <s v="KENYA"/>
    <d v="2023-01-20T00:00:00"/>
    <s v="Jan-2023"/>
    <d v="2025-09-30T00:00:00"/>
    <n v="0"/>
  </r>
  <r>
    <s v="ORD-2024-211453"/>
    <d v="2024-04-04T00:00:00"/>
    <d v="2024-04-24T00:00:00"/>
    <s v="Europe"/>
    <x v="5"/>
    <s v="Frankfurt"/>
    <s v="Non-Profit"/>
    <s v="Direct"/>
    <s v="O. Wang"/>
    <x v="6"/>
    <s v="ACC-6543"/>
    <n v="683.42"/>
    <n v="951.51"/>
    <n v="0"/>
    <n v="14"/>
    <s v="Valid"/>
    <n v="951.51"/>
    <b v="0"/>
    <n v="0"/>
    <n v="20"/>
    <d v="2024-04-24T00:00:00"/>
    <n v="20"/>
    <n v="1332114"/>
    <n v="13321.14"/>
    <n v="1318792.8600000001"/>
    <n v="0.9900000000000001"/>
    <s v="Apr-2024"/>
    <s v="Q2-2024"/>
    <s v="Europe → Germany → Frankfurt"/>
    <x v="0"/>
    <s v="Medium"/>
    <s v="GERMANY"/>
    <d v="2023-01-22T00:00:00"/>
    <s v="Jan-2023"/>
    <d v="2024-04-30T00:00:00"/>
    <n v="0"/>
  </r>
  <r>
    <s v="ORD-2023-192324"/>
    <d v="2023-09-14T00:00:00"/>
    <d v="2023-09-16T00:00:00"/>
    <s v="Europe"/>
    <x v="7"/>
    <s v="Lyon"/>
    <s v="Non-Profit"/>
    <s v="Direct"/>
    <s v="B. Chen"/>
    <x v="1"/>
    <s v="PRN-4432"/>
    <n v="376.83"/>
    <n v="732.88"/>
    <n v="0.188"/>
    <n v="25"/>
    <s v="Valid"/>
    <n v="732.88"/>
    <b v="0"/>
    <n v="0.188"/>
    <n v="2"/>
    <d v="2023-09-16T00:00:00"/>
    <n v="2"/>
    <n v="1828755.4639999999"/>
    <n v="18322"/>
    <n v="1810433.4639999999"/>
    <n v="0.98998116458942809"/>
    <s v="Sep-2023"/>
    <s v="Q3-2023"/>
    <s v="Europe → France → Lyon"/>
    <x v="1"/>
    <s v="Low"/>
    <s v="FRANCE"/>
    <d v="2023-01-10T00:00:00"/>
    <s v="Jan-2023"/>
    <d v="2023-09-30T00:00:00"/>
    <n v="1"/>
  </r>
  <r>
    <s v="ORD-2024-438404"/>
    <d v="2024-09-23T00:00:00"/>
    <d v="2024-10-18T00:00:00"/>
    <s v="Americas"/>
    <x v="2"/>
    <s v="Vancouver"/>
    <s v="Small Business"/>
    <s v="Online"/>
    <s v="N. Brown"/>
    <x v="3"/>
    <s v="PHN-4568"/>
    <n v="1297"/>
    <n v="2411.52"/>
    <n v="2.1000000000000001E-2"/>
    <n v="18"/>
    <s v="Valid"/>
    <n v="2411.52"/>
    <b v="0"/>
    <n v="2.1000000000000001E-2"/>
    <n v="25"/>
    <d v="2024-10-18T00:00:00"/>
    <n v="25"/>
    <n v="4339824.4454399999"/>
    <n v="43407.360000000001"/>
    <n v="4296417.0854399996"/>
    <n v="0.98999789955890727"/>
    <s v="Sep-2024"/>
    <s v="Q3-2024"/>
    <s v="Americas → Canada → Vancouver"/>
    <x v="2"/>
    <s v="Medium"/>
    <s v="CANADA"/>
    <d v="2023-01-02T00:00:00"/>
    <s v="Jan-2023"/>
    <d v="2024-09-30T00:00:00"/>
    <n v="0"/>
  </r>
  <r>
    <s v="ORD-2025-246470"/>
    <d v="2025-04-16T00:00:00"/>
    <d v="2025-05-16T00:00:00"/>
    <s v="Americas"/>
    <x v="2"/>
    <s v="Montreal"/>
    <s v="Enterprise"/>
    <s v="Distributor"/>
    <s v="K. Singh"/>
    <x v="1"/>
    <s v="PRN-6178"/>
    <n v="763.32"/>
    <n v="568.29"/>
    <n v="0.13100000000000001"/>
    <n v="16"/>
    <s v="Valid"/>
    <n v="568.29"/>
    <b v="0"/>
    <n v="0.13100000000000001"/>
    <n v="30"/>
    <d v="2025-05-16T00:00:00"/>
    <n v="30"/>
    <n v="908072.86416"/>
    <n v="9092.64"/>
    <n v="898980.22415999998"/>
    <n v="0.98998688281648961"/>
    <s v="Apr-2025"/>
    <s v="Q2-2025"/>
    <s v="Americas → Canada → Montreal"/>
    <x v="1"/>
    <s v="High"/>
    <s v="CANADA"/>
    <d v="2023-01-02T00:00:00"/>
    <s v="Jan-2023"/>
    <d v="2025-04-30T00:00:00"/>
    <n v="0"/>
  </r>
  <r>
    <s v="ORD-2023-497686"/>
    <d v="2023-07-03T00:00:00"/>
    <d v="2023-07-23T00:00:00"/>
    <s v="Africa"/>
    <x v="11"/>
    <s v="Johannesburg"/>
    <s v="Small Business"/>
    <s v="Distributor"/>
    <s v="F. Müller"/>
    <x v="4"/>
    <s v="LAP-6342"/>
    <n v="1001.96"/>
    <n v="1254.95"/>
    <n v="4.4999999999999998E-2"/>
    <n v="18"/>
    <s v="Valid"/>
    <n v="1254.95"/>
    <b v="0"/>
    <n v="4.4999999999999998E-2"/>
    <n v="20"/>
    <d v="2023-07-23T00:00:00"/>
    <n v="20"/>
    <n v="2257893.4905000003"/>
    <n v="22589.100000000002"/>
    <n v="2235304.3905000002"/>
    <n v="0.98999549797408826"/>
    <s v="Jul-2023"/>
    <s v="Q3-2023"/>
    <s v="Africa → South Africa → Johannesburg"/>
    <x v="2"/>
    <s v="Low"/>
    <s v="SOUTH AFRICA"/>
    <d v="2023-01-07T00:00:00"/>
    <s v="Jan-2023"/>
    <d v="2023-07-31T00:00:00"/>
    <n v="0"/>
  </r>
  <r>
    <s v="ORD-2023-596758"/>
    <d v="2023-12-07T00:00:00"/>
    <d v="2023-12-05T00:00:00"/>
    <s v="Asia"/>
    <x v="6"/>
    <s v="Tokyo"/>
    <s v="Non-Profit"/>
    <s v="Marketplace"/>
    <s v="H. Kim"/>
    <x v="1"/>
    <s v="PRN-8175"/>
    <n v="1097.5899999999999"/>
    <n v="845.55"/>
    <n v="0.184"/>
    <n v="6"/>
    <s v="Valid"/>
    <n v="845.55"/>
    <b v="0"/>
    <n v="0.184"/>
    <n v="-2"/>
    <d v="2023-12-14T00:00:00"/>
    <n v="7"/>
    <n v="506396.51279999997"/>
    <n v="5073.2999999999993"/>
    <n v="501323.21279999998"/>
    <n v="0.98998156608159016"/>
    <s v="Dec-2023"/>
    <s v="Q4-2023"/>
    <s v="Asia → Japan → Tokyo"/>
    <x v="1"/>
    <s v="Medium"/>
    <s v="JAPAN"/>
    <d v="2023-03-03T00:00:00"/>
    <s v="Mar-2023"/>
    <d v="2023-12-31T00:00:00"/>
    <n v="1"/>
  </r>
  <r>
    <s v="ORD-2024-201376"/>
    <d v="2024-02-18T00:00:00"/>
    <d v="2024-03-04T00:00:00"/>
    <s v="Africa"/>
    <x v="0"/>
    <s v="Kisumu"/>
    <s v="Education"/>
    <s v="Direct"/>
    <s v="K. Singh"/>
    <x v="1"/>
    <s v="PRN-7089"/>
    <n v="928.68"/>
    <n v="2145.17"/>
    <n v="0.13600000000000001"/>
    <n v="16"/>
    <s v="Valid"/>
    <n v="2145.17"/>
    <b v="0"/>
    <n v="0.13600000000000001"/>
    <n v="15"/>
    <d v="2024-03-04T00:00:00"/>
    <n v="15"/>
    <n v="3427604.1100800005"/>
    <n v="34322.720000000001"/>
    <n v="3393281.3900800003"/>
    <n v="0.98998638147881113"/>
    <s v="Feb-2024"/>
    <s v="Q1-2024"/>
    <s v="Africa → Kenya → Kisumu"/>
    <x v="1"/>
    <s v="Medium"/>
    <s v="KENYA"/>
    <d v="2023-01-20T00:00:00"/>
    <s v="Jan-2023"/>
    <d v="2024-02-29T00:00:00"/>
    <n v="0"/>
  </r>
  <r>
    <s v="ORD-2023-842488"/>
    <d v="2023-10-31T00:00:00"/>
    <d v="2023-11-02T00:00:00"/>
    <s v="Africa"/>
    <x v="0"/>
    <s v="Kisumu"/>
    <s v="Education"/>
    <s v="Retail"/>
    <s v="O. Wang"/>
    <x v="6"/>
    <s v="ACC-4124"/>
    <n v="867.89"/>
    <n v="1349.94"/>
    <n v="0.184"/>
    <n v="10"/>
    <s v="Valid"/>
    <n v="1349.94"/>
    <b v="0"/>
    <n v="0.184"/>
    <n v="2"/>
    <d v="2023-11-02T00:00:00"/>
    <n v="2"/>
    <n v="1347456.1104000001"/>
    <n v="13499.400000000001"/>
    <n v="1333956.7104000002"/>
    <n v="0.98998156608159016"/>
    <s v="Oct-2023"/>
    <s v="Q4-2023"/>
    <s v="Africa → Kenya → Kisumu"/>
    <x v="0"/>
    <s v="Low"/>
    <s v="KENYA"/>
    <d v="2023-01-20T00:00:00"/>
    <s v="Jan-2023"/>
    <d v="2023-10-31T00:00:00"/>
    <n v="1"/>
  </r>
  <r>
    <s v="ORD-2024-136321"/>
    <d v="2024-08-07T00:00:00"/>
    <d v="2024-08-17T00:00:00"/>
    <s v="Asia"/>
    <x v="6"/>
    <s v="Osaka"/>
    <s v="Consumer"/>
    <s v="Online"/>
    <s v="K. Singh"/>
    <x v="2"/>
    <s v="NET-7924"/>
    <n v="436.58"/>
    <n v="527.48"/>
    <n v="0.111"/>
    <n v="19"/>
    <s v="Valid"/>
    <n v="527.48"/>
    <b v="0"/>
    <n v="0.111"/>
    <n v="10"/>
    <d v="2024-08-17T00:00:00"/>
    <n v="10"/>
    <n v="1001099.54468"/>
    <n v="10022.120000000001"/>
    <n v="991077.42468000005"/>
    <n v="0.98998888766530846"/>
    <s v="Aug-2024"/>
    <s v="Q3-2024"/>
    <s v="Asia → Japan → Osaka"/>
    <x v="0"/>
    <s v="Medium"/>
    <s v="JAPAN"/>
    <d v="2023-03-03T00:00:00"/>
    <s v="Mar-2023"/>
    <d v="2024-08-31T00:00:00"/>
    <n v="0"/>
  </r>
  <r>
    <s v="ORD-2024-764468"/>
    <d v="2024-02-01T00:00:00"/>
    <d v="2024-02-21T00:00:00"/>
    <s v="Europe"/>
    <x v="7"/>
    <s v="Paris"/>
    <s v="Small Business"/>
    <s v="Marketplace"/>
    <s v="A. Patel"/>
    <x v="2"/>
    <s v="NET-8761"/>
    <n v="656.2"/>
    <n v="1467.17"/>
    <n v="1.7999999999999999E-2"/>
    <n v="5"/>
    <s v="Valid"/>
    <n v="1467.17"/>
    <b v="0"/>
    <n v="1.7999999999999999E-2"/>
    <n v="20"/>
    <d v="2024-02-21T00:00:00"/>
    <n v="20"/>
    <n v="733452.9547"/>
    <n v="7335.85"/>
    <n v="726117.10470000003"/>
    <n v="0.98999819967594171"/>
    <s v="Feb-2024"/>
    <s v="Q1-2024"/>
    <s v="Europe → France → Paris"/>
    <x v="0"/>
    <s v="Medium"/>
    <s v="FRANCE"/>
    <d v="2023-01-10T00:00:00"/>
    <s v="Jan-2023"/>
    <d v="2024-02-29T00:00:00"/>
    <n v="0"/>
  </r>
  <r>
    <s v="ORD-2024-553449"/>
    <d v="2024-08-27T00:00:00"/>
    <d v="2024-09-18T00:00:00"/>
    <s v="Asia"/>
    <x v="3"/>
    <s v="Delhi"/>
    <s v="Consumer"/>
    <s v="Direct"/>
    <s v="B. Chen"/>
    <x v="0"/>
    <s v="CMP-3875"/>
    <n v="896.75"/>
    <n v="1651.14"/>
    <n v="2.5000000000000001E-2"/>
    <n v="15"/>
    <s v="Valid"/>
    <n v="1651.14"/>
    <b v="0"/>
    <n v="2.5000000000000001E-2"/>
    <n v="22"/>
    <d v="2024-09-18T00:00:00"/>
    <n v="22"/>
    <n v="2476090.8225000002"/>
    <n v="24767.100000000002"/>
    <n v="2451323.7225000001"/>
    <n v="0.98999749937484371"/>
    <s v="Aug-2024"/>
    <s v="Q3-2024"/>
    <s v="Asia → India → Delhi"/>
    <x v="0"/>
    <s v="Medium"/>
    <s v="INDIA"/>
    <d v="2023-01-29T00:00:00"/>
    <s v="Jan-2023"/>
    <d v="2024-08-31T00:00:00"/>
    <n v="0"/>
  </r>
  <r>
    <s v="ORD-2025-766923"/>
    <d v="2025-02-15T00:00:00"/>
    <d v="2025-02-15T00:00:00"/>
    <s v="Europe"/>
    <x v="5"/>
    <s v="Frankfurt"/>
    <s v="Small Business"/>
    <s v="Marketplace"/>
    <s v="L. Okafor"/>
    <x v="6"/>
    <s v="ACC-3989"/>
    <n v="815.83"/>
    <n v="1982.18"/>
    <n v="0.127"/>
    <n v="6"/>
    <s v="Valid"/>
    <n v="1982.18"/>
    <b v="0"/>
    <n v="0.127"/>
    <n v="0"/>
    <d v="2025-02-15T00:00:00"/>
    <n v="0"/>
    <n v="1187797.5788400001"/>
    <n v="11893.08"/>
    <n v="1175904.49884"/>
    <n v="0.98998728385049006"/>
    <s v="Feb-2025"/>
    <s v="Q1-2025"/>
    <s v="Europe → Germany → Frankfurt"/>
    <x v="0"/>
    <s v="High"/>
    <s v="GERMANY"/>
    <d v="2023-01-22T00:00:00"/>
    <s v="Jan-2023"/>
    <d v="2025-02-28T00:00:00"/>
    <n v="1"/>
  </r>
  <r>
    <s v="ORD-2025-418232"/>
    <d v="2025-08-01T00:00:00"/>
    <d v="2025-08-21T00:00:00"/>
    <s v="Asia"/>
    <x v="9"/>
    <s v="Shanghai"/>
    <s v="Corporate"/>
    <s v="Direct"/>
    <s v="I. Johnson"/>
    <x v="3"/>
    <s v="PHN-9234"/>
    <n v="1220.4100000000001"/>
    <n v="2552.2199999999998"/>
    <n v="0.18099999999999999"/>
    <n v="14"/>
    <s v="Valid"/>
    <n v="2552.2199999999998"/>
    <b v="0"/>
    <n v="0.18099999999999999"/>
    <n v="20"/>
    <d v="2025-08-21T00:00:00"/>
    <n v="20"/>
    <n v="3566640.6745199994"/>
    <n v="35731.079999999994"/>
    <n v="3530909.5945199993"/>
    <n v="0.98998186717959502"/>
    <s v="Aug-2025"/>
    <s v="Q3-2025"/>
    <s v="Asia → China → Shanghai"/>
    <x v="2"/>
    <s v="High"/>
    <s v="CHINA"/>
    <d v="2023-01-12T00:00:00"/>
    <s v="Jan-2023"/>
    <d v="2025-08-31T00:00:00"/>
    <n v="0"/>
  </r>
  <r>
    <s v="ORD-2023-848013"/>
    <d v="2023-02-20T00:00:00"/>
    <d v="2023-03-04T00:00:00"/>
    <s v="Asia"/>
    <x v="3"/>
    <s v="Delhi"/>
    <s v="Consumer"/>
    <s v="Distributor"/>
    <s v="M. Rossi"/>
    <x v="5"/>
    <s v="MON-9906"/>
    <n v="299.75"/>
    <n v="523.01"/>
    <n v="0.157"/>
    <n v="50"/>
    <s v="Valid"/>
    <n v="523.01"/>
    <b v="0"/>
    <n v="0.157"/>
    <n v="12"/>
    <d v="2023-03-04T00:00:00"/>
    <n v="12"/>
    <n v="2610944.3714999999"/>
    <n v="26150.5"/>
    <n v="2584793.8714999999"/>
    <n v="0.9899842753122402"/>
    <s v="Feb-2023"/>
    <s v="Q1-2023"/>
    <s v="Asia → India → Delhi"/>
    <x v="1"/>
    <s v="Low"/>
    <s v="INDIA"/>
    <d v="2023-01-29T00:00:00"/>
    <s v="Jan-2023"/>
    <d v="2023-02-28T00:00:00"/>
    <n v="0"/>
  </r>
  <r>
    <s v="ORD-2024-357368"/>
    <d v="2024-10-30T00:00:00"/>
    <d v="2024-11-24T00:00:00"/>
    <s v="Asia"/>
    <x v="9"/>
    <s v="Shenzhen"/>
    <s v="Small Business"/>
    <s v="Online"/>
    <s v="E. Garcia"/>
    <x v="0"/>
    <s v="CMP-4610"/>
    <n v="811.05"/>
    <n v="1217.71"/>
    <n v="7.1999999999999995E-2"/>
    <n v="5"/>
    <s v="Valid"/>
    <n v="1217.71"/>
    <b v="0"/>
    <n v="7.1999999999999995E-2"/>
    <n v="25"/>
    <d v="2024-11-24T00:00:00"/>
    <n v="25"/>
    <n v="608416.62439999997"/>
    <n v="6088.55"/>
    <n v="602328.07439999992"/>
    <n v="0.98999279481226476"/>
    <s v="Oct-2024"/>
    <s v="Q4-2024"/>
    <s v="Asia → China → Shenzhen"/>
    <x v="0"/>
    <s v="High"/>
    <s v="CHINA"/>
    <d v="2023-01-12T00:00:00"/>
    <s v="Jan-2023"/>
    <d v="2024-10-31T00:00:00"/>
    <n v="0"/>
  </r>
  <r>
    <s v="ORD-2024-219735"/>
    <d v="2024-04-03T00:00:00"/>
    <d v="2024-04-07T00:00:00"/>
    <s v="Americas"/>
    <x v="4"/>
    <s v="Brasília"/>
    <s v="Non-Profit"/>
    <s v="Direct"/>
    <s v="N. Brown"/>
    <x v="3"/>
    <s v="PHN-5445"/>
    <n v="1023.27"/>
    <n v="1343.64"/>
    <n v="0.13300000000000001"/>
    <n v="7"/>
    <s v="Valid"/>
    <n v="1343.64"/>
    <b v="0"/>
    <n v="0.13300000000000001"/>
    <n v="4"/>
    <d v="2024-04-07T00:00:00"/>
    <n v="4"/>
    <n v="939297.07116000017"/>
    <n v="9405.4800000000014"/>
    <n v="929891.59116000019"/>
    <n v="0.98998668228744235"/>
    <s v="Apr-2024"/>
    <s v="Q2-2024"/>
    <s v="Americas → Brazil → Brasília"/>
    <x v="2"/>
    <s v="Medium"/>
    <s v="BRAZIL"/>
    <d v="2023-01-29T00:00:00"/>
    <s v="Jan-2023"/>
    <d v="2024-04-30T00:00:00"/>
    <n v="1"/>
  </r>
  <r>
    <s v="ORD-2023-240507"/>
    <d v="2023-03-25T00:00:00"/>
    <d v="2023-03-26T00:00:00"/>
    <s v="Asia"/>
    <x v="6"/>
    <s v="Osaka"/>
    <s v="Small Business"/>
    <s v="Distributor"/>
    <s v="I. Johnson"/>
    <x v="5"/>
    <s v="MON-9227"/>
    <n v="135.12"/>
    <n v="301.7"/>
    <n v="0.14000000000000001"/>
    <n v="47"/>
    <s v="Valid"/>
    <n v="301.7"/>
    <b v="0"/>
    <n v="0.14000000000000001"/>
    <n v="1"/>
    <d v="2023-03-26T00:00:00"/>
    <n v="1"/>
    <n v="1416004.814"/>
    <n v="14179.9"/>
    <n v="1401824.9140000001"/>
    <n v="0.98998598037252161"/>
    <s v="Mar-2023"/>
    <s v="Q1-2023"/>
    <s v="Asia → Japan → Osaka"/>
    <x v="1"/>
    <s v="Low"/>
    <s v="JAPAN"/>
    <d v="2023-03-03T00:00:00"/>
    <s v="Mar-2023"/>
    <d v="2023-03-31T00:00:00"/>
    <n v="1"/>
  </r>
  <r>
    <s v="ORD-2024-134084"/>
    <d v="2024-06-04T00:00:00"/>
    <d v="2024-06-16T00:00:00"/>
    <s v="Asia"/>
    <x v="9"/>
    <s v="Shanghai"/>
    <s v="Corporate"/>
    <s v="Retail"/>
    <s v="J. Njeri"/>
    <x v="1"/>
    <s v="PRN-4097"/>
    <n v="918.42"/>
    <n v="1511.71"/>
    <n v="0.02"/>
    <n v="8"/>
    <s v="Valid"/>
    <n v="1511.71"/>
    <b v="0"/>
    <n v="0.02"/>
    <n v="12"/>
    <d v="2024-06-16T00:00:00"/>
    <n v="12"/>
    <n v="1209126.1264000002"/>
    <n v="12093.68"/>
    <n v="1197032.4464000002"/>
    <n v="0.98999799959992008"/>
    <s v="Jun-2024"/>
    <s v="Q2-2024"/>
    <s v="Asia → China → Shanghai"/>
    <x v="1"/>
    <s v="Medium"/>
    <s v="CHINA"/>
    <d v="2023-01-12T00:00:00"/>
    <s v="Jan-2023"/>
    <d v="2024-06-30T00:00:00"/>
    <n v="0"/>
  </r>
  <r>
    <s v="ORD-2023-884625"/>
    <d v="2023-02-19T00:00:00"/>
    <d v="2023-03-12T00:00:00"/>
    <s v="Europe"/>
    <x v="5"/>
    <s v="Berlin"/>
    <s v="Small Business"/>
    <s v="Direct"/>
    <s v="L. Okafor"/>
    <x v="5"/>
    <s v="MON-6699"/>
    <n v="1234.81"/>
    <n v="2055.2399999999998"/>
    <n v="5.2999999999999999E-2"/>
    <n v="44"/>
    <s v="Valid"/>
    <n v="2055.2399999999998"/>
    <b v="0"/>
    <n v="5.2999999999999999E-2"/>
    <n v="21"/>
    <d v="2023-03-12T00:00:00"/>
    <n v="21"/>
    <n v="9038263.1803200003"/>
    <n v="90430.56"/>
    <n v="8947832.6203199998"/>
    <n v="0.98999469718951039"/>
    <s v="Feb-2023"/>
    <s v="Q1-2023"/>
    <s v="Europe → Germany → Berlin"/>
    <x v="1"/>
    <s v="Low"/>
    <s v="GERMANY"/>
    <d v="2023-01-22T00:00:00"/>
    <s v="Jan-2023"/>
    <d v="2023-02-28T00:00:00"/>
    <n v="0"/>
  </r>
  <r>
    <s v="ORD-2023-157993"/>
    <d v="2023-04-18T00:00:00"/>
    <d v="2023-05-18T00:00:00"/>
    <s v="Asia"/>
    <x v="9"/>
    <s v="Shenzhen"/>
    <s v="Non-Profit"/>
    <s v="Retail"/>
    <s v="H. Kim"/>
    <x v="4"/>
    <s v="LAP-1482"/>
    <n v="329.03"/>
    <n v="391.15"/>
    <n v="0.19700000000000001"/>
    <n v="46"/>
    <s v="Valid"/>
    <n v="391.15"/>
    <b v="0"/>
    <n v="0.19700000000000001"/>
    <n v="30"/>
    <d v="2023-05-18T00:00:00"/>
    <n v="30"/>
    <n v="1795745.3986999998"/>
    <n v="17992.899999999998"/>
    <n v="1777752.4986999999"/>
    <n v="0.98998026111439541"/>
    <s v="Apr-2023"/>
    <s v="Q2-2023"/>
    <s v="Asia → China → Shenzhen"/>
    <x v="2"/>
    <s v="Low"/>
    <s v="CHINA"/>
    <d v="2023-01-12T00:00:00"/>
    <s v="Jan-2023"/>
    <d v="2023-04-30T00:00:00"/>
    <n v="0"/>
  </r>
  <r>
    <s v="ORD-2024-329104"/>
    <d v="2024-05-23T00:00:00"/>
    <d v="2024-06-14T00:00:00"/>
    <s v="Europe"/>
    <x v="7"/>
    <s v="Marseille"/>
    <s v="Small Business"/>
    <s v="Online"/>
    <s v="N. Brown"/>
    <x v="5"/>
    <s v="MON-2100"/>
    <n v="1481.74"/>
    <n v="1848.97"/>
    <n v="0.254"/>
    <n v="9"/>
    <s v="Valid"/>
    <n v="1848.97"/>
    <b v="0"/>
    <n v="0.254"/>
    <n v="22"/>
    <d v="2024-06-14T00:00:00"/>
    <n v="22"/>
    <n v="1659846.2545799999"/>
    <n v="16640.73"/>
    <n v="1643205.52458"/>
    <n v="0.98997453531971213"/>
    <s v="May-2024"/>
    <s v="Q2-2024"/>
    <s v="Europe → France → Marseille"/>
    <x v="1"/>
    <s v="Medium"/>
    <s v="FRANCE"/>
    <d v="2023-01-10T00:00:00"/>
    <s v="Jan-2023"/>
    <d v="2024-05-31T00:00:00"/>
    <n v="0"/>
  </r>
  <r>
    <s v="ORD-2023-304451"/>
    <d v="2023-10-07T00:00:00"/>
    <d v="2023-10-23T00:00:00"/>
    <s v="Asia"/>
    <x v="3"/>
    <s v="Hyderabad"/>
    <s v="Consumer"/>
    <s v="Retail"/>
    <s v="G. Dubois"/>
    <x v="5"/>
    <s v="MON-7602"/>
    <n v="906.81"/>
    <n v="1395.56"/>
    <n v="0.185"/>
    <n v="6"/>
    <s v="Valid"/>
    <n v="1395.56"/>
    <b v="0"/>
    <n v="0.185"/>
    <n v="16"/>
    <d v="2023-10-23T00:00:00"/>
    <n v="16"/>
    <n v="835786.92840000009"/>
    <n v="8373.36"/>
    <n v="827413.56840000011"/>
    <n v="0.98998146571156642"/>
    <s v="Oct-2023"/>
    <s v="Q4-2023"/>
    <s v="Asia → India → Hyderabad"/>
    <x v="1"/>
    <s v="Low"/>
    <s v="INDIA"/>
    <d v="2023-01-29T00:00:00"/>
    <s v="Jan-2023"/>
    <d v="2023-10-31T00:00:00"/>
    <n v="0"/>
  </r>
  <r>
    <s v="ORD-2024-942981"/>
    <d v="2024-10-09T00:00:00"/>
    <d v="2024-11-08T00:00:00"/>
    <s v="Europe"/>
    <x v="8"/>
    <s v="Manchester"/>
    <s v="Small Business"/>
    <s v="Distributor"/>
    <s v="J. Njeri"/>
    <x v="0"/>
    <s v="CMP-1072"/>
    <n v="343.85"/>
    <n v="538.04"/>
    <n v="0.13900000000000001"/>
    <n v="5"/>
    <s v="Valid"/>
    <n v="538.04"/>
    <b v="0"/>
    <n v="0.13900000000000001"/>
    <n v="30"/>
    <d v="2024-11-08T00:00:00"/>
    <n v="30"/>
    <n v="268646.06219999999"/>
    <n v="2690.2"/>
    <n v="265955.86219999997"/>
    <n v="0.98998608065210636"/>
    <s v="Oct-2024"/>
    <s v="Q4-2024"/>
    <s v="Europe → United Kingdom → Manchester"/>
    <x v="0"/>
    <s v="Medium"/>
    <s v="UNITED KINGDOM"/>
    <d v="2023-01-19T00:00:00"/>
    <s v="Jan-2023"/>
    <d v="2024-10-31T00:00:00"/>
    <n v="0"/>
  </r>
  <r>
    <s v="ORD-2024-605629"/>
    <d v="2024-07-15T00:00:00"/>
    <d v="2024-07-15T00:00:00"/>
    <s v="Asia"/>
    <x v="6"/>
    <s v="Tokyo"/>
    <s v="Small Business"/>
    <s v="Marketplace"/>
    <s v="G. Dubois"/>
    <x v="6"/>
    <s v="ACC-2735"/>
    <n v="801.77"/>
    <n v="1218.92"/>
    <n v="0.254"/>
    <n v="16"/>
    <s v="Valid"/>
    <n v="1218.92"/>
    <b v="0"/>
    <n v="0.254"/>
    <n v="0"/>
    <d v="2024-07-15T00:00:00"/>
    <n v="0"/>
    <n v="1945318.3091200001"/>
    <n v="19502.72"/>
    <n v="1925815.5891200001"/>
    <n v="0.98997453531971213"/>
    <s v="Jul-2024"/>
    <s v="Q3-2024"/>
    <s v="Asia → Japan → Tokyo"/>
    <x v="0"/>
    <s v="Medium"/>
    <s v="JAPAN"/>
    <d v="2023-03-03T00:00:00"/>
    <s v="Mar-2023"/>
    <d v="2024-07-31T00:00:00"/>
    <n v="1"/>
  </r>
  <r>
    <s v="ORD-2023-450877"/>
    <d v="2023-09-21T00:00:00"/>
    <d v="2023-10-10T00:00:00"/>
    <s v="Asia"/>
    <x v="6"/>
    <s v="Tokyo"/>
    <s v="Education"/>
    <s v="Online"/>
    <s v="D. Smith"/>
    <x v="0"/>
    <s v="CMP-5211"/>
    <n v="845.63"/>
    <n v="2062.12"/>
    <n v="0.13400000000000001"/>
    <n v="5"/>
    <s v="Valid"/>
    <n v="2062.12"/>
    <b v="0"/>
    <n v="0.13400000000000001"/>
    <n v="19"/>
    <d v="2023-10-10T00:00:00"/>
    <n v="19"/>
    <n v="1029678.3795999999"/>
    <n v="10310.599999999999"/>
    <n v="1019367.7795999999"/>
    <n v="0.98998658201990675"/>
    <s v="Sep-2023"/>
    <s v="Q3-2023"/>
    <s v="Asia → Japan → Tokyo"/>
    <x v="0"/>
    <s v="Low"/>
    <s v="JAPAN"/>
    <d v="2023-03-03T00:00:00"/>
    <s v="Mar-2023"/>
    <d v="2023-09-30T00:00:00"/>
    <n v="0"/>
  </r>
  <r>
    <s v="ORD-2023-286994"/>
    <d v="2023-02-24T00:00:00"/>
    <d v="2023-03-09T00:00:00"/>
    <s v="Americas"/>
    <x v="10"/>
    <s v="New York"/>
    <s v="Enterprise"/>
    <s v="Online"/>
    <s v="M. Rossi"/>
    <x v="0"/>
    <s v="CMP-1632"/>
    <n v="6.85"/>
    <n v="10.18"/>
    <n v="4.7E-2"/>
    <n v="10"/>
    <s v="Valid"/>
    <n v="10.18"/>
    <b v="0"/>
    <n v="4.7E-2"/>
    <n v="13"/>
    <d v="2023-03-09T00:00:00"/>
    <n v="13"/>
    <n v="10175.215399999999"/>
    <n v="101.8"/>
    <n v="10073.4154"/>
    <n v="0.98999529778996131"/>
    <s v="Feb-2023"/>
    <s v="Q1-2023"/>
    <s v="Americas → USA → New York"/>
    <x v="0"/>
    <s v="Low"/>
    <s v="USA"/>
    <d v="2023-01-13T00:00:00"/>
    <s v="Jan-2023"/>
    <d v="2023-02-28T00:00:00"/>
    <n v="0"/>
  </r>
  <r>
    <s v="ORD-2025-700847"/>
    <d v="2025-05-21T00:00:00"/>
    <d v="2025-05-19T00:00:00"/>
    <s v="Africa"/>
    <x v="11"/>
    <s v="Johannesburg"/>
    <s v="Non-Profit"/>
    <s v="Distributor"/>
    <s v="O. Wang"/>
    <x v="4"/>
    <s v="LAP-7099"/>
    <n v="1263.8399999999999"/>
    <n v="2281.7199999999998"/>
    <n v="7.8E-2"/>
    <n v="15"/>
    <s v="Valid"/>
    <n v="2281.7199999999998"/>
    <b v="0"/>
    <n v="7.8E-2"/>
    <n v="-2"/>
    <d v="2025-05-28T00:00:00"/>
    <n v="7"/>
    <n v="3419910.3875999996"/>
    <n v="34225.799999999996"/>
    <n v="3385684.5875999997"/>
    <n v="0.98999219391125082"/>
    <s v="May-2025"/>
    <s v="Q2-2025"/>
    <s v="Africa → South Africa → Johannesburg"/>
    <x v="2"/>
    <s v="High"/>
    <s v="SOUTH AFRICA"/>
    <d v="2023-01-07T00:00:00"/>
    <s v="Jan-2023"/>
    <d v="2025-05-31T00:00:00"/>
    <n v="1"/>
  </r>
  <r>
    <s v="ORD-2024-970848"/>
    <d v="2024-05-23T00:00:00"/>
    <d v="2024-06-03T00:00:00"/>
    <s v="Africa"/>
    <x v="11"/>
    <s v="Johannesburg"/>
    <s v="Small Business"/>
    <s v="Distributor"/>
    <s v="F. Müller"/>
    <x v="1"/>
    <s v="PRN-3785"/>
    <n v="180.89"/>
    <n v="249.57"/>
    <n v="2.1999999999999999E-2"/>
    <n v="8"/>
    <s v="Valid"/>
    <n v="249.57"/>
    <b v="0"/>
    <n v="2.1999999999999999E-2"/>
    <n v="11"/>
    <d v="2024-06-03T00:00:00"/>
    <n v="11"/>
    <n v="199612.07567999998"/>
    <n v="1996.56"/>
    <n v="197615.51567999998"/>
    <n v="0.98999779951589351"/>
    <s v="May-2024"/>
    <s v="Q2-2024"/>
    <s v="Africa → South Africa → Johannesburg"/>
    <x v="1"/>
    <s v="Medium"/>
    <s v="SOUTH AFRICA"/>
    <d v="2023-01-07T00:00:00"/>
    <s v="Jan-2023"/>
    <d v="2024-05-31T00:00:00"/>
    <n v="0"/>
  </r>
  <r>
    <s v="ORD-2025-845715"/>
    <d v="2025-04-14T00:00:00"/>
    <d v="2025-05-04T00:00:00"/>
    <s v="Europe"/>
    <x v="8"/>
    <s v="Birmingham"/>
    <s v="Enterprise"/>
    <s v="Marketplace"/>
    <s v="K. Singh"/>
    <x v="5"/>
    <s v="MON-6962"/>
    <n v="1413.87"/>
    <n v="3275"/>
    <n v="0.255"/>
    <n v="38"/>
    <s v="Valid"/>
    <n v="3275"/>
    <b v="0"/>
    <n v="0.255"/>
    <n v="20"/>
    <d v="2025-05-04T00:00:00"/>
    <n v="20"/>
    <n v="12413265.25"/>
    <n v="124450"/>
    <n v="12288815.25"/>
    <n v="0.98997443480876235"/>
    <s v="Apr-2025"/>
    <s v="Q2-2025"/>
    <s v="Europe → United Kingdom → Birmingham"/>
    <x v="1"/>
    <s v="High"/>
    <s v="UNITED KINGDOM"/>
    <d v="2023-01-19T00:00:00"/>
    <s v="Jan-2023"/>
    <d v="2025-04-30T00:00:00"/>
    <n v="0"/>
  </r>
  <r>
    <s v="ORD-2023-664749"/>
    <d v="2023-08-27T00:00:00"/>
    <d v="2023-09-11T00:00:00"/>
    <s v="Europe"/>
    <x v="8"/>
    <s v="London"/>
    <s v="Consumer"/>
    <s v="Marketplace"/>
    <s v="N. Brown"/>
    <x v="1"/>
    <s v="PRN-5107"/>
    <n v="943.79"/>
    <n v="1913.76"/>
    <n v="9.0999999999999998E-2"/>
    <n v="9"/>
    <s v="Valid"/>
    <n v="1913.76"/>
    <b v="0"/>
    <n v="9.0999999999999998E-2"/>
    <n v="15"/>
    <d v="2023-09-11T00:00:00"/>
    <n v="15"/>
    <n v="1720816.6305600002"/>
    <n v="17223.84"/>
    <n v="1703592.7905600001"/>
    <n v="0.98999089171145738"/>
    <s v="Aug-2023"/>
    <s v="Q3-2023"/>
    <s v="Europe → United Kingdom → London"/>
    <x v="1"/>
    <s v="Low"/>
    <s v="UNITED KINGDOM"/>
    <d v="2023-01-19T00:00:00"/>
    <s v="Jan-2023"/>
    <d v="2023-08-31T00:00:00"/>
    <n v="0"/>
  </r>
  <r>
    <s v="ORD-2024-960952"/>
    <d v="2024-02-03T00:00:00"/>
    <d v="2024-02-21T00:00:00"/>
    <s v="Europe"/>
    <x v="5"/>
    <s v="Frankfurt"/>
    <s v="Corporate"/>
    <s v="Retail"/>
    <s v="H. Kim"/>
    <x v="0"/>
    <s v="CMP-9264"/>
    <n v="39.229999999999997"/>
    <n v="30.09"/>
    <n v="0.17699999999999999"/>
    <n v="13"/>
    <s v="Valid"/>
    <n v="30.09"/>
    <b v="0"/>
    <n v="0.17699999999999999"/>
    <n v="18"/>
    <d v="2024-02-21T00:00:00"/>
    <n v="18"/>
    <n v="39047.762909999998"/>
    <n v="391.17"/>
    <n v="38656.592909999999"/>
    <n v="0.98998226861544936"/>
    <s v="Feb-2024"/>
    <s v="Q1-2024"/>
    <s v="Europe → Germany → Frankfurt"/>
    <x v="0"/>
    <s v="Medium"/>
    <s v="GERMANY"/>
    <d v="2023-01-22T00:00:00"/>
    <s v="Jan-2023"/>
    <d v="2024-02-29T00:00:00"/>
    <n v="0"/>
  </r>
  <r>
    <s v="ORD-2023-987700"/>
    <d v="2023-04-05T00:00:00"/>
    <d v="2023-04-16T00:00:00"/>
    <s v="Americas"/>
    <x v="2"/>
    <s v="Vancouver"/>
    <s v="Non-Profit"/>
    <s v="Online"/>
    <s v="O. Wang"/>
    <x v="5"/>
    <s v="MON-5259"/>
    <n v="213.1"/>
    <n v="501.31"/>
    <n v="5.6000000000000001E-2"/>
    <n v="15"/>
    <s v="Valid"/>
    <n v="501.31"/>
    <b v="0"/>
    <n v="5.6000000000000001E-2"/>
    <n v="11"/>
    <d v="2023-04-16T00:00:00"/>
    <n v="11"/>
    <n v="751543.8996"/>
    <n v="7519.65"/>
    <n v="744024.24959999998"/>
    <n v="0.98999439686224278"/>
    <s v="Apr-2023"/>
    <s v="Q2-2023"/>
    <s v="Americas → Canada → Vancouver"/>
    <x v="1"/>
    <s v="Low"/>
    <s v="CANADA"/>
    <d v="2023-01-02T00:00:00"/>
    <s v="Jan-2023"/>
    <d v="2023-04-30T00:00:00"/>
    <n v="0"/>
  </r>
  <r>
    <s v="ORD-2025-652467"/>
    <d v="2025-08-21T00:00:00"/>
    <d v="2025-09-12T00:00:00"/>
    <s v="Asia"/>
    <x v="9"/>
    <s v="Shenzhen"/>
    <s v="Education"/>
    <s v="Retail"/>
    <s v="B. Chen"/>
    <x v="1"/>
    <s v="PRN-8137"/>
    <n v="352.66"/>
    <n v="411.18"/>
    <n v="0.17299999999999999"/>
    <n v="13"/>
    <s v="Valid"/>
    <n v="411.18"/>
    <b v="0"/>
    <n v="0.17299999999999999"/>
    <n v="22"/>
    <d v="2025-09-12T00:00:00"/>
    <n v="22"/>
    <n v="533609.25618000003"/>
    <n v="5345.34"/>
    <n v="528263.91618000006"/>
    <n v="0.9899826700191332"/>
    <s v="Aug-2025"/>
    <s v="Q3-2025"/>
    <s v="Asia → China → Shenzhen"/>
    <x v="1"/>
    <s v="High"/>
    <s v="CHINA"/>
    <d v="2023-01-12T00:00:00"/>
    <s v="Jan-2023"/>
    <d v="2025-08-31T00:00:00"/>
    <n v="0"/>
  </r>
  <r>
    <s v="ORD-2025-667201"/>
    <d v="2025-09-15T00:00:00"/>
    <d v="2025-09-18T00:00:00"/>
    <s v="Americas"/>
    <x v="4"/>
    <s v="Rio de Janeiro"/>
    <s v="Non-Profit"/>
    <s v="Direct"/>
    <s v="L. Okafor"/>
    <x v="6"/>
    <s v="ACC-6777"/>
    <n v="5.5"/>
    <n v="5.92"/>
    <n v="0.21199999999999999"/>
    <n v="4"/>
    <s v="Valid"/>
    <n v="5.92"/>
    <b v="0"/>
    <n v="0.21199999999999999"/>
    <n v="3"/>
    <d v="2025-09-18T00:00:00"/>
    <n v="3"/>
    <n v="2362.97984"/>
    <n v="23.68"/>
    <n v="2339.2998400000001"/>
    <n v="0.98997875496051635"/>
    <s v="Sep-2025"/>
    <s v="Q3-2025"/>
    <s v="Americas → Brazil → Rio de Janeiro"/>
    <x v="0"/>
    <s v="High"/>
    <s v="BRAZIL"/>
    <d v="2023-01-29T00:00:00"/>
    <s v="Jan-2023"/>
    <d v="2025-09-30T00:00:00"/>
    <n v="1"/>
  </r>
  <r>
    <s v="ORD-2024-237478"/>
    <d v="2024-10-03T00:00:00"/>
    <d v="2024-10-11T00:00:00"/>
    <s v="Asia"/>
    <x v="9"/>
    <s v="Beijing"/>
    <s v="Enterprise"/>
    <s v="Direct"/>
    <s v="B. Chen"/>
    <x v="3"/>
    <s v="PHN-7488"/>
    <n v="1132.6099999999999"/>
    <n v="2206.63"/>
    <n v="6.3E-2"/>
    <n v="20"/>
    <s v="Valid"/>
    <n v="2206.63"/>
    <b v="0"/>
    <n v="6.3E-2"/>
    <n v="8"/>
    <d v="2024-10-11T00:00:00"/>
    <n v="8"/>
    <n v="4410479.6462000003"/>
    <n v="44132.600000000006"/>
    <n v="4366347.0462000007"/>
    <n v="0.98999369602849807"/>
    <s v="Oct-2024"/>
    <s v="Q4-2024"/>
    <s v="Asia → China → Beijing"/>
    <x v="2"/>
    <s v="Medium"/>
    <s v="CHINA"/>
    <d v="2023-01-12T00:00:00"/>
    <s v="Jan-2023"/>
    <d v="2024-10-31T00:00:00"/>
    <n v="0"/>
  </r>
  <r>
    <s v="ORD-2025-898843"/>
    <d v="2025-02-02T00:00:00"/>
    <d v="2025-03-04T00:00:00"/>
    <s v="Asia"/>
    <x v="6"/>
    <s v="Osaka"/>
    <s v="Education"/>
    <s v="Distributor"/>
    <s v="L. Okafor"/>
    <x v="6"/>
    <s v="ACC-9591"/>
    <n v="766.59"/>
    <n v="1912.8"/>
    <n v="0.19600000000000001"/>
    <n v="5"/>
    <s v="Valid"/>
    <n v="1912.8"/>
    <b v="0"/>
    <n v="0.19600000000000001"/>
    <n v="30"/>
    <d v="2025-03-04T00:00:00"/>
    <n v="30"/>
    <n v="954525.45600000001"/>
    <n v="9564"/>
    <n v="944961.45600000001"/>
    <n v="0.98998036150855673"/>
    <s v="Feb-2025"/>
    <s v="Q1-2025"/>
    <s v="Asia → Japan → Osaka"/>
    <x v="0"/>
    <s v="High"/>
    <s v="JAPAN"/>
    <d v="2023-03-03T00:00:00"/>
    <s v="Mar-2023"/>
    <d v="2025-02-28T00:00:00"/>
    <n v="0"/>
  </r>
  <r>
    <s v="ORD-2023-334213"/>
    <d v="2023-08-19T00:00:00"/>
    <d v="2023-08-23T00:00:00"/>
    <s v="Africa"/>
    <x v="1"/>
    <s v="Abuja"/>
    <s v="Small Business"/>
    <s v="Online"/>
    <s v="J. Njeri"/>
    <x v="5"/>
    <s v="MON-5517"/>
    <n v="790.63"/>
    <n v="1382.31"/>
    <n v="0.10100000000000001"/>
    <n v="7"/>
    <s v="Valid"/>
    <n v="1382.31"/>
    <b v="0"/>
    <n v="0.10100000000000001"/>
    <n v="4"/>
    <d v="2023-08-23T00:00:00"/>
    <n v="4"/>
    <n v="966639.70683000004"/>
    <n v="9676.17"/>
    <n v="956963.53683"/>
    <n v="0.98998988978868652"/>
    <s v="Aug-2023"/>
    <s v="Q3-2023"/>
    <s v="Africa → Nigeria → Abuja"/>
    <x v="1"/>
    <s v="Low"/>
    <s v="NIGERIA"/>
    <d v="2023-01-15T00:00:00"/>
    <s v="Jan-2023"/>
    <d v="2023-08-31T00:00:00"/>
    <n v="1"/>
  </r>
  <r>
    <s v="ORD-2024-640340"/>
    <d v="2024-10-22T00:00:00"/>
    <d v="2024-10-29T00:00:00"/>
    <s v="Africa"/>
    <x v="1"/>
    <s v="Port Harcourt"/>
    <s v="Enterprise"/>
    <s v="Distributor"/>
    <s v="M. Rossi"/>
    <x v="5"/>
    <s v="MON-8758"/>
    <n v="1023.06"/>
    <n v="1355.61"/>
    <n v="0.153"/>
    <n v="23"/>
    <s v="Valid"/>
    <n v="1355.61"/>
    <b v="0"/>
    <n v="0.153"/>
    <n v="7"/>
    <d v="2024-10-29T00:00:00"/>
    <n v="7"/>
    <n v="3113132.6084099999"/>
    <n v="31179.03"/>
    <n v="3081953.5784100001"/>
    <n v="0.98998467655512945"/>
    <s v="Oct-2024"/>
    <s v="Q4-2024"/>
    <s v="Africa → Nigeria → Port Harcourt"/>
    <x v="1"/>
    <s v="Medium"/>
    <s v="NIGERIA"/>
    <d v="2023-01-15T00:00:00"/>
    <s v="Jan-2023"/>
    <d v="2024-10-31T00:00:00"/>
    <n v="1"/>
  </r>
  <r>
    <s v="ORD-2023-399631"/>
    <d v="2023-06-22T00:00:00"/>
    <d v="2023-07-21T00:00:00"/>
    <s v="Europe"/>
    <x v="7"/>
    <s v="Lyon"/>
    <s v="Corporate"/>
    <s v="Retail"/>
    <s v="J. Njeri"/>
    <x v="6"/>
    <s v="ACC-3385"/>
    <n v="734.34"/>
    <n v="887.9"/>
    <n v="2.5000000000000001E-2"/>
    <n v="12"/>
    <s v="Valid"/>
    <n v="887.9"/>
    <b v="0"/>
    <n v="2.5000000000000001E-2"/>
    <n v="29"/>
    <d v="2023-07-21T00:00:00"/>
    <n v="29"/>
    <n v="1065213.6299999999"/>
    <n v="10654.8"/>
    <n v="1054558.8299999998"/>
    <n v="0.98999749937484371"/>
    <s v="Jun-2023"/>
    <s v="Q2-2023"/>
    <s v="Europe → France → Lyon"/>
    <x v="0"/>
    <s v="Low"/>
    <s v="FRANCE"/>
    <d v="2023-01-10T00:00:00"/>
    <s v="Jan-2023"/>
    <d v="2023-06-30T00:00:00"/>
    <n v="0"/>
  </r>
  <r>
    <s v="ORD-2025-542939"/>
    <d v="2025-01-13T00:00:00"/>
    <d v="2025-02-08T00:00:00"/>
    <s v="Europe"/>
    <x v="7"/>
    <s v="Paris"/>
    <s v="Non-Profit"/>
    <s v="Unknown Channel "/>
    <s v="E. Garcia"/>
    <x v="5"/>
    <s v="MON-1593"/>
    <n v="594.74"/>
    <n v="1020.69"/>
    <n v="0.21099999999999999"/>
    <n v="6"/>
    <s v="Valid"/>
    <n v="1020.69"/>
    <b v="0"/>
    <n v="0.21099999999999999"/>
    <n v="26"/>
    <d v="2025-02-08T00:00:00"/>
    <n v="26"/>
    <n v="611121.80645999999"/>
    <n v="6124.14"/>
    <n v="604997.66645999998"/>
    <n v="0.98997885538486208"/>
    <s v="Jan-2025"/>
    <s v="Q1-2025"/>
    <s v="Europe → France → Paris"/>
    <x v="1"/>
    <s v="High"/>
    <s v="FRANCE"/>
    <d v="2023-01-10T00:00:00"/>
    <s v="Jan-2023"/>
    <d v="2025-01-31T00:00:00"/>
    <n v="0"/>
  </r>
  <r>
    <s v="ORD-2023-521818"/>
    <d v="2023-01-29T00:00:00"/>
    <d v="2023-02-28T00:00:00"/>
    <s v="Asia"/>
    <x v="3"/>
    <s v="Bengaluru"/>
    <s v="Non-Profit"/>
    <s v="Retail"/>
    <s v="B. Chen"/>
    <x v="6"/>
    <s v="ACC-4631"/>
    <n v="1262.0999999999999"/>
    <n v="1395.53"/>
    <n v="0.23300000000000001"/>
    <n v="25"/>
    <s v="Valid"/>
    <n v="1395.53"/>
    <b v="0"/>
    <n v="0.23300000000000001"/>
    <n v="30"/>
    <d v="2023-02-28T00:00:00"/>
    <n v="30"/>
    <n v="3480696.0377499997"/>
    <n v="34888.25"/>
    <n v="3445807.7877499997"/>
    <n v="0.98997664558421117"/>
    <s v="Jan-2023"/>
    <s v="Q1-2023"/>
    <s v="Asia → India → Bengaluru"/>
    <x v="0"/>
    <s v="Low"/>
    <s v="INDIA"/>
    <d v="2023-01-29T00:00:00"/>
    <s v="Jan-2023"/>
    <d v="2023-01-31T00:00:00"/>
    <n v="0"/>
  </r>
  <r>
    <s v="ORD-2023-825836"/>
    <d v="2023-07-19T00:00:00"/>
    <d v="2023-07-31T00:00:00"/>
    <s v="Americas"/>
    <x v="4"/>
    <s v="Rio de Janeiro"/>
    <s v="Corporate"/>
    <s v="Retail"/>
    <s v="C. Otieno"/>
    <x v="5"/>
    <s v="MON-7869"/>
    <n v="1334.64"/>
    <n v="2273.42"/>
    <n v="0.11799999999999999"/>
    <n v="14"/>
    <s v="Valid"/>
    <n v="2273.42"/>
    <b v="0"/>
    <n v="0.11799999999999999"/>
    <n v="12"/>
    <d v="2023-07-31T00:00:00"/>
    <n v="12"/>
    <n v="3179032.3101600003"/>
    <n v="31827.88"/>
    <n v="3147204.4301600005"/>
    <n v="0.9899881860595503"/>
    <s v="Jul-2023"/>
    <s v="Q3-2023"/>
    <s v="Americas → Brazil → Rio de Janeiro"/>
    <x v="1"/>
    <s v="Low"/>
    <s v="BRAZIL"/>
    <d v="2023-01-29T00:00:00"/>
    <s v="Jan-2023"/>
    <d v="2023-07-31T00:00:00"/>
    <n v="0"/>
  </r>
  <r>
    <s v="ORD-2024-503082"/>
    <d v="2024-05-19T00:00:00"/>
    <d v="2024-06-08T00:00:00"/>
    <s v="Americas"/>
    <x v="4"/>
    <s v="Brasília"/>
    <s v="Small Business"/>
    <s v="Retail"/>
    <s v="E. Garcia"/>
    <x v="5"/>
    <s v="MON-4271"/>
    <n v="1075.9000000000001"/>
    <n v="1242.1500000000001"/>
    <n v="1.2E-2"/>
    <n v="7"/>
    <s v="Valid"/>
    <n v="1242.1500000000001"/>
    <b v="0"/>
    <n v="1.2E-2"/>
    <n v="20"/>
    <d v="2024-06-08T00:00:00"/>
    <n v="20"/>
    <n v="869400.65940000012"/>
    <n v="8695.0500000000011"/>
    <n v="860705.60940000007"/>
    <n v="0.98999879985598271"/>
    <s v="May-2024"/>
    <s v="Q2-2024"/>
    <s v="Americas → Brazil → Brasília"/>
    <x v="1"/>
    <s v="Medium"/>
    <s v="BRAZIL"/>
    <d v="2023-01-29T00:00:00"/>
    <s v="Jan-2023"/>
    <d v="2024-05-31T00:00:00"/>
    <n v="0"/>
  </r>
  <r>
    <s v="ORD-2024-760799"/>
    <d v="2024-02-03T00:00:00"/>
    <d v="2024-02-19T00:00:00"/>
    <s v="Asia"/>
    <x v="9"/>
    <s v="Shenzhen"/>
    <s v="Small Business"/>
    <s v="Online"/>
    <s v="H. Kim"/>
    <x v="4"/>
    <s v="LAP-5531"/>
    <n v="993.75"/>
    <n v="1310.29"/>
    <n v="0.215"/>
    <n v="19"/>
    <s v="Valid"/>
    <n v="1310.29"/>
    <b v="0"/>
    <n v="0.215"/>
    <n v="16"/>
    <d v="2024-02-19T00:00:00"/>
    <n v="16"/>
    <n v="2484198.4653499997"/>
    <n v="24895.51"/>
    <n v="2459302.9553499999"/>
    <n v="0.98997845367540216"/>
    <s v="Feb-2024"/>
    <s v="Q1-2024"/>
    <s v="Asia → China → Shenzhen"/>
    <x v="2"/>
    <s v="Medium"/>
    <s v="CHINA"/>
    <d v="2023-01-12T00:00:00"/>
    <s v="Jan-2023"/>
    <d v="2024-02-29T00:00:00"/>
    <n v="0"/>
  </r>
  <r>
    <s v="ORD-2023-197661"/>
    <d v="2023-08-08T00:00:00"/>
    <d v="2023-08-22T00:00:00"/>
    <s v="Europe"/>
    <x v="8"/>
    <s v="Birmingham"/>
    <s v="Non-Profit"/>
    <s v="Direct"/>
    <s v="N. Brown"/>
    <x v="5"/>
    <s v="MON-7511"/>
    <n v="446.69"/>
    <n v="967.25"/>
    <n v="9.4E-2"/>
    <n v="10"/>
    <s v="Valid"/>
    <n v="967.25"/>
    <b v="0"/>
    <n v="9.4E-2"/>
    <n v="14"/>
    <d v="2023-08-22T00:00:00"/>
    <n v="14"/>
    <n v="966340.78500000003"/>
    <n v="9672.5"/>
    <n v="956668.28500000003"/>
    <n v="0.98999059115568633"/>
    <s v="Aug-2023"/>
    <s v="Q3-2023"/>
    <s v="Europe → United Kingdom → Birmingham"/>
    <x v="1"/>
    <s v="Low"/>
    <s v="UNITED KINGDOM"/>
    <d v="2023-01-19T00:00:00"/>
    <s v="Jan-2023"/>
    <d v="2023-08-31T00:00:00"/>
    <n v="0"/>
  </r>
  <r>
    <s v="ORD-2024-212990"/>
    <d v="2024-08-12T00:00:00"/>
    <d v="2024-09-03T00:00:00"/>
    <s v="Americas"/>
    <x v="10"/>
    <s v="Austin"/>
    <s v="Consumer"/>
    <s v="Distributor"/>
    <s v="I. Johnson"/>
    <x v="4"/>
    <s v="LAP-7979"/>
    <n v="797.8"/>
    <n v="886.22"/>
    <n v="0.23599999999999999"/>
    <n v="36"/>
    <s v="Valid"/>
    <n v="886.22"/>
    <b v="0"/>
    <n v="0.23599999999999999"/>
    <n v="22"/>
    <d v="2024-09-03T00:00:00"/>
    <n v="22"/>
    <n v="3182862.6748799998"/>
    <n v="31903.920000000002"/>
    <n v="3150958.7548799999"/>
    <n v="0.98997634417224656"/>
    <s v="Aug-2024"/>
    <s v="Q3-2024"/>
    <s v="Americas → USA → Austin"/>
    <x v="2"/>
    <s v="Medium"/>
    <s v="USA"/>
    <d v="2023-01-13T00:00:00"/>
    <s v="Jan-2023"/>
    <d v="2024-08-31T00:00:00"/>
    <n v="0"/>
  </r>
  <r>
    <s v="ORD-2023-925146"/>
    <d v="2023-10-15T00:00:00"/>
    <d v="2023-11-13T00:00:00"/>
    <s v="Asia"/>
    <x v="9"/>
    <s v="Shenzhen"/>
    <s v="Non-Profit"/>
    <s v="Distributor"/>
    <s v="J. Njeri"/>
    <x v="1"/>
    <s v="PRN-4983"/>
    <n v="986.44"/>
    <n v="790.61"/>
    <n v="7.1999999999999995E-2"/>
    <n v="6"/>
    <s v="Valid"/>
    <n v="790.61"/>
    <b v="0"/>
    <n v="7.1999999999999995E-2"/>
    <n v="29"/>
    <d v="2023-11-13T00:00:00"/>
    <n v="29"/>
    <n v="474024.45647999999"/>
    <n v="4743.66"/>
    <n v="469280.79648000002"/>
    <n v="0.98999279481226488"/>
    <s v="Oct-2023"/>
    <s v="Q4-2023"/>
    <s v="Asia → China → Shenzhen"/>
    <x v="1"/>
    <s v="Low"/>
    <s v="CHINA"/>
    <d v="2023-01-12T00:00:00"/>
    <s v="Jan-2023"/>
    <d v="2023-10-31T00:00:00"/>
    <n v="0"/>
  </r>
  <r>
    <s v="ORD-2023-177794"/>
    <d v="2023-05-04T00:00:00"/>
    <d v="2023-05-26T00:00:00"/>
    <s v="Americas"/>
    <x v="10"/>
    <s v="San Francisco"/>
    <s v="Enterprise"/>
    <s v="Online"/>
    <s v="J. Njeri"/>
    <x v="2"/>
    <s v="NET-5941"/>
    <n v="249.71"/>
    <n v="361.33"/>
    <n v="9.4E-2"/>
    <n v="12"/>
    <s v="Valid"/>
    <n v="361.33"/>
    <b v="0"/>
    <n v="9.4E-2"/>
    <n v="22"/>
    <d v="2023-05-26T00:00:00"/>
    <n v="22"/>
    <n v="433188.41976000002"/>
    <n v="4335.96"/>
    <n v="428852.45976"/>
    <n v="0.98999059115568633"/>
    <s v="May-2023"/>
    <s v="Q2-2023"/>
    <s v="Americas → USA → San Francisco"/>
    <x v="0"/>
    <s v="Low"/>
    <s v="USA"/>
    <d v="2023-01-13T00:00:00"/>
    <s v="Jan-2023"/>
    <d v="2023-05-31T00:00:00"/>
    <n v="0"/>
  </r>
  <r>
    <s v="ORD-2024-444710"/>
    <d v="2024-09-22T00:00:00"/>
    <d v="2024-10-01T00:00:00"/>
    <s v="Americas"/>
    <x v="4"/>
    <s v="São Paulo"/>
    <s v="Non-Profit"/>
    <s v="Online"/>
    <s v="K. Singh"/>
    <x v="5"/>
    <s v="MON-6341"/>
    <n v="1378.8"/>
    <n v="1952.04"/>
    <n v="0.159"/>
    <n v="19"/>
    <s v="Valid"/>
    <n v="1952.04"/>
    <b v="0"/>
    <n v="0.159"/>
    <n v="9"/>
    <d v="2024-10-01T00:00:00"/>
    <n v="9"/>
    <n v="3702978.8871599999"/>
    <n v="37088.76"/>
    <n v="3665890.1271600001"/>
    <n v="0.98998407467873928"/>
    <s v="Sep-2024"/>
    <s v="Q3-2024"/>
    <s v="Americas → Brazil → São Paulo"/>
    <x v="1"/>
    <s v="Medium"/>
    <s v="BRAZIL"/>
    <d v="2023-01-29T00:00:00"/>
    <s v="Jan-2023"/>
    <d v="2024-09-30T00:00:00"/>
    <n v="0"/>
  </r>
  <r>
    <s v="ORD-2024-668926"/>
    <d v="2024-10-23T00:00:00"/>
    <d v="2024-11-14T00:00:00"/>
    <s v="Asia"/>
    <x v="6"/>
    <s v="Osaka"/>
    <s v="Non-Profit"/>
    <s v="Direct"/>
    <s v="B. Chen"/>
    <x v="3"/>
    <s v="PHN-9789"/>
    <n v="1406.4"/>
    <n v="1564.76"/>
    <n v="0.185"/>
    <n v="17"/>
    <s v="Valid"/>
    <n v="1564.76"/>
    <b v="0"/>
    <n v="0.185"/>
    <n v="22"/>
    <d v="2024-11-14T00:00:00"/>
    <n v="22"/>
    <n v="2655170.8297999999"/>
    <n v="26600.92"/>
    <n v="2628569.9098"/>
    <n v="0.98998146571156642"/>
    <s v="Oct-2024"/>
    <s v="Q4-2024"/>
    <s v="Asia → Japan → Osaka"/>
    <x v="2"/>
    <s v="Medium"/>
    <s v="JAPAN"/>
    <d v="2023-03-03T00:00:00"/>
    <s v="Mar-2023"/>
    <d v="2024-10-31T00:00:00"/>
    <n v="0"/>
  </r>
  <r>
    <s v="ORD-2024-968374"/>
    <d v="2024-02-11T00:00:00"/>
    <d v="2024-03-03T00:00:00"/>
    <s v="Africa"/>
    <x v="0"/>
    <s v="Kisumu"/>
    <s v="Enterprise"/>
    <s v="Online"/>
    <s v="B. Chen"/>
    <x v="3"/>
    <s v="PHN-5082"/>
    <n v="516.86"/>
    <n v="852.54"/>
    <n v="5.0999999999999997E-2"/>
    <n v="14"/>
    <s v="Valid"/>
    <n v="852.54"/>
    <b v="0"/>
    <n v="5.0999999999999997E-2"/>
    <n v="21"/>
    <d v="2024-03-03T00:00:00"/>
    <n v="21"/>
    <n v="1192947.2864399999"/>
    <n v="11935.56"/>
    <n v="1181011.7264399999"/>
    <n v="0.98999489739767277"/>
    <s v="Feb-2024"/>
    <s v="Q1-2024"/>
    <s v="Africa → Kenya → Kisumu"/>
    <x v="2"/>
    <s v="Medium"/>
    <s v="KENYA"/>
    <d v="2023-01-20T00:00:00"/>
    <s v="Jan-2023"/>
    <d v="2024-02-29T00:00:00"/>
    <n v="0"/>
  </r>
  <r>
    <s v="ORD-2023-575584"/>
    <d v="2023-01-30T00:00:00"/>
    <d v="2023-02-21T00:00:00"/>
    <s v="Europe"/>
    <x v="5"/>
    <s v="Munich"/>
    <s v="Small Business"/>
    <s v="Marketplace"/>
    <s v="G. Dubois"/>
    <x v="2"/>
    <s v="NET-3460"/>
    <n v="1142.8800000000001"/>
    <n v="1465.29"/>
    <n v="0.186"/>
    <n v="7"/>
    <s v="Valid"/>
    <n v="1465.29"/>
    <b v="0"/>
    <n v="0.186"/>
    <n v="22"/>
    <d v="2023-02-21T00:00:00"/>
    <n v="22"/>
    <n v="1023795.1924199999"/>
    <n v="10257.029999999999"/>
    <n v="1013538.1624199998"/>
    <n v="0.98998136533953152"/>
    <s v="Jan-2023"/>
    <s v="Q1-2023"/>
    <s v="Europe → Germany → Munich"/>
    <x v="0"/>
    <s v="Low"/>
    <s v="GERMANY"/>
    <d v="2023-01-22T00:00:00"/>
    <s v="Jan-2023"/>
    <d v="2023-01-31T00:00:00"/>
    <n v="0"/>
  </r>
  <r>
    <s v="ORD-2023-701153"/>
    <d v="2023-04-14T00:00:00"/>
    <d v="2023-05-13T00:00:00"/>
    <s v="Europe"/>
    <x v="5"/>
    <s v="Frankfurt"/>
    <s v="Consumer"/>
    <s v="Direct"/>
    <s v="J. Njeri"/>
    <x v="1"/>
    <s v="PRN-7019"/>
    <n v="1320.33"/>
    <n v="2645.23"/>
    <n v="0.155"/>
    <n v="25"/>
    <s v="Valid"/>
    <n v="2645.23"/>
    <b v="0"/>
    <n v="0.155"/>
    <n v="29"/>
    <d v="2023-05-13T00:00:00"/>
    <n v="29"/>
    <n v="6602824.7337499997"/>
    <n v="66130.75"/>
    <n v="6536693.9837499997"/>
    <n v="0.98998447593770345"/>
    <s v="Apr-2023"/>
    <s v="Q2-2023"/>
    <s v="Europe → Germany → Frankfurt"/>
    <x v="1"/>
    <s v="Low"/>
    <s v="GERMANY"/>
    <d v="2023-01-22T00:00:00"/>
    <s v="Jan-2023"/>
    <d v="2023-04-30T00:00:00"/>
    <n v="0"/>
  </r>
  <r>
    <s v="ORD-2023-382017"/>
    <d v="2023-01-13T00:00:00"/>
    <d v="2023-01-19T00:00:00"/>
    <s v="Americas"/>
    <x v="10"/>
    <s v="Chicago"/>
    <s v="Corporate"/>
    <s v="Direct"/>
    <s v="H. Kim"/>
    <x v="3"/>
    <s v="PHN-3159"/>
    <n v="833.57"/>
    <n v="881.57"/>
    <n v="5.7000000000000002E-2"/>
    <n v="18"/>
    <s v="Valid"/>
    <n v="881.57"/>
    <b v="0"/>
    <n v="5.7000000000000002E-2"/>
    <n v="6"/>
    <d v="2023-01-19T00:00:00"/>
    <n v="6"/>
    <n v="1585921.5091800001"/>
    <n v="15868.26"/>
    <n v="1570053.24918"/>
    <n v="0.98999429674914696"/>
    <s v="Jan-2023"/>
    <s v="Q1-2023"/>
    <s v="Americas → USA → Chicago"/>
    <x v="2"/>
    <s v="Low"/>
    <s v="USA"/>
    <d v="2023-01-13T00:00:00"/>
    <s v="Jan-2023"/>
    <d v="2023-01-31T00:00:00"/>
    <n v="1"/>
  </r>
  <r>
    <s v="ORD-2024-999607"/>
    <d v="2024-01-12T00:00:00"/>
    <d v="2024-01-29T00:00:00"/>
    <s v="Americas"/>
    <x v="10"/>
    <s v="Chicago"/>
    <s v="Education"/>
    <s v="Distributor"/>
    <s v="A. Patel"/>
    <x v="1"/>
    <s v="PRN-8604"/>
    <n v="493.76"/>
    <n v="625.04"/>
    <n v="0.25800000000000001"/>
    <n v="10"/>
    <s v="Valid"/>
    <n v="625.04"/>
    <b v="0"/>
    <n v="0.25800000000000001"/>
    <n v="17"/>
    <d v="2024-01-29T00:00:00"/>
    <n v="17"/>
    <n v="623427.39679999999"/>
    <n v="6250.4"/>
    <n v="617176.99679999996"/>
    <n v="0.98997413326382067"/>
    <s v="Jan-2024"/>
    <s v="Q1-2024"/>
    <s v="Americas → USA → Chicago"/>
    <x v="1"/>
    <s v="Medium"/>
    <s v="USA"/>
    <d v="2023-01-13T00:00:00"/>
    <s v="Jan-2023"/>
    <d v="2024-01-31T00:00:00"/>
    <n v="0"/>
  </r>
  <r>
    <s v="ORD-2023-133848"/>
    <d v="2023-08-15T00:00:00"/>
    <d v="2023-09-07T00:00:00"/>
    <s v="Americas"/>
    <x v="10"/>
    <s v="New York"/>
    <s v="Enterprise"/>
    <s v="Online"/>
    <s v="K. Singh"/>
    <x v="3"/>
    <s v="PHN-2013"/>
    <n v="590.33000000000004"/>
    <n v="973.04"/>
    <n v="0"/>
    <n v="26"/>
    <s v="Valid"/>
    <n v="973.04"/>
    <b v="0"/>
    <n v="0"/>
    <n v="23"/>
    <d v="2023-09-07T00:00:00"/>
    <n v="23"/>
    <n v="2529904"/>
    <n v="25299.040000000001"/>
    <n v="2504604.96"/>
    <n v="0.99"/>
    <s v="Aug-2023"/>
    <s v="Q3-2023"/>
    <s v="Americas → USA → New York"/>
    <x v="2"/>
    <s v="Low"/>
    <s v="USA"/>
    <d v="2023-01-13T00:00:00"/>
    <s v="Jan-2023"/>
    <d v="2023-08-31T00:00:00"/>
    <n v="0"/>
  </r>
  <r>
    <s v="ORD-2023-586275"/>
    <d v="2023-01-20T00:00:00"/>
    <d v="2023-02-03T00:00:00"/>
    <s v="Africa"/>
    <x v="0"/>
    <s v="Kisumu"/>
    <s v="Corporate"/>
    <s v="Retail"/>
    <s v="M. Rossi"/>
    <x v="2"/>
    <s v="NET-6036"/>
    <n v="884.36"/>
    <n v="1545.34"/>
    <n v="0.24299999999999999"/>
    <n v="41"/>
    <s v="Valid"/>
    <n v="1545.34"/>
    <b v="0"/>
    <n v="0.24299999999999999"/>
    <n v="14"/>
    <d v="2023-02-03T00:00:00"/>
    <n v="14"/>
    <n v="6320497.7775799995"/>
    <n v="63358.939999999995"/>
    <n v="6257138.8375799991"/>
    <n v="0.98997564080716138"/>
    <s v="Jan-2023"/>
    <s v="Q1-2023"/>
    <s v="Africa → Kenya → Kisumu"/>
    <x v="0"/>
    <s v="Low"/>
    <s v="KENYA"/>
    <d v="2023-01-20T00:00:00"/>
    <s v="Jan-2023"/>
    <d v="2023-01-31T00:00:00"/>
    <n v="0"/>
  </r>
  <r>
    <s v="ORD-2025-964661"/>
    <d v="2025-02-04T00:00:00"/>
    <d v="2025-02-25T00:00:00"/>
    <s v="Europe"/>
    <x v="8"/>
    <s v="Birmingham"/>
    <s v="Corporate"/>
    <s v="Marketplace"/>
    <s v="D. Smith"/>
    <x v="5"/>
    <s v="MON-4959"/>
    <n v="1016.32"/>
    <n v="2253.42"/>
    <n v="5.5E-2"/>
    <n v="12"/>
    <s v="Valid"/>
    <n v="2253.42"/>
    <b v="0"/>
    <n v="5.5E-2"/>
    <n v="21"/>
    <d v="2025-02-25T00:00:00"/>
    <n v="21"/>
    <n v="2702616.7428000001"/>
    <n v="27041.040000000001"/>
    <n v="2675575.7028000001"/>
    <n v="0.9899944969733353"/>
    <s v="Feb-2025"/>
    <s v="Q1-2025"/>
    <s v="Europe → United Kingdom → Birmingham"/>
    <x v="1"/>
    <s v="High"/>
    <s v="UNITED KINGDOM"/>
    <d v="2023-01-19T00:00:00"/>
    <s v="Jan-2023"/>
    <d v="2025-02-28T00:00:00"/>
    <n v="0"/>
  </r>
  <r>
    <s v="ORD-2023-390998"/>
    <d v="2023-04-19T00:00:00"/>
    <d v="2023-04-28T00:00:00"/>
    <s v="Europe"/>
    <x v="5"/>
    <s v="Berlin"/>
    <s v="Education"/>
    <s v="Online"/>
    <s v="E. Garcia"/>
    <x v="5"/>
    <s v="MON-1663"/>
    <n v="1178.42"/>
    <n v="2446.56"/>
    <n v="2.9000000000000001E-2"/>
    <n v="11"/>
    <s v="Valid"/>
    <n v="2446.56"/>
    <b v="0"/>
    <n v="2.9000000000000001E-2"/>
    <n v="9"/>
    <d v="2023-04-28T00:00:00"/>
    <n v="9"/>
    <n v="2690435.5473600002"/>
    <n v="26912.16"/>
    <n v="2663523.3873600001"/>
    <n v="0.989997099158756"/>
    <s v="Apr-2023"/>
    <s v="Q2-2023"/>
    <s v="Europe → Germany → Berlin"/>
    <x v="1"/>
    <s v="Low"/>
    <s v="GERMANY"/>
    <d v="2023-01-22T00:00:00"/>
    <s v="Jan-2023"/>
    <d v="2023-04-30T00:00:00"/>
    <n v="0"/>
  </r>
  <r>
    <s v="ORD-2023-920483"/>
    <d v="2023-07-02T00:00:00"/>
    <d v="2023-08-01T00:00:00"/>
    <s v="Europe"/>
    <x v="8"/>
    <s v="Birmingham"/>
    <s v="Small Business"/>
    <s v="Retail"/>
    <s v="B. Chen"/>
    <x v="0"/>
    <s v="CMP-7256"/>
    <n v="137.46"/>
    <n v="188.3"/>
    <n v="3.7999999999999999E-2"/>
    <n v="37"/>
    <s v="Valid"/>
    <n v="188.3"/>
    <b v="0"/>
    <n v="3.7999999999999999E-2"/>
    <n v="30"/>
    <d v="2023-08-01T00:00:00"/>
    <n v="30"/>
    <n v="696445.25020000001"/>
    <n v="6967.1"/>
    <n v="689478.15020000003"/>
    <n v="0.98999619855545107"/>
    <s v="Jul-2023"/>
    <s v="Q3-2023"/>
    <s v="Europe → United Kingdom → Birmingham"/>
    <x v="0"/>
    <s v="Low"/>
    <s v="UNITED KINGDOM"/>
    <d v="2023-01-19T00:00:00"/>
    <s v="Jan-2023"/>
    <d v="2023-07-31T00:00:00"/>
    <n v="0"/>
  </r>
  <r>
    <s v="ORD-2025-146850"/>
    <d v="2025-01-21T00:00:00"/>
    <d v="2025-02-14T00:00:00"/>
    <s v="Africa"/>
    <x v="0"/>
    <s v="Nairobi"/>
    <s v="Small Business"/>
    <s v="Retail"/>
    <s v="J. Njeri"/>
    <x v="6"/>
    <s v="ACC-1659"/>
    <n v="1030.44"/>
    <n v="2562.84"/>
    <n v="0.14799999999999999"/>
    <n v="13"/>
    <s v="Valid"/>
    <n v="2562.84"/>
    <b v="0"/>
    <n v="0.14799999999999999"/>
    <n v="24"/>
    <d v="2025-02-14T00:00:00"/>
    <n v="24"/>
    <n v="3326761.0958400001"/>
    <n v="33316.92"/>
    <n v="3293444.1758400002"/>
    <n v="0.98998517806353403"/>
    <s v="Jan-2025"/>
    <s v="Q1-2025"/>
    <s v="Africa → Kenya → Nairobi"/>
    <x v="0"/>
    <s v="High"/>
    <s v="KENYA"/>
    <d v="2023-01-20T00:00:00"/>
    <s v="Jan-2023"/>
    <d v="2025-01-31T00:00:00"/>
    <n v="0"/>
  </r>
  <r>
    <s v="ORD-2024-687100"/>
    <d v="2024-09-10T00:00:00"/>
    <d v="2024-10-07T00:00:00"/>
    <s v="Africa"/>
    <x v="0"/>
    <s v="Kisumu"/>
    <s v="Consumer"/>
    <s v="Retail"/>
    <s v="L. Okafor"/>
    <x v="1"/>
    <s v="PRN-6068"/>
    <n v="1248.3900000000001"/>
    <n v="1805.11"/>
    <n v="0.20300000000000001"/>
    <n v="11"/>
    <s v="Valid"/>
    <n v="1805.11"/>
    <b v="0"/>
    <n v="0.20300000000000001"/>
    <n v="27"/>
    <d v="2024-10-07T00:00:00"/>
    <n v="27"/>
    <n v="1981590.1893699998"/>
    <n v="19856.21"/>
    <n v="1961733.9793699998"/>
    <n v="0.98997965870717564"/>
    <s v="Sep-2024"/>
    <s v="Q3-2024"/>
    <s v="Africa → Kenya → Kisumu"/>
    <x v="1"/>
    <s v="Medium"/>
    <s v="KENYA"/>
    <d v="2023-01-20T00:00:00"/>
    <s v="Jan-2023"/>
    <d v="2024-09-30T00:00:00"/>
    <n v="0"/>
  </r>
  <r>
    <s v="ORD-2025-629393"/>
    <d v="2025-07-21T00:00:00"/>
    <d v="2025-08-07T00:00:00"/>
    <s v="Africa"/>
    <x v="1"/>
    <s v="Lagos"/>
    <s v="Enterprise"/>
    <s v="Direct"/>
    <s v="M. Rossi"/>
    <x v="6"/>
    <s v="ACC-8999"/>
    <n v="1204.95"/>
    <n v="2065.73"/>
    <n v="0.13600000000000001"/>
    <n v="10"/>
    <s v="Valid"/>
    <n v="2065.73"/>
    <b v="0"/>
    <n v="0.13600000000000001"/>
    <n v="17"/>
    <d v="2025-08-07T00:00:00"/>
    <n v="17"/>
    <n v="2062920.6072"/>
    <n v="20657.3"/>
    <n v="2042263.3071999999"/>
    <n v="0.98998638147881113"/>
    <s v="Jul-2025"/>
    <s v="Q3-2025"/>
    <s v="Africa → Nigeria → Lagos"/>
    <x v="0"/>
    <s v="High"/>
    <s v="NIGERIA"/>
    <d v="2023-01-15T00:00:00"/>
    <s v="Jan-2023"/>
    <d v="2025-07-31T00:00:00"/>
    <n v="0"/>
  </r>
  <r>
    <s v="ORD-2024-686712"/>
    <d v="2024-10-02T00:00:00"/>
    <d v="2024-10-23T00:00:00"/>
    <s v="Africa"/>
    <x v="11"/>
    <s v="Durban"/>
    <s v="Corporate"/>
    <s v="Marketplace"/>
    <s v="A. Patel"/>
    <x v="0"/>
    <s v="CMP-3978"/>
    <n v="1095.6099999999999"/>
    <n v="2366.5100000000002"/>
    <n v="0.152"/>
    <n v="9"/>
    <s v="Valid"/>
    <n v="2366.5100000000002"/>
    <b v="0"/>
    <n v="0.152"/>
    <n v="21"/>
    <d v="2024-10-23T00:00:00"/>
    <n v="21"/>
    <n v="2126621.6143200002"/>
    <n v="21298.590000000004"/>
    <n v="2105323.0243200003"/>
    <n v="0.98998477686082853"/>
    <s v="Oct-2024"/>
    <s v="Q4-2024"/>
    <s v="Africa → South Africa → Durban"/>
    <x v="0"/>
    <s v="Medium"/>
    <s v="SOUTH AFRICA"/>
    <d v="2023-01-07T00:00:00"/>
    <s v="Jan-2023"/>
    <d v="2024-10-31T00:00:00"/>
    <n v="0"/>
  </r>
  <r>
    <s v="ORD-2025-586799"/>
    <d v="2025-07-14T00:00:00"/>
    <d v="2025-08-04T00:00:00"/>
    <s v="Americas"/>
    <x v="2"/>
    <s v="Montreal"/>
    <s v="Consumer"/>
    <s v="Online"/>
    <s v="H. Kim"/>
    <x v="5"/>
    <s v="MON-7868"/>
    <n v="90.3"/>
    <n v="131.76"/>
    <n v="0.10199999999999999"/>
    <n v="15"/>
    <s v="Valid"/>
    <n v="131.76"/>
    <b v="0"/>
    <n v="0.10199999999999999"/>
    <n v="21"/>
    <d v="2025-08-04T00:00:00"/>
    <n v="21"/>
    <n v="197438.40719999999"/>
    <n v="1976.3999999999999"/>
    <n v="195462.00719999999"/>
    <n v="0.98998978958537709"/>
    <s v="Jul-2025"/>
    <s v="Q3-2025"/>
    <s v="Americas → Canada → Montreal"/>
    <x v="1"/>
    <s v="High"/>
    <s v="CANADA"/>
    <d v="2023-01-02T00:00:00"/>
    <s v="Jan-2023"/>
    <d v="2025-07-31T00:00:00"/>
    <n v="0"/>
  </r>
  <r>
    <s v="ORD-2024-988736"/>
    <d v="2024-09-09T00:00:00"/>
    <d v="2024-10-01T00:00:00"/>
    <s v="Asia"/>
    <x v="9"/>
    <s v="Shenzhen"/>
    <s v="Consumer"/>
    <s v="Direct"/>
    <s v="L. Okafor"/>
    <x v="1"/>
    <s v="PRN-3014"/>
    <n v="1166.18"/>
    <n v="1335.02"/>
    <n v="0.128"/>
    <n v="6"/>
    <s v="Valid"/>
    <n v="1335.02"/>
    <b v="0"/>
    <n v="0.128"/>
    <n v="22"/>
    <d v="2024-10-01T00:00:00"/>
    <n v="22"/>
    <n v="799986.70464000001"/>
    <n v="8010.12"/>
    <n v="791976.58464000002"/>
    <n v="0.9899871835950016"/>
    <s v="Sep-2024"/>
    <s v="Q3-2024"/>
    <s v="Asia → China → Shenzhen"/>
    <x v="1"/>
    <s v="Medium"/>
    <s v="CHINA"/>
    <d v="2023-01-12T00:00:00"/>
    <s v="Jan-2023"/>
    <d v="2024-09-30T00:00:00"/>
    <n v="0"/>
  </r>
  <r>
    <s v="ORD-2025-564184"/>
    <d v="2025-01-29T00:00:00"/>
    <d v="2025-02-06T00:00:00"/>
    <s v="Africa"/>
    <x v="0"/>
    <s v="Kisumu"/>
    <s v="Education"/>
    <s v="Retail"/>
    <s v="B. Chen"/>
    <x v="3"/>
    <s v="PHN-1671"/>
    <n v="1445.27"/>
    <n v="2691.45"/>
    <n v="0"/>
    <n v="9"/>
    <s v="Valid"/>
    <n v="2691.45"/>
    <b v="0"/>
    <n v="0"/>
    <n v="8"/>
    <d v="2025-02-06T00:00:00"/>
    <n v="8"/>
    <n v="2422305"/>
    <n v="24223.05"/>
    <n v="2398081.9500000002"/>
    <n v="0.9900000000000001"/>
    <s v="Jan-2025"/>
    <s v="Q1-2025"/>
    <s v="Africa → Kenya → Kisumu"/>
    <x v="2"/>
    <s v="High"/>
    <s v="KENYA"/>
    <d v="2023-01-20T00:00:00"/>
    <s v="Jan-2023"/>
    <d v="2025-01-31T00:00:00"/>
    <n v="0"/>
  </r>
  <r>
    <s v="ORD-2023-653343"/>
    <d v="2023-11-10T00:00:00"/>
    <d v="2023-11-28T00:00:00"/>
    <s v="Americas"/>
    <x v="4"/>
    <s v="Brasília"/>
    <s v="Education"/>
    <s v="Marketplace"/>
    <s v="L. Okafor"/>
    <x v="6"/>
    <s v="ACC-5260"/>
    <n v="388.51"/>
    <n v="776.46"/>
    <n v="0.157"/>
    <n v="12"/>
    <s v="Valid"/>
    <n v="776.46"/>
    <b v="0"/>
    <n v="0.157"/>
    <n v="18"/>
    <d v="2023-11-28T00:00:00"/>
    <n v="18"/>
    <n v="930289.14936000004"/>
    <n v="9317.52"/>
    <n v="920971.62936000002"/>
    <n v="0.9899842753122402"/>
    <s v="Nov-2023"/>
    <s v="Q4-2023"/>
    <s v="Americas → Brazil → Brasília"/>
    <x v="0"/>
    <s v="Low"/>
    <s v="BRAZIL"/>
    <d v="2023-01-29T00:00:00"/>
    <s v="Jan-2023"/>
    <d v="2023-11-30T00:00:00"/>
    <n v="0"/>
  </r>
  <r>
    <s v="ORD-2024-197852"/>
    <d v="2024-02-29T00:00:00"/>
    <d v="2024-03-30T00:00:00"/>
    <s v="Asia"/>
    <x v="6"/>
    <s v="Nagoya"/>
    <s v="Small Business"/>
    <s v="Direct"/>
    <s v="I. Johnson"/>
    <x v="2"/>
    <s v="NET-7588"/>
    <n v="231.11"/>
    <n v="318.17"/>
    <n v="0.20100000000000001"/>
    <n v="60"/>
    <s v="Valid"/>
    <n v="318.17"/>
    <b v="0"/>
    <n v="0.20100000000000001"/>
    <n v="30"/>
    <d v="2024-03-30T00:00:00"/>
    <n v="30"/>
    <n v="1905182.8698000002"/>
    <n v="19090.2"/>
    <n v="1886092.6698000003"/>
    <n v="0.98997985951763046"/>
    <s v="Feb-2024"/>
    <s v="Q1-2024"/>
    <s v="Asia → Japan → Nagoya"/>
    <x v="0"/>
    <s v="Medium"/>
    <s v="JAPAN"/>
    <d v="2023-03-03T00:00:00"/>
    <s v="Mar-2023"/>
    <d v="2024-02-29T00:00:00"/>
    <n v="0"/>
  </r>
  <r>
    <s v="ORD-2023-431328"/>
    <d v="2023-12-20T00:00:00"/>
    <d v="2024-01-14T00:00:00"/>
    <s v="Asia"/>
    <x v="3"/>
    <s v="Mumbai"/>
    <s v="Non-Profit"/>
    <s v="Marketplace"/>
    <s v="L. Okafor"/>
    <x v="5"/>
    <s v="MON-1572"/>
    <n v="1085.6099999999999"/>
    <n v="1246.4100000000001"/>
    <n v="0.113"/>
    <n v="7"/>
    <s v="Valid"/>
    <n v="1246.4100000000001"/>
    <b v="0"/>
    <n v="0.113"/>
    <n v="25"/>
    <d v="2024-01-14T00:00:00"/>
    <n v="25"/>
    <n v="871501.08969000005"/>
    <n v="8724.8700000000008"/>
    <n v="862776.21969000006"/>
    <n v="0.98998868721655475"/>
    <s v="Dec-2023"/>
    <s v="Q4-2023"/>
    <s v="Asia → India → Mumbai"/>
    <x v="1"/>
    <s v="Medium"/>
    <s v="INDIA"/>
    <d v="2023-01-29T00:00:00"/>
    <s v="Jan-2023"/>
    <d v="2023-12-31T00:00:00"/>
    <n v="0"/>
  </r>
  <r>
    <s v="ORD-2023-613317"/>
    <d v="2023-01-22T00:00:00"/>
    <d v="2023-01-21T00:00:00"/>
    <s v="Europe"/>
    <x v="5"/>
    <s v="Munich"/>
    <s v="Corporate"/>
    <s v="Direct"/>
    <s v="F. Müller"/>
    <x v="5"/>
    <s v="MON-2537"/>
    <n v="150.86000000000001"/>
    <n v="346.96"/>
    <n v="0.19600000000000001"/>
    <n v="8"/>
    <s v="Valid"/>
    <n v="346.96"/>
    <b v="0"/>
    <n v="0.19600000000000001"/>
    <n v="-1"/>
    <d v="2023-01-29T00:00:00"/>
    <n v="7"/>
    <n v="277023.96671999997"/>
    <n v="2775.68"/>
    <n v="274248.28671999997"/>
    <n v="0.98998036150855684"/>
    <s v="Jan-2023"/>
    <s v="Q1-2023"/>
    <s v="Europe → Germany → Munich"/>
    <x v="1"/>
    <s v="Low"/>
    <s v="GERMANY"/>
    <d v="2023-01-22T00:00:00"/>
    <s v="Jan-2023"/>
    <d v="2023-01-31T00:00:00"/>
    <n v="1"/>
  </r>
  <r>
    <s v="ORD-2024-720756"/>
    <d v="2024-10-11T00:00:00"/>
    <d v="2024-11-09T00:00:00"/>
    <s v="Asia"/>
    <x v="9"/>
    <s v="Shanghai"/>
    <s v="Non-Profit"/>
    <s v="Online"/>
    <s v="F. Müller"/>
    <x v="1"/>
    <s v="PRN-5666"/>
    <n v="391.64"/>
    <n v="504.76"/>
    <n v="4.0000000000000001E-3"/>
    <n v="13"/>
    <s v="Valid"/>
    <n v="504.76"/>
    <b v="0"/>
    <n v="4.0000000000000001E-3"/>
    <n v="29"/>
    <d v="2024-11-09T00:00:00"/>
    <n v="29"/>
    <n v="656161.75248000002"/>
    <n v="6561.88"/>
    <n v="649599.87248000002"/>
    <n v="0.98999959998399933"/>
    <s v="Oct-2024"/>
    <s v="Q4-2024"/>
    <s v="Asia → China → Shanghai"/>
    <x v="1"/>
    <s v="Medium"/>
    <s v="CHINA"/>
    <d v="2023-01-12T00:00:00"/>
    <s v="Jan-2023"/>
    <d v="2024-10-31T00:00:00"/>
    <n v="0"/>
  </r>
  <r>
    <s v="ORD-2024-777623"/>
    <d v="2024-09-19T00:00:00"/>
    <d v="2024-10-14T00:00:00"/>
    <s v="Americas"/>
    <x v="4"/>
    <s v="Rio de Janeiro"/>
    <s v="Small Business"/>
    <s v="Retail"/>
    <s v="K. Singh"/>
    <x v="1"/>
    <s v="PRN-2749"/>
    <n v="386.96"/>
    <n v="937.46"/>
    <n v="0.26600000000000001"/>
    <n v="41"/>
    <s v="Valid"/>
    <n v="937.46"/>
    <b v="0"/>
    <n v="0.26600000000000001"/>
    <n v="25"/>
    <d v="2024-10-14T00:00:00"/>
    <n v="25"/>
    <n v="3833362.0612399997"/>
    <n v="38435.86"/>
    <n v="3794926.2012399998"/>
    <n v="0.98997332905528712"/>
    <s v="Sep-2024"/>
    <s v="Q3-2024"/>
    <s v="Americas → Brazil → Rio de Janeiro"/>
    <x v="1"/>
    <s v="Medium"/>
    <s v="BRAZIL"/>
    <d v="2023-01-29T00:00:00"/>
    <s v="Jan-2023"/>
    <d v="2024-09-30T00:00:00"/>
    <n v="0"/>
  </r>
  <r>
    <s v="ORD-2025-762212"/>
    <d v="2025-08-25T00:00:00"/>
    <d v="2025-09-24T00:00:00"/>
    <s v="Africa"/>
    <x v="0"/>
    <s v="Nairobi"/>
    <s v="Consumer"/>
    <s v="Direct"/>
    <s v="B. Chen"/>
    <x v="0"/>
    <s v="CMP-4970"/>
    <n v="589.14"/>
    <n v="1300.58"/>
    <n v="5.5E-2"/>
    <n v="11"/>
    <s v="Valid"/>
    <n v="1300.58"/>
    <b v="0"/>
    <n v="5.5E-2"/>
    <n v="30"/>
    <d v="2025-09-24T00:00:00"/>
    <n v="30"/>
    <n v="1429851.1490999998"/>
    <n v="14306.38"/>
    <n v="1415544.7690999999"/>
    <n v="0.98999449697333541"/>
    <s v="Aug-2025"/>
    <s v="Q3-2025"/>
    <s v="Africa → Kenya → Nairobi"/>
    <x v="0"/>
    <s v="High"/>
    <s v="KENYA"/>
    <d v="2023-01-20T00:00:00"/>
    <s v="Jan-2023"/>
    <d v="2025-08-31T00:00:00"/>
    <n v="0"/>
  </r>
  <r>
    <s v="ORD-2023-271918"/>
    <d v="2023-09-25T00:00:00"/>
    <d v="2023-10-02T00:00:00"/>
    <s v="Americas"/>
    <x v="10"/>
    <s v="New York"/>
    <s v="Education"/>
    <s v="Marketplace"/>
    <s v="I. Johnson"/>
    <x v="6"/>
    <s v="ACC-3551"/>
    <n v="145.58000000000001"/>
    <n v="228.15"/>
    <n v="0.20399999999999999"/>
    <n v="5"/>
    <s v="Valid"/>
    <n v="228.15"/>
    <b v="0"/>
    <n v="0.20399999999999999"/>
    <n v="7"/>
    <d v="2023-10-02T00:00:00"/>
    <n v="7"/>
    <n v="113842.28700000001"/>
    <n v="1140.75"/>
    <n v="112701.53700000001"/>
    <n v="0.98997955829892981"/>
    <s v="Sep-2023"/>
    <s v="Q3-2023"/>
    <s v="Americas → USA → New York"/>
    <x v="0"/>
    <s v="Low"/>
    <s v="USA"/>
    <d v="2023-01-13T00:00:00"/>
    <s v="Jan-2023"/>
    <d v="2023-09-30T00:00:00"/>
    <n v="1"/>
  </r>
  <r>
    <s v="ORD-2023-713375"/>
    <d v="2023-08-26T00:00:00"/>
    <d v="2023-09-10T00:00:00"/>
    <s v="Africa"/>
    <x v="11"/>
    <s v="Cape Town"/>
    <s v="Non-Profit"/>
    <s v="Direct"/>
    <s v="N. Brown"/>
    <x v="0"/>
    <s v="CMP-7063"/>
    <n v="241.14"/>
    <n v="496.52"/>
    <n v="9.2999999999999999E-2"/>
    <n v="10"/>
    <s v="Valid"/>
    <n v="496.52"/>
    <b v="0"/>
    <n v="9.2999999999999999E-2"/>
    <n v="15"/>
    <d v="2023-09-10T00:00:00"/>
    <n v="15"/>
    <n v="496058.23639999994"/>
    <n v="4965.2"/>
    <n v="491093.03639999992"/>
    <n v="0.98999069134294893"/>
    <s v="Aug-2023"/>
    <s v="Q3-2023"/>
    <s v="Africa → South Africa → Cape Town"/>
    <x v="0"/>
    <s v="Low"/>
    <s v="SOUTH AFRICA"/>
    <d v="2023-01-07T00:00:00"/>
    <s v="Jan-2023"/>
    <d v="2023-08-31T00:00:00"/>
    <n v="0"/>
  </r>
  <r>
    <s v="ORD-2025-678688"/>
    <d v="2025-07-16T00:00:00"/>
    <d v="2025-07-17T00:00:00"/>
    <s v="Africa"/>
    <x v="11"/>
    <s v="Durban"/>
    <s v="Small Business"/>
    <s v="Distributor"/>
    <s v="B. Chen"/>
    <x v="2"/>
    <s v="NET-1612"/>
    <n v="1198.9000000000001"/>
    <n v="2941.2"/>
    <n v="5.0999999999999997E-2"/>
    <n v="24"/>
    <s v="Valid"/>
    <n v="2941.2"/>
    <b v="0"/>
    <n v="5.0999999999999997E-2"/>
    <n v="1"/>
    <d v="2025-07-17T00:00:00"/>
    <n v="1"/>
    <n v="7055279.9711999986"/>
    <n v="70588.799999999988"/>
    <n v="6984691.1711999988"/>
    <n v="0.98999489739767288"/>
    <s v="Jul-2025"/>
    <s v="Q3-2025"/>
    <s v="Africa → South Africa → Durban"/>
    <x v="0"/>
    <s v="High"/>
    <s v="SOUTH AFRICA"/>
    <d v="2023-01-07T00:00:00"/>
    <s v="Jan-2023"/>
    <d v="2025-07-31T00:00:00"/>
    <n v="1"/>
  </r>
  <r>
    <s v="ORD-2023-501220"/>
    <d v="2023-04-19T00:00:00"/>
    <d v="2023-05-07T00:00:00"/>
    <s v="Europe"/>
    <x v="8"/>
    <s v="Birmingham"/>
    <s v="Enterprise"/>
    <s v="Retail"/>
    <s v="N. Brown"/>
    <x v="4"/>
    <s v="LAP-9766"/>
    <n v="1089.1500000000001"/>
    <n v="1088.2"/>
    <n v="5.0999999999999997E-2"/>
    <n v="15"/>
    <s v="Valid"/>
    <n v="1088.2"/>
    <b v="0"/>
    <n v="5.0999999999999997E-2"/>
    <n v="18"/>
    <d v="2023-05-07T00:00:00"/>
    <n v="18"/>
    <n v="1631467.527"/>
    <n v="16323"/>
    <n v="1615144.527"/>
    <n v="0.98999489739767277"/>
    <s v="Apr-2023"/>
    <s v="Q2-2023"/>
    <s v="Europe → United Kingdom → Birmingham"/>
    <x v="2"/>
    <s v="Low"/>
    <s v="UNITED KINGDOM"/>
    <d v="2023-01-19T00:00:00"/>
    <s v="Jan-2023"/>
    <d v="2023-04-30T00:00:00"/>
    <n v="0"/>
  </r>
  <r>
    <s v="ORD-2023-195665"/>
    <d v="2023-12-19T00:00:00"/>
    <d v="2023-12-20T00:00:00"/>
    <s v="Americas"/>
    <x v="4"/>
    <s v="Rio de Janeiro"/>
    <s v="Consumer"/>
    <s v="Distributor"/>
    <s v="J. Njeri"/>
    <x v="3"/>
    <s v="PHN-7274"/>
    <n v="1080.43"/>
    <n v="2529.15"/>
    <n v="0.14699999999999999"/>
    <n v="10"/>
    <s v="Valid"/>
    <n v="2529.15"/>
    <b v="0"/>
    <n v="0.14699999999999999"/>
    <n v="1"/>
    <d v="2023-12-20T00:00:00"/>
    <n v="1"/>
    <n v="2525432.1494999998"/>
    <n v="25291.5"/>
    <n v="2500140.6494999998"/>
    <n v="0.98998527835918804"/>
    <s v="Dec-2023"/>
    <s v="Q4-2023"/>
    <s v="Americas → Brazil → Rio de Janeiro"/>
    <x v="2"/>
    <s v="Medium"/>
    <s v="BRAZIL"/>
    <d v="2023-01-29T00:00:00"/>
    <s v="Jan-2023"/>
    <d v="2023-12-31T00:00:00"/>
    <n v="1"/>
  </r>
  <r>
    <s v="ORD-2023-290237"/>
    <d v="2023-07-30T00:00:00"/>
    <d v="2023-08-07T00:00:00"/>
    <s v="Asia"/>
    <x v="6"/>
    <s v="Nagoya"/>
    <s v="Education"/>
    <s v="Marketplace"/>
    <s v="A. Patel"/>
    <x v="2"/>
    <s v="NET-1645"/>
    <n v="1352.44"/>
    <n v="2698.01"/>
    <n v="0.13100000000000001"/>
    <n v="13"/>
    <s v="Valid"/>
    <n v="2698.01"/>
    <b v="0"/>
    <n v="0.13100000000000001"/>
    <n v="8"/>
    <d v="2023-08-07T00:00:00"/>
    <n v="8"/>
    <n v="3502818.2889700006"/>
    <n v="35074.130000000005"/>
    <n v="3467744.1589700007"/>
    <n v="0.98998688281648961"/>
    <s v="Jul-2023"/>
    <s v="Q3-2023"/>
    <s v="Asia → Japan → Nagoya"/>
    <x v="0"/>
    <s v="Low"/>
    <s v="JAPAN"/>
    <d v="2023-03-03T00:00:00"/>
    <s v="Mar-2023"/>
    <d v="2023-07-31T00:00:00"/>
    <n v="0"/>
  </r>
  <r>
    <s v="ORD-2023-302041"/>
    <d v="2023-10-04T00:00:00"/>
    <d v="2023-10-29T00:00:00"/>
    <s v="Americas"/>
    <x v="10"/>
    <s v="San Francisco"/>
    <s v="Small Business"/>
    <s v="Distributor"/>
    <s v="O. Wang"/>
    <x v="6"/>
    <s v="ACC-5079"/>
    <n v="1239.8399999999999"/>
    <n v="1482.75"/>
    <n v="6.7000000000000004E-2"/>
    <n v="4"/>
    <s v="Valid"/>
    <n v="1482.75"/>
    <b v="0"/>
    <n v="6.7000000000000004E-2"/>
    <n v="25"/>
    <d v="2023-10-29T00:00:00"/>
    <n v="25"/>
    <n v="592702.62300000002"/>
    <n v="5931"/>
    <n v="586771.62300000002"/>
    <n v="0.98999329550799031"/>
    <s v="Oct-2023"/>
    <s v="Q4-2023"/>
    <s v="Americas → USA → San Francisco"/>
    <x v="0"/>
    <s v="Low"/>
    <s v="USA"/>
    <d v="2023-01-13T00:00:00"/>
    <s v="Jan-2023"/>
    <d v="2023-10-31T00:00:00"/>
    <n v="0"/>
  </r>
  <r>
    <s v="ORD-2025-289139"/>
    <d v="2025-08-10T00:00:00"/>
    <d v="2025-08-30T00:00:00"/>
    <s v="Americas"/>
    <x v="10"/>
    <s v="San Francisco"/>
    <s v="Corporate"/>
    <s v="Marketplace"/>
    <s v="K. Singh"/>
    <x v="1"/>
    <s v="PRN-2098"/>
    <n v="933.29"/>
    <n v="1456.81"/>
    <n v="0.123"/>
    <n v="13"/>
    <s v="Valid"/>
    <n v="1456.81"/>
    <b v="0"/>
    <n v="0.123"/>
    <n v="20"/>
    <d v="2025-08-30T00:00:00"/>
    <n v="20"/>
    <n v="1891523.5608099997"/>
    <n v="18938.53"/>
    <n v="1872585.0308099997"/>
    <n v="0.98998768485236843"/>
    <s v="Aug-2025"/>
    <s v="Q3-2025"/>
    <s v="Americas → USA → San Francisco"/>
    <x v="1"/>
    <s v="High"/>
    <s v="USA"/>
    <d v="2023-01-13T00:00:00"/>
    <s v="Jan-2023"/>
    <d v="2025-08-31T00:00:00"/>
    <n v="0"/>
  </r>
  <r>
    <s v="ORD-2023-949710"/>
    <d v="2023-03-07T00:00:00"/>
    <d v="2023-04-01T00:00:00"/>
    <s v="Africa"/>
    <x v="0"/>
    <s v="Nairobi"/>
    <s v="Consumer"/>
    <s v="Marketplace"/>
    <s v="D. Smith"/>
    <x v="1"/>
    <s v="PRN-7049"/>
    <n v="1024.0999999999999"/>
    <n v="918.19"/>
    <n v="0.189"/>
    <n v="10"/>
    <s v="Valid"/>
    <n v="918.19"/>
    <b v="0"/>
    <n v="0.189"/>
    <n v="25"/>
    <d v="2023-04-01T00:00:00"/>
    <n v="25"/>
    <n v="916454.62090000021"/>
    <n v="9181.9000000000015"/>
    <n v="907272.72090000019"/>
    <n v="0.98998106421135945"/>
    <s v="Mar-2023"/>
    <s v="Q1-2023"/>
    <s v="Africa → Kenya → Nairobi"/>
    <x v="1"/>
    <s v="Low"/>
    <s v="KENYA"/>
    <d v="2023-01-20T00:00:00"/>
    <s v="Jan-2023"/>
    <d v="2023-03-31T00:00:00"/>
    <n v="0"/>
  </r>
  <r>
    <s v="ORD-2023-603650"/>
    <d v="2023-05-23T00:00:00"/>
    <d v="2023-06-10T00:00:00"/>
    <s v="Asia"/>
    <x v="9"/>
    <s v="Shanghai"/>
    <s v="Corporate"/>
    <s v="Distributor"/>
    <s v="E. Garcia"/>
    <x v="0"/>
    <s v="CMP-6925"/>
    <n v="54.62"/>
    <n v="48.94"/>
    <n v="0.14799999999999999"/>
    <n v="16"/>
    <s v="Valid"/>
    <n v="48.94"/>
    <b v="0"/>
    <n v="0.14799999999999999"/>
    <n v="18"/>
    <d v="2023-06-10T00:00:00"/>
    <n v="18"/>
    <n v="78188.110079999999"/>
    <n v="783.04"/>
    <n v="77405.070080000005"/>
    <n v="0.98998517806353414"/>
    <s v="May-2023"/>
    <s v="Q2-2023"/>
    <s v="Asia → China → Shanghai"/>
    <x v="0"/>
    <s v="Low"/>
    <s v="CHINA"/>
    <d v="2023-01-12T00:00:00"/>
    <s v="Jan-2023"/>
    <d v="2023-05-31T00:00:00"/>
    <n v="0"/>
  </r>
  <r>
    <s v="ORD-2025-757957"/>
    <d v="2025-04-24T00:00:00"/>
    <d v="2025-05-06T00:00:00"/>
    <s v="Americas"/>
    <x v="4"/>
    <s v="Brasília"/>
    <s v="Consumer"/>
    <s v="Online"/>
    <s v="C. Otieno"/>
    <x v="3"/>
    <s v="PHN-2787"/>
    <n v="394.13"/>
    <n v="932.29"/>
    <n v="0.109"/>
    <n v="7"/>
    <s v="Valid"/>
    <n v="932.29"/>
    <b v="0"/>
    <n v="0.109"/>
    <n v="12"/>
    <d v="2025-05-06T00:00:00"/>
    <n v="12"/>
    <n v="651891.66272999998"/>
    <n v="6526.03"/>
    <n v="645365.63272999995"/>
    <n v="0.98998908810603559"/>
    <s v="Apr-2025"/>
    <s v="Q2-2025"/>
    <s v="Americas → Brazil → Brasília"/>
    <x v="2"/>
    <s v="High"/>
    <s v="BRAZIL"/>
    <d v="2023-01-29T00:00:00"/>
    <s v="Jan-2023"/>
    <d v="2025-04-30T00:00:00"/>
    <n v="0"/>
  </r>
  <r>
    <s v="ORD-2024-423853"/>
    <d v="2024-09-03T00:00:00"/>
    <d v="2024-09-08T00:00:00"/>
    <s v="Africa"/>
    <x v="1"/>
    <s v="Lagos"/>
    <s v="Small Business"/>
    <s v="Direct"/>
    <s v="K. Singh"/>
    <x v="1"/>
    <s v="PRN-1141"/>
    <n v="197.63"/>
    <n v="325.79000000000002"/>
    <n v="0.11600000000000001"/>
    <n v="10"/>
    <s v="Valid"/>
    <n v="325.79000000000002"/>
    <b v="0"/>
    <n v="0.11600000000000001"/>
    <n v="5"/>
    <d v="2024-09-08T00:00:00"/>
    <n v="5"/>
    <n v="325412.08360000001"/>
    <n v="3257.9"/>
    <n v="322154.18359999999"/>
    <n v="0.98998838652837284"/>
    <s v="Sep-2024"/>
    <s v="Q3-2024"/>
    <s v="Africa → Nigeria → Lagos"/>
    <x v="1"/>
    <s v="Medium"/>
    <s v="NIGERIA"/>
    <d v="2023-01-15T00:00:00"/>
    <s v="Jan-2023"/>
    <d v="2024-09-30T00:00:00"/>
    <n v="1"/>
  </r>
  <r>
    <s v="ORD-2024-569164"/>
    <d v="2024-09-05T00:00:00"/>
    <d v="2024-09-25T00:00:00"/>
    <s v="Asia"/>
    <x v="6"/>
    <s v="Osaka"/>
    <s v="Enterprise"/>
    <s v="Distributor"/>
    <s v="D. Smith"/>
    <x v="5"/>
    <s v="MON-5249"/>
    <n v="195.54"/>
    <n v="405.97"/>
    <n v="0.187"/>
    <n v="16"/>
    <s v="Valid"/>
    <n v="405.97"/>
    <b v="0"/>
    <n v="0.187"/>
    <n v="20"/>
    <d v="2024-09-25T00:00:00"/>
    <n v="20"/>
    <n v="648337.33776000002"/>
    <n v="6495.52"/>
    <n v="641841.81776000001"/>
    <n v="0.98998126496548544"/>
    <s v="Sep-2024"/>
    <s v="Q3-2024"/>
    <s v="Asia → Japan → Osaka"/>
    <x v="1"/>
    <s v="Medium"/>
    <s v="JAPAN"/>
    <d v="2023-03-03T00:00:00"/>
    <s v="Mar-2023"/>
    <d v="2024-09-30T00:00:00"/>
    <n v="0"/>
  </r>
  <r>
    <s v="ORD-2023-946143"/>
    <d v="2023-03-14T00:00:00"/>
    <d v="2023-03-30T00:00:00"/>
    <s v="Africa"/>
    <x v="11"/>
    <s v="Cape Town"/>
    <s v="Consumer"/>
    <s v="Distributor"/>
    <s v="K. Singh"/>
    <x v="0"/>
    <s v="CMP-8230"/>
    <n v="1309.77"/>
    <n v="1589.07"/>
    <n v="0.10199999999999999"/>
    <n v="10"/>
    <s v="Valid"/>
    <n v="1589.07"/>
    <b v="0"/>
    <n v="0.10199999999999999"/>
    <n v="16"/>
    <d v="2023-03-30T00:00:00"/>
    <n v="16"/>
    <n v="1587449.1485999997"/>
    <n v="15890.699999999999"/>
    <n v="1571558.4485999998"/>
    <n v="0.98998978958537709"/>
    <s v="Mar-2023"/>
    <s v="Q1-2023"/>
    <s v="Africa → South Africa → Cape Town"/>
    <x v="0"/>
    <s v="Low"/>
    <s v="SOUTH AFRICA"/>
    <d v="2023-01-07T00:00:00"/>
    <s v="Jan-2023"/>
    <d v="2023-03-31T00:00:00"/>
    <n v="0"/>
  </r>
  <r>
    <s v="ORD-2024-281211"/>
    <d v="2024-01-11T00:00:00"/>
    <d v="2024-02-02T00:00:00"/>
    <s v="Asia"/>
    <x v="6"/>
    <s v="Nagoya"/>
    <s v="Small Business"/>
    <s v="Online"/>
    <s v="Unidentified sales person "/>
    <x v="1"/>
    <s v="PRN-7816"/>
    <n v="1237.68"/>
    <n v="1432.8"/>
    <n v="6.8000000000000005E-2"/>
    <n v="13"/>
    <s v="Valid"/>
    <n v="1432.8"/>
    <b v="0"/>
    <n v="6.8000000000000005E-2"/>
    <n v="22"/>
    <d v="2024-02-02T00:00:00"/>
    <n v="22"/>
    <n v="1861373.4047999999"/>
    <n v="18626.399999999998"/>
    <n v="1842747.0048"/>
    <n v="0.98999319537285357"/>
    <s v="Jan-2024"/>
    <s v="Q1-2024"/>
    <s v="Asia → Japan → Nagoya"/>
    <x v="1"/>
    <s v="Medium"/>
    <s v="JAPAN"/>
    <d v="2023-03-03T00:00:00"/>
    <s v="Mar-2023"/>
    <d v="2024-01-31T00:00:00"/>
    <n v="0"/>
  </r>
  <r>
    <s v="ORD-2024-805860"/>
    <d v="2024-09-13T00:00:00"/>
    <d v="2024-10-02T00:00:00"/>
    <s v="Africa"/>
    <x v="0"/>
    <s v="Mombasa"/>
    <s v="Small Business"/>
    <s v="Retail"/>
    <s v="M. Rossi"/>
    <x v="3"/>
    <s v="PHN-8804"/>
    <n v="1338.99"/>
    <n v="1765.76"/>
    <n v="0.126"/>
    <n v="24"/>
    <s v="Valid"/>
    <n v="1765.76"/>
    <b v="0"/>
    <n v="0.126"/>
    <n v="19"/>
    <d v="2024-10-02T00:00:00"/>
    <n v="19"/>
    <n v="4232484.3417599993"/>
    <n v="42378.239999999998"/>
    <n v="4190106.1017599991"/>
    <n v="0.98998738410397091"/>
    <s v="Sep-2024"/>
    <s v="Q3-2024"/>
    <s v="Africa → Kenya → Mombasa"/>
    <x v="2"/>
    <s v="Medium"/>
    <s v="KENYA"/>
    <d v="2023-01-20T00:00:00"/>
    <s v="Jan-2023"/>
    <d v="2024-09-30T00:00:00"/>
    <n v="0"/>
  </r>
  <r>
    <s v="ORD-2025-132174"/>
    <d v="2025-07-17T00:00:00"/>
    <d v="2025-07-23T00:00:00"/>
    <s v="Americas"/>
    <x v="2"/>
    <s v="Vancouver"/>
    <s v="Consumer"/>
    <s v="Online"/>
    <s v="H. Kim"/>
    <x v="0"/>
    <s v="CMP-8851"/>
    <n v="1364.89"/>
    <n v="2757.54"/>
    <n v="0.17199999999999999"/>
    <n v="61"/>
    <s v="Valid"/>
    <n v="2757.54"/>
    <b v="0"/>
    <n v="0.17199999999999999"/>
    <n v="6"/>
    <d v="2025-07-23T00:00:00"/>
    <n v="6"/>
    <n v="16792061.890319999"/>
    <n v="168209.94"/>
    <n v="16623851.95032"/>
    <n v="0.98998277036502791"/>
    <s v="Jul-2025"/>
    <s v="Q3-2025"/>
    <s v="Americas → Canada → Vancouver"/>
    <x v="0"/>
    <s v="High"/>
    <s v="CANADA"/>
    <d v="2023-01-02T00:00:00"/>
    <s v="Jan-2023"/>
    <d v="2025-07-31T00:00:00"/>
    <n v="1"/>
  </r>
  <r>
    <s v="ORD-2023-964434"/>
    <d v="2023-11-28T00:00:00"/>
    <d v="2023-12-07T00:00:00"/>
    <s v="Asia"/>
    <x v="3"/>
    <s v="Delhi"/>
    <s v="Enterprise"/>
    <s v="Marketplace"/>
    <s v="L. Okafor"/>
    <x v="3"/>
    <s v="PHN-2447"/>
    <n v="699.33"/>
    <n v="873.75"/>
    <n v="0.23499999999999999"/>
    <n v="10"/>
    <s v="Valid"/>
    <n v="873.75"/>
    <b v="0"/>
    <n v="0.23499999999999999"/>
    <n v="9"/>
    <d v="2023-12-07T00:00:00"/>
    <n v="9"/>
    <n v="871696.6875"/>
    <n v="8737.5"/>
    <n v="862959.1875"/>
    <n v="0.98997644464491552"/>
    <s v="Nov-2023"/>
    <s v="Q4-2023"/>
    <s v="Asia → India → Delhi"/>
    <x v="2"/>
    <s v="Low"/>
    <s v="INDIA"/>
    <d v="2023-01-29T00:00:00"/>
    <s v="Jan-2023"/>
    <d v="2023-11-30T00:00:00"/>
    <n v="0"/>
  </r>
  <r>
    <s v="ORD-2024-897622"/>
    <d v="2024-03-30T00:00:00"/>
    <d v="2024-04-24T00:00:00"/>
    <s v="Americas"/>
    <x v="10"/>
    <s v="Austin"/>
    <s v="Non-Profit"/>
    <s v="Online"/>
    <s v="G. Dubois"/>
    <x v="4"/>
    <s v="LAP-2846"/>
    <n v="160.82"/>
    <n v="258.52"/>
    <n v="0.13"/>
    <n v="17"/>
    <s v="Valid"/>
    <n v="258.52"/>
    <b v="0"/>
    <n v="0.13"/>
    <n v="25"/>
    <d v="2024-04-24T00:00:00"/>
    <n v="25"/>
    <n v="438912.67080000002"/>
    <n v="4394.84"/>
    <n v="434517.8308"/>
    <n v="0.98998698307800137"/>
    <s v="Mar-2024"/>
    <s v="Q1-2024"/>
    <s v="Americas → USA → Austin"/>
    <x v="2"/>
    <s v="Medium"/>
    <s v="USA"/>
    <d v="2023-01-13T00:00:00"/>
    <s v="Jan-2023"/>
    <d v="2024-03-31T00:00:00"/>
    <n v="0"/>
  </r>
  <r>
    <s v="ORD-2023-517216"/>
    <d v="2023-09-19T00:00:00"/>
    <d v="2023-10-08T00:00:00"/>
    <s v="Asia"/>
    <x v="3"/>
    <s v="Bengaluru"/>
    <s v="Education"/>
    <s v="Direct"/>
    <s v="J. Njeri"/>
    <x v="1"/>
    <s v="PRN-5005"/>
    <n v="385.32"/>
    <n v="606.76"/>
    <n v="8.5999999999999993E-2"/>
    <n v="8"/>
    <s v="Valid"/>
    <n v="606.76"/>
    <b v="0"/>
    <n v="8.5999999999999993E-2"/>
    <n v="19"/>
    <d v="2023-10-08T00:00:00"/>
    <n v="19"/>
    <n v="484990.54911999998"/>
    <n v="4854.08"/>
    <n v="480136.46911999997"/>
    <n v="0.98999139259763391"/>
    <s v="Sep-2023"/>
    <s v="Q3-2023"/>
    <s v="Asia → India → Bengaluru"/>
    <x v="1"/>
    <s v="Low"/>
    <s v="INDIA"/>
    <d v="2023-01-29T00:00:00"/>
    <s v="Jan-2023"/>
    <d v="2023-09-30T00:00:00"/>
    <n v="0"/>
  </r>
  <r>
    <s v="ORD-2025-509940"/>
    <d v="2025-05-16T00:00:00"/>
    <d v="2025-05-27T00:00:00"/>
    <s v="Asia"/>
    <x v="9"/>
    <s v="Beijing"/>
    <s v="Enterprise"/>
    <s v="Online"/>
    <s v="F. Müller"/>
    <x v="3"/>
    <s v="PHN-3800"/>
    <n v="918.12"/>
    <n v="1337.69"/>
    <n v="9.5000000000000001E-2"/>
    <n v="8"/>
    <s v="Valid"/>
    <n v="1337.69"/>
    <b v="0"/>
    <n v="9.5000000000000001E-2"/>
    <n v="11"/>
    <d v="2025-05-27T00:00:00"/>
    <n v="11"/>
    <n v="1069135.3556000001"/>
    <n v="10701.52"/>
    <n v="1058433.8356000001"/>
    <n v="0.98999049096641811"/>
    <s v="May-2025"/>
    <s v="Q2-2025"/>
    <s v="Asia → China → Beijing"/>
    <x v="2"/>
    <s v="High"/>
    <s v="CHINA"/>
    <d v="2023-01-12T00:00:00"/>
    <s v="Jan-2023"/>
    <d v="2025-05-31T00:00:00"/>
    <n v="0"/>
  </r>
  <r>
    <s v="ORD-2025-646342"/>
    <d v="2025-08-02T00:00:00"/>
    <d v="2025-08-08T00:00:00"/>
    <s v="Asia"/>
    <x v="6"/>
    <s v="Osaka"/>
    <s v="Consumer"/>
    <s v="Direct"/>
    <s v="N. Brown"/>
    <x v="4"/>
    <s v="LAP-4828"/>
    <n v="1225.94"/>
    <n v="1793.08"/>
    <n v="0.13600000000000001"/>
    <n v="22"/>
    <s v="Valid"/>
    <n v="1793.08"/>
    <b v="0"/>
    <n v="0.13600000000000001"/>
    <n v="6"/>
    <d v="2025-08-08T00:00:00"/>
    <n v="6"/>
    <n v="3939411.1046399996"/>
    <n v="39447.759999999995"/>
    <n v="3899963.3446399998"/>
    <n v="0.98998638147881124"/>
    <s v="Aug-2025"/>
    <s v="Q3-2025"/>
    <s v="Asia → Japan → Osaka"/>
    <x v="2"/>
    <s v="High"/>
    <s v="JAPAN"/>
    <d v="2023-03-03T00:00:00"/>
    <s v="Mar-2023"/>
    <d v="2025-08-31T00:00:00"/>
    <n v="1"/>
  </r>
  <r>
    <s v="ORD-2024-866535"/>
    <d v="2024-12-04T00:00:00"/>
    <d v="2024-12-12T00:00:00"/>
    <s v="Europe"/>
    <x v="5"/>
    <s v="Frankfurt"/>
    <s v="Enterprise"/>
    <s v="Marketplace"/>
    <s v="B. Chen"/>
    <x v="1"/>
    <s v="PRN-5492"/>
    <n v="72.06"/>
    <n v="122.74"/>
    <n v="0.23799999999999999"/>
    <n v="8"/>
    <s v="Valid"/>
    <n v="122.74"/>
    <b v="0"/>
    <n v="0.23799999999999999"/>
    <n v="8"/>
    <d v="2024-12-12T00:00:00"/>
    <n v="8"/>
    <n v="97958.303039999999"/>
    <n v="981.92"/>
    <n v="96976.383040000001"/>
    <n v="0.98997614322086569"/>
    <s v="Dec-2024"/>
    <s v="Q4-2024"/>
    <s v="Europe → Germany → Frankfurt"/>
    <x v="1"/>
    <s v="High"/>
    <s v="GERMANY"/>
    <d v="2023-01-22T00:00:00"/>
    <s v="Jan-2023"/>
    <d v="2024-12-31T00:00:00"/>
    <n v="0"/>
  </r>
  <r>
    <s v="ORD-2023-747341"/>
    <d v="2023-04-19T00:00:00"/>
    <d v="2023-04-28T00:00:00"/>
    <s v="Americas"/>
    <x v="4"/>
    <s v="Rio de Janeiro"/>
    <s v="Corporate"/>
    <s v="Distributor"/>
    <s v="M. Rossi"/>
    <x v="3"/>
    <s v="PHN-7132"/>
    <n v="1013.54"/>
    <n v="927.93"/>
    <n v="0.17499999999999999"/>
    <n v="16"/>
    <s v="Valid"/>
    <n v="927.93"/>
    <b v="0"/>
    <n v="0.17499999999999999"/>
    <n v="9"/>
    <d v="2023-04-28T00:00:00"/>
    <n v="9"/>
    <n v="1482089.7959999999"/>
    <n v="14846.88"/>
    <n v="1467242.916"/>
    <n v="0.9899824693213124"/>
    <s v="Apr-2023"/>
    <s v="Q2-2023"/>
    <s v="Americas → Brazil → Rio de Janeiro"/>
    <x v="2"/>
    <s v="Low"/>
    <s v="BRAZIL"/>
    <d v="2023-01-29T00:00:00"/>
    <s v="Jan-2023"/>
    <d v="2023-04-30T00:00:00"/>
    <n v="0"/>
  </r>
  <r>
    <s v="ORD-2024-853298"/>
    <d v="2024-03-06T00:00:00"/>
    <d v="2024-03-26T00:00:00"/>
    <s v="Africa"/>
    <x v="1"/>
    <s v="Port Harcourt"/>
    <s v="Consumer"/>
    <s v="Marketplace"/>
    <s v="I. Johnson"/>
    <x v="3"/>
    <s v="PHN-4741"/>
    <n v="65.64"/>
    <n v="151.88"/>
    <n v="0.16700000000000001"/>
    <n v="23"/>
    <s v="Valid"/>
    <n v="151.88"/>
    <b v="0"/>
    <n v="0.16700000000000001"/>
    <n v="20"/>
    <d v="2024-03-26T00:00:00"/>
    <n v="20"/>
    <n v="348740.62891999999"/>
    <n v="3493.24"/>
    <n v="345247.38892"/>
    <n v="0.98998327206434744"/>
    <s v="Mar-2024"/>
    <s v="Q1-2024"/>
    <s v="Africa → Nigeria → Port Harcourt"/>
    <x v="2"/>
    <s v="Medium"/>
    <s v="NIGERIA"/>
    <d v="2023-01-15T00:00:00"/>
    <s v="Jan-2023"/>
    <d v="2024-03-31T00:00:00"/>
    <n v="0"/>
  </r>
  <r>
    <s v="ORD-2024-544865"/>
    <d v="2024-02-16T00:00:00"/>
    <d v="2024-03-04T00:00:00"/>
    <s v="Americas"/>
    <x v="2"/>
    <s v="Montreal"/>
    <s v="Non-Profit"/>
    <s v="Retail"/>
    <s v="D. Smith"/>
    <x v="4"/>
    <s v="LAP-2774"/>
    <n v="1350.98"/>
    <n v="2210.4"/>
    <n v="0.26300000000000001"/>
    <n v="6"/>
    <s v="Valid"/>
    <n v="2210.4"/>
    <b v="0"/>
    <n v="0.26300000000000001"/>
    <n v="17"/>
    <d v="2024-03-04T00:00:00"/>
    <n v="17"/>
    <n v="1322751.9888000002"/>
    <n v="13262.400000000001"/>
    <n v="1309489.5888000003"/>
    <n v="0.98997363064860588"/>
    <s v="Feb-2024"/>
    <s v="Q1-2024"/>
    <s v="Americas → Canada → Montreal"/>
    <x v="2"/>
    <s v="Medium"/>
    <s v="CANADA"/>
    <d v="2023-01-02T00:00:00"/>
    <s v="Jan-2023"/>
    <d v="2024-02-29T00:00:00"/>
    <n v="0"/>
  </r>
  <r>
    <s v="ORD-2025-946490"/>
    <d v="2025-04-22T00:00:00"/>
    <d v="2025-05-02T00:00:00"/>
    <s v="Europe"/>
    <x v="5"/>
    <s v="Berlin"/>
    <s v="Corporate"/>
    <s v="Marketplace"/>
    <s v="C. Otieno"/>
    <x v="5"/>
    <s v="MON-2842"/>
    <n v="20.149999999999999"/>
    <n v="39.74"/>
    <n v="0.151"/>
    <n v="18"/>
    <s v="Valid"/>
    <n v="39.74"/>
    <b v="0"/>
    <n v="0.151"/>
    <n v="10"/>
    <d v="2025-05-02T00:00:00"/>
    <n v="10"/>
    <n v="71423.986680000002"/>
    <n v="715.32"/>
    <n v="70708.666679999995"/>
    <n v="0.98998487716451833"/>
    <s v="Apr-2025"/>
    <s v="Q2-2025"/>
    <s v="Europe → Germany → Berlin"/>
    <x v="1"/>
    <s v="High"/>
    <s v="GERMANY"/>
    <d v="2023-01-22T00:00:00"/>
    <s v="Jan-2023"/>
    <d v="2025-04-30T00:00:00"/>
    <n v="0"/>
  </r>
  <r>
    <s v="ORD-2024-320972"/>
    <d v="2024-11-08T00:00:00"/>
    <d v="2024-11-08T00:00:00"/>
    <s v="Africa"/>
    <x v="0"/>
    <s v="Nakuru"/>
    <s v="Enterprise"/>
    <s v="Marketplace"/>
    <s v="M. Rossi"/>
    <x v="2"/>
    <s v="NET-2628"/>
    <n v="803.28"/>
    <n v="1009"/>
    <n v="0.11"/>
    <n v="4"/>
    <s v="Valid"/>
    <n v="1009"/>
    <b v="0"/>
    <n v="0.11"/>
    <n v="0"/>
    <d v="2024-11-08T00:00:00"/>
    <n v="0"/>
    <n v="403156.04"/>
    <n v="4036"/>
    <n v="399120.04"/>
    <n v="0.98998898788667533"/>
    <s v="Nov-2024"/>
    <s v="Q4-2024"/>
    <s v="Africa → Kenya → Nakuru"/>
    <x v="0"/>
    <s v="High"/>
    <s v="KENYA"/>
    <d v="2023-01-20T00:00:00"/>
    <s v="Jan-2023"/>
    <d v="2024-11-30T00:00:00"/>
    <n v="1"/>
  </r>
  <r>
    <s v="ORD-2025-248586"/>
    <d v="2025-09-12T00:00:00"/>
    <d v="2025-09-30T00:00:00"/>
    <s v="Asia"/>
    <x v="6"/>
    <s v="Nagoya"/>
    <s v="Non-Profit"/>
    <s v="Marketplace"/>
    <s v="F. Müller"/>
    <x v="5"/>
    <s v="MON-2998"/>
    <n v="1212.99"/>
    <n v="1653.64"/>
    <n v="0.107"/>
    <n v="8"/>
    <s v="Valid"/>
    <n v="1653.64"/>
    <b v="0"/>
    <n v="0.107"/>
    <n v="18"/>
    <d v="2025-09-30T00:00:00"/>
    <n v="18"/>
    <n v="1321496.48416"/>
    <n v="13229.12"/>
    <n v="1308267.3641599999"/>
    <n v="0.98998928853873636"/>
    <s v="Sep-2025"/>
    <s v="Q3-2025"/>
    <s v="Asia → Japan → Nagoya"/>
    <x v="1"/>
    <s v="High"/>
    <s v="JAPAN"/>
    <d v="2023-03-03T00:00:00"/>
    <s v="Mar-2023"/>
    <d v="2025-09-30T00:00:00"/>
    <n v="0"/>
  </r>
  <r>
    <s v="ORD-2024-664046"/>
    <d v="2024-09-02T00:00:00"/>
    <d v="2024-09-08T00:00:00"/>
    <s v="Americas"/>
    <x v="10"/>
    <s v="Austin"/>
    <s v="Consumer"/>
    <s v="Direct"/>
    <s v="H. Kim"/>
    <x v="0"/>
    <s v="CMP-7563"/>
    <n v="462.94"/>
    <n v="1015.7"/>
    <n v="0.14299999999999999"/>
    <n v="14"/>
    <s v="Valid"/>
    <n v="1015.7"/>
    <b v="0"/>
    <n v="0.14299999999999999"/>
    <n v="6"/>
    <d v="2024-09-08T00:00:00"/>
    <n v="6"/>
    <n v="1419946.5686000001"/>
    <n v="14219.800000000001"/>
    <n v="1405726.7686000001"/>
    <n v="0.98998567952171601"/>
    <s v="Sep-2024"/>
    <s v="Q3-2024"/>
    <s v="Americas → USA → Austin"/>
    <x v="0"/>
    <s v="Medium"/>
    <s v="USA"/>
    <d v="2023-01-13T00:00:00"/>
    <s v="Jan-2023"/>
    <d v="2024-09-30T00:00:00"/>
    <n v="1"/>
  </r>
  <r>
    <s v="ORD-2023-276806"/>
    <d v="2023-03-04T00:00:00"/>
    <d v="2023-03-24T00:00:00"/>
    <s v="Americas"/>
    <x v="2"/>
    <s v="Montreal"/>
    <s v="Consumer"/>
    <s v="Distributor"/>
    <s v="I. Johnson"/>
    <x v="4"/>
    <s v="LAP-6160"/>
    <n v="481.71"/>
    <n v="912.45"/>
    <n v="0.20300000000000001"/>
    <n v="24"/>
    <s v="Valid"/>
    <n v="912.45"/>
    <b v="0"/>
    <n v="0.20300000000000001"/>
    <n v="20"/>
    <d v="2023-03-24T00:00:00"/>
    <n v="20"/>
    <n v="2185434.5436000004"/>
    <n v="21898.800000000003"/>
    <n v="2163535.7436000006"/>
    <n v="0.98997965870717564"/>
    <s v="Mar-2023"/>
    <s v="Q1-2023"/>
    <s v="Americas → Canada → Montreal"/>
    <x v="2"/>
    <s v="Low"/>
    <s v="CANADA"/>
    <d v="2023-01-02T00:00:00"/>
    <s v="Jan-2023"/>
    <d v="2023-03-31T00:00:00"/>
    <n v="0"/>
  </r>
  <r>
    <s v="ORD-2024-220234"/>
    <d v="2024-03-15T00:00:00"/>
    <d v="2024-04-09T00:00:00"/>
    <s v="Americas"/>
    <x v="2"/>
    <s v="Vancouver"/>
    <s v="Consumer"/>
    <s v="Online"/>
    <s v="F. Müller"/>
    <x v="5"/>
    <s v="MON-4361"/>
    <n v="648.64"/>
    <n v="815.19"/>
    <n v="0.22500000000000001"/>
    <n v="28"/>
    <s v="Valid"/>
    <n v="815.19"/>
    <b v="0"/>
    <n v="0.22500000000000001"/>
    <n v="25"/>
    <d v="2024-04-09T00:00:00"/>
    <n v="25"/>
    <n v="2277396.3030000003"/>
    <n v="22825.32"/>
    <n v="2254570.9830000005"/>
    <n v="0.98997744926083697"/>
    <s v="Mar-2024"/>
    <s v="Q1-2024"/>
    <s v="Americas → Canada → Vancouver"/>
    <x v="1"/>
    <s v="Medium"/>
    <s v="CANADA"/>
    <d v="2023-01-02T00:00:00"/>
    <s v="Jan-2023"/>
    <d v="2024-03-31T00:00:00"/>
    <n v="0"/>
  </r>
  <r>
    <s v="ORD-2024-301260"/>
    <d v="2024-07-29T00:00:00"/>
    <d v="2024-07-31T00:00:00"/>
    <s v="Americas"/>
    <x v="10"/>
    <s v="New York"/>
    <s v="Education"/>
    <s v="Marketplace"/>
    <s v="I. Johnson"/>
    <x v="1"/>
    <s v="PRN-2829"/>
    <n v="798.97"/>
    <n v="1814.06"/>
    <n v="0.122"/>
    <n v="16"/>
    <s v="Valid"/>
    <n v="1814.06"/>
    <b v="0"/>
    <n v="0.122"/>
    <n v="2"/>
    <d v="2024-07-31T00:00:00"/>
    <n v="2"/>
    <n v="2898954.9548800001"/>
    <n v="29024.959999999999"/>
    <n v="2869929.9948800001"/>
    <n v="0.98998778509781937"/>
    <s v="Jul-2024"/>
    <s v="Q3-2024"/>
    <s v="Americas → USA → New York"/>
    <x v="1"/>
    <s v="Medium"/>
    <s v="USA"/>
    <d v="2023-01-13T00:00:00"/>
    <s v="Jan-2023"/>
    <d v="2024-07-31T00:00:00"/>
    <n v="1"/>
  </r>
  <r>
    <s v="ORD-2024-350100"/>
    <d v="2024-10-27T00:00:00"/>
    <d v="2024-11-20T00:00:00"/>
    <s v="Asia"/>
    <x v="6"/>
    <s v="Nagoya"/>
    <s v="Non-Profit"/>
    <s v="Online"/>
    <s v="H. Kim"/>
    <x v="5"/>
    <s v="MON-8939"/>
    <n v="317.25"/>
    <n v="758.92"/>
    <n v="5.2999999999999999E-2"/>
    <n v="9"/>
    <s v="Valid"/>
    <n v="758.92"/>
    <b v="0"/>
    <n v="5.2999999999999999E-2"/>
    <n v="24"/>
    <d v="2024-11-20T00:00:00"/>
    <n v="24"/>
    <n v="682665.99516000005"/>
    <n v="6830.28"/>
    <n v="675835.71516000002"/>
    <n v="0.98999469718951039"/>
    <s v="Oct-2024"/>
    <s v="Q4-2024"/>
    <s v="Asia → Japan → Nagoya"/>
    <x v="1"/>
    <s v="High"/>
    <s v="JAPAN"/>
    <d v="2023-03-03T00:00:00"/>
    <s v="Mar-2023"/>
    <d v="2024-10-31T00:00:00"/>
    <n v="0"/>
  </r>
  <r>
    <s v="ORD-2024-855600"/>
    <d v="2024-04-29T00:00:00"/>
    <d v="2024-05-19T00:00:00"/>
    <s v="Europe"/>
    <x v="5"/>
    <s v="Frankfurt"/>
    <s v="Enterprise"/>
    <s v="Marketplace"/>
    <s v="C. Otieno"/>
    <x v="4"/>
    <s v="LAP-5009"/>
    <n v="668.97"/>
    <n v="1667.44"/>
    <n v="3.4000000000000002E-2"/>
    <n v="15"/>
    <s v="Valid"/>
    <n v="1667.44"/>
    <b v="0"/>
    <n v="3.4000000000000002E-2"/>
    <n v="20"/>
    <d v="2024-05-19T00:00:00"/>
    <n v="20"/>
    <n v="2500309.6055999999"/>
    <n v="25011.600000000002"/>
    <n v="2475298.0055999998"/>
    <n v="0.9899965988436068"/>
    <s v="Apr-2024"/>
    <s v="Q2-2024"/>
    <s v="Europe → Germany → Frankfurt"/>
    <x v="2"/>
    <s v="Medium"/>
    <s v="GERMANY"/>
    <d v="2023-01-22T00:00:00"/>
    <s v="Jan-2023"/>
    <d v="2024-04-30T00:00:00"/>
    <n v="0"/>
  </r>
  <r>
    <s v="ORD-2023-474313"/>
    <d v="2023-10-05T00:00:00"/>
    <d v="2023-10-06T00:00:00"/>
    <s v="Asia"/>
    <x v="3"/>
    <s v="Bengaluru"/>
    <s v="Non-Profit"/>
    <s v="Online"/>
    <s v="I. Johnson"/>
    <x v="0"/>
    <s v="CMP-4807"/>
    <n v="1470.26"/>
    <n v="2562.5500000000002"/>
    <n v="0.17299999999999999"/>
    <n v="9"/>
    <s v="Valid"/>
    <n v="2562.5500000000002"/>
    <b v="0"/>
    <n v="0.17299999999999999"/>
    <n v="1"/>
    <d v="2023-10-06T00:00:00"/>
    <n v="1"/>
    <n v="2302305.10965"/>
    <n v="23062.95"/>
    <n v="2279242.1596499998"/>
    <n v="0.98998267001913298"/>
    <s v="Oct-2023"/>
    <s v="Q4-2023"/>
    <s v="Asia → India → Bengaluru"/>
    <x v="0"/>
    <s v="Low"/>
    <s v="INDIA"/>
    <d v="2023-01-29T00:00:00"/>
    <s v="Jan-2023"/>
    <d v="2023-10-31T00:00:00"/>
    <n v="1"/>
  </r>
  <r>
    <s v="ORD-2023-256951"/>
    <d v="2023-04-19T00:00:00"/>
    <d v="2023-05-07T00:00:00"/>
    <s v="Europe"/>
    <x v="8"/>
    <s v="London"/>
    <s v="Non-Profit"/>
    <s v="Direct"/>
    <s v="H. Kim"/>
    <x v="2"/>
    <s v="NET-2439"/>
    <n v="516.96"/>
    <n v="745.38"/>
    <n v="0.19700000000000001"/>
    <n v="4"/>
    <s v="Valid"/>
    <n v="745.38"/>
    <b v="0"/>
    <n v="0.19700000000000001"/>
    <n v="18"/>
    <d v="2023-05-07T00:00:00"/>
    <n v="18"/>
    <n v="297564.64055999997"/>
    <n v="2981.52"/>
    <n v="294583.12055999995"/>
    <n v="0.9899802611143953"/>
    <s v="Apr-2023"/>
    <s v="Q2-2023"/>
    <s v="Europe → United Kingdom → London"/>
    <x v="0"/>
    <s v="Low"/>
    <s v="UNITED KINGDOM"/>
    <d v="2023-01-19T00:00:00"/>
    <s v="Jan-2023"/>
    <d v="2023-04-30T00:00:00"/>
    <n v="0"/>
  </r>
  <r>
    <s v="ORD-2025-184754"/>
    <d v="2025-06-27T00:00:00"/>
    <d v="2025-07-05T00:00:00"/>
    <s v="Europe"/>
    <x v="5"/>
    <s v="Munich"/>
    <s v="Small Business"/>
    <s v="Direct"/>
    <s v="G. Dubois"/>
    <x v="5"/>
    <s v="MON-7626"/>
    <n v="314.93"/>
    <n v="687.95"/>
    <n v="0.20499999999999999"/>
    <n v="8"/>
    <s v="Valid"/>
    <n v="687.95"/>
    <b v="0"/>
    <n v="0.20499999999999999"/>
    <n v="8"/>
    <d v="2025-07-05T00:00:00"/>
    <n v="8"/>
    <n v="549231.76199999999"/>
    <n v="5503.6"/>
    <n v="543728.16200000001"/>
    <n v="0.98997945788867181"/>
    <s v="Jun-2025"/>
    <s v="Q2-2025"/>
    <s v="Europe → Germany → Munich"/>
    <x v="1"/>
    <s v="High"/>
    <s v="GERMANY"/>
    <d v="2023-01-22T00:00:00"/>
    <s v="Jan-2023"/>
    <d v="2025-06-30T00:00:00"/>
    <n v="0"/>
  </r>
  <r>
    <s v="ORD-2023-888140"/>
    <d v="2023-10-11T00:00:00"/>
    <d v="2023-10-13T00:00:00"/>
    <s v="Americas"/>
    <x v="4"/>
    <s v="Brasília"/>
    <s v="Consumer"/>
    <s v="Distributor"/>
    <s v="Unidentified sales person "/>
    <x v="6"/>
    <s v="ACC-3567"/>
    <n v="715.94"/>
    <n v="550.07000000000005"/>
    <n v="0.14000000000000001"/>
    <n v="16"/>
    <s v="Valid"/>
    <n v="550.07000000000005"/>
    <b v="0"/>
    <n v="0.14000000000000001"/>
    <n v="2"/>
    <d v="2023-10-13T00:00:00"/>
    <n v="2"/>
    <n v="878879.84320000012"/>
    <n v="8801.1200000000008"/>
    <n v="870078.72320000012"/>
    <n v="0.9899859803725215"/>
    <s v="Oct-2023"/>
    <s v="Q4-2023"/>
    <s v="Americas → Brazil → Brasília"/>
    <x v="0"/>
    <s v="Low"/>
    <s v="BRAZIL"/>
    <d v="2023-01-29T00:00:00"/>
    <s v="Jan-2023"/>
    <d v="2023-10-31T00:00:00"/>
    <n v="1"/>
  </r>
  <r>
    <s v="ORD-2023-638181"/>
    <d v="2023-05-20T00:00:00"/>
    <d v="2023-06-07T00:00:00"/>
    <s v="Africa"/>
    <x v="1"/>
    <s v="Port Harcourt"/>
    <s v="Enterprise"/>
    <s v="Distributor"/>
    <s v="E. Garcia"/>
    <x v="0"/>
    <s v="CMP-4630"/>
    <n v="1120.06"/>
    <n v="2068.21"/>
    <n v="7.8E-2"/>
    <n v="12"/>
    <s v="Valid"/>
    <n v="2068.21"/>
    <b v="0"/>
    <n v="7.8E-2"/>
    <n v="18"/>
    <d v="2023-06-07T00:00:00"/>
    <n v="18"/>
    <n v="2479916.1554399999"/>
    <n v="24818.52"/>
    <n v="2455097.6354399999"/>
    <n v="0.98999219391125082"/>
    <s v="May-2023"/>
    <s v="Q2-2023"/>
    <s v="Africa → Nigeria → Port Harcourt"/>
    <x v="0"/>
    <s v="Low"/>
    <s v="NIGERIA"/>
    <d v="2023-01-15T00:00:00"/>
    <s v="Jan-2023"/>
    <d v="2023-05-31T00:00:00"/>
    <n v="0"/>
  </r>
  <r>
    <s v="ORD-2023-521280"/>
    <d v="2023-05-27T00:00:00"/>
    <d v="2023-06-19T00:00:00"/>
    <s v="Europe"/>
    <x v="5"/>
    <s v="Berlin"/>
    <s v="Education"/>
    <s v="Retail"/>
    <s v="O. Wang"/>
    <x v="6"/>
    <s v="ACC-1882"/>
    <n v="1471.58"/>
    <n v="2576.65"/>
    <n v="4.0000000000000001E-3"/>
    <n v="7"/>
    <s v="Valid"/>
    <n v="2576.65"/>
    <b v="0"/>
    <n v="4.0000000000000001E-3"/>
    <n v="23"/>
    <d v="2023-06-19T00:00:00"/>
    <n v="23"/>
    <n v="1803582.8537999999"/>
    <n v="18036.55"/>
    <n v="1785546.3037999999"/>
    <n v="0.98999959998399933"/>
    <s v="May-2023"/>
    <s v="Q2-2023"/>
    <s v="Europe → Germany → Berlin"/>
    <x v="0"/>
    <s v="Low"/>
    <s v="GERMANY"/>
    <d v="2023-01-22T00:00:00"/>
    <s v="Jan-2023"/>
    <d v="2023-05-31T00:00:00"/>
    <n v="0"/>
  </r>
  <r>
    <s v="ORD-2023-630430"/>
    <d v="2023-08-04T00:00:00"/>
    <d v="2023-08-24T00:00:00"/>
    <s v="Americas"/>
    <x v="4"/>
    <s v="Brasília"/>
    <s v="Non-Profit"/>
    <s v="Direct"/>
    <s v="Unidentified sales person "/>
    <x v="2"/>
    <s v="NET-9125"/>
    <n v="582.88"/>
    <n v="1044.1400000000001"/>
    <n v="0.216"/>
    <n v="10"/>
    <s v="Valid"/>
    <n v="1044.1400000000001"/>
    <b v="0"/>
    <n v="0.216"/>
    <n v="20"/>
    <d v="2023-08-24T00:00:00"/>
    <n v="20"/>
    <n v="1041884.6576000002"/>
    <n v="10441.400000000001"/>
    <n v="1031443.2576000001"/>
    <n v="0.98997835324300487"/>
    <s v="Aug-2023"/>
    <s v="Q3-2023"/>
    <s v="Americas → Brazil → Brasília"/>
    <x v="0"/>
    <s v="Low"/>
    <s v="BRAZIL"/>
    <d v="2023-01-29T00:00:00"/>
    <s v="Jan-2023"/>
    <d v="2023-08-31T00:00:00"/>
    <n v="0"/>
  </r>
  <r>
    <s v="ORD-2025-908258"/>
    <d v="2025-06-21T00:00:00"/>
    <d v="2025-06-27T00:00:00"/>
    <s v="Africa"/>
    <x v="11"/>
    <s v="Durban"/>
    <s v="Enterprise"/>
    <s v="Distributor"/>
    <s v="N. Brown"/>
    <x v="3"/>
    <s v="PHN-3819"/>
    <n v="93.91"/>
    <n v="99.04"/>
    <n v="5.7000000000000002E-2"/>
    <n v="6"/>
    <s v="Valid"/>
    <n v="99.04"/>
    <b v="0"/>
    <n v="5.7000000000000002E-2"/>
    <n v="6"/>
    <d v="2025-06-27T00:00:00"/>
    <n v="6"/>
    <n v="59390.128319999996"/>
    <n v="594.24"/>
    <n v="58795.888319999998"/>
    <n v="0.98999429674914707"/>
    <s v="Jun-2025"/>
    <s v="Q2-2025"/>
    <s v="Africa → South Africa → Durban"/>
    <x v="2"/>
    <s v="High"/>
    <s v="SOUTH AFRICA"/>
    <d v="2023-01-07T00:00:00"/>
    <s v="Jan-2023"/>
    <d v="2025-06-30T00:00:00"/>
    <n v="1"/>
  </r>
  <r>
    <s v="ORD-2025-440093"/>
    <d v="2025-04-16T00:00:00"/>
    <d v="2025-04-26T00:00:00"/>
    <s v="Africa"/>
    <x v="1"/>
    <s v="Port Harcourt"/>
    <s v="Enterprise"/>
    <s v="Marketplace"/>
    <s v="F. Müller"/>
    <x v="4"/>
    <s v="LAP-3490"/>
    <n v="1457.44"/>
    <n v="1996.81"/>
    <n v="0.126"/>
    <n v="23"/>
    <s v="Valid"/>
    <n v="1996.81"/>
    <b v="0"/>
    <n v="0.126"/>
    <n v="10"/>
    <d v="2025-04-26T00:00:00"/>
    <n v="10"/>
    <n v="4586876.2446199991"/>
    <n v="45926.63"/>
    <n v="4540949.6146199992"/>
    <n v="0.98998738410397102"/>
    <s v="Apr-2025"/>
    <s v="Q2-2025"/>
    <s v="Africa → Nigeria → Port Harcourt"/>
    <x v="2"/>
    <s v="High"/>
    <s v="NIGERIA"/>
    <d v="2023-01-15T00:00:00"/>
    <s v="Jan-2023"/>
    <d v="2025-04-30T00:00:00"/>
    <n v="0"/>
  </r>
  <r>
    <s v="ORD-2025-898022"/>
    <d v="2025-09-02T00:00:00"/>
    <d v="2025-09-11T00:00:00"/>
    <s v="Americas"/>
    <x v="2"/>
    <s v="Toronto"/>
    <s v="Corporate"/>
    <s v="Distributor"/>
    <s v="M. Rossi"/>
    <x v="1"/>
    <s v="PRN-1276"/>
    <n v="1207.6300000000001"/>
    <n v="921.68"/>
    <n v="0.19600000000000001"/>
    <n v="17"/>
    <s v="Valid"/>
    <n v="921.68"/>
    <b v="0"/>
    <n v="0.19600000000000001"/>
    <n v="9"/>
    <d v="2025-09-11T00:00:00"/>
    <n v="9"/>
    <n v="1563784.96224"/>
    <n v="15668.56"/>
    <n v="1548116.40224"/>
    <n v="0.98998036150855673"/>
    <s v="Sep-2025"/>
    <s v="Q3-2025"/>
    <s v="Americas → Canada → Toronto"/>
    <x v="1"/>
    <s v="High"/>
    <s v="CANADA"/>
    <d v="2023-01-02T00:00:00"/>
    <s v="Jan-2023"/>
    <d v="2025-09-30T00:00:00"/>
    <n v="0"/>
  </r>
  <r>
    <s v="ORD-2024-500511"/>
    <d v="2024-10-08T00:00:00"/>
    <d v="2024-10-08T00:00:00"/>
    <s v="Europe"/>
    <x v="8"/>
    <s v="London"/>
    <s v="Corporate"/>
    <s v="Online"/>
    <s v="E. Garcia"/>
    <x v="5"/>
    <s v="MON-9733"/>
    <n v="1108.1099999999999"/>
    <n v="2503.79"/>
    <n v="0.184"/>
    <n v="19"/>
    <s v="Valid"/>
    <n v="2503.79"/>
    <b v="0"/>
    <n v="0.184"/>
    <n v="0"/>
    <d v="2024-10-08T00:00:00"/>
    <n v="0"/>
    <n v="4748447.7501600003"/>
    <n v="47572.01"/>
    <n v="4700875.7401600005"/>
    <n v="0.98998156608159016"/>
    <s v="Oct-2024"/>
    <s v="Q4-2024"/>
    <s v="Europe → United Kingdom → London"/>
    <x v="1"/>
    <s v="Medium"/>
    <s v="UNITED KINGDOM"/>
    <d v="2023-01-19T00:00:00"/>
    <s v="Jan-2023"/>
    <d v="2024-10-31T00:00:00"/>
    <n v="1"/>
  </r>
  <r>
    <s v="ORD-2023-632893"/>
    <d v="2023-05-07T00:00:00"/>
    <d v="2023-05-05T00:00:00"/>
    <s v="Africa"/>
    <x v="1"/>
    <s v="Port Harcourt"/>
    <s v="Non-Profit"/>
    <s v="Marketplace"/>
    <s v="A. Patel"/>
    <x v="0"/>
    <s v="CMP-9392"/>
    <n v="1269.6500000000001"/>
    <n v="2462.77"/>
    <n v="0.107"/>
    <n v="8"/>
    <s v="Valid"/>
    <n v="2462.77"/>
    <b v="0"/>
    <n v="0.107"/>
    <n v="-2"/>
    <d v="2023-05-14T00:00:00"/>
    <n v="7"/>
    <n v="1968107.86888"/>
    <n v="19702.16"/>
    <n v="1948405.70888"/>
    <n v="0.98998928853873647"/>
    <s v="May-2023"/>
    <s v="Q2-2023"/>
    <s v="Africa → Nigeria → Port Harcourt"/>
    <x v="0"/>
    <s v="Low"/>
    <s v="NIGERIA"/>
    <d v="2023-01-15T00:00:00"/>
    <s v="Jan-2023"/>
    <d v="2023-05-31T00:00:00"/>
    <n v="1"/>
  </r>
  <r>
    <s v="ORD-2023-967239"/>
    <d v="2023-12-24T00:00:00"/>
    <d v="2024-01-01T00:00:00"/>
    <s v="Americas"/>
    <x v="4"/>
    <s v="São Paulo"/>
    <s v="Education"/>
    <s v="Direct"/>
    <s v="C. Otieno"/>
    <x v="3"/>
    <s v="PHN-3014"/>
    <n v="526.49"/>
    <n v="496.2"/>
    <n v="0"/>
    <n v="14"/>
    <s v="Valid"/>
    <n v="496.2"/>
    <b v="0"/>
    <n v="0"/>
    <n v="8"/>
    <d v="2024-01-01T00:00:00"/>
    <n v="8"/>
    <n v="694680"/>
    <n v="6946.8"/>
    <n v="687733.2"/>
    <n v="0.98999999999999988"/>
    <s v="Dec-2023"/>
    <s v="Q4-2023"/>
    <s v="Americas → Brazil → São Paulo"/>
    <x v="2"/>
    <s v="Medium"/>
    <s v="BRAZIL"/>
    <d v="2023-01-29T00:00:00"/>
    <s v="Jan-2023"/>
    <d v="2023-12-31T00:00:00"/>
    <n v="0"/>
  </r>
  <r>
    <s v="ORD-2024-885858"/>
    <d v="2024-01-10T00:00:00"/>
    <d v="2024-01-23T00:00:00"/>
    <s v="Europe"/>
    <x v="7"/>
    <s v="Marseille"/>
    <s v="Corporate"/>
    <s v="Direct"/>
    <s v="A. Patel"/>
    <x v="1"/>
    <s v="PRN-6776"/>
    <n v="720"/>
    <n v="907.59"/>
    <n v="0.154"/>
    <n v="10"/>
    <s v="Valid"/>
    <n v="907.59"/>
    <b v="0"/>
    <n v="0.154"/>
    <n v="13"/>
    <d v="2024-01-23T00:00:00"/>
    <n v="13"/>
    <n v="906192.31140000001"/>
    <n v="9075.9"/>
    <n v="897116.41139999998"/>
    <n v="0.98998457624742098"/>
    <s v="Jan-2024"/>
    <s v="Q1-2024"/>
    <s v="Europe → France → Marseille"/>
    <x v="1"/>
    <s v="Medium"/>
    <s v="FRANCE"/>
    <d v="2023-01-10T00:00:00"/>
    <s v="Jan-2023"/>
    <d v="2024-01-31T00:00:00"/>
    <n v="0"/>
  </r>
  <r>
    <s v="ORD-2023-253245"/>
    <d v="2023-08-03T00:00:00"/>
    <d v="2023-08-14T00:00:00"/>
    <s v="Americas"/>
    <x v="4"/>
    <s v="Brasília"/>
    <s v="Corporate"/>
    <s v="Direct"/>
    <s v="J. Njeri"/>
    <x v="6"/>
    <s v="ACC-3951"/>
    <n v="232.73"/>
    <n v="334.19"/>
    <n v="0.13400000000000001"/>
    <n v="25"/>
    <s v="Valid"/>
    <n v="334.19"/>
    <b v="0"/>
    <n v="0.13400000000000001"/>
    <n v="11"/>
    <d v="2023-08-14T00:00:00"/>
    <n v="11"/>
    <n v="834355.46349999995"/>
    <n v="8354.75"/>
    <n v="826000.71349999995"/>
    <n v="0.98998658201990664"/>
    <s v="Aug-2023"/>
    <s v="Q3-2023"/>
    <s v="Americas → Brazil → Brasília"/>
    <x v="0"/>
    <s v="Low"/>
    <s v="BRAZIL"/>
    <d v="2023-01-29T00:00:00"/>
    <s v="Jan-2023"/>
    <d v="2023-08-31T00:00:00"/>
    <n v="0"/>
  </r>
  <r>
    <s v="ORD-2025-484073"/>
    <d v="2025-02-19T00:00:00"/>
    <d v="2025-03-09T00:00:00"/>
    <s v="Asia"/>
    <x v="3"/>
    <s v="Delhi"/>
    <s v="Small Business"/>
    <s v="Direct"/>
    <s v="O. Wang"/>
    <x v="5"/>
    <s v="MON-1436"/>
    <n v="325.87"/>
    <n v="538.79"/>
    <n v="0.17399999999999999"/>
    <n v="16"/>
    <s v="Valid"/>
    <n v="538.79"/>
    <b v="0"/>
    <n v="0.17399999999999999"/>
    <n v="18"/>
    <d v="2025-03-09T00:00:00"/>
    <n v="18"/>
    <n v="860564.0086399999"/>
    <n v="8620.64"/>
    <n v="851943.36863999988"/>
    <n v="0.98998256967122789"/>
    <s v="Feb-2025"/>
    <s v="Q1-2025"/>
    <s v="Asia → India → Delhi"/>
    <x v="1"/>
    <s v="High"/>
    <s v="INDIA"/>
    <d v="2023-01-29T00:00:00"/>
    <s v="Jan-2023"/>
    <d v="2025-02-28T00:00:00"/>
    <n v="0"/>
  </r>
  <r>
    <s v="ORD-2024-745822"/>
    <d v="2024-03-31T00:00:00"/>
    <d v="2024-04-17T00:00:00"/>
    <s v="Europe"/>
    <x v="5"/>
    <s v="Frankfurt"/>
    <s v="Education"/>
    <s v="Direct"/>
    <s v="H. Kim"/>
    <x v="5"/>
    <s v="MON-8651"/>
    <n v="1025.51"/>
    <n v="1436.54"/>
    <n v="0.13900000000000001"/>
    <n v="28"/>
    <s v="Valid"/>
    <n v="1436.54"/>
    <b v="0"/>
    <n v="0.13900000000000001"/>
    <n v="17"/>
    <d v="2024-04-17T00:00:00"/>
    <n v="17"/>
    <n v="4016720.9863199997"/>
    <n v="40223.119999999995"/>
    <n v="3976497.8663199996"/>
    <n v="0.98998608065210636"/>
    <s v="Mar-2024"/>
    <s v="Q1-2024"/>
    <s v="Europe → Germany → Frankfurt"/>
    <x v="1"/>
    <s v="Medium"/>
    <s v="GERMANY"/>
    <d v="2023-01-22T00:00:00"/>
    <s v="Jan-2023"/>
    <d v="2024-03-31T00:00:00"/>
    <n v="0"/>
  </r>
  <r>
    <s v="ORD-2023-369160"/>
    <d v="2023-07-24T00:00:00"/>
    <d v="2023-08-13T00:00:00"/>
    <s v="Americas"/>
    <x v="2"/>
    <s v="Montreal"/>
    <s v="Education"/>
    <s v="Direct"/>
    <s v="C. Otieno"/>
    <x v="5"/>
    <s v="MON-3307"/>
    <n v="1082.3800000000001"/>
    <n v="1766.55"/>
    <n v="0.16400000000000001"/>
    <n v="20"/>
    <s v="Valid"/>
    <n v="1766.55"/>
    <b v="0"/>
    <n v="0.16400000000000001"/>
    <n v="20"/>
    <d v="2023-08-13T00:00:00"/>
    <n v="20"/>
    <n v="3527305.716"/>
    <n v="35331"/>
    <n v="3491974.716"/>
    <n v="0.9899835730598181"/>
    <s v="Jul-2023"/>
    <s v="Q3-2023"/>
    <s v="Americas → Canada → Montreal"/>
    <x v="1"/>
    <s v="Low"/>
    <s v="CANADA"/>
    <d v="2023-01-02T00:00:00"/>
    <s v="Jan-2023"/>
    <d v="2023-07-31T00:00:00"/>
    <n v="0"/>
  </r>
  <r>
    <s v="ORD-2024-834983"/>
    <d v="2024-03-16T00:00:00"/>
    <d v="2024-04-13T00:00:00"/>
    <s v="Europe"/>
    <x v="7"/>
    <s v="Paris"/>
    <s v="Small Business"/>
    <s v="Online"/>
    <s v="K. Singh"/>
    <x v="1"/>
    <s v="PRN-8758"/>
    <n v="287.61"/>
    <n v="628.54"/>
    <n v="0.13500000000000001"/>
    <n v="21"/>
    <s v="Valid"/>
    <n v="628.54"/>
    <b v="0"/>
    <n v="0.13500000000000001"/>
    <n v="28"/>
    <d v="2024-04-13T00:00:00"/>
    <n v="28"/>
    <n v="1318152.0891"/>
    <n v="13199.34"/>
    <n v="1304952.7490999999"/>
    <n v="0.98998648175036297"/>
    <s v="Mar-2024"/>
    <s v="Q1-2024"/>
    <s v="Europe → France → Paris"/>
    <x v="1"/>
    <s v="Medium"/>
    <s v="FRANCE"/>
    <d v="2023-01-10T00:00:00"/>
    <s v="Jan-2023"/>
    <d v="2024-03-31T00:00:00"/>
    <n v="0"/>
  </r>
  <r>
    <s v="ORD-2024-499009"/>
    <d v="2024-01-25T00:00:00"/>
    <d v="2024-01-27T00:00:00"/>
    <s v="Americas"/>
    <x v="4"/>
    <s v="São Paulo"/>
    <s v="Non-Profit"/>
    <s v="Marketplace"/>
    <s v="N. Brown"/>
    <x v="4"/>
    <s v="LAP-7056"/>
    <n v="1410.97"/>
    <n v="1650.75"/>
    <n v="0.13500000000000001"/>
    <n v="6"/>
    <s v="Valid"/>
    <n v="1650.75"/>
    <b v="0"/>
    <n v="0.13500000000000001"/>
    <n v="2"/>
    <d v="2024-01-27T00:00:00"/>
    <n v="2"/>
    <n v="989112.89249999996"/>
    <n v="9904.5"/>
    <n v="979208.39249999996"/>
    <n v="0.98998648175036297"/>
    <s v="Jan-2024"/>
    <s v="Q1-2024"/>
    <s v="Americas → Brazil → São Paulo"/>
    <x v="2"/>
    <s v="Medium"/>
    <s v="BRAZIL"/>
    <d v="2023-01-29T00:00:00"/>
    <s v="Jan-2023"/>
    <d v="2024-01-31T00:00:00"/>
    <n v="1"/>
  </r>
  <r>
    <s v="ORD-2024-948800"/>
    <d v="2024-03-27T00:00:00"/>
    <d v="2024-04-11T00:00:00"/>
    <s v="Americas"/>
    <x v="10"/>
    <s v="San Francisco"/>
    <s v="Small Business"/>
    <s v="Direct"/>
    <s v="O. Wang"/>
    <x v="2"/>
    <s v="NET-5523"/>
    <n v="1338.35"/>
    <n v="2247.14"/>
    <n v="0.115"/>
    <n v="40"/>
    <s v="Valid"/>
    <n v="2247.14"/>
    <b v="0"/>
    <n v="0.115"/>
    <n v="15"/>
    <d v="2024-04-11T00:00:00"/>
    <n v="15"/>
    <n v="8978223.1559999995"/>
    <n v="89885.599999999991"/>
    <n v="8888337.5559999999"/>
    <n v="0.9899884867597738"/>
    <s v="Mar-2024"/>
    <s v="Q1-2024"/>
    <s v="Americas → USA → San Francisco"/>
    <x v="0"/>
    <s v="Medium"/>
    <s v="USA"/>
    <d v="2023-01-13T00:00:00"/>
    <s v="Jan-2023"/>
    <d v="2024-03-31T00:00:00"/>
    <n v="0"/>
  </r>
  <r>
    <s v="ORD-2025-678328"/>
    <d v="2025-06-24T00:00:00"/>
    <d v="2025-07-14T00:00:00"/>
    <s v="Europe"/>
    <x v="5"/>
    <s v="Berlin"/>
    <s v="Corporate"/>
    <s v="Direct"/>
    <s v="O. Wang"/>
    <x v="6"/>
    <s v="ACC-8094"/>
    <n v="385.08"/>
    <n v="893.19"/>
    <n v="0.151"/>
    <n v="8"/>
    <s v="Valid"/>
    <n v="893.19"/>
    <b v="0"/>
    <n v="0.151"/>
    <n v="20"/>
    <d v="2025-07-14T00:00:00"/>
    <n v="20"/>
    <n v="713473.02648000012"/>
    <n v="7145.52"/>
    <n v="706327.5064800001"/>
    <n v="0.98998487716451844"/>
    <s v="Jun-2025"/>
    <s v="Q2-2025"/>
    <s v="Europe → Germany → Berlin"/>
    <x v="0"/>
    <s v="High"/>
    <s v="GERMANY"/>
    <d v="2023-01-22T00:00:00"/>
    <s v="Jan-2023"/>
    <d v="2025-06-30T00:00:00"/>
    <n v="0"/>
  </r>
  <r>
    <s v="ORD-2024-580808"/>
    <d v="2024-06-16T00:00:00"/>
    <d v="2024-07-03T00:00:00"/>
    <s v="Africa"/>
    <x v="11"/>
    <s v="Johannesburg"/>
    <s v="Enterprise"/>
    <s v="Marketplace"/>
    <s v="F. Müller"/>
    <x v="3"/>
    <s v="PHN-6832"/>
    <n v="1173.83"/>
    <n v="2328.9"/>
    <n v="0.12"/>
    <n v="17"/>
    <s v="Valid"/>
    <n v="2328.9"/>
    <b v="0"/>
    <n v="0.12"/>
    <n v="17"/>
    <d v="2024-07-03T00:00:00"/>
    <n v="17"/>
    <n v="3954379.0440000002"/>
    <n v="39591.300000000003"/>
    <n v="3914787.7440000004"/>
    <n v="0.98998798558269929"/>
    <s v="Jun-2024"/>
    <s v="Q2-2024"/>
    <s v="Africa → South Africa → Johannesburg"/>
    <x v="2"/>
    <s v="Medium"/>
    <s v="SOUTH AFRICA"/>
    <d v="2023-01-07T00:00:00"/>
    <s v="Jan-2023"/>
    <d v="2024-06-30T00:00:00"/>
    <n v="0"/>
  </r>
  <r>
    <s v="ORD-2023-211715"/>
    <d v="2023-10-30T00:00:00"/>
    <d v="2023-11-14T00:00:00"/>
    <s v="Asia"/>
    <x v="3"/>
    <s v="Bengaluru"/>
    <s v="Corporate"/>
    <s v="Online"/>
    <s v="F. Müller"/>
    <x v="4"/>
    <s v="LAP-2378"/>
    <n v="953.46"/>
    <n v="2066.75"/>
    <n v="0.13800000000000001"/>
    <n v="5"/>
    <s v="Valid"/>
    <n v="2066.75"/>
    <b v="0"/>
    <n v="0.13800000000000001"/>
    <n v="15"/>
    <d v="2023-11-14T00:00:00"/>
    <n v="15"/>
    <n v="1031948.9424999999"/>
    <n v="10333.75"/>
    <n v="1021615.1924999999"/>
    <n v="0.98998618092968294"/>
    <s v="Oct-2023"/>
    <s v="Q4-2023"/>
    <s v="Asia → India → Bengaluru"/>
    <x v="2"/>
    <s v="Low"/>
    <s v="INDIA"/>
    <d v="2023-01-29T00:00:00"/>
    <s v="Jan-2023"/>
    <d v="2023-10-31T00:00:00"/>
    <n v="0"/>
  </r>
  <r>
    <s v="ORD-2023-715175"/>
    <d v="2023-06-15T00:00:00"/>
    <d v="2023-06-23T00:00:00"/>
    <s v="Americas"/>
    <x v="10"/>
    <s v="San Francisco"/>
    <s v="Consumer"/>
    <s v="Distributor"/>
    <s v="O. Wang"/>
    <x v="5"/>
    <s v="MON-5424"/>
    <n v="1097.0899999999999"/>
    <n v="2182.31"/>
    <n v="0.112"/>
    <n v="9"/>
    <s v="Valid"/>
    <n v="2182.31"/>
    <b v="0"/>
    <n v="0.112"/>
    <n v="8"/>
    <d v="2023-06-23T00:00:00"/>
    <n v="8"/>
    <n v="1961879.2315200001"/>
    <n v="19640.79"/>
    <n v="1942238.4415200001"/>
    <n v="0.98998878744193497"/>
    <s v="Jun-2023"/>
    <s v="Q2-2023"/>
    <s v="Americas → USA → San Francisco"/>
    <x v="1"/>
    <s v="Low"/>
    <s v="USA"/>
    <d v="2023-01-13T00:00:00"/>
    <s v="Jan-2023"/>
    <d v="2023-06-30T00:00:00"/>
    <n v="0"/>
  </r>
  <r>
    <s v="ORD-2025-685236"/>
    <d v="2025-03-14T00:00:00"/>
    <d v="2025-03-29T00:00:00"/>
    <s v="Asia"/>
    <x v="6"/>
    <s v="Tokyo"/>
    <s v="Non-Profit"/>
    <s v="Direct"/>
    <s v="H. Kim"/>
    <x v="2"/>
    <s v="NET-8430"/>
    <n v="1106.96"/>
    <n v="2726.62"/>
    <n v="0.317"/>
    <n v="7"/>
    <s v="Valid"/>
    <n v="2726.62"/>
    <s v="Excess"/>
    <n v="0.3"/>
    <n v="15"/>
    <d v="2025-03-29T00:00:00"/>
    <n v="15"/>
    <n v="1902908.098"/>
    <n v="19086.34"/>
    <n v="1883821.7579999999"/>
    <n v="0.98996990972918752"/>
    <s v="Mar-2025"/>
    <s v="Q1-2025"/>
    <s v="Asia → Japan → Tokyo"/>
    <x v="0"/>
    <s v="High"/>
    <s v="JAPAN"/>
    <d v="2023-03-03T00:00:00"/>
    <s v="Mar-2023"/>
    <d v="2025-03-31T00:00:00"/>
    <n v="0"/>
  </r>
  <r>
    <s v="ORD-2023-274037"/>
    <d v="2023-08-15T00:00:00"/>
    <d v="2023-08-25T00:00:00"/>
    <s v="Africa"/>
    <x v="0"/>
    <s v="Nairobi"/>
    <s v="Small Business"/>
    <s v="Retail"/>
    <s v="N. Brown"/>
    <x v="3"/>
    <s v="PHN-1234"/>
    <n v="91.85"/>
    <n v="111.29"/>
    <n v="0"/>
    <n v="6"/>
    <s v="Valid"/>
    <n v="111.29"/>
    <b v="0"/>
    <n v="0"/>
    <n v="10"/>
    <d v="2023-08-25T00:00:00"/>
    <n v="10"/>
    <n v="66774"/>
    <n v="667.74"/>
    <n v="66106.259999999995"/>
    <n v="0.98999999999999988"/>
    <s v="Aug-2023"/>
    <s v="Q3-2023"/>
    <s v="Africa → Kenya → Nairobi"/>
    <x v="2"/>
    <s v="Low"/>
    <s v="KENYA"/>
    <d v="2023-01-20T00:00:00"/>
    <s v="Jan-2023"/>
    <d v="2023-08-31T00:00:00"/>
    <n v="0"/>
  </r>
  <r>
    <s v="ORD-2025-983096"/>
    <d v="2025-05-17T00:00:00"/>
    <d v="2025-05-28T00:00:00"/>
    <s v="Asia"/>
    <x v="3"/>
    <s v="Bengaluru"/>
    <s v="Corporate"/>
    <s v="Distributor"/>
    <s v="B. Chen"/>
    <x v="4"/>
    <s v="LAP-9016"/>
    <n v="623.4"/>
    <n v="1100.0899999999999"/>
    <n v="0.114"/>
    <n v="12"/>
    <s v="Valid"/>
    <n v="1100.0899999999999"/>
    <b v="0"/>
    <n v="0.114"/>
    <n v="11"/>
    <d v="2025-05-28T00:00:00"/>
    <n v="11"/>
    <n v="1318603.0768799998"/>
    <n v="13201.079999999998"/>
    <n v="1305401.9968799998"/>
    <n v="0.98998858698916758"/>
    <s v="May-2025"/>
    <s v="Q2-2025"/>
    <s v="Asia → India → Bengaluru"/>
    <x v="2"/>
    <s v="High"/>
    <s v="INDIA"/>
    <d v="2023-01-29T00:00:00"/>
    <s v="Jan-2023"/>
    <d v="2025-05-31T00:00:00"/>
    <n v="0"/>
  </r>
  <r>
    <s v="ORD-2024-366010"/>
    <d v="2024-01-13T00:00:00"/>
    <d v="2024-02-05T00:00:00"/>
    <s v="Europe"/>
    <x v="5"/>
    <s v="Frankfurt"/>
    <s v="Education"/>
    <s v="Direct"/>
    <s v="B. Chen"/>
    <x v="4"/>
    <s v="LAP-9931"/>
    <n v="1017.93"/>
    <n v="1529.14"/>
    <n v="0.155"/>
    <n v="12"/>
    <s v="Valid"/>
    <n v="1529.14"/>
    <b v="0"/>
    <n v="0.155"/>
    <n v="23"/>
    <d v="2024-02-05T00:00:00"/>
    <n v="23"/>
    <n v="1832123.7996"/>
    <n v="18349.68"/>
    <n v="1813774.1196000001"/>
    <n v="0.98998447593770345"/>
    <s v="Jan-2024"/>
    <s v="Q1-2024"/>
    <s v="Europe → Germany → Frankfurt"/>
    <x v="2"/>
    <s v="Medium"/>
    <s v="GERMANY"/>
    <d v="2023-01-22T00:00:00"/>
    <s v="Jan-2023"/>
    <d v="2024-01-31T00:00:00"/>
    <n v="0"/>
  </r>
  <r>
    <s v="ORD-2023-610470"/>
    <d v="2023-06-24T00:00:00"/>
    <d v="2023-07-21T00:00:00"/>
    <s v="Asia"/>
    <x v="6"/>
    <s v="Nagoya"/>
    <s v="Consumer"/>
    <s v="Marketplace"/>
    <s v="J. Njeri"/>
    <x v="3"/>
    <s v="PHN-6818"/>
    <n v="554.76"/>
    <n v="728.69"/>
    <n v="0.22"/>
    <n v="7"/>
    <s v="Valid"/>
    <n v="728.69"/>
    <b v="0"/>
    <n v="0.22"/>
    <n v="27"/>
    <d v="2023-07-21T00:00:00"/>
    <n v="27"/>
    <n v="508960.8174"/>
    <n v="5100.83"/>
    <n v="503859.98739999998"/>
    <n v="0.98997795149328516"/>
    <s v="Jun-2023"/>
    <s v="Q2-2023"/>
    <s v="Asia → Japan → Nagoya"/>
    <x v="2"/>
    <s v="Low"/>
    <s v="JAPAN"/>
    <d v="2023-03-03T00:00:00"/>
    <s v="Mar-2023"/>
    <d v="2023-06-30T00:00:00"/>
    <n v="0"/>
  </r>
  <r>
    <s v="ORD-2025-541048"/>
    <d v="2025-04-04T00:00:00"/>
    <d v="2025-04-13T00:00:00"/>
    <s v="Europe"/>
    <x v="5"/>
    <s v="Munich"/>
    <s v="Consumer"/>
    <s v="Marketplace"/>
    <s v="F. Müller"/>
    <x v="3"/>
    <s v="PHN-3803"/>
    <n v="7.02"/>
    <n v="6.28"/>
    <n v="0.13400000000000001"/>
    <n v="14"/>
    <s v="Valid"/>
    <n v="6.28"/>
    <b v="0"/>
    <n v="0.13400000000000001"/>
    <n v="9"/>
    <d v="2025-04-13T00:00:00"/>
    <n v="9"/>
    <n v="8780.2187200000008"/>
    <n v="87.92"/>
    <n v="8692.2987200000007"/>
    <n v="0.98998658201990664"/>
    <s v="Apr-2025"/>
    <s v="Q2-2025"/>
    <s v="Europe → Germany → Munich"/>
    <x v="2"/>
    <s v="High"/>
    <s v="GERMANY"/>
    <d v="2023-01-22T00:00:00"/>
    <s v="Jan-2023"/>
    <d v="2025-04-30T00:00:00"/>
    <n v="0"/>
  </r>
  <r>
    <s v="ORD-2024-862371"/>
    <d v="2024-09-07T00:00:00"/>
    <d v="2024-09-07T00:00:00"/>
    <s v="Asia"/>
    <x v="3"/>
    <s v="Mumbai"/>
    <s v="Education"/>
    <s v="Distributor"/>
    <s v="B. Chen"/>
    <x v="2"/>
    <s v="NET-9835"/>
    <n v="1066.6500000000001"/>
    <n v="2569.77"/>
    <n v="0.13400000000000001"/>
    <n v="9"/>
    <s v="Valid"/>
    <n v="2569.77"/>
    <b v="0"/>
    <n v="0.13400000000000001"/>
    <n v="0"/>
    <d v="2024-09-07T00:00:00"/>
    <n v="0"/>
    <n v="2309693.8573799999"/>
    <n v="23127.93"/>
    <n v="2286565.9273799998"/>
    <n v="0.98998658201990664"/>
    <s v="Sep-2024"/>
    <s v="Q3-2024"/>
    <s v="Asia → India → Mumbai"/>
    <x v="0"/>
    <s v="Medium"/>
    <s v="INDIA"/>
    <d v="2023-01-29T00:00:00"/>
    <s v="Jan-2023"/>
    <d v="2024-09-30T00:00:00"/>
    <n v="1"/>
  </r>
  <r>
    <s v="ORD-2024-277241"/>
    <d v="2024-01-28T00:00:00"/>
    <d v="2024-01-30T00:00:00"/>
    <s v="Africa"/>
    <x v="11"/>
    <s v="Cape Town"/>
    <s v="Consumer"/>
    <s v="Direct"/>
    <s v="F. Müller"/>
    <x v="6"/>
    <s v="ACC-6223"/>
    <n v="798.45"/>
    <n v="1592.02"/>
    <n v="6.6000000000000003E-2"/>
    <n v="18"/>
    <s v="Valid"/>
    <n v="1592.02"/>
    <b v="0"/>
    <n v="6.6000000000000003E-2"/>
    <n v="2"/>
    <d v="2024-01-30T00:00:00"/>
    <n v="2"/>
    <n v="2863744.6802400001"/>
    <n v="28656.36"/>
    <n v="2835088.3202400003"/>
    <n v="0.98999339564112321"/>
    <s v="Jan-2024"/>
    <s v="Q1-2024"/>
    <s v="Africa → South Africa → Cape Town"/>
    <x v="0"/>
    <s v="Medium"/>
    <s v="SOUTH AFRICA"/>
    <d v="2023-01-07T00:00:00"/>
    <s v="Jan-2023"/>
    <d v="2024-01-31T00:00:00"/>
    <n v="1"/>
  </r>
  <r>
    <s v="ORD-2023-369150"/>
    <d v="2023-07-18T00:00:00"/>
    <d v="2023-08-10T00:00:00"/>
    <s v="Africa"/>
    <x v="11"/>
    <s v="Johannesburg"/>
    <s v="Small Business"/>
    <s v="Retail"/>
    <s v="L. Okafor"/>
    <x v="0"/>
    <s v="CMP-8659"/>
    <n v="1271.56"/>
    <n v="995.47"/>
    <n v="0.192"/>
    <n v="13"/>
    <s v="Valid"/>
    <n v="995.47"/>
    <b v="0"/>
    <n v="0.192"/>
    <n v="23"/>
    <d v="2023-08-10T00:00:00"/>
    <n v="23"/>
    <n v="1291626.30688"/>
    <n v="12941.11"/>
    <n v="1278685.1968799999"/>
    <n v="0.98998076306508487"/>
    <s v="Jul-2023"/>
    <s v="Q3-2023"/>
    <s v="Africa → South Africa → Johannesburg"/>
    <x v="0"/>
    <s v="Low"/>
    <s v="SOUTH AFRICA"/>
    <d v="2023-01-07T00:00:00"/>
    <s v="Jan-2023"/>
    <d v="2023-07-31T00:00:00"/>
    <n v="0"/>
  </r>
  <r>
    <s v="ORD-2025-922513"/>
    <d v="2025-08-28T00:00:00"/>
    <d v="2025-08-26T00:00:00"/>
    <s v="Africa"/>
    <x v="1"/>
    <s v="Port Harcourt"/>
    <s v="Small Business"/>
    <s v="Retail"/>
    <s v="A. Patel"/>
    <x v="6"/>
    <s v="ACC-4483"/>
    <n v="521.05999999999995"/>
    <n v="1240.31"/>
    <n v="0.14599999999999999"/>
    <n v="18"/>
    <s v="Valid"/>
    <n v="1240.31"/>
    <b v="0"/>
    <n v="0.14599999999999999"/>
    <n v="-2"/>
    <d v="2025-09-04T00:00:00"/>
    <n v="7"/>
    <n v="2229298.46532"/>
    <n v="22325.579999999998"/>
    <n v="2206972.8853199999"/>
    <n v="0.98998537865283309"/>
    <s v="Aug-2025"/>
    <s v="Q3-2025"/>
    <s v="Africa → Nigeria → Port Harcourt"/>
    <x v="0"/>
    <s v="High"/>
    <s v="NIGERIA"/>
    <d v="2023-01-15T00:00:00"/>
    <s v="Jan-2023"/>
    <d v="2025-08-31T00:00:00"/>
    <n v="1"/>
  </r>
  <r>
    <s v="ORD-2025-752845"/>
    <d v="2025-03-30T00:00:00"/>
    <d v="2025-04-07T00:00:00"/>
    <s v="Americas"/>
    <x v="4"/>
    <s v="São Paulo"/>
    <s v="Non-Profit"/>
    <s v="Direct"/>
    <s v="L. Okafor"/>
    <x v="1"/>
    <s v="PRN-8763"/>
    <n v="71.62"/>
    <n v="118.37"/>
    <n v="0.156"/>
    <n v="11"/>
    <s v="Valid"/>
    <n v="118.37"/>
    <b v="0"/>
    <n v="0.156"/>
    <n v="8"/>
    <d v="2025-04-07T00:00:00"/>
    <n v="8"/>
    <n v="130003.87708000001"/>
    <n v="1302.0700000000002"/>
    <n v="128701.80708"/>
    <n v="0.98998437562597652"/>
    <s v="Mar-2025"/>
    <s v="Q1-2025"/>
    <s v="Americas → Brazil → São Paulo"/>
    <x v="1"/>
    <s v="High"/>
    <s v="BRAZIL"/>
    <d v="2023-01-29T00:00:00"/>
    <s v="Jan-2023"/>
    <d v="2025-03-31T00:00:00"/>
    <n v="0"/>
  </r>
  <r>
    <s v="ORD-2023-667815"/>
    <d v="2023-10-21T00:00:00"/>
    <d v="2023-11-09T00:00:00"/>
    <s v="Europe"/>
    <x v="8"/>
    <s v="London"/>
    <s v="Non-Profit"/>
    <s v="Direct"/>
    <s v="A. Patel"/>
    <x v="6"/>
    <s v="ACC-8557"/>
    <n v="1142.48"/>
    <n v="2105.5300000000002"/>
    <n v="0.20699999999999999"/>
    <n v="14"/>
    <s v="Valid"/>
    <n v="2105.5300000000002"/>
    <b v="0"/>
    <n v="0.20699999999999999"/>
    <n v="19"/>
    <d v="2023-11-09T00:00:00"/>
    <n v="19"/>
    <n v="2941640.1740600006"/>
    <n v="29477.420000000002"/>
    <n v="2912162.7540600006"/>
    <n v="0.98997925706211864"/>
    <s v="Oct-2023"/>
    <s v="Q4-2023"/>
    <s v="Europe → United Kingdom → London"/>
    <x v="0"/>
    <s v="Low"/>
    <s v="UNITED KINGDOM"/>
    <d v="2023-01-19T00:00:00"/>
    <s v="Jan-2023"/>
    <d v="2023-10-31T00:00:00"/>
    <n v="0"/>
  </r>
  <r>
    <s v="ORD-2023-375011"/>
    <d v="2023-08-23T00:00:00"/>
    <d v="2023-09-22T00:00:00"/>
    <s v="Europe"/>
    <x v="8"/>
    <s v="London"/>
    <s v="Consumer"/>
    <s v="Distributor"/>
    <s v="O. Wang"/>
    <x v="6"/>
    <s v="ACC-1492"/>
    <n v="209.81"/>
    <n v="523"/>
    <n v="5.8999999999999997E-2"/>
    <n v="15"/>
    <s v="Valid"/>
    <n v="523"/>
    <b v="0"/>
    <n v="5.8999999999999997E-2"/>
    <n v="30"/>
    <d v="2023-09-22T00:00:00"/>
    <n v="30"/>
    <n v="784037.14500000002"/>
    <n v="7845"/>
    <n v="776192.14500000002"/>
    <n v="0.98999409651694503"/>
    <s v="Aug-2023"/>
    <s v="Q3-2023"/>
    <s v="Europe → United Kingdom → London"/>
    <x v="0"/>
    <s v="Low"/>
    <s v="UNITED KINGDOM"/>
    <d v="2023-01-19T00:00:00"/>
    <s v="Jan-2023"/>
    <d v="2023-08-31T00:00:00"/>
    <n v="0"/>
  </r>
  <r>
    <s v="ORD-2025-487025"/>
    <d v="2025-04-11T00:00:00"/>
    <d v="2025-05-04T00:00:00"/>
    <s v="Asia"/>
    <x v="6"/>
    <s v="Osaka"/>
    <s v="Small Business"/>
    <s v="Online"/>
    <s v="M. Rossi"/>
    <x v="0"/>
    <s v="CMP-3743"/>
    <n v="786.2"/>
    <n v="1075.3"/>
    <n v="0.08"/>
    <n v="9"/>
    <s v="Valid"/>
    <n v="1075.3"/>
    <b v="0"/>
    <n v="0.08"/>
    <n v="23"/>
    <d v="2025-05-04T00:00:00"/>
    <n v="23"/>
    <n v="966995.78399999987"/>
    <n v="9677.6999999999989"/>
    <n v="957318.08399999992"/>
    <n v="0.989991993594876"/>
    <s v="Apr-2025"/>
    <s v="Q2-2025"/>
    <s v="Asia → Japan → Osaka"/>
    <x v="0"/>
    <s v="High"/>
    <s v="JAPAN"/>
    <d v="2023-03-03T00:00:00"/>
    <s v="Mar-2023"/>
    <d v="2025-04-30T00:00:00"/>
    <n v="0"/>
  </r>
  <r>
    <s v="ORD-2025-398335"/>
    <d v="2025-06-01T00:00:00"/>
    <d v="2025-06-27T00:00:00"/>
    <s v="Europe"/>
    <x v="5"/>
    <s v="Munich"/>
    <s v="Consumer"/>
    <s v="Distributor"/>
    <s v="E. Garcia"/>
    <x v="4"/>
    <s v="LAP-1619"/>
    <n v="1362.31"/>
    <n v="3294.57"/>
    <n v="0.113"/>
    <n v="7"/>
    <s v="Valid"/>
    <n v="3294.57"/>
    <b v="0"/>
    <n v="0.113"/>
    <n v="26"/>
    <d v="2025-06-27T00:00:00"/>
    <n v="26"/>
    <n v="2303592.9951300002"/>
    <n v="23061.99"/>
    <n v="2280531.0051299999"/>
    <n v="0.98998868721655464"/>
    <s v="Jun-2025"/>
    <s v="Q2-2025"/>
    <s v="Europe → Germany → Munich"/>
    <x v="2"/>
    <s v="High"/>
    <s v="GERMANY"/>
    <d v="2023-01-22T00:00:00"/>
    <s v="Jan-2023"/>
    <d v="2025-06-30T00:00:00"/>
    <n v="0"/>
  </r>
  <r>
    <s v="ORD-2024-792137"/>
    <d v="2024-03-02T00:00:00"/>
    <d v="2024-03-16T00:00:00"/>
    <s v="Americas"/>
    <x v="2"/>
    <s v="Vancouver"/>
    <s v="Non-Profit"/>
    <s v="Direct"/>
    <s v="O. Wang"/>
    <x v="1"/>
    <s v="PRN-7976"/>
    <n v="248.24"/>
    <n v="464.05"/>
    <n v="0.16900000000000001"/>
    <n v="11"/>
    <s v="Valid"/>
    <n v="464.05"/>
    <b v="0"/>
    <n v="0.16900000000000001"/>
    <n v="14"/>
    <d v="2024-03-16T00:00:00"/>
    <n v="14"/>
    <n v="509592.33105000004"/>
    <n v="5104.55"/>
    <n v="504487.78105000005"/>
    <n v="0.98998307139065023"/>
    <s v="Mar-2024"/>
    <s v="Q1-2024"/>
    <s v="Americas → Canada → Vancouver"/>
    <x v="1"/>
    <s v="Medium"/>
    <s v="CANADA"/>
    <d v="2023-01-02T00:00:00"/>
    <s v="Jan-2023"/>
    <d v="2024-03-31T00:00:00"/>
    <n v="0"/>
  </r>
  <r>
    <s v="ORD-2023-602648"/>
    <d v="2023-06-20T00:00:00"/>
    <d v="2023-07-08T00:00:00"/>
    <s v="Americas"/>
    <x v="10"/>
    <s v="Austin"/>
    <s v="Non-Profit"/>
    <s v="Direct"/>
    <s v="F. Müller"/>
    <x v="5"/>
    <s v="MON-4326"/>
    <n v="337"/>
    <n v="511.03"/>
    <n v="0.108"/>
    <n v="7"/>
    <s v="Valid"/>
    <n v="511.03"/>
    <b v="0"/>
    <n v="0.108"/>
    <n v="18"/>
    <d v="2023-07-08T00:00:00"/>
    <n v="18"/>
    <n v="357334.66132000001"/>
    <n v="3577.21"/>
    <n v="353757.45131999999"/>
    <n v="0.98998918832338922"/>
    <s v="Jun-2023"/>
    <s v="Q2-2023"/>
    <s v="Americas → USA → Austin"/>
    <x v="1"/>
    <s v="Low"/>
    <s v="USA"/>
    <d v="2023-01-13T00:00:00"/>
    <s v="Jan-2023"/>
    <d v="2023-06-30T00:00:00"/>
    <n v="0"/>
  </r>
  <r>
    <s v="ORD-2024-207096"/>
    <d v="2024-03-26T00:00:00"/>
    <d v="2024-04-05T00:00:00"/>
    <s v="Americas"/>
    <x v="10"/>
    <s v="Austin"/>
    <s v="Consumer"/>
    <s v="Direct"/>
    <s v="J. Njeri"/>
    <x v="5"/>
    <s v="MON-5444"/>
    <n v="5.66"/>
    <n v="4.22"/>
    <n v="0.11899999999999999"/>
    <n v="18"/>
    <s v="Valid"/>
    <n v="4.22"/>
    <b v="0"/>
    <n v="0.11899999999999999"/>
    <n v="10"/>
    <d v="2024-04-05T00:00:00"/>
    <n v="10"/>
    <n v="7586.960759999999"/>
    <n v="75.959999999999994"/>
    <n v="7511.000759999999"/>
    <n v="0.98998808582212827"/>
    <s v="Mar-2024"/>
    <s v="Q1-2024"/>
    <s v="Americas → USA → Austin"/>
    <x v="1"/>
    <s v="Medium"/>
    <s v="USA"/>
    <d v="2023-01-13T00:00:00"/>
    <s v="Jan-2023"/>
    <d v="2024-03-31T00:00:00"/>
    <n v="0"/>
  </r>
  <r>
    <s v="ORD-2025-939953"/>
    <d v="2025-01-22T00:00:00"/>
    <d v="2025-01-22T00:00:00"/>
    <s v="Europe"/>
    <x v="7"/>
    <s v="Lyon"/>
    <s v="Small Business"/>
    <s v="Online"/>
    <s v="B. Chen"/>
    <x v="6"/>
    <s v="ACC-5422"/>
    <n v="591.72"/>
    <n v="577.24"/>
    <n v="0"/>
    <n v="22"/>
    <s v="Valid"/>
    <n v="577.24"/>
    <b v="0"/>
    <n v="0"/>
    <n v="0"/>
    <d v="2025-01-22T00:00:00"/>
    <n v="0"/>
    <n v="1269928"/>
    <n v="12699.28"/>
    <n v="1257228.72"/>
    <n v="0.99"/>
    <s v="Jan-2025"/>
    <s v="Q1-2025"/>
    <s v="Europe → France → Lyon"/>
    <x v="0"/>
    <s v="High"/>
    <s v="FRANCE"/>
    <d v="2023-01-10T00:00:00"/>
    <s v="Jan-2023"/>
    <d v="2025-01-31T00:00:00"/>
    <n v="1"/>
  </r>
  <r>
    <s v="ORD-2025-191328"/>
    <d v="2025-05-10T00:00:00"/>
    <d v="2025-05-27T00:00:00"/>
    <s v="Americas"/>
    <x v="2"/>
    <s v="Vancouver"/>
    <s v="Education"/>
    <s v="Direct"/>
    <s v="C. Otieno"/>
    <x v="0"/>
    <s v="CMP-9307"/>
    <n v="862.89"/>
    <n v="1426.03"/>
    <n v="5.6000000000000001E-2"/>
    <n v="19"/>
    <s v="Valid"/>
    <n v="1426.03"/>
    <b v="0"/>
    <n v="5.6000000000000001E-2"/>
    <n v="17"/>
    <d v="2025-05-27T00:00:00"/>
    <n v="17"/>
    <n v="2707939.7040800001"/>
    <n v="27094.57"/>
    <n v="2680845.1340800002"/>
    <n v="0.98999439686224289"/>
    <s v="May-2025"/>
    <s v="Q2-2025"/>
    <s v="Americas → Canada → Vancouver"/>
    <x v="0"/>
    <s v="High"/>
    <s v="CANADA"/>
    <d v="2023-01-02T00:00:00"/>
    <s v="Jan-2023"/>
    <d v="2025-05-31T00:00:00"/>
    <n v="0"/>
  </r>
  <r>
    <s v="ORD-2023-166668"/>
    <d v="2023-10-05T00:00:00"/>
    <d v="2023-10-31T00:00:00"/>
    <s v="Asia"/>
    <x v="9"/>
    <s v="Shanghai"/>
    <s v="Consumer"/>
    <s v="Unknown Channel "/>
    <s v="J. Njeri"/>
    <x v="1"/>
    <s v="PRN-6520"/>
    <n v="649.91"/>
    <n v="1360.12"/>
    <n v="0.19400000000000001"/>
    <n v="9"/>
    <s v="Valid"/>
    <n v="1360.12"/>
    <b v="0"/>
    <n v="0.19400000000000001"/>
    <n v="26"/>
    <d v="2023-10-31T00:00:00"/>
    <n v="26"/>
    <n v="1221733.2304799997"/>
    <n v="12241.079999999998"/>
    <n v="1209492.1504799996"/>
    <n v="0.98998056229084419"/>
    <s v="Oct-2023"/>
    <s v="Q4-2023"/>
    <s v="Asia → China → Shanghai"/>
    <x v="1"/>
    <s v="Low"/>
    <s v="CHINA"/>
    <d v="2023-01-12T00:00:00"/>
    <s v="Jan-2023"/>
    <d v="2023-10-31T00:00:00"/>
    <n v="0"/>
  </r>
  <r>
    <s v="ORD-2023-594700"/>
    <d v="2023-07-18T00:00:00"/>
    <d v="2023-07-22T00:00:00"/>
    <s v="Americas"/>
    <x v="4"/>
    <s v="São Paulo"/>
    <s v="Consumer"/>
    <s v="Direct"/>
    <s v="F. Müller"/>
    <x v="2"/>
    <s v="NET-1699"/>
    <n v="1269.55"/>
    <n v="2071.1"/>
    <n v="0.129"/>
    <n v="22"/>
    <s v="Valid"/>
    <n v="2071.1"/>
    <b v="0"/>
    <n v="0.129"/>
    <n v="4"/>
    <d v="2023-07-22T00:00:00"/>
    <n v="4"/>
    <n v="4550542.2181999991"/>
    <n v="45564.2"/>
    <n v="4504978.0181999989"/>
    <n v="0.98998708333750529"/>
    <s v="Jul-2023"/>
    <s v="Q3-2023"/>
    <s v="Americas → Brazil → São Paulo"/>
    <x v="0"/>
    <s v="Low"/>
    <s v="BRAZIL"/>
    <d v="2023-01-29T00:00:00"/>
    <s v="Jan-2023"/>
    <d v="2023-07-31T00:00:00"/>
    <n v="1"/>
  </r>
  <r>
    <s v="ORD-2025-278048"/>
    <d v="2025-06-22T00:00:00"/>
    <d v="2025-07-08T00:00:00"/>
    <s v="Europe"/>
    <x v="8"/>
    <s v="London"/>
    <s v="Education"/>
    <s v="Direct"/>
    <s v="A. Patel"/>
    <x v="3"/>
    <s v="PHN-5316"/>
    <n v="892.73"/>
    <n v="979.84"/>
    <n v="0.17399999999999999"/>
    <n v="10"/>
    <s v="Valid"/>
    <n v="979.84"/>
    <b v="0"/>
    <n v="0.17399999999999999"/>
    <n v="16"/>
    <d v="2025-07-08T00:00:00"/>
    <n v="16"/>
    <n v="978135.07839999988"/>
    <n v="9798.4"/>
    <n v="968336.67839999986"/>
    <n v="0.98998256967122789"/>
    <s v="Jun-2025"/>
    <s v="Q2-2025"/>
    <s v="Europe → United Kingdom → London"/>
    <x v="2"/>
    <s v="High"/>
    <s v="UNITED KINGDOM"/>
    <d v="2023-01-19T00:00:00"/>
    <s v="Jan-2023"/>
    <d v="2025-06-30T00:00:00"/>
    <n v="0"/>
  </r>
  <r>
    <s v="ORD-2024-878493"/>
    <d v="2024-06-19T00:00:00"/>
    <d v="2024-06-20T00:00:00"/>
    <s v="Africa"/>
    <x v="0"/>
    <s v="Kisumu"/>
    <s v="Small Business"/>
    <s v="Direct"/>
    <s v="J. Njeri"/>
    <x v="4"/>
    <s v="LAP-4607"/>
    <n v="231.63"/>
    <n v="537.39"/>
    <n v="0.08"/>
    <n v="12"/>
    <s v="Valid"/>
    <n v="537.39"/>
    <b v="0"/>
    <n v="0.08"/>
    <n v="1"/>
    <d v="2024-06-20T00:00:00"/>
    <n v="1"/>
    <n v="644352.10560000001"/>
    <n v="6448.68"/>
    <n v="637903.42559999996"/>
    <n v="0.98999199359487577"/>
    <s v="Jun-2024"/>
    <s v="Q2-2024"/>
    <s v="Africa → Kenya → Kisumu"/>
    <x v="2"/>
    <s v="Medium"/>
    <s v="KENYA"/>
    <d v="2023-01-20T00:00:00"/>
    <s v="Jan-2023"/>
    <d v="2024-06-30T00:00:00"/>
    <n v="1"/>
  </r>
  <r>
    <s v="ORD-2025-138578"/>
    <d v="2025-04-09T00:00:00"/>
    <d v="2025-04-12T00:00:00"/>
    <s v="Europe"/>
    <x v="7"/>
    <s v="Lyon"/>
    <s v="Small Business"/>
    <s v="Distributor"/>
    <s v="H. Kim"/>
    <x v="5"/>
    <s v="MON-5276"/>
    <n v="86.68"/>
    <n v="213.32"/>
    <n v="3.7999999999999999E-2"/>
    <n v="8"/>
    <s v="Valid"/>
    <n v="213.32"/>
    <b v="0"/>
    <n v="3.7999999999999999E-2"/>
    <n v="3"/>
    <d v="2025-04-12T00:00:00"/>
    <n v="3"/>
    <n v="170591.15072000001"/>
    <n v="1706.56"/>
    <n v="168884.59072000001"/>
    <n v="0.98999619855545107"/>
    <s v="Apr-2025"/>
    <s v="Q2-2025"/>
    <s v="Europe → France → Lyon"/>
    <x v="1"/>
    <s v="High"/>
    <s v="FRANCE"/>
    <d v="2023-01-10T00:00:00"/>
    <s v="Jan-2023"/>
    <d v="2025-04-30T00:00:00"/>
    <n v="1"/>
  </r>
  <r>
    <s v="ORD-2025-944081"/>
    <d v="2025-03-25T00:00:00"/>
    <d v="2025-03-26T00:00:00"/>
    <s v="Africa"/>
    <x v="1"/>
    <s v="Lagos"/>
    <s v="Education"/>
    <s v="Distributor"/>
    <s v="G. Dubois"/>
    <x v="6"/>
    <s v="ACC-9533"/>
    <n v="1450.43"/>
    <n v="1994.67"/>
    <n v="0.1"/>
    <n v="24"/>
    <s v="Valid"/>
    <n v="1994.67"/>
    <b v="0"/>
    <n v="0.1"/>
    <n v="1"/>
    <d v="2025-03-26T00:00:00"/>
    <n v="1"/>
    <n v="4782420.7920000004"/>
    <n v="47872.08"/>
    <n v="4734548.7120000003"/>
    <n v="0.98998998998998999"/>
    <s v="Mar-2025"/>
    <s v="Q1-2025"/>
    <s v="Africa → Nigeria → Lagos"/>
    <x v="0"/>
    <s v="High"/>
    <s v="NIGERIA"/>
    <d v="2023-01-15T00:00:00"/>
    <s v="Jan-2023"/>
    <d v="2025-03-31T00:00:00"/>
    <n v="1"/>
  </r>
  <r>
    <s v="ORD-2025-364852"/>
    <d v="2025-05-18T00:00:00"/>
    <d v="2025-06-09T00:00:00"/>
    <s v="Americas"/>
    <x v="10"/>
    <s v="New York"/>
    <s v="Consumer"/>
    <s v="Retail"/>
    <s v="H. Kim"/>
    <x v="2"/>
    <s v="NET-3749"/>
    <n v="382.96"/>
    <n v="552.84"/>
    <n v="0.17599999999999999"/>
    <n v="8"/>
    <s v="Valid"/>
    <n v="552.84"/>
    <b v="0"/>
    <n v="0.17599999999999999"/>
    <n v="22"/>
    <d v="2025-06-09T00:00:00"/>
    <n v="22"/>
    <n v="441493.60128"/>
    <n v="4422.72"/>
    <n v="437070.88128000003"/>
    <n v="0.98998236896938618"/>
    <s v="May-2025"/>
    <s v="Q2-2025"/>
    <s v="Americas → USA → New York"/>
    <x v="0"/>
    <s v="High"/>
    <s v="USA"/>
    <d v="2023-01-13T00:00:00"/>
    <s v="Jan-2023"/>
    <d v="2025-05-31T00:00:00"/>
    <n v="0"/>
  </r>
  <r>
    <s v="ORD-2025-415018"/>
    <d v="2025-01-22T00:00:00"/>
    <d v="2025-02-04T00:00:00"/>
    <s v="Asia"/>
    <x v="6"/>
    <s v="Tokyo"/>
    <s v="Small Business"/>
    <s v="Distributor"/>
    <s v="L. Okafor"/>
    <x v="1"/>
    <s v="PRN-2991"/>
    <n v="122.29"/>
    <n v="224.95"/>
    <n v="0.153"/>
    <n v="28"/>
    <s v="Valid"/>
    <n v="224.95"/>
    <b v="0"/>
    <n v="0.153"/>
    <n v="13"/>
    <d v="2025-02-04T00:00:00"/>
    <n v="13"/>
    <n v="628896.31419999991"/>
    <n v="6298.5999999999995"/>
    <n v="622597.71419999993"/>
    <n v="0.98998467655512934"/>
    <s v="Jan-2025"/>
    <s v="Q1-2025"/>
    <s v="Asia → Japan → Tokyo"/>
    <x v="1"/>
    <s v="High"/>
    <s v="JAPAN"/>
    <d v="2023-03-03T00:00:00"/>
    <s v="Mar-2023"/>
    <d v="2025-01-31T00:00:00"/>
    <n v="0"/>
  </r>
  <r>
    <s v="ORD-2023-884192"/>
    <d v="2023-01-10T00:00:00"/>
    <d v="2023-01-29T00:00:00"/>
    <s v="Europe"/>
    <x v="7"/>
    <s v="Lyon"/>
    <s v="Non-Profit"/>
    <s v="Direct"/>
    <s v="D. Smith"/>
    <x v="4"/>
    <s v="LAP-4551"/>
    <n v="401.66"/>
    <n v="772.09"/>
    <n v="8.8999999999999996E-2"/>
    <n v="14"/>
    <s v="Valid"/>
    <n v="772.09"/>
    <b v="0"/>
    <n v="8.8999999999999996E-2"/>
    <n v="19"/>
    <d v="2023-01-29T00:00:00"/>
    <n v="19"/>
    <n v="1079963.9758600001"/>
    <n v="10809.26"/>
    <n v="1069154.7158600001"/>
    <n v="0.98999109207194402"/>
    <s v="Jan-2023"/>
    <s v="Q1-2023"/>
    <s v="Europe → France → Lyon"/>
    <x v="2"/>
    <s v="Low"/>
    <s v="FRANCE"/>
    <d v="2023-01-10T00:00:00"/>
    <s v="Jan-2023"/>
    <d v="2023-01-31T00:00:00"/>
    <n v="0"/>
  </r>
  <r>
    <s v="ORD-2024-165942"/>
    <d v="2024-12-29T00:00:00"/>
    <d v="2025-01-12T00:00:00"/>
    <s v="Europe"/>
    <x v="8"/>
    <s v="Manchester"/>
    <s v="Corporate"/>
    <s v="Direct"/>
    <s v="B. Chen"/>
    <x v="5"/>
    <s v="MON-6310"/>
    <n v="1399.72"/>
    <n v="3149.21"/>
    <n v="0.185"/>
    <n v="12"/>
    <s v="Valid"/>
    <n v="3149.21"/>
    <b v="0"/>
    <n v="0.185"/>
    <n v="14"/>
    <d v="2025-01-12T00:00:00"/>
    <n v="14"/>
    <n v="3772060.7538000005"/>
    <n v="37790.520000000004"/>
    <n v="3734270.2338000005"/>
    <n v="0.98998146571156642"/>
    <s v="Dec-2024"/>
    <s v="Q4-2024"/>
    <s v="Europe → United Kingdom → Manchester"/>
    <x v="1"/>
    <s v="High"/>
    <s v="UNITED KINGDOM"/>
    <d v="2023-01-19T00:00:00"/>
    <s v="Jan-2023"/>
    <d v="2024-12-31T00:00:00"/>
    <n v="0"/>
  </r>
  <r>
    <s v="ORD-2024-403664"/>
    <d v="2024-05-23T00:00:00"/>
    <d v="2024-06-06T00:00:00"/>
    <s v="Americas"/>
    <x v="4"/>
    <s v="Rio de Janeiro"/>
    <s v="Non-Profit"/>
    <s v="Online"/>
    <s v="I. Johnson"/>
    <x v="2"/>
    <s v="NET-1166"/>
    <n v="51.13"/>
    <n v="57.53"/>
    <n v="4.4999999999999998E-2"/>
    <n v="16"/>
    <s v="Valid"/>
    <n v="57.53"/>
    <b v="0"/>
    <n v="4.4999999999999998E-2"/>
    <n v="14"/>
    <d v="2024-06-06T00:00:00"/>
    <n v="14"/>
    <n v="92006.578399999999"/>
    <n v="920.48"/>
    <n v="91086.098400000003"/>
    <n v="0.98999549797408837"/>
    <s v="May-2024"/>
    <s v="Q2-2024"/>
    <s v="Americas → Brazil → Rio de Janeiro"/>
    <x v="0"/>
    <s v="Medium"/>
    <s v="BRAZIL"/>
    <d v="2023-01-29T00:00:00"/>
    <s v="Jan-2023"/>
    <d v="2024-05-31T00:00:00"/>
    <n v="0"/>
  </r>
  <r>
    <s v="ORD-2023-890605"/>
    <d v="2023-06-24T00:00:00"/>
    <d v="2023-06-22T00:00:00"/>
    <s v="Americas"/>
    <x v="2"/>
    <s v="Toronto"/>
    <s v="Non-Profit"/>
    <s v="Retail"/>
    <s v="M. Rossi"/>
    <x v="6"/>
    <s v="ACC-2903"/>
    <n v="471.42"/>
    <n v="824.81"/>
    <n v="8.7999999999999995E-2"/>
    <n v="15"/>
    <s v="Valid"/>
    <n v="824.81"/>
    <b v="0"/>
    <n v="8.7999999999999995E-2"/>
    <n v="-2"/>
    <d v="2023-07-01T00:00:00"/>
    <n v="7"/>
    <n v="1236126.2508"/>
    <n v="12372.15"/>
    <n v="1223754.1008000001"/>
    <n v="0.98999119224917931"/>
    <s v="Jun-2023"/>
    <s v="Q2-2023"/>
    <s v="Americas → Canada → Toronto"/>
    <x v="0"/>
    <s v="Low"/>
    <s v="CANADA"/>
    <d v="2023-01-02T00:00:00"/>
    <s v="Jan-2023"/>
    <d v="2023-06-30T00:00:00"/>
    <n v="1"/>
  </r>
  <r>
    <s v="ORD-2024-925626"/>
    <d v="2024-11-04T00:00:00"/>
    <d v="2024-11-05T00:00:00"/>
    <s v="Europe"/>
    <x v="8"/>
    <s v="London"/>
    <s v="Corporate"/>
    <s v="Retail"/>
    <s v="M. Rossi"/>
    <x v="1"/>
    <s v="PRN-2293"/>
    <n v="840.68"/>
    <n v="1493.53"/>
    <n v="0"/>
    <n v="27"/>
    <s v="Valid"/>
    <n v="1493.53"/>
    <b v="0"/>
    <n v="0"/>
    <n v="1"/>
    <d v="2024-11-05T00:00:00"/>
    <n v="1"/>
    <n v="4032531"/>
    <n v="40325.31"/>
    <n v="3992205.69"/>
    <n v="0.99"/>
    <s v="Nov-2024"/>
    <s v="Q4-2024"/>
    <s v="Europe → United Kingdom → London"/>
    <x v="1"/>
    <s v="High"/>
    <s v="UNITED KINGDOM"/>
    <d v="2023-01-19T00:00:00"/>
    <s v="Jan-2023"/>
    <d v="2024-11-30T00:00:00"/>
    <n v="1"/>
  </r>
  <r>
    <s v="ORD-2024-427031"/>
    <d v="2024-06-08T00:00:00"/>
    <d v="2024-06-24T00:00:00"/>
    <s v="Africa"/>
    <x v="11"/>
    <s v="Durban"/>
    <s v="Education"/>
    <s v="Distributor"/>
    <s v="H. Kim"/>
    <x v="5"/>
    <s v="MON-1389"/>
    <n v="597.85"/>
    <n v="741.92"/>
    <n v="3.1E-2"/>
    <n v="7"/>
    <s v="Valid"/>
    <n v="741.92"/>
    <b v="0"/>
    <n v="3.1E-2"/>
    <n v="16"/>
    <d v="2024-06-24T00:00:00"/>
    <n v="16"/>
    <n v="519183.00335999992"/>
    <n v="5193.4399999999996"/>
    <n v="513989.56335999991"/>
    <n v="0.98999689903870203"/>
    <s v="Jun-2024"/>
    <s v="Q2-2024"/>
    <s v="Africa → South Africa → Durban"/>
    <x v="1"/>
    <s v="Medium"/>
    <s v="SOUTH AFRICA"/>
    <d v="2023-01-07T00:00:00"/>
    <s v="Jan-2023"/>
    <d v="2024-06-30T00:00:00"/>
    <n v="0"/>
  </r>
  <r>
    <s v="ORD-2025-231184"/>
    <d v="2025-06-01T00:00:00"/>
    <d v="2025-06-06T00:00:00"/>
    <s v="Europe"/>
    <x v="7"/>
    <s v="Paris"/>
    <s v="Consumer"/>
    <s v="Distributor"/>
    <s v="G. Dubois"/>
    <x v="0"/>
    <s v="CMP-4093"/>
    <n v="379.45"/>
    <n v="742.23"/>
    <n v="0.09"/>
    <n v="13"/>
    <s v="Valid"/>
    <n v="742.23"/>
    <b v="0"/>
    <n v="0.09"/>
    <n v="5"/>
    <d v="2025-06-06T00:00:00"/>
    <n v="5"/>
    <n v="964030.59089999995"/>
    <n v="9648.99"/>
    <n v="954381.60089999996"/>
    <n v="0.98999099189270345"/>
    <s v="Jun-2025"/>
    <s v="Q2-2025"/>
    <s v="Europe → France → Paris"/>
    <x v="0"/>
    <s v="High"/>
    <s v="FRANCE"/>
    <d v="2023-01-10T00:00:00"/>
    <s v="Jan-2023"/>
    <d v="2025-06-30T00:00:00"/>
    <n v="1"/>
  </r>
  <r>
    <s v="ORD-2023-363031"/>
    <d v="2023-05-06T00:00:00"/>
    <d v="2023-05-14T00:00:00"/>
    <s v="Asia"/>
    <x v="6"/>
    <s v="Osaka"/>
    <s v="Enterprise"/>
    <s v="Marketplace"/>
    <s v="B. Chen"/>
    <x v="3"/>
    <s v="PHN-6131"/>
    <n v="291.18"/>
    <n v="479.54"/>
    <n v="0.14099999999999999"/>
    <n v="22"/>
    <s v="Valid"/>
    <n v="479.54"/>
    <b v="0"/>
    <n v="0.14099999999999999"/>
    <n v="8"/>
    <d v="2023-05-14T00:00:00"/>
    <n v="8"/>
    <n v="1053500.46692"/>
    <n v="10549.880000000001"/>
    <n v="1042950.58692"/>
    <n v="0.98998588009092825"/>
    <s v="May-2023"/>
    <s v="Q2-2023"/>
    <s v="Asia → Japan → Osaka"/>
    <x v="2"/>
    <s v="Low"/>
    <s v="JAPAN"/>
    <d v="2023-03-03T00:00:00"/>
    <s v="Mar-2023"/>
    <d v="2023-05-31T00:00:00"/>
    <n v="0"/>
  </r>
  <r>
    <s v="ORD-2023-619570"/>
    <d v="2023-11-14T00:00:00"/>
    <d v="2023-11-30T00:00:00"/>
    <s v="Americas"/>
    <x v="4"/>
    <s v="São Paulo"/>
    <s v="Enterprise"/>
    <s v="Direct"/>
    <s v="K. Singh"/>
    <x v="2"/>
    <s v="NET-4104"/>
    <n v="1017.92"/>
    <n v="1175.25"/>
    <n v="7.4999999999999997E-2"/>
    <n v="15"/>
    <s v="Valid"/>
    <n v="1175.25"/>
    <b v="0"/>
    <n v="7.4999999999999997E-2"/>
    <n v="16"/>
    <d v="2023-11-30T00:00:00"/>
    <n v="16"/>
    <n v="1761552.84375"/>
    <n v="17628.75"/>
    <n v="1743924.09375"/>
    <n v="0.98999249437077808"/>
    <s v="Nov-2023"/>
    <s v="Q4-2023"/>
    <s v="Americas → Brazil → São Paulo"/>
    <x v="0"/>
    <s v="Low"/>
    <s v="BRAZIL"/>
    <d v="2023-01-29T00:00:00"/>
    <s v="Jan-2023"/>
    <d v="2023-11-30T00:00:00"/>
    <n v="0"/>
  </r>
  <r>
    <s v="ORD-2025-861401"/>
    <d v="2025-04-01T00:00:00"/>
    <d v="2025-04-27T00:00:00"/>
    <s v="Americas"/>
    <x v="10"/>
    <s v="San Francisco"/>
    <s v="Corporate"/>
    <s v="Direct"/>
    <s v="I. Johnson"/>
    <x v="5"/>
    <s v="MON-9319"/>
    <n v="156.55000000000001"/>
    <n v="227.45"/>
    <n v="1.4E-2"/>
    <n v="13"/>
    <s v="Valid"/>
    <n v="227.45"/>
    <b v="0"/>
    <n v="1.4E-2"/>
    <n v="26"/>
    <d v="2025-04-27T00:00:00"/>
    <n v="26"/>
    <n v="295643.6041"/>
    <n v="2956.85"/>
    <n v="292686.75410000002"/>
    <n v="0.98999859980397265"/>
    <s v="Apr-2025"/>
    <s v="Q2-2025"/>
    <s v="Americas → USA → San Francisco"/>
    <x v="1"/>
    <s v="High"/>
    <s v="USA"/>
    <d v="2023-01-13T00:00:00"/>
    <s v="Jan-2023"/>
    <d v="2025-04-30T00:00:00"/>
    <n v="0"/>
  </r>
  <r>
    <s v="ORD-2023-835010"/>
    <d v="2023-03-23T00:00:00"/>
    <d v="2023-04-15T00:00:00"/>
    <s v="Africa"/>
    <x v="0"/>
    <s v="Mombasa"/>
    <s v="Small Business"/>
    <s v="Retail"/>
    <s v="C. Otieno"/>
    <x v="6"/>
    <s v="ACC-2988"/>
    <n v="875.36"/>
    <n v="1178.6199999999999"/>
    <n v="0.151"/>
    <n v="53"/>
    <s v="Valid"/>
    <n v="1178.6199999999999"/>
    <b v="0"/>
    <n v="0.151"/>
    <n v="23"/>
    <d v="2023-04-15T00:00:00"/>
    <n v="23"/>
    <n v="6237253.5041399999"/>
    <n v="62466.859999999993"/>
    <n v="6174786.6441399995"/>
    <n v="0.98998487716451833"/>
    <s v="Mar-2023"/>
    <s v="Q1-2023"/>
    <s v="Africa → Kenya → Mombasa"/>
    <x v="0"/>
    <s v="Low"/>
    <s v="KENYA"/>
    <d v="2023-01-20T00:00:00"/>
    <s v="Jan-2023"/>
    <d v="2023-03-31T00:00:00"/>
    <n v="0"/>
  </r>
  <r>
    <s v="ORD-2024-819979"/>
    <d v="2024-05-28T00:00:00"/>
    <d v="2024-06-18T00:00:00"/>
    <s v="Europe"/>
    <x v="5"/>
    <s v="Frankfurt"/>
    <s v="Small Business"/>
    <s v="Online"/>
    <s v="E. Garcia"/>
    <x v="3"/>
    <s v="PHN-9399"/>
    <n v="986.85"/>
    <n v="2422.1"/>
    <n v="7.5999999999999998E-2"/>
    <n v="10"/>
    <s v="Valid"/>
    <n v="2422.1"/>
    <b v="0"/>
    <n v="7.5999999999999998E-2"/>
    <n v="21"/>
    <d v="2024-06-18T00:00:00"/>
    <n v="21"/>
    <n v="2420259.2040000004"/>
    <n v="24221"/>
    <n v="2396038.2040000004"/>
    <n v="0.98999239421960694"/>
    <s v="May-2024"/>
    <s v="Q2-2024"/>
    <s v="Europe → Germany → Frankfurt"/>
    <x v="2"/>
    <s v="Medium"/>
    <s v="GERMANY"/>
    <d v="2023-01-22T00:00:00"/>
    <s v="Jan-2023"/>
    <d v="2024-05-31T00:00:00"/>
    <n v="0"/>
  </r>
  <r>
    <s v="ORD-2024-719055"/>
    <d v="2024-01-02T00:00:00"/>
    <d v="2024-01-01T00:00:00"/>
    <s v="Americas"/>
    <x v="10"/>
    <s v="Chicago"/>
    <s v="Education"/>
    <s v="Marketplace"/>
    <s v="B. Chen"/>
    <x v="2"/>
    <s v="NET-4554"/>
    <n v="404.77"/>
    <n v="433.88"/>
    <n v="0.215"/>
    <n v="22"/>
    <s v="Valid"/>
    <n v="433.88"/>
    <b v="0"/>
    <n v="0.215"/>
    <n v="-1"/>
    <d v="2024-01-09T00:00:00"/>
    <n v="7"/>
    <n v="952483.7476"/>
    <n v="9545.36"/>
    <n v="942938.38760000002"/>
    <n v="0.98997845367540216"/>
    <s v="Jan-2024"/>
    <s v="Q1-2024"/>
    <s v="Americas → USA → Chicago"/>
    <x v="0"/>
    <s v="Medium"/>
    <s v="USA"/>
    <d v="2023-01-13T00:00:00"/>
    <s v="Jan-2023"/>
    <d v="2024-01-31T00:00:00"/>
    <n v="1"/>
  </r>
  <r>
    <s v="ORD-2023-888245"/>
    <d v="2023-02-28T00:00:00"/>
    <d v="2023-02-27T00:00:00"/>
    <s v="Europe"/>
    <x v="7"/>
    <s v="Marseille"/>
    <s v="Corporate"/>
    <s v="Retail"/>
    <s v="K. Singh"/>
    <x v="2"/>
    <s v="NET-5195"/>
    <n v="1299.81"/>
    <n v="3149.13"/>
    <n v="0.10299999999999999"/>
    <n v="14"/>
    <s v="Valid"/>
    <n v="3149.13"/>
    <b v="0"/>
    <n v="0.10299999999999999"/>
    <n v="-1"/>
    <d v="2023-03-07T00:00:00"/>
    <n v="7"/>
    <n v="4404240.9545400003"/>
    <n v="44087.82"/>
    <n v="4360153.13454"/>
    <n v="0.98998968938006138"/>
    <s v="Feb-2023"/>
    <s v="Q1-2023"/>
    <s v="Europe → France → Marseille"/>
    <x v="0"/>
    <s v="Low"/>
    <s v="FRANCE"/>
    <d v="2023-01-10T00:00:00"/>
    <s v="Jan-2023"/>
    <d v="2023-02-28T00:00:00"/>
    <n v="1"/>
  </r>
  <r>
    <s v="ORD-2024-206121"/>
    <d v="2024-02-18T00:00:00"/>
    <d v="2024-03-11T00:00:00"/>
    <s v="Americas"/>
    <x v="4"/>
    <s v="São Paulo"/>
    <s v="Consumer"/>
    <s v="Online"/>
    <s v="A. Patel"/>
    <x v="0"/>
    <s v="CMP-9801"/>
    <n v="80.48"/>
    <n v="65.650000000000006"/>
    <n v="0.17599999999999999"/>
    <n v="13"/>
    <s v="Valid"/>
    <n v="65.650000000000006"/>
    <b v="0"/>
    <n v="0.17599999999999999"/>
    <n v="22"/>
    <d v="2024-03-11T00:00:00"/>
    <n v="22"/>
    <n v="85194.792799999996"/>
    <n v="853.45"/>
    <n v="84341.342799999999"/>
    <n v="0.98998236896938618"/>
    <s v="Feb-2024"/>
    <s v="Q1-2024"/>
    <s v="Americas → Brazil → São Paulo"/>
    <x v="0"/>
    <s v="Medium"/>
    <s v="BRAZIL"/>
    <d v="2023-01-29T00:00:00"/>
    <s v="Jan-2023"/>
    <d v="2024-02-29T00:00:00"/>
    <n v="0"/>
  </r>
  <r>
    <s v="ORD-2024-500890"/>
    <d v="2024-09-09T00:00:00"/>
    <d v="2024-10-08T00:00:00"/>
    <s v="Americas"/>
    <x v="4"/>
    <s v="São Paulo"/>
    <s v="Education"/>
    <s v="Direct"/>
    <s v="J. Njeri"/>
    <x v="0"/>
    <s v="CMP-3093"/>
    <n v="1010.33"/>
    <n v="2492.14"/>
    <n v="5.0999999999999997E-2"/>
    <n v="11"/>
    <s v="Valid"/>
    <n v="2492.14"/>
    <b v="0"/>
    <n v="5.0999999999999997E-2"/>
    <n v="29"/>
    <d v="2024-10-08T00:00:00"/>
    <n v="29"/>
    <n v="2739955.9094599998"/>
    <n v="27413.539999999997"/>
    <n v="2712542.3694599997"/>
    <n v="0.98999489739767277"/>
    <s v="Sep-2024"/>
    <s v="Q3-2024"/>
    <s v="Americas → Brazil → São Paulo"/>
    <x v="0"/>
    <s v="Medium"/>
    <s v="BRAZIL"/>
    <d v="2023-01-29T00:00:00"/>
    <s v="Jan-2023"/>
    <d v="2024-09-30T00:00:00"/>
    <n v="0"/>
  </r>
  <r>
    <s v="ORD-2023-144816"/>
    <d v="2023-05-07T00:00:00"/>
    <d v="2023-05-29T00:00:00"/>
    <s v="Africa"/>
    <x v="11"/>
    <s v="Durban"/>
    <s v="Education"/>
    <s v="Distributor"/>
    <s v="K. Singh"/>
    <x v="6"/>
    <s v="ACC-2364"/>
    <n v="653.86"/>
    <n v="931.84"/>
    <n v="0.121"/>
    <n v="12"/>
    <s v="Valid"/>
    <n v="931.84"/>
    <b v="0"/>
    <n v="0.121"/>
    <n v="22"/>
    <d v="2023-05-29T00:00:00"/>
    <n v="22"/>
    <n v="1116854.96832"/>
    <n v="11182.08"/>
    <n v="1105672.8883199999"/>
    <n v="0.98998788534126281"/>
    <s v="May-2023"/>
    <s v="Q2-2023"/>
    <s v="Africa → South Africa → Durban"/>
    <x v="0"/>
    <s v="Low"/>
    <s v="SOUTH AFRICA"/>
    <d v="2023-01-07T00:00:00"/>
    <s v="Jan-2023"/>
    <d v="2023-05-31T00:00:00"/>
    <n v="0"/>
  </r>
  <r>
    <s v="ORD-2024-153053"/>
    <d v="2024-01-12T00:00:00"/>
    <d v="2024-01-29T00:00:00"/>
    <s v="Asia"/>
    <x v="3"/>
    <s v="Hyderabad"/>
    <s v="Small Business"/>
    <s v="Direct"/>
    <s v="B. Chen"/>
    <x v="0"/>
    <s v="CMP-5138"/>
    <n v="310.02"/>
    <n v="619.51"/>
    <n v="4.2000000000000003E-2"/>
    <n v="4"/>
    <s v="Valid"/>
    <n v="619.51"/>
    <b v="0"/>
    <n v="4.2000000000000003E-2"/>
    <n v="17"/>
    <d v="2024-01-29T00:00:00"/>
    <n v="17"/>
    <n v="247699.92231999998"/>
    <n v="2478.04"/>
    <n v="245221.88231999998"/>
    <n v="0.98999579823525874"/>
    <s v="Jan-2024"/>
    <s v="Q1-2024"/>
    <s v="Asia → India → Hyderabad"/>
    <x v="0"/>
    <s v="Medium"/>
    <s v="INDIA"/>
    <d v="2023-01-29T00:00:00"/>
    <s v="Jan-2023"/>
    <d v="2024-01-31T00:00:00"/>
    <n v="0"/>
  </r>
  <r>
    <s v="ORD-2023-536542"/>
    <d v="2023-06-10T00:00:00"/>
    <d v="2023-06-18T00:00:00"/>
    <s v="Africa"/>
    <x v="0"/>
    <s v="Nakuru"/>
    <s v="Enterprise"/>
    <s v="Direct"/>
    <s v="H. Kim"/>
    <x v="3"/>
    <s v="PHN-2337"/>
    <n v="894.23"/>
    <n v="1421.55"/>
    <n v="0.109"/>
    <n v="3"/>
    <s v="Valid"/>
    <n v="1421.55"/>
    <b v="0"/>
    <n v="0.109"/>
    <n v="8"/>
    <d v="2023-06-18T00:00:00"/>
    <n v="8"/>
    <n v="426000.15314999997"/>
    <n v="4264.6499999999996"/>
    <n v="421735.50314999995"/>
    <n v="0.98998908810603548"/>
    <s v="Jun-2023"/>
    <s v="Q2-2023"/>
    <s v="Africa → Kenya → Nakuru"/>
    <x v="2"/>
    <s v="Low"/>
    <s v="KENYA"/>
    <d v="2023-01-20T00:00:00"/>
    <s v="Jan-2023"/>
    <d v="2023-06-30T00:00:00"/>
    <n v="0"/>
  </r>
  <r>
    <s v="ORD-2025-779530"/>
    <d v="2025-05-19T00:00:00"/>
    <d v="2025-05-17T00:00:00"/>
    <s v="Americas"/>
    <x v="4"/>
    <s v="São Paulo"/>
    <s v="Small Business"/>
    <s v="Distributor"/>
    <s v="L. Okafor"/>
    <x v="5"/>
    <s v="MON-2993"/>
    <n v="383.77"/>
    <n v="952.56"/>
    <n v="0.34599999999999997"/>
    <n v="10"/>
    <s v="Valid"/>
    <n v="952.56"/>
    <s v="Excess"/>
    <n v="0.3"/>
    <n v="-2"/>
    <d v="2025-05-26T00:00:00"/>
    <n v="7"/>
    <n v="949702.31999999983"/>
    <n v="9525.5999999999985"/>
    <n v="940176.71999999986"/>
    <n v="0.98996990972918764"/>
    <s v="May-2025"/>
    <s v="Q2-2025"/>
    <s v="Americas → Brazil → São Paulo"/>
    <x v="1"/>
    <s v="High"/>
    <s v="BRAZIL"/>
    <d v="2023-01-29T00:00:00"/>
    <s v="Jan-2023"/>
    <d v="2025-05-31T00:00:00"/>
    <n v="1"/>
  </r>
  <r>
    <s v="ORD-2023-163610"/>
    <d v="2023-10-22T00:00:00"/>
    <d v="2023-11-16T00:00:00"/>
    <s v="Americas"/>
    <x v="2"/>
    <s v="Toronto"/>
    <s v="Small Business"/>
    <s v="Marketplace"/>
    <s v="I. Johnson"/>
    <x v="4"/>
    <s v="LAP-9024"/>
    <n v="1373.31"/>
    <n v="3154.14"/>
    <n v="0.2"/>
    <n v="11"/>
    <s v="Valid"/>
    <n v="3154.14"/>
    <b v="0"/>
    <n v="0.2"/>
    <n v="25"/>
    <d v="2023-11-16T00:00:00"/>
    <n v="25"/>
    <n v="3462614.892"/>
    <n v="34695.54"/>
    <n v="3427919.352"/>
    <n v="0.98997995991983967"/>
    <s v="Oct-2023"/>
    <s v="Q4-2023"/>
    <s v="Americas → Canada → Toronto"/>
    <x v="2"/>
    <s v="Low"/>
    <s v="CANADA"/>
    <d v="2023-01-02T00:00:00"/>
    <s v="Jan-2023"/>
    <d v="2023-10-31T00:00:00"/>
    <n v="0"/>
  </r>
  <r>
    <s v="ORD-2025-653781"/>
    <d v="2025-01-11T00:00:00"/>
    <d v="2025-01-23T00:00:00"/>
    <s v="Americas"/>
    <x v="10"/>
    <s v="Austin"/>
    <s v="Consumer"/>
    <s v="Distributor"/>
    <s v="H. Kim"/>
    <x v="3"/>
    <s v="PHN-6307"/>
    <n v="100.69"/>
    <n v="226.14"/>
    <n v="6.5000000000000002E-2"/>
    <n v="12"/>
    <s v="Valid"/>
    <n v="226.14"/>
    <b v="0"/>
    <n v="6.5000000000000002E-2"/>
    <n v="12"/>
    <d v="2025-01-23T00:00:00"/>
    <n v="12"/>
    <n v="271191.61079999997"/>
    <n v="2713.68"/>
    <n v="268477.93079999997"/>
    <n v="0.98999349577225204"/>
    <s v="Jan-2025"/>
    <s v="Q1-2025"/>
    <s v="Americas → USA → Austin"/>
    <x v="2"/>
    <s v="High"/>
    <s v="USA"/>
    <d v="2023-01-13T00:00:00"/>
    <s v="Jan-2023"/>
    <d v="2025-01-31T00:00:00"/>
    <n v="0"/>
  </r>
  <r>
    <s v="ORD-2025-737787"/>
    <d v="2025-09-14T00:00:00"/>
    <d v="2025-09-26T00:00:00"/>
    <s v="Europe"/>
    <x v="8"/>
    <s v="London"/>
    <s v="Small Business"/>
    <s v="Direct"/>
    <s v="N. Brown"/>
    <x v="2"/>
    <s v="NET-9003"/>
    <n v="425.15"/>
    <n v="885.92"/>
    <n v="0.23899999999999999"/>
    <n v="13"/>
    <s v="Valid"/>
    <n v="885.92"/>
    <b v="0"/>
    <n v="0.23899999999999999"/>
    <n v="12"/>
    <d v="2025-09-26T00:00:00"/>
    <n v="12"/>
    <n v="1148943.4465599998"/>
    <n v="11516.96"/>
    <n v="1137426.4865599999"/>
    <n v="0.98997604274215378"/>
    <s v="Sep-2025"/>
    <s v="Q3-2025"/>
    <s v="Europe → United Kingdom → London"/>
    <x v="0"/>
    <s v="High"/>
    <s v="UNITED KINGDOM"/>
    <d v="2023-01-19T00:00:00"/>
    <s v="Jan-2023"/>
    <d v="2025-09-30T00:00:00"/>
    <n v="0"/>
  </r>
  <r>
    <s v="ORD-2023-944052"/>
    <d v="2023-08-30T00:00:00"/>
    <d v="2023-09-03T00:00:00"/>
    <s v="Asia"/>
    <x v="3"/>
    <s v="Delhi"/>
    <s v="Small Business"/>
    <s v="Marketplace"/>
    <s v="L. Okafor"/>
    <x v="6"/>
    <s v="ACC-3068"/>
    <n v="1082.25"/>
    <n v="2433.34"/>
    <n v="0.27"/>
    <n v="4"/>
    <s v="Valid"/>
    <n v="2433.34"/>
    <b v="0"/>
    <n v="0.27"/>
    <n v="4"/>
    <d v="2023-09-03T00:00:00"/>
    <n v="4"/>
    <n v="970707.99280000012"/>
    <n v="9733.36"/>
    <n v="960974.63280000014"/>
    <n v="0.98997292690263716"/>
    <s v="Aug-2023"/>
    <s v="Q3-2023"/>
    <s v="Asia → India → Delhi"/>
    <x v="0"/>
    <s v="Low"/>
    <s v="INDIA"/>
    <d v="2023-01-29T00:00:00"/>
    <s v="Jan-2023"/>
    <d v="2023-08-31T00:00:00"/>
    <n v="1"/>
  </r>
  <r>
    <s v="ORD-2023-181257"/>
    <d v="2023-11-15T00:00:00"/>
    <d v="2023-12-06T00:00:00"/>
    <s v="Europe"/>
    <x v="8"/>
    <s v="Manchester"/>
    <s v="Education"/>
    <s v="Direct"/>
    <s v="H. Kim"/>
    <x v="6"/>
    <s v="ACC-1060"/>
    <n v="1184.99"/>
    <n v="1154.3399999999999"/>
    <n v="2.8000000000000001E-2"/>
    <n v="5"/>
    <s v="Valid"/>
    <n v="1154.3399999999999"/>
    <b v="0"/>
    <n v="2.8000000000000001E-2"/>
    <n v="21"/>
    <d v="2023-12-06T00:00:00"/>
    <n v="21"/>
    <n v="577008.3923999999"/>
    <n v="5771.7"/>
    <n v="571236.69239999994"/>
    <n v="0.98999719921578044"/>
    <s v="Nov-2023"/>
    <s v="Q4-2023"/>
    <s v="Europe → United Kingdom → Manchester"/>
    <x v="0"/>
    <s v="Low"/>
    <s v="UNITED KINGDOM"/>
    <d v="2023-01-19T00:00:00"/>
    <s v="Jan-2023"/>
    <d v="2023-11-30T00:00:00"/>
    <n v="0"/>
  </r>
  <r>
    <s v="ORD-2025-323492"/>
    <d v="2025-04-27T00:00:00"/>
    <d v="2025-05-27T00:00:00"/>
    <s v="Asia"/>
    <x v="3"/>
    <s v="Unknown City "/>
    <s v="Enterprise"/>
    <s v="Marketplace"/>
    <s v="H. Kim"/>
    <x v="3"/>
    <s v="PHN-3854"/>
    <n v="481.32"/>
    <n v="1135.99"/>
    <n v="0.14499999999999999"/>
    <n v="5"/>
    <s v="Valid"/>
    <n v="1135.99"/>
    <b v="0"/>
    <n v="0.14499999999999999"/>
    <n v="30"/>
    <d v="2025-05-27T00:00:00"/>
    <n v="30"/>
    <n v="567171.40725000005"/>
    <n v="5679.95"/>
    <n v="561491.45725000009"/>
    <n v="0.98998547894446953"/>
    <s v="Apr-2025"/>
    <s v="Q2-2025"/>
    <s v="Asia → India → Unknown City "/>
    <x v="2"/>
    <s v="High"/>
    <s v="INDIA"/>
    <d v="2023-01-29T00:00:00"/>
    <s v="Jan-2023"/>
    <d v="2025-04-30T00:00:00"/>
    <n v="0"/>
  </r>
  <r>
    <s v="ORD-2024-332076"/>
    <d v="2024-04-09T00:00:00"/>
    <d v="2024-04-18T00:00:00"/>
    <s v="Europe"/>
    <x v="7"/>
    <s v="Lyon"/>
    <s v="Consumer"/>
    <s v="Online"/>
    <s v="E. Garcia"/>
    <x v="1"/>
    <s v="PRN-1086"/>
    <n v="1288.8499999999999"/>
    <n v="2751.84"/>
    <n v="0.158"/>
    <n v="7"/>
    <s v="Valid"/>
    <n v="2751.84"/>
    <b v="0"/>
    <n v="0.158"/>
    <n v="9"/>
    <d v="2024-04-18T00:00:00"/>
    <n v="9"/>
    <n v="1923244.46496"/>
    <n v="19262.88"/>
    <n v="1903981.5849600001"/>
    <n v="0.98998417499649449"/>
    <s v="Apr-2024"/>
    <s v="Q2-2024"/>
    <s v="Europe → France → Lyon"/>
    <x v="1"/>
    <s v="Medium"/>
    <s v="FRANCE"/>
    <d v="2023-01-10T00:00:00"/>
    <s v="Jan-2023"/>
    <d v="2024-04-30T00:00:00"/>
    <n v="0"/>
  </r>
  <r>
    <s v="ORD-2024-571797"/>
    <d v="2024-07-11T00:00:00"/>
    <d v="2024-07-31T00:00:00"/>
    <s v="Asia"/>
    <x v="9"/>
    <s v="Shenzhen"/>
    <s v="Consumer"/>
    <s v="Online"/>
    <s v="G. Dubois"/>
    <x v="3"/>
    <s v="PHN-7815"/>
    <n v="647.26"/>
    <n v="1374.72"/>
    <n v="6.6000000000000003E-2"/>
    <n v="22"/>
    <s v="Valid"/>
    <n v="1374.72"/>
    <b v="0"/>
    <n v="6.6000000000000003E-2"/>
    <n v="20"/>
    <d v="2024-07-31T00:00:00"/>
    <n v="20"/>
    <n v="3022387.90656"/>
    <n v="30243.84"/>
    <n v="2992144.0665600002"/>
    <n v="0.98999339564112321"/>
    <s v="Jul-2024"/>
    <s v="Q3-2024"/>
    <s v="Asia → China → Shenzhen"/>
    <x v="2"/>
    <s v="Medium"/>
    <s v="CHINA"/>
    <d v="2023-01-12T00:00:00"/>
    <s v="Jan-2023"/>
    <d v="2024-07-31T00:00:00"/>
    <n v="0"/>
  </r>
  <r>
    <s v="ORD-2024-129345"/>
    <d v="2024-02-18T00:00:00"/>
    <d v="2024-03-03T00:00:00"/>
    <s v="Americas"/>
    <x v="4"/>
    <s v="Unknown City "/>
    <s v="Enterprise"/>
    <s v="Distributor"/>
    <s v="A. Patel"/>
    <x v="1"/>
    <s v="PRN-5384"/>
    <n v="624.23"/>
    <n v="1318.37"/>
    <n v="0.21"/>
    <n v="37"/>
    <s v="Valid"/>
    <n v="1318.37"/>
    <b v="0"/>
    <n v="0.21"/>
    <n v="14"/>
    <d v="2024-03-03T00:00:00"/>
    <n v="14"/>
    <n v="4867725.2650999995"/>
    <n v="48779.689999999995"/>
    <n v="4818945.5750999991"/>
    <n v="0.98997895580719497"/>
    <s v="Feb-2024"/>
    <s v="Q1-2024"/>
    <s v="Americas → Brazil → Unknown City "/>
    <x v="1"/>
    <s v="Medium"/>
    <s v="BRAZIL"/>
    <d v="2023-01-29T00:00:00"/>
    <s v="Jan-2023"/>
    <d v="2024-02-29T00:00:00"/>
    <n v="0"/>
  </r>
  <r>
    <s v="ORD-2023-660608"/>
    <d v="2023-07-25T00:00:00"/>
    <d v="2023-08-10T00:00:00"/>
    <s v="Africa"/>
    <x v="1"/>
    <s v="Port Harcourt"/>
    <s v="Corporate"/>
    <s v="Distributor"/>
    <s v="I. Johnson"/>
    <x v="6"/>
    <s v="ACC-8178"/>
    <n v="506.83"/>
    <n v="441.74"/>
    <n v="0.24"/>
    <n v="9"/>
    <s v="Valid"/>
    <n v="441.74"/>
    <b v="0"/>
    <n v="0.24"/>
    <n v="16"/>
    <d v="2023-08-10T00:00:00"/>
    <n v="16"/>
    <n v="396611.84159999999"/>
    <n v="3975.66"/>
    <n v="392636.18160000001"/>
    <n v="0.98997594226142749"/>
    <s v="Jul-2023"/>
    <s v="Q3-2023"/>
    <s v="Africa → Nigeria → Port Harcourt"/>
    <x v="0"/>
    <s v="Low"/>
    <s v="NIGERIA"/>
    <d v="2023-01-15T00:00:00"/>
    <s v="Jan-2023"/>
    <d v="2023-07-31T00:00:00"/>
    <n v="0"/>
  </r>
  <r>
    <s v="ORD-2023-825084"/>
    <d v="2023-07-14T00:00:00"/>
    <d v="2023-07-21T00:00:00"/>
    <s v="Africa"/>
    <x v="11"/>
    <s v="Durban"/>
    <s v="Enterprise"/>
    <s v="Marketplace"/>
    <s v="Unidentified sales person "/>
    <x v="5"/>
    <s v="MON-1018"/>
    <n v="620.74"/>
    <n v="1330.07"/>
    <n v="0.29899999999999999"/>
    <n v="28"/>
    <s v="Valid"/>
    <n v="1330.07"/>
    <b v="0"/>
    <n v="0.29899999999999999"/>
    <n v="7"/>
    <d v="2023-07-21T00:00:00"/>
    <n v="7"/>
    <n v="3713060.6539599998"/>
    <n v="37241.96"/>
    <n v="3675818.6939599998"/>
    <n v="0.98997001033088938"/>
    <s v="Jul-2023"/>
    <s v="Q3-2023"/>
    <s v="Africa → South Africa → Durban"/>
    <x v="1"/>
    <s v="Low"/>
    <s v="SOUTH AFRICA"/>
    <d v="2023-01-07T00:00:00"/>
    <s v="Jan-2023"/>
    <d v="2023-07-31T00:00:00"/>
    <n v="1"/>
  </r>
  <r>
    <s v="ORD-2023-261081"/>
    <d v="2023-07-24T00:00:00"/>
    <d v="2023-08-19T00:00:00"/>
    <s v="Africa"/>
    <x v="0"/>
    <s v="Nairobi"/>
    <s v="Enterprise"/>
    <s v="Distributor"/>
    <s v="M. Rossi"/>
    <x v="6"/>
    <s v="ACC-1238"/>
    <n v="661.45"/>
    <n v="1634.86"/>
    <n v="0.56499999999999995"/>
    <n v="24"/>
    <s v="Valid"/>
    <n v="1634.86"/>
    <s v="Excess"/>
    <n v="0.3"/>
    <n v="26"/>
    <d v="2023-08-19T00:00:00"/>
    <n v="26"/>
    <n v="3911893.0079999999"/>
    <n v="39236.639999999999"/>
    <n v="3872656.3679999998"/>
    <n v="0.98996990972918752"/>
    <s v="Jul-2023"/>
    <s v="Q3-2023"/>
    <s v="Africa → Kenya → Nairobi"/>
    <x v="0"/>
    <s v="Low"/>
    <s v="KENYA"/>
    <d v="2023-01-20T00:00:00"/>
    <s v="Jan-2023"/>
    <d v="2023-07-31T00:00:00"/>
    <n v="0"/>
  </r>
  <r>
    <s v="ORD-2023-766015"/>
    <d v="2023-04-13T00:00:00"/>
    <d v="2023-04-11T00:00:00"/>
    <s v="Americas"/>
    <x v="10"/>
    <s v="San Francisco"/>
    <s v="Education"/>
    <s v="Marketplace"/>
    <s v="G. Dubois"/>
    <x v="2"/>
    <s v="NET-1816"/>
    <n v="32.1"/>
    <n v="70.599999999999994"/>
    <n v="0.28199999999999997"/>
    <n v="22"/>
    <s v="Valid"/>
    <n v="70.599999999999994"/>
    <b v="0"/>
    <n v="0.28199999999999997"/>
    <n v="-2"/>
    <d v="2023-04-20T00:00:00"/>
    <n v="7"/>
    <n v="154881.99759999997"/>
    <n v="1553.1999999999998"/>
    <n v="153328.79759999996"/>
    <n v="0.98997172025110802"/>
    <s v="Apr-2023"/>
    <s v="Q2-2023"/>
    <s v="Americas → USA → San Francisco"/>
    <x v="0"/>
    <s v="Low"/>
    <s v="USA"/>
    <d v="2023-01-13T00:00:00"/>
    <s v="Jan-2023"/>
    <d v="2023-04-30T00:00:00"/>
    <n v="1"/>
  </r>
  <r>
    <s v="ORD-2024-333192"/>
    <d v="2024-10-29T00:00:00"/>
    <d v="2024-11-04T00:00:00"/>
    <s v="Africa"/>
    <x v="0"/>
    <s v="Nairobi"/>
    <s v="Corporate"/>
    <s v="Distributor"/>
    <s v="M. Rossi"/>
    <x v="1"/>
    <s v="PRN-4893"/>
    <n v="805.81"/>
    <n v="1823.04"/>
    <n v="0"/>
    <n v="11"/>
    <s v="Valid"/>
    <n v="1823.04"/>
    <b v="0"/>
    <n v="0"/>
    <n v="6"/>
    <d v="2024-11-04T00:00:00"/>
    <n v="6"/>
    <n v="2005343.9999999998"/>
    <n v="20053.439999999999"/>
    <n v="1985290.5599999998"/>
    <n v="0.99"/>
    <s v="Oct-2024"/>
    <s v="Q4-2024"/>
    <s v="Africa → Kenya → Nairobi"/>
    <x v="1"/>
    <s v="High"/>
    <s v="KENYA"/>
    <d v="2023-01-20T00:00:00"/>
    <s v="Jan-2023"/>
    <d v="2024-10-31T00:00:00"/>
    <n v="1"/>
  </r>
  <r>
    <s v="ORD-2024-647473"/>
    <d v="2024-02-17T00:00:00"/>
    <d v="2024-03-04T00:00:00"/>
    <s v="Asia"/>
    <x v="3"/>
    <s v="Delhi"/>
    <s v="Small Business"/>
    <s v="Marketplace"/>
    <s v="F. Müller"/>
    <x v="3"/>
    <s v="PHN-1717"/>
    <n v="1231.8"/>
    <n v="2015.99"/>
    <n v="0.26100000000000001"/>
    <n v="6"/>
    <s v="Valid"/>
    <n v="2015.99"/>
    <b v="0"/>
    <n v="0.26100000000000001"/>
    <n v="16"/>
    <d v="2024-03-04T00:00:00"/>
    <n v="16"/>
    <n v="1206436.9596600002"/>
    <n v="12095.94"/>
    <n v="1194341.0196600002"/>
    <n v="0.98997383170073894"/>
    <s v="Feb-2024"/>
    <s v="Q1-2024"/>
    <s v="Asia → India → Delhi"/>
    <x v="2"/>
    <s v="Medium"/>
    <s v="INDIA"/>
    <d v="2023-01-29T00:00:00"/>
    <s v="Jan-2023"/>
    <d v="2024-02-29T00:00:00"/>
    <n v="0"/>
  </r>
  <r>
    <s v="ORD-2024-892908"/>
    <d v="2024-07-13T00:00:00"/>
    <d v="2024-07-12T00:00:00"/>
    <s v="Asia"/>
    <x v="6"/>
    <s v="Nagoya"/>
    <s v="Small Business"/>
    <s v="Marketplace"/>
    <s v="F. Müller"/>
    <x v="2"/>
    <s v="NET-9575"/>
    <n v="105.13"/>
    <n v="244.13"/>
    <n v="7.0999999999999994E-2"/>
    <n v="14"/>
    <s v="Valid"/>
    <n v="244.13"/>
    <b v="0"/>
    <n v="7.0999999999999994E-2"/>
    <n v="-1"/>
    <d v="2024-07-20T00:00:00"/>
    <n v="7"/>
    <n v="341539.33477999998"/>
    <n v="3417.8199999999997"/>
    <n v="338121.51477999997"/>
    <n v="0.98999289495541831"/>
    <s v="Jul-2024"/>
    <s v="Q3-2024"/>
    <s v="Asia → Japan → Nagoya"/>
    <x v="0"/>
    <s v="Medium"/>
    <s v="JAPAN"/>
    <d v="2023-03-03T00:00:00"/>
    <s v="Mar-2023"/>
    <d v="2024-07-31T00:00:00"/>
    <n v="1"/>
  </r>
  <r>
    <s v="ORD-2023-573146"/>
    <d v="2023-12-01T00:00:00"/>
    <d v="2023-12-18T00:00:00"/>
    <s v="Asia"/>
    <x v="6"/>
    <s v="Nagoya"/>
    <s v="Small Business"/>
    <s v="Direct"/>
    <s v="N. Brown"/>
    <x v="4"/>
    <s v="LAP-3604"/>
    <n v="1495.79"/>
    <n v="2783.12"/>
    <n v="0.02"/>
    <n v="5"/>
    <s v="Valid"/>
    <n v="2783.12"/>
    <b v="0"/>
    <n v="0.02"/>
    <n v="17"/>
    <d v="2023-12-18T00:00:00"/>
    <n v="17"/>
    <n v="1391281.6879999998"/>
    <n v="13915.599999999999"/>
    <n v="1377366.0879999998"/>
    <n v="0.98999799959991996"/>
    <s v="Dec-2023"/>
    <s v="Q4-2023"/>
    <s v="Asia → Japan → Nagoya"/>
    <x v="2"/>
    <s v="Low"/>
    <s v="JAPAN"/>
    <d v="2023-03-03T00:00:00"/>
    <s v="Mar-2023"/>
    <d v="2023-12-31T00:00:00"/>
    <n v="0"/>
  </r>
  <r>
    <s v="ORD-2024-901115"/>
    <d v="2024-07-25T00:00:00"/>
    <d v="2024-08-02T00:00:00"/>
    <s v="Americas"/>
    <x v="2"/>
    <s v="Montreal"/>
    <s v="Consumer"/>
    <s v="Direct"/>
    <s v="J. Njeri"/>
    <x v="6"/>
    <s v="ACC-6626"/>
    <n v="986.81"/>
    <n v="2050.31"/>
    <n v="0.10299999999999999"/>
    <n v="43"/>
    <s v="Valid"/>
    <n v="2050.31"/>
    <b v="0"/>
    <n v="0.10299999999999999"/>
    <n v="8"/>
    <d v="2024-08-02T00:00:00"/>
    <n v="8"/>
    <n v="8807252.1770099998"/>
    <n v="88163.33"/>
    <n v="8719088.8470099997"/>
    <n v="0.98998968938006149"/>
    <s v="Jul-2024"/>
    <s v="Q3-2024"/>
    <s v="Americas → Canada → Montreal"/>
    <x v="0"/>
    <s v="Medium"/>
    <s v="CANADA"/>
    <d v="2023-01-02T00:00:00"/>
    <s v="Jan-2023"/>
    <d v="2024-07-31T00:00:00"/>
    <n v="0"/>
  </r>
  <r>
    <s v="ORD-2023-898009"/>
    <d v="2023-05-04T00:00:00"/>
    <d v="2023-05-16T00:00:00"/>
    <s v="Africa"/>
    <x v="1"/>
    <s v="Abuja"/>
    <s v="Small Business"/>
    <s v="Marketplace"/>
    <s v="J. Njeri"/>
    <x v="3"/>
    <s v="PHN-1670"/>
    <n v="77.739999999999995"/>
    <n v="147.12"/>
    <n v="0"/>
    <n v="15"/>
    <s v="Valid"/>
    <n v="147.12"/>
    <b v="0"/>
    <n v="0"/>
    <n v="12"/>
    <d v="2023-05-16T00:00:00"/>
    <n v="12"/>
    <n v="220680.00000000003"/>
    <n v="2206.8000000000002"/>
    <n v="218473.20000000004"/>
    <n v="0.9900000000000001"/>
    <s v="May-2023"/>
    <s v="Q2-2023"/>
    <s v="Africa → Nigeria → Abuja"/>
    <x v="2"/>
    <s v="Low"/>
    <s v="NIGERIA"/>
    <d v="2023-01-15T00:00:00"/>
    <s v="Jan-2023"/>
    <d v="2023-05-31T00:00:00"/>
    <n v="0"/>
  </r>
  <r>
    <s v="ORD-2023-208944"/>
    <d v="2023-12-21T00:00:00"/>
    <d v="2024-01-06T00:00:00"/>
    <s v="Africa"/>
    <x v="1"/>
    <s v="Unknown City "/>
    <s v="Corporate"/>
    <s v="Marketplace"/>
    <s v="K. Singh"/>
    <x v="0"/>
    <s v="CMP-4792"/>
    <n v="932.61"/>
    <n v="1982.98"/>
    <n v="0.14399999999999999"/>
    <n v="16"/>
    <s v="Valid"/>
    <n v="1982.98"/>
    <b v="0"/>
    <n v="0.14399999999999999"/>
    <n v="16"/>
    <d v="2024-01-06T00:00:00"/>
    <n v="16"/>
    <n v="3168199.2140799998"/>
    <n v="31727.68"/>
    <n v="3136471.5340799997"/>
    <n v="0.98998557923409702"/>
    <s v="Dec-2023"/>
    <s v="Q4-2023"/>
    <s v="Africa → Nigeria → Unknown City "/>
    <x v="0"/>
    <s v="Medium"/>
    <s v="NIGERIA"/>
    <d v="2023-01-15T00:00:00"/>
    <s v="Jan-2023"/>
    <d v="2023-12-31T00:00:00"/>
    <n v="0"/>
  </r>
  <r>
    <s v="ORD-2025-480172"/>
    <d v="2025-06-17T00:00:00"/>
    <d v="2025-07-05T00:00:00"/>
    <s v="Asia"/>
    <x v="3"/>
    <s v="Delhi"/>
    <s v="Consumer"/>
    <s v="Marketplace"/>
    <s v="L. Okafor"/>
    <x v="4"/>
    <s v="LAP-1990"/>
    <n v="982.93"/>
    <n v="2299.3000000000002"/>
    <n v="0.113"/>
    <n v="6"/>
    <s v="Valid"/>
    <n v="2299.3000000000002"/>
    <b v="0"/>
    <n v="0.113"/>
    <n v="18"/>
    <d v="2025-07-05T00:00:00"/>
    <n v="18"/>
    <n v="1378021.0746000002"/>
    <n v="13795.800000000001"/>
    <n v="1364225.2746000001"/>
    <n v="0.98998868721655464"/>
    <s v="Jun-2025"/>
    <s v="Q2-2025"/>
    <s v="Asia → India → Delhi"/>
    <x v="2"/>
    <s v="High"/>
    <s v="INDIA"/>
    <d v="2023-01-29T00:00:00"/>
    <s v="Jan-2023"/>
    <d v="2025-06-30T00:00:00"/>
    <n v="0"/>
  </r>
  <r>
    <s v="ORD-2023-735274"/>
    <d v="2023-02-23T00:00:00"/>
    <d v="2023-03-08T00:00:00"/>
    <s v="Europe"/>
    <x v="8"/>
    <s v="Manchester"/>
    <s v="Small Business"/>
    <s v="Direct"/>
    <s v="C. Otieno"/>
    <x v="1"/>
    <s v="PRN-7410"/>
    <n v="307.37"/>
    <n v="462.61"/>
    <n v="0.188"/>
    <n v="11"/>
    <s v="Valid"/>
    <n v="462.61"/>
    <b v="0"/>
    <n v="0.188"/>
    <n v="13"/>
    <d v="2023-03-08T00:00:00"/>
    <n v="13"/>
    <n v="507914.32251999999"/>
    <n v="5088.71"/>
    <n v="502825.61251999997"/>
    <n v="0.98998116458942809"/>
    <s v="Feb-2023"/>
    <s v="Q1-2023"/>
    <s v="Europe → United Kingdom → Manchester"/>
    <x v="1"/>
    <s v="Low"/>
    <s v="UNITED KINGDOM"/>
    <d v="2023-01-19T00:00:00"/>
    <s v="Jan-2023"/>
    <d v="2023-02-28T00:00:00"/>
    <n v="0"/>
  </r>
  <r>
    <s v="ORD-2023-212701"/>
    <d v="2023-12-02T00:00:00"/>
    <d v="2023-12-16T00:00:00"/>
    <s v="Europe"/>
    <x v="5"/>
    <s v="Frankfurt"/>
    <s v="Education"/>
    <s v="Direct"/>
    <s v="N. Brown"/>
    <x v="5"/>
    <s v="MON-4278"/>
    <n v="879.08"/>
    <n v="1093.3900000000001"/>
    <n v="0.113"/>
    <n v="17"/>
    <s v="Valid"/>
    <n v="1093.3900000000001"/>
    <b v="0"/>
    <n v="0.113"/>
    <n v="14"/>
    <d v="2023-12-16T00:00:00"/>
    <n v="14"/>
    <n v="1856662.5978100002"/>
    <n v="18587.63"/>
    <n v="1838074.9678100003"/>
    <n v="0.98998868721655475"/>
    <s v="Dec-2023"/>
    <s v="Q4-2023"/>
    <s v="Europe → Germany → Frankfurt"/>
    <x v="1"/>
    <s v="Low"/>
    <s v="GERMANY"/>
    <d v="2023-01-22T00:00:00"/>
    <s v="Jan-2023"/>
    <d v="2023-12-31T00:00:00"/>
    <n v="0"/>
  </r>
  <r>
    <s v="ORD-2023-479747"/>
    <d v="2023-07-14T00:00:00"/>
    <d v="2023-07-14T00:00:00"/>
    <s v="Africa"/>
    <x v="1"/>
    <s v="Lagos"/>
    <s v="Education"/>
    <s v="Retail"/>
    <s v="I. Johnson"/>
    <x v="6"/>
    <s v="ACC-5334"/>
    <n v="956.38"/>
    <n v="1454.22"/>
    <n v="3.9E-2"/>
    <n v="19"/>
    <s v="Valid"/>
    <n v="1454.22"/>
    <b v="0"/>
    <n v="3.9E-2"/>
    <n v="0"/>
    <d v="2023-07-14T00:00:00"/>
    <n v="0"/>
    <n v="2761940.4229799998"/>
    <n v="27630.18"/>
    <n v="2734310.2429799996"/>
    <n v="0.98999609847840653"/>
    <s v="Jul-2023"/>
    <s v="Q3-2023"/>
    <s v="Africa → Nigeria → Lagos"/>
    <x v="0"/>
    <s v="Low"/>
    <s v="NIGERIA"/>
    <d v="2023-01-15T00:00:00"/>
    <s v="Jan-2023"/>
    <d v="2023-07-31T00:00:00"/>
    <n v="1"/>
  </r>
  <r>
    <s v="ORD-2024-915495"/>
    <d v="2024-08-08T00:00:00"/>
    <d v="2024-08-20T00:00:00"/>
    <s v="Asia"/>
    <x v="6"/>
    <s v="Osaka"/>
    <s v="Small Business"/>
    <s v="Retail"/>
    <s v="H. Kim"/>
    <x v="2"/>
    <s v="NET-8957"/>
    <n v="1233.3599999999999"/>
    <n v="2120.4"/>
    <n v="0.17899999999999999"/>
    <n v="20"/>
    <s v="Valid"/>
    <n v="2120.4"/>
    <b v="0"/>
    <n v="0.17899999999999999"/>
    <n v="12"/>
    <d v="2024-08-20T00:00:00"/>
    <n v="12"/>
    <n v="4233208.9680000003"/>
    <n v="42408"/>
    <n v="4190800.9680000003"/>
    <n v="0.98998206790154375"/>
    <s v="Aug-2024"/>
    <s v="Q3-2024"/>
    <s v="Asia → Japan → Osaka"/>
    <x v="0"/>
    <s v="Medium"/>
    <s v="JAPAN"/>
    <d v="2023-03-03T00:00:00"/>
    <s v="Mar-2023"/>
    <d v="2024-08-31T00:00:00"/>
    <n v="0"/>
  </r>
  <r>
    <s v="ORD-2024-225829"/>
    <d v="2024-11-07T00:00:00"/>
    <d v="2024-11-26T00:00:00"/>
    <s v="Americas"/>
    <x v="4"/>
    <s v="Rio de Janeiro"/>
    <s v="Non-Profit"/>
    <s v="Distributor"/>
    <s v="J. Njeri"/>
    <x v="1"/>
    <s v="PRN-9960"/>
    <n v="55.35"/>
    <n v="128.68"/>
    <n v="0.128"/>
    <n v="10"/>
    <s v="Valid"/>
    <n v="128.68"/>
    <b v="0"/>
    <n v="0.128"/>
    <n v="19"/>
    <d v="2024-11-26T00:00:00"/>
    <n v="19"/>
    <n v="128515.28960000002"/>
    <n v="1286.8000000000002"/>
    <n v="127228.48960000002"/>
    <n v="0.9899871835950016"/>
    <s v="Nov-2024"/>
    <s v="Q4-2024"/>
    <s v="Americas → Brazil → Rio de Janeiro"/>
    <x v="1"/>
    <s v="High"/>
    <s v="BRAZIL"/>
    <d v="2023-01-29T00:00:00"/>
    <s v="Jan-2023"/>
    <d v="2024-11-30T00:00:00"/>
    <n v="0"/>
  </r>
  <r>
    <s v="ORD-2024-921935"/>
    <d v="2024-01-01T00:00:00"/>
    <d v="2024-01-27T00:00:00"/>
    <s v="Europe"/>
    <x v="8"/>
    <s v="Manchester"/>
    <s v="Education"/>
    <s v="Distributor"/>
    <s v="D. Smith"/>
    <x v="6"/>
    <s v="ACC-3103"/>
    <n v="657.45"/>
    <n v="1325.96"/>
    <n v="0.16700000000000001"/>
    <n v="21"/>
    <s v="Valid"/>
    <n v="1325.96"/>
    <b v="0"/>
    <n v="0.16700000000000001"/>
    <n v="26"/>
    <d v="2024-01-27T00:00:00"/>
    <n v="26"/>
    <n v="2779865.8582799998"/>
    <n v="27845.16"/>
    <n v="2752020.6982799997"/>
    <n v="0.98998327206434744"/>
    <s v="Jan-2024"/>
    <s v="Q1-2024"/>
    <s v="Europe → United Kingdom → Manchester"/>
    <x v="0"/>
    <s v="Medium"/>
    <s v="UNITED KINGDOM"/>
    <d v="2023-01-19T00:00:00"/>
    <s v="Jan-2023"/>
    <d v="2024-01-31T00:00:00"/>
    <n v="0"/>
  </r>
  <r>
    <s v="ORD-2025-949776"/>
    <d v="2025-08-14T00:00:00"/>
    <d v="2025-09-11T00:00:00"/>
    <s v="Americas"/>
    <x v="4"/>
    <s v="São Paulo"/>
    <s v="Non-Profit"/>
    <s v="Direct"/>
    <s v="F. Müller"/>
    <x v="1"/>
    <s v="PRN-9490"/>
    <n v="1203.02"/>
    <n v="2439.33"/>
    <n v="0"/>
    <n v="18"/>
    <s v="Valid"/>
    <n v="2439.33"/>
    <b v="0"/>
    <n v="0"/>
    <n v="28"/>
    <d v="2025-09-11T00:00:00"/>
    <n v="28"/>
    <n v="4390794"/>
    <n v="43907.94"/>
    <n v="4346886.0599999996"/>
    <n v="0.98999999999999988"/>
    <s v="Aug-2025"/>
    <s v="Q3-2025"/>
    <s v="Americas → Brazil → São Paulo"/>
    <x v="1"/>
    <s v="High"/>
    <s v="BRAZIL"/>
    <d v="2023-01-29T00:00:00"/>
    <s v="Jan-2023"/>
    <d v="2025-08-31T00:00:00"/>
    <n v="0"/>
  </r>
  <r>
    <s v="ORD-2024-510591"/>
    <d v="2024-04-03T00:00:00"/>
    <d v="2024-04-21T00:00:00"/>
    <s v="Americas"/>
    <x v="4"/>
    <s v="Brasília"/>
    <s v="Small Business"/>
    <s v="Distributor"/>
    <s v="B. Chen"/>
    <x v="2"/>
    <s v="NET-3850"/>
    <n v="1176.69"/>
    <n v="2201.54"/>
    <n v="0.17"/>
    <n v="27"/>
    <s v="Valid"/>
    <n v="2201.54"/>
    <b v="0"/>
    <n v="0.17"/>
    <n v="18"/>
    <d v="2024-04-21T00:00:00"/>
    <n v="18"/>
    <n v="5934052.9314000001"/>
    <n v="59441.58"/>
    <n v="5874611.3514"/>
    <n v="0.98998297105078636"/>
    <s v="Apr-2024"/>
    <s v="Q2-2024"/>
    <s v="Americas → Brazil → Brasília"/>
    <x v="0"/>
    <s v="Medium"/>
    <s v="BRAZIL"/>
    <d v="2023-01-29T00:00:00"/>
    <s v="Jan-2023"/>
    <d v="2024-04-30T00:00:00"/>
    <n v="0"/>
  </r>
  <r>
    <s v="ORD-2024-961756"/>
    <d v="2024-11-25T00:00:00"/>
    <d v="2024-12-07T00:00:00"/>
    <s v="Asia"/>
    <x v="9"/>
    <s v="Shanghai"/>
    <s v="Corporate"/>
    <s v="Distributor"/>
    <s v="A. Patel"/>
    <x v="6"/>
    <s v="ACC-7047"/>
    <n v="769.9"/>
    <n v="814.36"/>
    <n v="0"/>
    <n v="5"/>
    <s v="Valid"/>
    <n v="814.36"/>
    <b v="0"/>
    <n v="0"/>
    <n v="12"/>
    <d v="2024-12-07T00:00:00"/>
    <n v="12"/>
    <n v="407180"/>
    <n v="4071.8"/>
    <n v="403108.2"/>
    <n v="0.99"/>
    <s v="Nov-2024"/>
    <s v="Q4-2024"/>
    <s v="Asia → China → Shanghai"/>
    <x v="0"/>
    <s v="High"/>
    <s v="CHINA"/>
    <d v="2023-01-12T00:00:00"/>
    <s v="Jan-2023"/>
    <d v="2024-11-30T00:00:00"/>
    <n v="0"/>
  </r>
  <r>
    <s v="ORD-2024-892173"/>
    <d v="2024-01-18T00:00:00"/>
    <d v="2024-02-03T00:00:00"/>
    <s v="Africa"/>
    <x v="11"/>
    <s v="Cape Town"/>
    <s v="Non-Profit"/>
    <s v="Distributor"/>
    <s v="L. Okafor"/>
    <x v="1"/>
    <s v="PRN-6660"/>
    <n v="666.23"/>
    <n v="1382.91"/>
    <n v="0.17599999999999999"/>
    <n v="13"/>
    <s v="Valid"/>
    <n v="1382.91"/>
    <b v="0"/>
    <n v="0.17599999999999999"/>
    <n v="16"/>
    <d v="2024-02-03T00:00:00"/>
    <n v="16"/>
    <n v="1794618.9019200001"/>
    <n v="17977.830000000002"/>
    <n v="1776641.07192"/>
    <n v="0.98998236896938607"/>
    <s v="Jan-2024"/>
    <s v="Q1-2024"/>
    <s v="Africa → South Africa → Cape Town"/>
    <x v="1"/>
    <s v="Medium"/>
    <s v="SOUTH AFRICA"/>
    <d v="2023-01-07T00:00:00"/>
    <s v="Jan-2023"/>
    <d v="2024-01-31T00:00:00"/>
    <n v="0"/>
  </r>
  <r>
    <s v="ORD-2024-704056"/>
    <d v="2024-06-23T00:00:00"/>
    <d v="2024-06-25T00:00:00"/>
    <s v="Europe"/>
    <x v="8"/>
    <s v="Birmingham"/>
    <s v="Small Business"/>
    <s v="Marketplace"/>
    <s v="L. Okafor"/>
    <x v="6"/>
    <s v="ACC-7838"/>
    <n v="951.44"/>
    <n v="1646.43"/>
    <n v="0.11"/>
    <n v="24"/>
    <s v="Valid"/>
    <n v="1646.43"/>
    <b v="0"/>
    <n v="0.11"/>
    <n v="2"/>
    <d v="2024-06-25T00:00:00"/>
    <n v="2"/>
    <n v="3947085.4248000002"/>
    <n v="39514.32"/>
    <n v="3907571.1048000003"/>
    <n v="0.98998898788667533"/>
    <s v="Jun-2024"/>
    <s v="Q2-2024"/>
    <s v="Europe → United Kingdom → Birmingham"/>
    <x v="0"/>
    <s v="Medium"/>
    <s v="UNITED KINGDOM"/>
    <d v="2023-01-19T00:00:00"/>
    <s v="Jan-2023"/>
    <d v="2024-06-30T00:00:00"/>
    <n v="1"/>
  </r>
  <r>
    <s v="ORD-2025-591006"/>
    <d v="2025-06-25T00:00:00"/>
    <d v="2025-07-10T00:00:00"/>
    <s v="Europe"/>
    <x v="8"/>
    <s v="Birmingham"/>
    <s v="Non-Profit"/>
    <s v="Marketplace"/>
    <s v="D. Smith"/>
    <x v="3"/>
    <s v="PHN-5383"/>
    <n v="546.83000000000004"/>
    <n v="400.84"/>
    <n v="7.8E-2"/>
    <n v="13"/>
    <s v="Valid"/>
    <n v="400.84"/>
    <b v="0"/>
    <n v="7.8E-2"/>
    <n v="15"/>
    <d v="2025-07-10T00:00:00"/>
    <n v="15"/>
    <n v="520685.54823999997"/>
    <n v="5210.92"/>
    <n v="515474.62823999999"/>
    <n v="0.98999219391125082"/>
    <s v="Jun-2025"/>
    <s v="Q2-2025"/>
    <s v="Europe → United Kingdom → Birmingham"/>
    <x v="2"/>
    <s v="High"/>
    <s v="UNITED KINGDOM"/>
    <d v="2023-01-19T00:00:00"/>
    <s v="Jan-2023"/>
    <d v="2025-06-30T00:00:00"/>
    <n v="0"/>
  </r>
  <r>
    <s v="ORD-2023-159821"/>
    <d v="2023-07-01T00:00:00"/>
    <d v="2023-07-08T00:00:00"/>
    <s v="Africa"/>
    <x v="1"/>
    <s v="Port Harcourt"/>
    <s v="Corporate"/>
    <s v="Retail"/>
    <s v="A. Patel"/>
    <x v="4"/>
    <s v="LAP-3904"/>
    <n v="834.26"/>
    <n v="1780.56"/>
    <n v="1.4E-2"/>
    <n v="47"/>
    <s v="Valid"/>
    <n v="1780.56"/>
    <b v="0"/>
    <n v="1.4E-2"/>
    <n v="7"/>
    <d v="2023-07-08T00:00:00"/>
    <n v="7"/>
    <n v="8367460.3915199991"/>
    <n v="83686.319999999992"/>
    <n v="8283774.0715199988"/>
    <n v="0.98999859980397253"/>
    <s v="Jul-2023"/>
    <s v="Q3-2023"/>
    <s v="Africa → Nigeria → Port Harcourt"/>
    <x v="2"/>
    <s v="Low"/>
    <s v="NIGERIA"/>
    <d v="2023-01-15T00:00:00"/>
    <s v="Jan-2023"/>
    <d v="2023-07-31T00:00:00"/>
    <n v="1"/>
  </r>
  <r>
    <s v="ORD-2024-343877"/>
    <d v="2024-03-09T00:00:00"/>
    <d v="2024-03-26T00:00:00"/>
    <s v="Asia"/>
    <x v="9"/>
    <s v="Shenzhen"/>
    <s v="Enterprise"/>
    <s v="Online"/>
    <s v="K. Singh"/>
    <x v="5"/>
    <s v="MON-5749"/>
    <n v="1029.67"/>
    <n v="1118.43"/>
    <n v="0.27200000000000002"/>
    <n v="9"/>
    <s v="Valid"/>
    <n v="1118.43"/>
    <b v="0"/>
    <n v="0.27200000000000002"/>
    <n v="17"/>
    <d v="2024-03-26T00:00:00"/>
    <n v="17"/>
    <n v="1003849.08336"/>
    <n v="10065.870000000001"/>
    <n v="993783.21336000005"/>
    <n v="0.98997272581421469"/>
    <s v="Mar-2024"/>
    <s v="Q1-2024"/>
    <s v="Asia → China → Shenzhen"/>
    <x v="1"/>
    <s v="Medium"/>
    <s v="CHINA"/>
    <d v="2023-01-12T00:00:00"/>
    <s v="Jan-2023"/>
    <d v="2024-03-31T00:00:00"/>
    <n v="0"/>
  </r>
  <r>
    <s v="ORD-2023-386663"/>
    <d v="2023-06-05T00:00:00"/>
    <d v="2023-06-28T00:00:00"/>
    <s v="Europe"/>
    <x v="8"/>
    <s v="Birmingham"/>
    <s v="Corporate"/>
    <s v="Direct"/>
    <s v="K. Singh"/>
    <x v="1"/>
    <s v="PRN-3690"/>
    <n v="605.82000000000005"/>
    <n v="771.12"/>
    <n v="0.13200000000000001"/>
    <n v="19"/>
    <s v="Valid"/>
    <n v="771.12"/>
    <b v="0"/>
    <n v="0.13200000000000001"/>
    <n v="23"/>
    <d v="2023-06-28T00:00:00"/>
    <n v="23"/>
    <n v="1463194.03104"/>
    <n v="14651.28"/>
    <n v="1448542.75104"/>
    <n v="0.9899867825529699"/>
    <s v="Jun-2023"/>
    <s v="Q2-2023"/>
    <s v="Europe → United Kingdom → Birmingham"/>
    <x v="1"/>
    <s v="Low"/>
    <s v="UNITED KINGDOM"/>
    <d v="2023-01-19T00:00:00"/>
    <s v="Jan-2023"/>
    <d v="2023-06-30T00:00:00"/>
    <n v="0"/>
  </r>
  <r>
    <s v="ORD-2025-125517"/>
    <d v="2025-03-21T00:00:00"/>
    <d v="2025-04-09T00:00:00"/>
    <s v="Asia"/>
    <x v="6"/>
    <s v="Tokyo"/>
    <s v="Small Business"/>
    <s v="Distributor"/>
    <s v="E. Garcia"/>
    <x v="0"/>
    <s v="CMP-7055"/>
    <n v="1055.45"/>
    <n v="1210.04"/>
    <n v="8.9999999999999993E-3"/>
    <n v="18"/>
    <s v="Valid"/>
    <n v="1210.04"/>
    <b v="0"/>
    <n v="8.9999999999999993E-3"/>
    <n v="19"/>
    <d v="2025-04-09T00:00:00"/>
    <n v="19"/>
    <n v="2177875.97352"/>
    <n v="21780.720000000001"/>
    <n v="2156095.2535199998"/>
    <n v="0.9899990999189926"/>
    <s v="Mar-2025"/>
    <s v="Q1-2025"/>
    <s v="Asia → Japan → Tokyo"/>
    <x v="0"/>
    <s v="High"/>
    <s v="JAPAN"/>
    <d v="2023-03-03T00:00:00"/>
    <s v="Mar-2023"/>
    <d v="2025-03-31T00:00:00"/>
    <n v="0"/>
  </r>
  <r>
    <s v="ORD-2024-819778"/>
    <d v="2024-06-02T00:00:00"/>
    <d v="2024-06-15T00:00:00"/>
    <s v="Africa"/>
    <x v="0"/>
    <s v="Mombasa"/>
    <s v="Education"/>
    <s v="Online"/>
    <s v="O. Wang"/>
    <x v="3"/>
    <s v="PHN-6866"/>
    <n v="1295.18"/>
    <n v="3024.03"/>
    <n v="0.192"/>
    <n v="8"/>
    <s v="Valid"/>
    <n v="3024.03"/>
    <b v="0"/>
    <n v="0.192"/>
    <n v="13"/>
    <d v="2024-06-15T00:00:00"/>
    <n v="13"/>
    <n v="2414579.0899200002"/>
    <n v="24192.240000000002"/>
    <n v="2390386.8499199999"/>
    <n v="0.98998076306508487"/>
    <s v="Jun-2024"/>
    <s v="Q2-2024"/>
    <s v="Africa → Kenya → Mombasa"/>
    <x v="2"/>
    <s v="Medium"/>
    <s v="KENYA"/>
    <d v="2023-01-20T00:00:00"/>
    <s v="Jan-2023"/>
    <d v="2024-06-30T00:00:00"/>
    <n v="0"/>
  </r>
  <r>
    <s v="ORD-2025-624006"/>
    <d v="2025-03-15T00:00:00"/>
    <d v="2025-03-29T00:00:00"/>
    <s v="Asia"/>
    <x v="3"/>
    <s v="Mumbai"/>
    <s v="Enterprise"/>
    <s v="Direct"/>
    <s v="C. Otieno"/>
    <x v="0"/>
    <s v="CMP-3259"/>
    <n v="935.83"/>
    <n v="2303.46"/>
    <n v="0.105"/>
    <n v="9"/>
    <s v="Valid"/>
    <n v="2303.46"/>
    <b v="0"/>
    <n v="0.105"/>
    <n v="14"/>
    <d v="2025-03-29T00:00:00"/>
    <n v="14"/>
    <n v="2070937.2302999999"/>
    <n v="20731.14"/>
    <n v="2050206.0903"/>
    <n v="0.98998948896341166"/>
    <s v="Mar-2025"/>
    <s v="Q1-2025"/>
    <s v="Asia → India → Mumbai"/>
    <x v="0"/>
    <s v="High"/>
    <s v="INDIA"/>
    <d v="2023-01-29T00:00:00"/>
    <s v="Jan-2023"/>
    <d v="2025-03-31T00:00:00"/>
    <n v="0"/>
  </r>
  <r>
    <s v="ORD-2023-132101"/>
    <d v="2023-09-25T00:00:00"/>
    <d v="2023-10-09T00:00:00"/>
    <s v="Americas"/>
    <x v="10"/>
    <s v="New York"/>
    <s v="Small Business"/>
    <s v="Marketplace"/>
    <s v="J. Njeri"/>
    <x v="4"/>
    <s v="LAP-6750"/>
    <n v="1279.56"/>
    <n v="3083.8"/>
    <n v="0.106"/>
    <n v="5"/>
    <s v="Valid"/>
    <n v="3083.8"/>
    <b v="0"/>
    <n v="0.106"/>
    <n v="14"/>
    <d v="2023-10-09T00:00:00"/>
    <n v="14"/>
    <n v="1540265.5860000001"/>
    <n v="15419"/>
    <n v="1524846.5860000001"/>
    <n v="0.9899893887520772"/>
    <s v="Sep-2023"/>
    <s v="Q3-2023"/>
    <s v="Americas → USA → New York"/>
    <x v="2"/>
    <s v="Low"/>
    <s v="USA"/>
    <d v="2023-01-13T00:00:00"/>
    <s v="Jan-2023"/>
    <d v="2023-09-30T00:00:00"/>
    <n v="0"/>
  </r>
  <r>
    <s v="ORD-2025-306903"/>
    <d v="2025-06-24T00:00:00"/>
    <d v="2025-07-23T00:00:00"/>
    <s v="Americas"/>
    <x v="2"/>
    <s v="Vancouver"/>
    <s v="Non-Profit"/>
    <s v="Marketplace"/>
    <s v="I. Johnson"/>
    <x v="1"/>
    <s v="PRN-3775"/>
    <n v="255.4"/>
    <n v="322.70999999999998"/>
    <n v="0.115"/>
    <n v="16"/>
    <s v="Valid"/>
    <n v="322.70999999999998"/>
    <b v="0"/>
    <n v="0.115"/>
    <n v="29"/>
    <d v="2025-07-23T00:00:00"/>
    <n v="29"/>
    <n v="515742.21360000002"/>
    <n v="5163.3599999999997"/>
    <n v="510578.85360000003"/>
    <n v="0.9899884867597738"/>
    <s v="Jun-2025"/>
    <s v="Q2-2025"/>
    <s v="Americas → Canada → Vancouver"/>
    <x v="1"/>
    <s v="High"/>
    <s v="CANADA"/>
    <d v="2023-01-02T00:00:00"/>
    <s v="Jan-2023"/>
    <d v="2025-06-30T00:00:00"/>
    <n v="0"/>
  </r>
  <r>
    <s v="ORD-2023-813340"/>
    <d v="2023-12-26T00:00:00"/>
    <d v="2024-01-03T00:00:00"/>
    <s v="Europe"/>
    <x v="7"/>
    <s v="Lyon"/>
    <s v="Small Business"/>
    <s v="Retail"/>
    <s v="M. Rossi"/>
    <x v="4"/>
    <s v="LAP-2942"/>
    <n v="492.75"/>
    <n v="731.29"/>
    <n v="5.8000000000000003E-2"/>
    <n v="6"/>
    <s v="Valid"/>
    <n v="731.29"/>
    <b v="0"/>
    <n v="5.8000000000000003E-2"/>
    <n v="8"/>
    <d v="2024-01-03T00:00:00"/>
    <n v="8"/>
    <n v="438519.51107999997"/>
    <n v="4387.74"/>
    <n v="434131.77107999998"/>
    <n v="0.98999419663404775"/>
    <s v="Dec-2023"/>
    <s v="Q4-2023"/>
    <s v="Europe → France → Lyon"/>
    <x v="2"/>
    <s v="Medium"/>
    <s v="FRANCE"/>
    <d v="2023-01-10T00:00:00"/>
    <s v="Jan-2023"/>
    <d v="2023-12-31T00:00:00"/>
    <n v="0"/>
  </r>
  <r>
    <s v="ORD-2023-855675"/>
    <d v="2023-02-05T00:00:00"/>
    <d v="2023-02-28T00:00:00"/>
    <s v="Americas"/>
    <x v="10"/>
    <s v="Austin"/>
    <s v="Non-Profit"/>
    <s v="Distributor"/>
    <s v="L. Okafor"/>
    <x v="3"/>
    <s v="PHN-2036"/>
    <n v="1214.49"/>
    <n v="1533.95"/>
    <n v="0"/>
    <n v="11"/>
    <s v="Valid"/>
    <n v="1533.95"/>
    <b v="0"/>
    <n v="0"/>
    <n v="23"/>
    <d v="2023-02-28T00:00:00"/>
    <n v="23"/>
    <n v="1687345"/>
    <n v="16873.45"/>
    <n v="1670471.55"/>
    <n v="0.99"/>
    <s v="Feb-2023"/>
    <s v="Q1-2023"/>
    <s v="Americas → USA → Austin"/>
    <x v="2"/>
    <s v="Low"/>
    <s v="USA"/>
    <d v="2023-01-13T00:00:00"/>
    <s v="Jan-2023"/>
    <d v="2023-02-28T00:00:00"/>
    <n v="0"/>
  </r>
  <r>
    <s v="ORD-2023-545150"/>
    <d v="2023-04-06T00:00:00"/>
    <d v="2023-04-08T00:00:00"/>
    <s v="Africa"/>
    <x v="1"/>
    <s v="Abuja"/>
    <s v="Small Business"/>
    <s v="Marketplace"/>
    <s v="K. Singh"/>
    <x v="5"/>
    <s v="MON-4373"/>
    <n v="720.35"/>
    <n v="1571.66"/>
    <n v="0.107"/>
    <n v="23"/>
    <s v="Valid"/>
    <n v="1571.66"/>
    <b v="0"/>
    <n v="0.107"/>
    <n v="2"/>
    <d v="2023-04-08T00:00:00"/>
    <n v="2"/>
    <n v="3610950.1447399999"/>
    <n v="36148.18"/>
    <n v="3574801.9647399997"/>
    <n v="0.98998928853873636"/>
    <s v="Apr-2023"/>
    <s v="Q2-2023"/>
    <s v="Africa → Nigeria → Abuja"/>
    <x v="1"/>
    <s v="Low"/>
    <s v="NIGERIA"/>
    <d v="2023-01-15T00:00:00"/>
    <s v="Jan-2023"/>
    <d v="2023-04-30T00:00:00"/>
    <n v="1"/>
  </r>
  <r>
    <s v="ORD-2025-269934"/>
    <d v="2025-04-04T00:00:00"/>
    <d v="2025-04-10T00:00:00"/>
    <s v="Europe"/>
    <x v="8"/>
    <s v="Birmingham"/>
    <s v="Non-Profit"/>
    <s v="Direct"/>
    <s v="N. Brown"/>
    <x v="1"/>
    <s v="PRN-8657"/>
    <n v="290.14"/>
    <n v="250.73"/>
    <n v="3.4000000000000002E-2"/>
    <n v="17"/>
    <s v="Valid"/>
    <n v="250.73"/>
    <b v="0"/>
    <n v="3.4000000000000002E-2"/>
    <n v="6"/>
    <d v="2025-04-10T00:00:00"/>
    <n v="6"/>
    <n v="426096.07805999997"/>
    <n v="4262.41"/>
    <n v="421833.66806"/>
    <n v="0.98999659884360691"/>
    <s v="Apr-2025"/>
    <s v="Q2-2025"/>
    <s v="Europe → United Kingdom → Birmingham"/>
    <x v="1"/>
    <s v="High"/>
    <s v="UNITED KINGDOM"/>
    <d v="2023-01-19T00:00:00"/>
    <s v="Jan-2023"/>
    <d v="2025-04-30T00:00:00"/>
    <n v="1"/>
  </r>
  <r>
    <s v="ORD-2024-690270"/>
    <d v="2024-05-17T00:00:00"/>
    <d v="2024-05-27T00:00:00"/>
    <s v="Americas"/>
    <x v="10"/>
    <s v="Austin"/>
    <s v="Non-Profit"/>
    <s v="Online"/>
    <s v="C. Otieno"/>
    <x v="3"/>
    <s v="PHN-7974"/>
    <n v="1484.23"/>
    <n v="3472.81"/>
    <n v="0.25600000000000001"/>
    <n v="12"/>
    <s v="Valid"/>
    <n v="3472.81"/>
    <b v="0"/>
    <n v="0.25600000000000001"/>
    <n v="10"/>
    <d v="2024-05-27T00:00:00"/>
    <n v="10"/>
    <n v="4156703.5276800003"/>
    <n v="41673.72"/>
    <n v="4115029.8076800001"/>
    <n v="0.98997433429579718"/>
    <s v="May-2024"/>
    <s v="Q2-2024"/>
    <s v="Americas → USA → Austin"/>
    <x v="2"/>
    <s v="Medium"/>
    <s v="USA"/>
    <d v="2023-01-13T00:00:00"/>
    <s v="Jan-2023"/>
    <d v="2024-05-31T00:00:00"/>
    <n v="0"/>
  </r>
  <r>
    <s v="ORD-2024-868223"/>
    <d v="2024-03-03T00:00:00"/>
    <d v="2024-03-19T00:00:00"/>
    <s v="Asia"/>
    <x v="9"/>
    <s v="Beijing"/>
    <s v="Consumer"/>
    <s v="Distributor"/>
    <s v="G. Dubois"/>
    <x v="3"/>
    <s v="PHN-4915"/>
    <n v="988.83"/>
    <n v="1206.04"/>
    <n v="6.3E-2"/>
    <n v="34"/>
    <s v="Valid"/>
    <n v="1206.04"/>
    <b v="0"/>
    <n v="6.3E-2"/>
    <n v="16"/>
    <d v="2024-03-19T00:00:00"/>
    <n v="16"/>
    <n v="4097952.6623200001"/>
    <n v="41005.360000000001"/>
    <n v="4056947.3023200002"/>
    <n v="0.98999369602849796"/>
    <s v="Mar-2024"/>
    <s v="Q1-2024"/>
    <s v="Asia → China → Beijing"/>
    <x v="2"/>
    <s v="Medium"/>
    <s v="CHINA"/>
    <d v="2023-01-12T00:00:00"/>
    <s v="Jan-2023"/>
    <d v="2024-03-31T00:00:00"/>
    <n v="0"/>
  </r>
  <r>
    <s v="ORD-2025-188059"/>
    <d v="2025-06-27T00:00:00"/>
    <d v="2025-07-11T00:00:00"/>
    <s v="Asia"/>
    <x v="9"/>
    <s v="Shanghai"/>
    <s v="Small Business"/>
    <s v="Marketplace"/>
    <s v="L. Okafor"/>
    <x v="2"/>
    <s v="NET-3535"/>
    <n v="1227.7"/>
    <n v="2197.23"/>
    <n v="9.9000000000000005E-2"/>
    <n v="22"/>
    <s v="Valid"/>
    <n v="2197.23"/>
    <b v="0"/>
    <n v="9.9000000000000005E-2"/>
    <n v="14"/>
    <d v="2025-07-11T00:00:00"/>
    <n v="14"/>
    <n v="4829120.4330599997"/>
    <n v="48339.06"/>
    <n v="4780781.3730600001"/>
    <n v="0.98999009018928752"/>
    <s v="Jun-2025"/>
    <s v="Q2-2025"/>
    <s v="Asia → China → Shanghai"/>
    <x v="0"/>
    <s v="High"/>
    <s v="CHINA"/>
    <d v="2023-01-12T00:00:00"/>
    <s v="Jan-2023"/>
    <d v="2025-06-30T00:00:00"/>
    <n v="0"/>
  </r>
  <r>
    <s v="ORD-2023-281890"/>
    <d v="2023-03-13T00:00:00"/>
    <d v="2023-04-04T00:00:00"/>
    <s v="Africa"/>
    <x v="11"/>
    <s v="Durban"/>
    <s v="Small Business"/>
    <s v="Retail"/>
    <s v="A. Patel"/>
    <x v="0"/>
    <s v="CMP-2574"/>
    <n v="1113.7"/>
    <n v="1620.6"/>
    <n v="0.13900000000000001"/>
    <n v="11"/>
    <s v="Valid"/>
    <n v="1620.6"/>
    <b v="0"/>
    <n v="0.13900000000000001"/>
    <n v="22"/>
    <d v="2023-04-04T00:00:00"/>
    <n v="22"/>
    <n v="1780182.1025999999"/>
    <n v="17826.599999999999"/>
    <n v="1762355.5025999998"/>
    <n v="0.98998608065210636"/>
    <s v="Mar-2023"/>
    <s v="Q1-2023"/>
    <s v="Africa → South Africa → Durban"/>
    <x v="0"/>
    <s v="Low"/>
    <s v="SOUTH AFRICA"/>
    <d v="2023-01-07T00:00:00"/>
    <s v="Jan-2023"/>
    <d v="2023-03-31T00:00:00"/>
    <n v="0"/>
  </r>
  <r>
    <s v="ORD-2025-636162"/>
    <d v="2025-01-07T00:00:00"/>
    <d v="2025-01-20T00:00:00"/>
    <s v="Africa"/>
    <x v="11"/>
    <s v="Cape Town"/>
    <s v="Corporate"/>
    <s v="Direct"/>
    <s v="K. Singh"/>
    <x v="2"/>
    <s v="NET-7901"/>
    <n v="432.13"/>
    <n v="1034.6600000000001"/>
    <n v="9.1999999999999998E-2"/>
    <n v="7"/>
    <s v="Valid"/>
    <n v="1034.6600000000001"/>
    <b v="0"/>
    <n v="9.1999999999999998E-2"/>
    <n v="13"/>
    <d v="2025-01-20T00:00:00"/>
    <n v="13"/>
    <n v="723595.67896000005"/>
    <n v="7242.6200000000008"/>
    <n v="716353.05896000005"/>
    <n v="0.9899907915282059"/>
    <s v="Jan-2025"/>
    <s v="Q1-2025"/>
    <s v="Africa → South Africa → Cape Town"/>
    <x v="0"/>
    <s v="High"/>
    <s v="SOUTH AFRICA"/>
    <d v="2023-01-07T00:00:00"/>
    <s v="Jan-2023"/>
    <d v="2025-01-31T00:00:00"/>
    <n v="0"/>
  </r>
  <r>
    <s v="ORD-2025-915869"/>
    <d v="2025-02-06T00:00:00"/>
    <d v="2025-02-15T00:00:00"/>
    <s v="Americas"/>
    <x v="4"/>
    <s v="São Paulo"/>
    <s v="Non-Profit"/>
    <s v="Distributor"/>
    <s v="F. Müller"/>
    <x v="2"/>
    <s v="NET-5482"/>
    <n v="837.39"/>
    <n v="1905.42"/>
    <n v="3.2000000000000001E-2"/>
    <n v="18"/>
    <s v="Valid"/>
    <n v="1905.42"/>
    <b v="0"/>
    <n v="3.2000000000000001E-2"/>
    <n v="9"/>
    <d v="2025-02-15T00:00:00"/>
    <n v="9"/>
    <n v="3428658.4780799998"/>
    <n v="34297.56"/>
    <n v="3394360.9180799997"/>
    <n v="0.98999679897567217"/>
    <s v="Feb-2025"/>
    <s v="Q1-2025"/>
    <s v="Americas → Brazil → São Paulo"/>
    <x v="0"/>
    <s v="High"/>
    <s v="BRAZIL"/>
    <d v="2023-01-29T00:00:00"/>
    <s v="Jan-2023"/>
    <d v="2025-02-28T00:00:00"/>
    <n v="0"/>
  </r>
  <r>
    <s v="ORD-2025-192876"/>
    <d v="2025-01-31T00:00:00"/>
    <d v="2025-02-17T00:00:00"/>
    <s v="Europe"/>
    <x v="8"/>
    <s v="London"/>
    <s v="Enterprise"/>
    <s v="Retail"/>
    <s v="H. Kim"/>
    <x v="0"/>
    <s v="CMP-5820"/>
    <n v="378.26"/>
    <n v="541.55999999999995"/>
    <n v="0.16300000000000001"/>
    <n v="25"/>
    <s v="Valid"/>
    <n v="541.55999999999995"/>
    <b v="0"/>
    <n v="0.16300000000000001"/>
    <n v="17"/>
    <d v="2025-02-17T00:00:00"/>
    <n v="17"/>
    <n v="1351693.1429999999"/>
    <n v="13538.999999999998"/>
    <n v="1338154.1429999999"/>
    <n v="0.98998367338762183"/>
    <s v="Jan-2025"/>
    <s v="Q1-2025"/>
    <s v="Europe → United Kingdom → London"/>
    <x v="0"/>
    <s v="High"/>
    <s v="UNITED KINGDOM"/>
    <d v="2023-01-19T00:00:00"/>
    <s v="Jan-2023"/>
    <d v="2025-01-31T00:00:00"/>
    <n v="0"/>
  </r>
  <r>
    <s v="ORD-2025-822030"/>
    <d v="2025-08-07T00:00:00"/>
    <d v="2025-09-06T00:00:00"/>
    <s v="Americas"/>
    <x v="2"/>
    <s v="Montreal"/>
    <s v="Education"/>
    <s v="Direct"/>
    <s v="M. Rossi"/>
    <x v="2"/>
    <s v="NET-1336"/>
    <n v="833.73"/>
    <n v="1116.5999999999999"/>
    <n v="0.17599999999999999"/>
    <n v="14"/>
    <s v="Valid"/>
    <n v="1116.5999999999999"/>
    <b v="0"/>
    <n v="0.17599999999999999"/>
    <n v="30"/>
    <d v="2025-09-06T00:00:00"/>
    <n v="30"/>
    <n v="1560488.6975999998"/>
    <n v="15632.399999999998"/>
    <n v="1544856.2975999999"/>
    <n v="0.98998236896938618"/>
    <s v="Aug-2025"/>
    <s v="Q3-2025"/>
    <s v="Americas → Canada → Montreal"/>
    <x v="0"/>
    <s v="High"/>
    <s v="CANADA"/>
    <d v="2023-01-02T00:00:00"/>
    <s v="Jan-2023"/>
    <d v="2025-08-31T00:00:00"/>
    <n v="0"/>
  </r>
  <r>
    <s v="ORD-2025-789245"/>
    <d v="2025-07-23T00:00:00"/>
    <d v="2025-08-17T00:00:00"/>
    <s v="Europe"/>
    <x v="8"/>
    <s v="Birmingham"/>
    <s v="Education"/>
    <s v="Online"/>
    <s v="I. Johnson"/>
    <x v="1"/>
    <s v="PRN-5876"/>
    <n v="1142.06"/>
    <n v="1455"/>
    <n v="7.8E-2"/>
    <n v="28"/>
    <s v="Valid"/>
    <n v="1455"/>
    <b v="0"/>
    <n v="7.8E-2"/>
    <n v="25"/>
    <d v="2025-08-17T00:00:00"/>
    <n v="25"/>
    <n v="4070822.28"/>
    <n v="40740"/>
    <n v="4030082.28"/>
    <n v="0.98999219391125082"/>
    <s v="Jul-2025"/>
    <s v="Q3-2025"/>
    <s v="Europe → United Kingdom → Birmingham"/>
    <x v="1"/>
    <s v="High"/>
    <s v="UNITED KINGDOM"/>
    <d v="2023-01-19T00:00:00"/>
    <s v="Jan-2023"/>
    <d v="2025-07-31T00:00:00"/>
    <n v="0"/>
  </r>
  <r>
    <s v="ORD-2023-594955"/>
    <d v="2023-06-20T00:00:00"/>
    <d v="2023-07-08T00:00:00"/>
    <s v="Americas"/>
    <x v="10"/>
    <s v="New York"/>
    <s v="Consumer"/>
    <s v="Marketplace"/>
    <s v="O. Wang"/>
    <x v="2"/>
    <s v="NET-3828"/>
    <n v="1145.53"/>
    <n v="1278.3"/>
    <n v="0.09"/>
    <n v="41"/>
    <s v="Valid"/>
    <n v="1278.3"/>
    <b v="0"/>
    <n v="0.09"/>
    <n v="18"/>
    <d v="2023-07-08T00:00:00"/>
    <n v="18"/>
    <n v="5236313.0729999989"/>
    <n v="52410.299999999996"/>
    <n v="5183902.7729999991"/>
    <n v="0.98999099189270345"/>
    <s v="Jun-2023"/>
    <s v="Q2-2023"/>
    <s v="Americas → USA → New York"/>
    <x v="0"/>
    <s v="Low"/>
    <s v="USA"/>
    <d v="2023-01-13T00:00:00"/>
    <s v="Jan-2023"/>
    <d v="2023-06-30T00:00:00"/>
    <n v="0"/>
  </r>
  <r>
    <s v="ORD-2024-398783"/>
    <d v="2024-07-18T00:00:00"/>
    <d v="2024-08-07T00:00:00"/>
    <s v="Europe"/>
    <x v="7"/>
    <s v="Marseille"/>
    <s v="Corporate"/>
    <s v="Retail"/>
    <s v="F. Müller"/>
    <x v="5"/>
    <s v="MON-7622"/>
    <n v="941.35"/>
    <n v="899.83"/>
    <n v="5.8000000000000003E-2"/>
    <n v="18"/>
    <s v="Valid"/>
    <n v="899.83"/>
    <b v="0"/>
    <n v="5.8000000000000003E-2"/>
    <n v="20"/>
    <d v="2024-08-07T00:00:00"/>
    <n v="20"/>
    <n v="1618754.57748"/>
    <n v="16196.94"/>
    <n v="1602557.63748"/>
    <n v="0.98999419663404775"/>
    <s v="Jul-2024"/>
    <s v="Q3-2024"/>
    <s v="Europe → France → Marseille"/>
    <x v="1"/>
    <s v="Medium"/>
    <s v="FRANCE"/>
    <d v="2023-01-10T00:00:00"/>
    <s v="Jan-2023"/>
    <d v="2024-07-31T00:00:00"/>
    <n v="0"/>
  </r>
  <r>
    <s v="ORD-2023-676553"/>
    <d v="2023-05-20T00:00:00"/>
    <d v="2023-06-19T00:00:00"/>
    <s v="Asia"/>
    <x v="3"/>
    <s v="Delhi"/>
    <s v="Non-Profit"/>
    <s v="Marketplace"/>
    <s v="H. Kim"/>
    <x v="4"/>
    <s v="LAP-2806"/>
    <n v="1161.2"/>
    <n v="878.73"/>
    <n v="0.19"/>
    <n v="31"/>
    <s v="Valid"/>
    <n v="878.73"/>
    <b v="0"/>
    <n v="0.19"/>
    <n v="30"/>
    <d v="2023-06-19T00:00:00"/>
    <n v="30"/>
    <n v="2718887.2803000002"/>
    <n v="27240.63"/>
    <n v="2691646.6503000003"/>
    <n v="0.98998096383127943"/>
    <s v="May-2023"/>
    <s v="Q2-2023"/>
    <s v="Asia → India → Delhi"/>
    <x v="2"/>
    <s v="Low"/>
    <s v="INDIA"/>
    <d v="2023-01-29T00:00:00"/>
    <s v="Jan-2023"/>
    <d v="2023-05-31T00:00:00"/>
    <n v="0"/>
  </r>
  <r>
    <s v="ORD-2025-866565"/>
    <d v="2025-05-12T00:00:00"/>
    <d v="2025-05-26T00:00:00"/>
    <s v="Asia"/>
    <x v="3"/>
    <s v="Hyderabad"/>
    <s v="Corporate"/>
    <s v="Marketplace"/>
    <s v="G. Dubois"/>
    <x v="1"/>
    <s v="PRN-8850"/>
    <n v="320.12"/>
    <n v="594.41999999999996"/>
    <n v="0.104"/>
    <n v="18"/>
    <s v="Valid"/>
    <n v="594.41999999999996"/>
    <b v="0"/>
    <n v="0.104"/>
    <n v="14"/>
    <d v="2025-05-26T00:00:00"/>
    <n v="14"/>
    <n v="1068843.2457599998"/>
    <n v="10699.56"/>
    <n v="1058143.6857599998"/>
    <n v="0.9899895891727396"/>
    <s v="May-2025"/>
    <s v="Q2-2025"/>
    <s v="Asia → India → Hyderabad"/>
    <x v="1"/>
    <s v="High"/>
    <s v="INDIA"/>
    <d v="2023-01-29T00:00:00"/>
    <s v="Jan-2023"/>
    <d v="2025-05-31T00:00:00"/>
    <n v="0"/>
  </r>
  <r>
    <s v="ORD-2024-527858"/>
    <d v="2024-05-07T00:00:00"/>
    <d v="2024-05-12T00:00:00"/>
    <s v="Africa"/>
    <x v="1"/>
    <s v="Abuja"/>
    <s v="Non-Profit"/>
    <s v="Distributor"/>
    <s v="L. Okafor"/>
    <x v="4"/>
    <s v="LAP-9100"/>
    <n v="1163.99"/>
    <n v="1617.85"/>
    <n v="0.127"/>
    <n v="14"/>
    <s v="Valid"/>
    <n v="1617.85"/>
    <b v="0"/>
    <n v="0.127"/>
    <n v="5"/>
    <d v="2024-05-12T00:00:00"/>
    <n v="5"/>
    <n v="2262113.4627"/>
    <n v="22649.899999999998"/>
    <n v="2239463.5627000001"/>
    <n v="0.98998728385049017"/>
    <s v="May-2024"/>
    <s v="Q2-2024"/>
    <s v="Africa → Nigeria → Abuja"/>
    <x v="2"/>
    <s v="Medium"/>
    <s v="NIGERIA"/>
    <d v="2023-01-15T00:00:00"/>
    <s v="Jan-2023"/>
    <d v="2024-05-31T00:00:00"/>
    <n v="1"/>
  </r>
  <r>
    <s v="ORD-2023-619385"/>
    <d v="2023-09-30T00:00:00"/>
    <d v="2023-10-03T00:00:00"/>
    <s v="Asia"/>
    <x v="9"/>
    <s v="Beijing"/>
    <s v="Non-Profit"/>
    <s v="Retail"/>
    <s v="J. Njeri"/>
    <x v="4"/>
    <s v="LAP-5763"/>
    <n v="1019.36"/>
    <n v="972.91"/>
    <n v="0.14699999999999999"/>
    <n v="17"/>
    <s v="Valid"/>
    <n v="972.91"/>
    <b v="0"/>
    <n v="0.14699999999999999"/>
    <n v="3"/>
    <d v="2023-10-03T00:00:00"/>
    <n v="3"/>
    <n v="1651515.6979100001"/>
    <n v="16539.47"/>
    <n v="1634976.2279100001"/>
    <n v="0.98998527835918804"/>
    <s v="Sep-2023"/>
    <s v="Q3-2023"/>
    <s v="Asia → China → Beijing"/>
    <x v="2"/>
    <s v="Low"/>
    <s v="CHINA"/>
    <d v="2023-01-12T00:00:00"/>
    <s v="Jan-2023"/>
    <d v="2023-09-30T00:00:00"/>
    <n v="1"/>
  </r>
  <r>
    <s v="ORD-2023-835226"/>
    <d v="2023-10-26T00:00:00"/>
    <d v="2023-11-05T00:00:00"/>
    <s v="Africa"/>
    <x v="11"/>
    <s v="Cape Town"/>
    <s v="Non-Profit"/>
    <s v="Online"/>
    <s v="I. Johnson"/>
    <x v="4"/>
    <s v="LAP-7320"/>
    <n v="20.38"/>
    <n v="42.56"/>
    <n v="7.1999999999999995E-2"/>
    <n v="11"/>
    <s v="Valid"/>
    <n v="42.56"/>
    <b v="0"/>
    <n v="7.1999999999999995E-2"/>
    <n v="10"/>
    <d v="2023-11-05T00:00:00"/>
    <n v="10"/>
    <n v="46782.292480000004"/>
    <n v="468.16"/>
    <n v="46314.13248"/>
    <n v="0.98999279481226476"/>
    <s v="Oct-2023"/>
    <s v="Q4-2023"/>
    <s v="Africa → South Africa → Cape Town"/>
    <x v="2"/>
    <s v="Low"/>
    <s v="SOUTH AFRICA"/>
    <d v="2023-01-07T00:00:00"/>
    <s v="Jan-2023"/>
    <d v="2023-10-31T00:00:00"/>
    <n v="0"/>
  </r>
  <r>
    <s v="ORD-2025-485946"/>
    <d v="2025-06-15T00:00:00"/>
    <d v="2025-06-30T00:00:00"/>
    <s v="Africa"/>
    <x v="11"/>
    <s v="Johannesburg"/>
    <s v="Small Business"/>
    <s v="Direct"/>
    <s v="C. Otieno"/>
    <x v="5"/>
    <s v="MON-5891"/>
    <n v="1487.59"/>
    <n v="1480.83"/>
    <n v="8.9999999999999993E-3"/>
    <n v="11"/>
    <s v="Valid"/>
    <n v="1480.83"/>
    <b v="0"/>
    <n v="8.9999999999999993E-3"/>
    <n v="15"/>
    <d v="2025-06-30T00:00:00"/>
    <n v="15"/>
    <n v="1628766.3978299999"/>
    <n v="16289.13"/>
    <n v="1612477.26783"/>
    <n v="0.98999909991899282"/>
    <s v="Jun-2025"/>
    <s v="Q2-2025"/>
    <s v="Africa → South Africa → Johannesburg"/>
    <x v="1"/>
    <s v="High"/>
    <s v="SOUTH AFRICA"/>
    <d v="2023-01-07T00:00:00"/>
    <s v="Jan-2023"/>
    <d v="2025-06-30T00:00:00"/>
    <n v="0"/>
  </r>
  <r>
    <s v="ORD-2024-307849"/>
    <d v="2024-08-10T00:00:00"/>
    <d v="2024-09-07T00:00:00"/>
    <s v="Europe"/>
    <x v="7"/>
    <s v="Marseille"/>
    <s v="Non-Profit"/>
    <s v="Direct"/>
    <s v="F. Müller"/>
    <x v="1"/>
    <s v="PRN-1183"/>
    <n v="229.96"/>
    <n v="564.26"/>
    <n v="0.105"/>
    <n v="5"/>
    <s v="Valid"/>
    <n v="564.26"/>
    <b v="0"/>
    <n v="0.105"/>
    <n v="28"/>
    <d v="2024-09-07T00:00:00"/>
    <n v="28"/>
    <n v="281833.7635"/>
    <n v="2821.3"/>
    <n v="279012.46350000001"/>
    <n v="0.98998948896341166"/>
    <s v="Aug-2024"/>
    <s v="Q3-2024"/>
    <s v="Europe → France → Marseille"/>
    <x v="1"/>
    <s v="Medium"/>
    <s v="FRANCE"/>
    <d v="2023-01-10T00:00:00"/>
    <s v="Jan-2023"/>
    <d v="2024-08-31T00:00:00"/>
    <n v="0"/>
  </r>
  <r>
    <s v="ORD-2023-368449"/>
    <d v="2023-10-09T00:00:00"/>
    <d v="2023-10-26T00:00:00"/>
    <s v="Asia"/>
    <x v="9"/>
    <s v="Shanghai"/>
    <s v="Consumer"/>
    <s v="Marketplace"/>
    <s v="C. Otieno"/>
    <x v="0"/>
    <s v="CMP-2096"/>
    <n v="1132.03"/>
    <n v="2137.21"/>
    <n v="0.35699999999999998"/>
    <n v="35"/>
    <s v="Valid"/>
    <n v="2137.21"/>
    <s v="Excess"/>
    <n v="0.3"/>
    <n v="17"/>
    <d v="2023-10-26T00:00:00"/>
    <n v="17"/>
    <n v="7457794.2950000009"/>
    <n v="74802.350000000006"/>
    <n v="7382991.9450000012"/>
    <n v="0.98996990972918764"/>
    <s v="Oct-2023"/>
    <s v="Q4-2023"/>
    <s v="Asia → China → Shanghai"/>
    <x v="0"/>
    <s v="Low"/>
    <s v="CHINA"/>
    <d v="2023-01-12T00:00:00"/>
    <s v="Jan-2023"/>
    <d v="2023-10-31T00:00:00"/>
    <n v="0"/>
  </r>
  <r>
    <s v="ORD-2024-251426"/>
    <d v="2024-03-09T00:00:00"/>
    <d v="2024-03-26T00:00:00"/>
    <s v="Americas"/>
    <x v="10"/>
    <s v="San Francisco"/>
    <s v="Education"/>
    <s v="Direct"/>
    <s v="I. Johnson"/>
    <x v="3"/>
    <s v="PHN-3398"/>
    <n v="1137.4100000000001"/>
    <n v="1680.93"/>
    <n v="0.254"/>
    <n v="9"/>
    <s v="Valid"/>
    <n v="1680.93"/>
    <b v="0"/>
    <n v="0.254"/>
    <n v="17"/>
    <d v="2024-03-26T00:00:00"/>
    <n v="17"/>
    <n v="1508994.39402"/>
    <n v="15128.37"/>
    <n v="1493866.0240199999"/>
    <n v="0.98997453531971202"/>
    <s v="Mar-2024"/>
    <s v="Q1-2024"/>
    <s v="Americas → USA → San Francisco"/>
    <x v="2"/>
    <s v="Medium"/>
    <s v="USA"/>
    <d v="2023-01-13T00:00:00"/>
    <s v="Jan-2023"/>
    <d v="2024-03-31T00:00:00"/>
    <n v="0"/>
  </r>
  <r>
    <s v="ORD-2023-927385"/>
    <d v="2023-05-29T00:00:00"/>
    <d v="2023-06-20T00:00:00"/>
    <s v="Europe"/>
    <x v="8"/>
    <s v="London"/>
    <s v="Small Business"/>
    <s v="Direct"/>
    <s v="K. Singh"/>
    <x v="0"/>
    <s v="CMP-8545"/>
    <n v="1295.3900000000001"/>
    <n v="2905.06"/>
    <n v="0.14799999999999999"/>
    <n v="8"/>
    <s v="Valid"/>
    <n v="2905.06"/>
    <b v="0"/>
    <n v="0.14799999999999999"/>
    <n v="22"/>
    <d v="2023-06-20T00:00:00"/>
    <n v="22"/>
    <n v="2320608.4089600001"/>
    <n v="23240.48"/>
    <n v="2297367.9289600002"/>
    <n v="0.98998517806353403"/>
    <s v="May-2023"/>
    <s v="Q2-2023"/>
    <s v="Europe → United Kingdom → London"/>
    <x v="0"/>
    <s v="Low"/>
    <s v="UNITED KINGDOM"/>
    <d v="2023-01-19T00:00:00"/>
    <s v="Jan-2023"/>
    <d v="2023-05-31T00:00:00"/>
    <n v="0"/>
  </r>
  <r>
    <s v="ORD-2025-486350"/>
    <d v="2025-05-27T00:00:00"/>
    <d v="2025-06-08T00:00:00"/>
    <s v="Asia"/>
    <x v="6"/>
    <s v="Osaka"/>
    <s v="Corporate"/>
    <s v="Retail"/>
    <s v="H. Kim"/>
    <x v="6"/>
    <s v="ACC-1249"/>
    <n v="653.6"/>
    <n v="842.09"/>
    <n v="9.8000000000000004E-2"/>
    <n v="19"/>
    <s v="Valid"/>
    <n v="842.09"/>
    <b v="0"/>
    <n v="9.8000000000000004E-2"/>
    <n v="12"/>
    <d v="2025-06-08T00:00:00"/>
    <n v="12"/>
    <n v="1598403.0284200001"/>
    <n v="15999.710000000001"/>
    <n v="1582403.3184200001"/>
    <n v="0.98999019038657887"/>
    <s v="May-2025"/>
    <s v="Q2-2025"/>
    <s v="Asia → Japan → Osaka"/>
    <x v="0"/>
    <s v="High"/>
    <s v="JAPAN"/>
    <d v="2023-03-03T00:00:00"/>
    <s v="Mar-2023"/>
    <d v="2025-05-31T00:00:00"/>
    <n v="0"/>
  </r>
  <r>
    <s v="ORD-2025-677880"/>
    <d v="2025-08-21T00:00:00"/>
    <d v="2025-09-14T00:00:00"/>
    <s v="Europe"/>
    <x v="5"/>
    <s v="Berlin"/>
    <s v="Non-Profit"/>
    <s v="Online"/>
    <s v="A. Patel"/>
    <x v="5"/>
    <s v="MON-9662"/>
    <n v="1397.67"/>
    <n v="3131.37"/>
    <n v="0.10299999999999999"/>
    <n v="20"/>
    <s v="Valid"/>
    <n v="3131.37"/>
    <b v="0"/>
    <n v="0.10299999999999999"/>
    <n v="24"/>
    <d v="2025-09-14T00:00:00"/>
    <n v="24"/>
    <n v="6256289.3777999999"/>
    <n v="62627.399999999994"/>
    <n v="6193661.9777999995"/>
    <n v="0.98998968938006138"/>
    <s v="Aug-2025"/>
    <s v="Q3-2025"/>
    <s v="Europe → Germany → Berlin"/>
    <x v="1"/>
    <s v="High"/>
    <s v="GERMANY"/>
    <d v="2023-01-22T00:00:00"/>
    <s v="Jan-2023"/>
    <d v="2025-08-31T00:00:00"/>
    <n v="0"/>
  </r>
  <r>
    <s v="ORD-2024-102866"/>
    <d v="2024-12-12T00:00:00"/>
    <d v="2024-12-20T00:00:00"/>
    <s v="Asia"/>
    <x v="6"/>
    <s v="Tokyo"/>
    <s v="Corporate"/>
    <s v="Retail"/>
    <s v="B. Chen"/>
    <x v="4"/>
    <s v="LAP-8347"/>
    <n v="1202.47"/>
    <n v="1444.72"/>
    <n v="0.24099999999999999"/>
    <n v="17"/>
    <s v="Valid"/>
    <n v="1444.72"/>
    <b v="0"/>
    <n v="0.24099999999999999"/>
    <n v="8"/>
    <d v="2024-12-20T00:00:00"/>
    <n v="8"/>
    <n v="2450104.9821600001"/>
    <n v="24560.240000000002"/>
    <n v="2425544.7421599999"/>
    <n v="0.98997584177868658"/>
    <s v="Dec-2024"/>
    <s v="Q4-2024"/>
    <s v="Asia → Japan → Tokyo"/>
    <x v="2"/>
    <s v="High"/>
    <s v="JAPAN"/>
    <d v="2023-03-03T00:00:00"/>
    <s v="Mar-2023"/>
    <d v="2024-12-31T00:00:00"/>
    <n v="0"/>
  </r>
  <r>
    <s v="ORD-2025-588029"/>
    <d v="2025-09-14T00:00:00"/>
    <d v="2025-09-23T00:00:00"/>
    <s v="Africa"/>
    <x v="11"/>
    <s v="Durban"/>
    <s v="Non-Profit"/>
    <s v="Online"/>
    <s v="D. Smith"/>
    <x v="0"/>
    <s v="CMP-6898"/>
    <n v="1310.3"/>
    <n v="2875.8"/>
    <n v="8.3000000000000004E-2"/>
    <n v="5"/>
    <s v="Valid"/>
    <n v="2875.8"/>
    <b v="0"/>
    <n v="8.3000000000000004E-2"/>
    <n v="9"/>
    <d v="2025-09-23T00:00:00"/>
    <n v="9"/>
    <n v="1436706.5430000001"/>
    <n v="14379"/>
    <n v="1422327.5430000001"/>
    <n v="0.98999169310527735"/>
    <s v="Sep-2025"/>
    <s v="Q3-2025"/>
    <s v="Africa → South Africa → Durban"/>
    <x v="0"/>
    <s v="High"/>
    <s v="SOUTH AFRICA"/>
    <d v="2023-01-07T00:00:00"/>
    <s v="Jan-2023"/>
    <d v="2025-09-30T00:00:00"/>
    <n v="0"/>
  </r>
  <r>
    <s v="ORD-2024-972999"/>
    <d v="2024-09-06T00:00:00"/>
    <d v="2024-10-04T00:00:00"/>
    <s v="Africa"/>
    <x v="11"/>
    <s v="Cape Town"/>
    <s v="Corporate"/>
    <s v="Marketplace"/>
    <s v="D. Smith"/>
    <x v="5"/>
    <s v="MON-3504"/>
    <n v="1174.17"/>
    <n v="1641.61"/>
    <n v="0.122"/>
    <n v="9"/>
    <s v="Valid"/>
    <n v="1641.61"/>
    <b v="0"/>
    <n v="0.122"/>
    <n v="28"/>
    <d v="2024-10-04T00:00:00"/>
    <n v="28"/>
    <n v="1475646.5122199999"/>
    <n v="14774.49"/>
    <n v="1460872.0222199999"/>
    <n v="0.98998778509781937"/>
    <s v="Sep-2024"/>
    <s v="Q3-2024"/>
    <s v="Africa → South Africa → Cape Town"/>
    <x v="1"/>
    <s v="Medium"/>
    <s v="SOUTH AFRICA"/>
    <d v="2023-01-07T00:00:00"/>
    <s v="Jan-2023"/>
    <d v="2024-09-30T00:00:00"/>
    <n v="0"/>
  </r>
  <r>
    <s v="ORD-2025-608069"/>
    <d v="2025-04-12T00:00:00"/>
    <d v="2025-04-30T00:00:00"/>
    <s v="Africa"/>
    <x v="0"/>
    <s v="Kisumu"/>
    <s v="Corporate"/>
    <s v="Marketplace"/>
    <s v="F. Müller"/>
    <x v="2"/>
    <s v="NET-3432"/>
    <n v="1119.04"/>
    <n v="1299.02"/>
    <n v="2.5000000000000001E-2"/>
    <n v="14"/>
    <s v="Valid"/>
    <n v="1299.02"/>
    <b v="0"/>
    <n v="2.5000000000000001E-2"/>
    <n v="18"/>
    <d v="2025-04-30T00:00:00"/>
    <n v="18"/>
    <n v="1818173.3429999999"/>
    <n v="18186.28"/>
    <n v="1799987.0629999998"/>
    <n v="0.98999749937484371"/>
    <s v="Apr-2025"/>
    <s v="Q2-2025"/>
    <s v="Africa → Kenya → Kisumu"/>
    <x v="0"/>
    <s v="High"/>
    <s v="KENYA"/>
    <d v="2023-01-20T00:00:00"/>
    <s v="Jan-2023"/>
    <d v="2025-04-30T00:00:00"/>
    <n v="0"/>
  </r>
  <r>
    <s v="ORD-2024-626750"/>
    <d v="2024-08-12T00:00:00"/>
    <d v="2024-08-15T00:00:00"/>
    <s v="Americas"/>
    <x v="10"/>
    <s v="Chicago"/>
    <s v="Corporate"/>
    <s v="Marketplace"/>
    <s v="D. Smith"/>
    <x v="1"/>
    <s v="PRN-5591"/>
    <n v="850.7"/>
    <n v="1118.56"/>
    <n v="0.18"/>
    <n v="19"/>
    <s v="Valid"/>
    <n v="1118.56"/>
    <b v="0"/>
    <n v="0.18"/>
    <n v="3"/>
    <d v="2024-08-15T00:00:00"/>
    <n v="3"/>
    <n v="2121438.5247999998"/>
    <n v="21252.639999999999"/>
    <n v="2100185.8847999997"/>
    <n v="0.98998196754157475"/>
    <s v="Aug-2024"/>
    <s v="Q3-2024"/>
    <s v="Americas → USA → Chicago"/>
    <x v="1"/>
    <s v="Medium"/>
    <s v="USA"/>
    <d v="2023-01-13T00:00:00"/>
    <s v="Jan-2023"/>
    <d v="2024-08-31T00:00:00"/>
    <n v="1"/>
  </r>
  <r>
    <s v="ORD-2024-170021"/>
    <d v="2024-11-05T00:00:00"/>
    <d v="2024-11-08T00:00:00"/>
    <s v="Americas"/>
    <x v="2"/>
    <s v="Toronto"/>
    <s v="Education"/>
    <s v="Marketplace"/>
    <s v="O. Wang"/>
    <x v="0"/>
    <s v="CMP-2015"/>
    <n v="1020.4"/>
    <n v="1184.71"/>
    <n v="0.106"/>
    <n v="16"/>
    <s v="Valid"/>
    <n v="1184.71"/>
    <b v="0"/>
    <n v="0.106"/>
    <n v="3"/>
    <d v="2024-11-08T00:00:00"/>
    <n v="3"/>
    <n v="1893526.7318400003"/>
    <n v="18955.36"/>
    <n v="1874571.3718400002"/>
    <n v="0.9899893887520772"/>
    <s v="Nov-2024"/>
    <s v="Q4-2024"/>
    <s v="Americas → Canada → Toronto"/>
    <x v="0"/>
    <s v="High"/>
    <s v="CANADA"/>
    <d v="2023-01-02T00:00:00"/>
    <s v="Jan-2023"/>
    <d v="2024-11-30T00:00:00"/>
    <n v="1"/>
  </r>
  <r>
    <s v="ORD-2024-678110"/>
    <d v="2024-07-24T00:00:00"/>
    <d v="2024-08-08T00:00:00"/>
    <s v="Europe"/>
    <x v="7"/>
    <s v="Marseille"/>
    <s v="Enterprise"/>
    <s v="Marketplace"/>
    <s v="H. Kim"/>
    <x v="4"/>
    <s v="LAP-9901"/>
    <n v="501.5"/>
    <n v="1201.47"/>
    <n v="0.126"/>
    <n v="5"/>
    <s v="Valid"/>
    <n v="1201.47"/>
    <b v="0"/>
    <n v="0.126"/>
    <n v="15"/>
    <d v="2024-08-08T00:00:00"/>
    <n v="15"/>
    <n v="599978.07389999996"/>
    <n v="6007.35"/>
    <n v="593970.72389999998"/>
    <n v="0.98998738410397102"/>
    <s v="Jul-2024"/>
    <s v="Q3-2024"/>
    <s v="Europe → France → Marseille"/>
    <x v="2"/>
    <s v="Medium"/>
    <s v="FRANCE"/>
    <d v="2023-01-10T00:00:00"/>
    <s v="Jan-2023"/>
    <d v="2024-07-31T00:00:00"/>
    <n v="0"/>
  </r>
  <r>
    <s v="ORD-2025-909340"/>
    <d v="2025-01-20T00:00:00"/>
    <d v="2025-02-03T00:00:00"/>
    <s v="Americas"/>
    <x v="4"/>
    <s v="Brasília"/>
    <s v="Enterprise"/>
    <s v="Marketplace"/>
    <s v="F. Müller"/>
    <x v="0"/>
    <s v="CMP-8658"/>
    <n v="974.11"/>
    <n v="880.99"/>
    <n v="0.111"/>
    <n v="10"/>
    <s v="Valid"/>
    <n v="880.99"/>
    <b v="0"/>
    <n v="0.111"/>
    <n v="14"/>
    <d v="2025-02-03T00:00:00"/>
    <n v="14"/>
    <n v="880012.10109999997"/>
    <n v="8809.9"/>
    <n v="871202.20109999995"/>
    <n v="0.98998888766530846"/>
    <s v="Jan-2025"/>
    <s v="Q1-2025"/>
    <s v="Americas → Brazil → Brasília"/>
    <x v="0"/>
    <s v="High"/>
    <s v="BRAZIL"/>
    <d v="2023-01-29T00:00:00"/>
    <s v="Jan-2023"/>
    <d v="2025-01-31T00:00:00"/>
    <n v="0"/>
  </r>
  <r>
    <s v="ORD-2023-854471"/>
    <d v="2023-03-06T00:00:00"/>
    <d v="2023-04-04T00:00:00"/>
    <s v="Asia"/>
    <x v="9"/>
    <s v="Beijing"/>
    <s v="Small Business"/>
    <s v="Direct"/>
    <s v="C. Otieno"/>
    <x v="5"/>
    <s v="MON-2073"/>
    <n v="1126.29"/>
    <n v="2050.87"/>
    <n v="6.4000000000000001E-2"/>
    <n v="7"/>
    <s v="Valid"/>
    <n v="2050.87"/>
    <b v="0"/>
    <n v="6.4000000000000001E-2"/>
    <n v="29"/>
    <d v="2023-04-04T00:00:00"/>
    <n v="29"/>
    <n v="1434690.2102400002"/>
    <n v="14356.09"/>
    <n v="1420334.1202400001"/>
    <n v="0.98999359590137681"/>
    <s v="Mar-2023"/>
    <s v="Q1-2023"/>
    <s v="Asia → China → Beijing"/>
    <x v="1"/>
    <s v="Low"/>
    <s v="CHINA"/>
    <d v="2023-01-12T00:00:00"/>
    <s v="Jan-2023"/>
    <d v="2023-03-31T00:00:00"/>
    <n v="0"/>
  </r>
  <r>
    <s v="ORD-2024-390951"/>
    <d v="2024-12-20T00:00:00"/>
    <d v="2025-01-14T00:00:00"/>
    <s v="Asia"/>
    <x v="3"/>
    <s v="Delhi"/>
    <s v="Small Business"/>
    <s v="Retail"/>
    <s v="M. Rossi"/>
    <x v="1"/>
    <s v="PRN-9378"/>
    <n v="1361.34"/>
    <n v="1737.9"/>
    <n v="7.6999999999999999E-2"/>
    <n v="14"/>
    <s v="Valid"/>
    <n v="1737.9"/>
    <b v="0"/>
    <n v="7.6999999999999999E-2"/>
    <n v="25"/>
    <d v="2025-01-14T00:00:00"/>
    <n v="25"/>
    <n v="2431186.5438000001"/>
    <n v="24330.600000000002"/>
    <n v="2406855.9438"/>
    <n v="0.98999229406643108"/>
    <s v="Dec-2024"/>
    <s v="Q4-2024"/>
    <s v="Asia → India → Delhi"/>
    <x v="1"/>
    <s v="High"/>
    <s v="INDIA"/>
    <d v="2023-01-29T00:00:00"/>
    <s v="Jan-2023"/>
    <d v="2024-12-31T00:00:00"/>
    <n v="0"/>
  </r>
  <r>
    <s v="ORD-2025-881624"/>
    <d v="2025-02-21T00:00:00"/>
    <d v="2025-03-21T00:00:00"/>
    <s v="Africa"/>
    <x v="1"/>
    <s v="Abuja"/>
    <s v="Enterprise"/>
    <s v="Marketplace"/>
    <s v="I. Johnson"/>
    <x v="3"/>
    <s v="PHN-5887"/>
    <n v="1437.39"/>
    <n v="1388.31"/>
    <n v="0.13800000000000001"/>
    <n v="18"/>
    <s v="Valid"/>
    <n v="1388.31"/>
    <b v="0"/>
    <n v="0.13800000000000001"/>
    <n v="28"/>
    <d v="2025-03-21T00:00:00"/>
    <n v="28"/>
    <n v="2495509.4379599998"/>
    <n v="24989.579999999998"/>
    <n v="2470519.8579599997"/>
    <n v="0.98998618092968294"/>
    <s v="Feb-2025"/>
    <s v="Q1-2025"/>
    <s v="Africa → Nigeria → Abuja"/>
    <x v="2"/>
    <s v="High"/>
    <s v="NIGERIA"/>
    <d v="2023-01-15T00:00:00"/>
    <s v="Jan-2023"/>
    <d v="2025-02-28T00:00:00"/>
    <n v="0"/>
  </r>
  <r>
    <s v="ORD-2025-512310"/>
    <d v="2025-03-08T00:00:00"/>
    <d v="2025-03-15T00:00:00"/>
    <s v="Asia"/>
    <x v="3"/>
    <s v="Bengaluru"/>
    <s v="Corporate"/>
    <s v="Distributor"/>
    <s v="K. Singh"/>
    <x v="4"/>
    <s v="LAP-8119"/>
    <n v="475.66"/>
    <n v="529.14"/>
    <n v="0.19600000000000001"/>
    <n v="11"/>
    <s v="Valid"/>
    <n v="529.14"/>
    <b v="0"/>
    <n v="0.19600000000000001"/>
    <n v="7"/>
    <d v="2025-03-15T00:00:00"/>
    <n v="7"/>
    <n v="580913.17416000005"/>
    <n v="5820.54"/>
    <n v="575092.63416000002"/>
    <n v="0.98998036150855673"/>
    <s v="Mar-2025"/>
    <s v="Q1-2025"/>
    <s v="Asia → India → Bengaluru"/>
    <x v="2"/>
    <s v="High"/>
    <s v="INDIA"/>
    <d v="2023-01-29T00:00:00"/>
    <s v="Jan-2023"/>
    <d v="2025-03-31T00:00:00"/>
    <n v="1"/>
  </r>
  <r>
    <s v="ORD-2023-674887"/>
    <d v="2023-12-16T00:00:00"/>
    <d v="2023-12-19T00:00:00"/>
    <s v="Asia"/>
    <x v="9"/>
    <s v="Beijing"/>
    <s v="Education"/>
    <s v="Retail"/>
    <s v="A. Patel"/>
    <x v="6"/>
    <s v="ACC-9644"/>
    <n v="1415.05"/>
    <n v="1972.38"/>
    <n v="0"/>
    <n v="12"/>
    <s v="Valid"/>
    <n v="1972.38"/>
    <b v="0"/>
    <n v="0"/>
    <n v="3"/>
    <d v="2023-12-19T00:00:00"/>
    <n v="3"/>
    <n v="2366856"/>
    <n v="23668.560000000001"/>
    <n v="2343187.44"/>
    <n v="0.99"/>
    <s v="Dec-2023"/>
    <s v="Q4-2023"/>
    <s v="Asia → China → Beijing"/>
    <x v="0"/>
    <s v="Medium"/>
    <s v="CHINA"/>
    <d v="2023-01-12T00:00:00"/>
    <s v="Jan-2023"/>
    <d v="2023-12-31T00:00:00"/>
    <n v="1"/>
  </r>
  <r>
    <s v="ORD-2024-542244"/>
    <d v="2024-08-30T00:00:00"/>
    <d v="2024-09-05T00:00:00"/>
    <s v="Asia"/>
    <x v="6"/>
    <s v="Nagoya"/>
    <s v="Education"/>
    <s v="Online"/>
    <s v="N. Brown"/>
    <x v="4"/>
    <s v="LAP-7009"/>
    <n v="466.16"/>
    <n v="876.81"/>
    <n v="0.24099999999999999"/>
    <n v="8"/>
    <s v="Valid"/>
    <n v="876.81"/>
    <b v="0"/>
    <n v="0.24099999999999999"/>
    <n v="6"/>
    <d v="2024-09-05T00:00:00"/>
    <n v="6"/>
    <n v="699757.51032"/>
    <n v="7014.48"/>
    <n v="692743.03032000002"/>
    <n v="0.98997584177868669"/>
    <s v="Aug-2024"/>
    <s v="Q3-2024"/>
    <s v="Asia → Japan → Nagoya"/>
    <x v="2"/>
    <s v="Medium"/>
    <s v="JAPAN"/>
    <d v="2023-03-03T00:00:00"/>
    <s v="Mar-2023"/>
    <d v="2024-08-31T00:00:00"/>
    <n v="1"/>
  </r>
  <r>
    <s v="ORD-2024-375848"/>
    <d v="2024-05-18T00:00:00"/>
    <d v="2024-05-21T00:00:00"/>
    <s v="Europe"/>
    <x v="7"/>
    <s v="Marseille"/>
    <s v="Non-Profit"/>
    <s v="Marketplace"/>
    <s v="D. Smith"/>
    <x v="1"/>
    <s v="PRN-1725"/>
    <n v="663.66"/>
    <n v="824.26"/>
    <n v="0.23899999999999999"/>
    <n v="11"/>
    <s v="Valid"/>
    <n v="824.26"/>
    <b v="0"/>
    <n v="0.23899999999999999"/>
    <n v="3"/>
    <d v="2024-05-21T00:00:00"/>
    <n v="3"/>
    <n v="904519.02046000003"/>
    <n v="9066.86"/>
    <n v="895452.16046000004"/>
    <n v="0.98997604274215378"/>
    <s v="May-2024"/>
    <s v="Q2-2024"/>
    <s v="Europe → France → Marseille"/>
    <x v="1"/>
    <s v="Medium"/>
    <s v="FRANCE"/>
    <d v="2023-01-10T00:00:00"/>
    <s v="Jan-2023"/>
    <d v="2024-05-31T00:00:00"/>
    <n v="1"/>
  </r>
  <r>
    <s v="ORD-2023-933238"/>
    <d v="2023-03-17T00:00:00"/>
    <d v="2023-04-06T00:00:00"/>
    <s v="Europe"/>
    <x v="5"/>
    <s v="Munich"/>
    <s v="Consumer"/>
    <s v="Retail"/>
    <s v="O. Wang"/>
    <x v="3"/>
    <s v="PHN-8483"/>
    <n v="692.18"/>
    <n v="1159.3499999999999"/>
    <n v="0.112"/>
    <n v="2"/>
    <s v="Valid"/>
    <n v="1159.3499999999999"/>
    <b v="0"/>
    <n v="0.112"/>
    <n v="20"/>
    <d v="2023-04-06T00:00:00"/>
    <n v="20"/>
    <n v="231610.30559999999"/>
    <n v="2318.6999999999998"/>
    <n v="229291.60559999998"/>
    <n v="0.98998878744193497"/>
    <s v="Mar-2023"/>
    <s v="Q1-2023"/>
    <s v="Europe → Germany → Munich"/>
    <x v="2"/>
    <s v="Low"/>
    <s v="GERMANY"/>
    <d v="2023-01-22T00:00:00"/>
    <s v="Jan-2023"/>
    <d v="2023-03-31T00:00:00"/>
    <n v="0"/>
  </r>
  <r>
    <s v="ORD-2023-732585"/>
    <d v="2023-08-25T00:00:00"/>
    <d v="2023-09-16T00:00:00"/>
    <s v="Africa"/>
    <x v="1"/>
    <s v="Abuja"/>
    <s v="Corporate"/>
    <s v="Marketplace"/>
    <s v="L. Okafor"/>
    <x v="3"/>
    <s v="PHN-3971"/>
    <n v="1196.83"/>
    <n v="2513.5100000000002"/>
    <n v="8.3000000000000004E-2"/>
    <n v="7"/>
    <s v="Valid"/>
    <n v="2513.5100000000002"/>
    <b v="0"/>
    <n v="8.3000000000000004E-2"/>
    <n v="22"/>
    <d v="2023-09-16T00:00:00"/>
    <n v="22"/>
    <n v="1757996.65069"/>
    <n v="17594.57"/>
    <n v="1740402.08069"/>
    <n v="0.98999169310527735"/>
    <s v="Aug-2023"/>
    <s v="Q3-2023"/>
    <s v="Africa → Nigeria → Abuja"/>
    <x v="2"/>
    <s v="Low"/>
    <s v="NIGERIA"/>
    <d v="2023-01-15T00:00:00"/>
    <s v="Jan-2023"/>
    <d v="2023-08-31T00:00:00"/>
    <n v="0"/>
  </r>
  <r>
    <s v="ORD-2024-465898"/>
    <d v="2024-06-06T00:00:00"/>
    <d v="2024-06-24T00:00:00"/>
    <s v="Asia"/>
    <x v="3"/>
    <s v="Bengaluru"/>
    <s v="Small Business"/>
    <s v="Direct"/>
    <s v="H. Kim"/>
    <x v="2"/>
    <s v="NET-6578"/>
    <n v="1253.25"/>
    <n v="3087.13"/>
    <n v="7.1999999999999995E-2"/>
    <n v="11"/>
    <s v="Valid"/>
    <n v="3087.13"/>
    <b v="0"/>
    <n v="7.1999999999999995E-2"/>
    <n v="18"/>
    <d v="2024-06-24T00:00:00"/>
    <n v="18"/>
    <n v="3393397.9930400001"/>
    <n v="33958.43"/>
    <n v="3359439.5630399999"/>
    <n v="0.98999279481226476"/>
    <s v="Jun-2024"/>
    <s v="Q2-2024"/>
    <s v="Asia → India → Bengaluru"/>
    <x v="0"/>
    <s v="Medium"/>
    <s v="INDIA"/>
    <d v="2023-01-29T00:00:00"/>
    <s v="Jan-2023"/>
    <d v="2024-06-30T00:00:00"/>
    <n v="0"/>
  </r>
  <r>
    <s v="ORD-2023-987081"/>
    <d v="2023-08-29T00:00:00"/>
    <d v="2023-09-13T00:00:00"/>
    <s v="Americas"/>
    <x v="2"/>
    <s v="Vancouver"/>
    <s v="Small Business"/>
    <s v="Marketplace"/>
    <s v="O. Wang"/>
    <x v="1"/>
    <s v="PRN-9975"/>
    <n v="1287.6400000000001"/>
    <n v="2717.15"/>
    <n v="3.2000000000000001E-2"/>
    <n v="7"/>
    <s v="Valid"/>
    <n v="2717.15"/>
    <b v="0"/>
    <n v="3.2000000000000001E-2"/>
    <n v="15"/>
    <d v="2023-09-13T00:00:00"/>
    <n v="15"/>
    <n v="1901396.3584"/>
    <n v="19020.05"/>
    <n v="1882376.3084"/>
    <n v="0.98999679897567217"/>
    <s v="Aug-2023"/>
    <s v="Q3-2023"/>
    <s v="Americas → Canada → Vancouver"/>
    <x v="1"/>
    <s v="Low"/>
    <s v="CANADA"/>
    <d v="2023-01-02T00:00:00"/>
    <s v="Jan-2023"/>
    <d v="2023-08-31T00:00:00"/>
    <n v="0"/>
  </r>
  <r>
    <s v="ORD-2024-655710"/>
    <d v="2024-11-30T00:00:00"/>
    <d v="2024-12-10T00:00:00"/>
    <s v="Asia"/>
    <x v="3"/>
    <s v="Hyderabad"/>
    <s v="Small Business"/>
    <s v="Retail"/>
    <s v="F. Müller"/>
    <x v="6"/>
    <s v="ACC-1075"/>
    <n v="851.49"/>
    <n v="901.79"/>
    <n v="0.245"/>
    <n v="16"/>
    <s v="Valid"/>
    <n v="901.79"/>
    <b v="0"/>
    <n v="0.245"/>
    <n v="10"/>
    <d v="2024-12-10T00:00:00"/>
    <n v="10"/>
    <n v="1439328.9831999999"/>
    <n v="14428.64"/>
    <n v="1424900.3432"/>
    <n v="0.98997543982757763"/>
    <s v="Nov-2024"/>
    <s v="Q4-2024"/>
    <s v="Asia → India → Hyderabad"/>
    <x v="0"/>
    <s v="High"/>
    <s v="INDIA"/>
    <d v="2023-01-29T00:00:00"/>
    <s v="Jan-2023"/>
    <d v="2024-11-30T00:00:00"/>
    <n v="0"/>
  </r>
  <r>
    <s v="ORD-2025-411385"/>
    <d v="2025-06-05T00:00:00"/>
    <d v="2025-06-14T00:00:00"/>
    <s v="Asia"/>
    <x v="3"/>
    <s v="Delhi"/>
    <s v="Non-Profit"/>
    <s v="Retail"/>
    <s v="A. Patel"/>
    <x v="6"/>
    <s v="ACC-2902"/>
    <n v="618.69000000000005"/>
    <n v="796.15"/>
    <n v="0.09"/>
    <n v="11"/>
    <s v="Valid"/>
    <n v="796.15"/>
    <b v="0"/>
    <n v="0.09"/>
    <n v="9"/>
    <d v="2025-06-14T00:00:00"/>
    <n v="9"/>
    <n v="874976.81149999995"/>
    <n v="8757.65"/>
    <n v="866219.16149999993"/>
    <n v="0.98999099189270345"/>
    <s v="Jun-2025"/>
    <s v="Q2-2025"/>
    <s v="Asia → India → Delhi"/>
    <x v="0"/>
    <s v="High"/>
    <s v="INDIA"/>
    <d v="2023-01-29T00:00:00"/>
    <s v="Jan-2023"/>
    <d v="2025-06-30T00:00:00"/>
    <n v="0"/>
  </r>
  <r>
    <s v="ORD-2025-222035"/>
    <d v="2025-03-14T00:00:00"/>
    <d v="2025-04-08T00:00:00"/>
    <s v="Asia"/>
    <x v="9"/>
    <s v="Unknown City "/>
    <s v="Corporate"/>
    <s v="Distributor"/>
    <s v="D. Smith"/>
    <x v="1"/>
    <s v="PRN-5815"/>
    <n v="80.59"/>
    <n v="157.82"/>
    <n v="0.217"/>
    <n v="6"/>
    <s v="Valid"/>
    <n v="157.82"/>
    <b v="0"/>
    <n v="0.217"/>
    <n v="25"/>
    <d v="2025-04-08T00:00:00"/>
    <n v="25"/>
    <n v="94486.518360000002"/>
    <n v="946.92"/>
    <n v="93539.598360000004"/>
    <n v="0.98997825280859464"/>
    <s v="Mar-2025"/>
    <s v="Q1-2025"/>
    <s v="Asia → China → Unknown City "/>
    <x v="1"/>
    <s v="High"/>
    <s v="CHINA"/>
    <d v="2023-01-12T00:00:00"/>
    <s v="Jan-2023"/>
    <d v="2025-03-31T00:00:00"/>
    <n v="0"/>
  </r>
  <r>
    <s v="ORD-2024-749242"/>
    <d v="2024-01-16T00:00:00"/>
    <d v="2024-02-11T00:00:00"/>
    <s v="Europe"/>
    <x v="5"/>
    <s v="Frankfurt"/>
    <s v="Non-Profit"/>
    <s v="Distributor"/>
    <s v="E. Garcia"/>
    <x v="5"/>
    <s v="MON-4195"/>
    <n v="504.93"/>
    <n v="819.06"/>
    <n v="0.22600000000000001"/>
    <n v="15"/>
    <s v="Valid"/>
    <n v="819.06"/>
    <b v="0"/>
    <n v="0.22600000000000001"/>
    <n v="26"/>
    <d v="2024-02-11T00:00:00"/>
    <n v="26"/>
    <n v="1225813.3866000001"/>
    <n v="12285.9"/>
    <n v="1213527.4866000002"/>
    <n v="0.9899773488083069"/>
    <s v="Jan-2024"/>
    <s v="Q1-2024"/>
    <s v="Europe → Germany → Frankfurt"/>
    <x v="1"/>
    <s v="Medium"/>
    <s v="GERMANY"/>
    <d v="2023-01-22T00:00:00"/>
    <s v="Jan-2023"/>
    <d v="2024-01-31T00:00:00"/>
    <n v="0"/>
  </r>
  <r>
    <s v="ORD-2023-623293"/>
    <d v="2023-10-12T00:00:00"/>
    <d v="2023-10-29T00:00:00"/>
    <s v="Asia"/>
    <x v="6"/>
    <s v="Nagoya"/>
    <s v="Non-Profit"/>
    <s v="Direct"/>
    <s v="H. Kim"/>
    <x v="3"/>
    <s v="PHN-8478"/>
    <n v="1102.19"/>
    <n v="1711.16"/>
    <n v="0.151"/>
    <n v="10"/>
    <s v="Valid"/>
    <n v="1711.16"/>
    <b v="0"/>
    <n v="0.151"/>
    <n v="17"/>
    <d v="2023-10-29T00:00:00"/>
    <n v="17"/>
    <n v="1708576.1484000003"/>
    <n v="17111.600000000002"/>
    <n v="1691464.5484000002"/>
    <n v="0.98998487716451833"/>
    <s v="Oct-2023"/>
    <s v="Q4-2023"/>
    <s v="Asia → Japan → Nagoya"/>
    <x v="2"/>
    <s v="Low"/>
    <s v="JAPAN"/>
    <d v="2023-03-03T00:00:00"/>
    <s v="Mar-2023"/>
    <d v="2023-10-31T00:00:00"/>
    <n v="0"/>
  </r>
  <r>
    <s v="ORD-2025-276968"/>
    <d v="2025-02-25T00:00:00"/>
    <d v="2025-03-17T00:00:00"/>
    <s v="Americas"/>
    <x v="10"/>
    <s v="San Francisco"/>
    <s v="Non-Profit"/>
    <s v="Marketplace"/>
    <s v="H. Kim"/>
    <x v="3"/>
    <s v="PHN-1044"/>
    <n v="1205.26"/>
    <n v="1696.35"/>
    <n v="1.9E-2"/>
    <n v="6"/>
    <s v="Valid"/>
    <n v="1696.35"/>
    <b v="0"/>
    <n v="1.9E-2"/>
    <n v="20"/>
    <d v="2025-03-17T00:00:00"/>
    <n v="20"/>
    <n v="1017616.6160999998"/>
    <n v="10178.099999999999"/>
    <n v="1007438.5160999998"/>
    <n v="0.98999809963893137"/>
    <s v="Feb-2025"/>
    <s v="Q1-2025"/>
    <s v="Americas → USA → San Francisco"/>
    <x v="2"/>
    <s v="High"/>
    <s v="USA"/>
    <d v="2023-01-13T00:00:00"/>
    <s v="Jan-2023"/>
    <d v="2025-02-28T00:00:00"/>
    <n v="0"/>
  </r>
  <r>
    <s v="ORD-2025-650841"/>
    <d v="2025-07-03T00:00:00"/>
    <d v="2025-07-06T00:00:00"/>
    <s v="Africa"/>
    <x v="1"/>
    <s v="Lagos"/>
    <s v="Consumer"/>
    <s v="Online"/>
    <s v="Unidentified sales person "/>
    <x v="4"/>
    <s v="LAP-8910"/>
    <n v="1313.3"/>
    <n v="2884.34"/>
    <n v="0.157"/>
    <n v="42"/>
    <s v="Valid"/>
    <n v="2884.34"/>
    <b v="0"/>
    <n v="0.157"/>
    <n v="3"/>
    <d v="2025-07-06T00:00:00"/>
    <n v="3"/>
    <n v="12095208.662040001"/>
    <n v="121142.28"/>
    <n v="11974066.382040001"/>
    <n v="0.98998427531224031"/>
    <s v="Jul-2025"/>
    <s v="Q3-2025"/>
    <s v="Africa → Nigeria → Lagos"/>
    <x v="2"/>
    <s v="High"/>
    <s v="NIGERIA"/>
    <d v="2023-01-15T00:00:00"/>
    <s v="Jan-2023"/>
    <d v="2025-07-31T00:00:00"/>
    <n v="1"/>
  </r>
  <r>
    <s v="ORD-2025-831576"/>
    <d v="2025-09-15T00:00:00"/>
    <d v="2025-09-25T00:00:00"/>
    <s v="Asia"/>
    <x v="3"/>
    <s v="Delhi"/>
    <s v="Consumer"/>
    <s v="Retail"/>
    <s v="A. Patel"/>
    <x v="3"/>
    <s v="PHN-2859"/>
    <n v="1488.91"/>
    <n v="1483.74"/>
    <n v="0.16800000000000001"/>
    <n v="24"/>
    <s v="Valid"/>
    <n v="1483.74"/>
    <b v="0"/>
    <n v="0.16800000000000001"/>
    <n v="10"/>
    <d v="2025-09-25T00:00:00"/>
    <n v="10"/>
    <n v="3554993.5603200002"/>
    <n v="35609.760000000002"/>
    <n v="3519383.8003200004"/>
    <n v="0.98998317172850392"/>
    <s v="Sep-2025"/>
    <s v="Q3-2025"/>
    <s v="Asia → India → Delhi"/>
    <x v="2"/>
    <s v="High"/>
    <s v="INDIA"/>
    <d v="2023-01-29T00:00:00"/>
    <s v="Jan-2023"/>
    <d v="2025-09-30T00:00:00"/>
    <n v="0"/>
  </r>
  <r>
    <s v="ORD-2024-468655"/>
    <d v="2024-02-19T00:00:00"/>
    <d v="2024-03-06T00:00:00"/>
    <s v="Asia"/>
    <x v="9"/>
    <s v="Beijing"/>
    <s v="Education"/>
    <s v="Marketplace"/>
    <s v="O. Wang"/>
    <x v="1"/>
    <s v="PRN-6308"/>
    <n v="1477.84"/>
    <n v="3197.47"/>
    <n v="0.24299999999999999"/>
    <n v="24"/>
    <s v="Valid"/>
    <n v="3197.47"/>
    <b v="0"/>
    <n v="0.24299999999999999"/>
    <n v="16"/>
    <d v="2024-03-06T00:00:00"/>
    <n v="16"/>
    <n v="7655280.3549600001"/>
    <n v="76739.28"/>
    <n v="7578541.0749599999"/>
    <n v="0.98997564080716138"/>
    <s v="Feb-2024"/>
    <s v="Q1-2024"/>
    <s v="Asia → China → Beijing"/>
    <x v="1"/>
    <s v="Medium"/>
    <s v="CHINA"/>
    <d v="2023-01-12T00:00:00"/>
    <s v="Jan-2023"/>
    <d v="2024-02-29T00:00:00"/>
    <n v="0"/>
  </r>
  <r>
    <s v="ORD-2024-515105"/>
    <d v="2024-02-27T00:00:00"/>
    <d v="2024-03-26T00:00:00"/>
    <s v="Asia"/>
    <x v="3"/>
    <s v="Mumbai"/>
    <s v="Education"/>
    <s v="Marketplace"/>
    <s v="G. Dubois"/>
    <x v="4"/>
    <s v="LAP-8469"/>
    <n v="1035.19"/>
    <n v="2322.6999999999998"/>
    <n v="0.17299999999999999"/>
    <n v="8"/>
    <s v="Valid"/>
    <n v="2322.6999999999998"/>
    <b v="0"/>
    <n v="0.17299999999999999"/>
    <n v="28"/>
    <d v="2024-03-26T00:00:00"/>
    <n v="28"/>
    <n v="1854945.3831999998"/>
    <n v="18581.599999999999"/>
    <n v="1836363.7831999997"/>
    <n v="0.98998267001913309"/>
    <s v="Feb-2024"/>
    <s v="Q1-2024"/>
    <s v="Asia → India → Mumbai"/>
    <x v="2"/>
    <s v="Medium"/>
    <s v="INDIA"/>
    <d v="2023-01-29T00:00:00"/>
    <s v="Jan-2023"/>
    <d v="2024-02-29T00:00:00"/>
    <n v="0"/>
  </r>
  <r>
    <s v="ORD-2025-803803"/>
    <d v="2025-08-28T00:00:00"/>
    <d v="2025-09-05T00:00:00"/>
    <s v="Africa"/>
    <x v="1"/>
    <s v="Port Harcourt"/>
    <s v="Small Business"/>
    <s v="Marketplace"/>
    <s v="E. Garcia"/>
    <x v="4"/>
    <s v="LAP-7553"/>
    <n v="1271.0999999999999"/>
    <n v="1932.42"/>
    <n v="0.25"/>
    <n v="21"/>
    <s v="Valid"/>
    <n v="1932.42"/>
    <b v="0"/>
    <n v="0.25"/>
    <n v="8"/>
    <d v="2025-09-05T00:00:00"/>
    <n v="8"/>
    <n v="4047936.7949999999"/>
    <n v="40580.82"/>
    <n v="4007355.9750000001"/>
    <n v="0.9899749373433584"/>
    <s v="Aug-2025"/>
    <s v="Q3-2025"/>
    <s v="Africa → Nigeria → Port Harcourt"/>
    <x v="2"/>
    <s v="High"/>
    <s v="NIGERIA"/>
    <d v="2023-01-15T00:00:00"/>
    <s v="Jan-2023"/>
    <d v="2025-08-31T00:00:00"/>
    <n v="0"/>
  </r>
  <r>
    <s v="ORD-2024-993481"/>
    <d v="2024-08-18T00:00:00"/>
    <d v="2024-09-12T00:00:00"/>
    <s v="Asia"/>
    <x v="3"/>
    <s v="Mumbai"/>
    <s v="Consumer"/>
    <s v="Marketplace"/>
    <s v="C. Otieno"/>
    <x v="3"/>
    <s v="PHN-3077"/>
    <n v="1154.03"/>
    <n v="1590.36"/>
    <n v="0.314"/>
    <n v="18"/>
    <s v="Valid"/>
    <n v="1590.36"/>
    <s v="Excess"/>
    <n v="0.3"/>
    <n v="25"/>
    <d v="2024-09-12T00:00:00"/>
    <n v="25"/>
    <n v="2854060.0559999999"/>
    <n v="28626.48"/>
    <n v="2825433.5759999999"/>
    <n v="0.98996990972918752"/>
    <s v="Aug-2024"/>
    <s v="Q3-2024"/>
    <s v="Asia → India → Mumbai"/>
    <x v="2"/>
    <s v="Medium"/>
    <s v="INDIA"/>
    <d v="2023-01-29T00:00:00"/>
    <s v="Jan-2023"/>
    <d v="2024-08-31T00:00:00"/>
    <n v="0"/>
  </r>
  <r>
    <s v="ORD-2024-811752"/>
    <d v="2024-02-25T00:00:00"/>
    <d v="2024-03-09T00:00:00"/>
    <s v="Europe"/>
    <x v="7"/>
    <s v="Marseille"/>
    <s v="Small Business"/>
    <s v="Distributor"/>
    <s v="E. Garcia"/>
    <x v="5"/>
    <s v="MON-3350"/>
    <n v="322.44"/>
    <n v="395.61"/>
    <n v="0"/>
    <n v="34"/>
    <s v="Valid"/>
    <n v="395.61"/>
    <b v="0"/>
    <n v="0"/>
    <n v="13"/>
    <d v="2024-03-09T00:00:00"/>
    <n v="13"/>
    <n v="1345074"/>
    <n v="13450.74"/>
    <n v="1331623.26"/>
    <n v="0.99"/>
    <s v="Feb-2024"/>
    <s v="Q1-2024"/>
    <s v="Europe → France → Marseille"/>
    <x v="1"/>
    <s v="Medium"/>
    <s v="FRANCE"/>
    <d v="2023-01-10T00:00:00"/>
    <s v="Jan-2023"/>
    <d v="2024-02-29T00:00:00"/>
    <n v="0"/>
  </r>
  <r>
    <s v="ORD-2025-673091"/>
    <d v="2025-05-07T00:00:00"/>
    <d v="2025-05-13T00:00:00"/>
    <s v="Asia"/>
    <x v="3"/>
    <s v="Bengaluru"/>
    <s v="Enterprise"/>
    <s v="Direct"/>
    <s v="J. Njeri"/>
    <x v="3"/>
    <s v="PHN-5683"/>
    <n v="935.98"/>
    <n v="2077.69"/>
    <n v="0.17499999999999999"/>
    <n v="24"/>
    <s v="Valid"/>
    <n v="2077.69"/>
    <b v="0"/>
    <n v="0.17499999999999999"/>
    <n v="6"/>
    <d v="2025-05-13T00:00:00"/>
    <n v="6"/>
    <n v="4977729.7019999996"/>
    <n v="49864.56"/>
    <n v="4927865.142"/>
    <n v="0.9899824693213124"/>
    <s v="May-2025"/>
    <s v="Q2-2025"/>
    <s v="Asia → India → Bengaluru"/>
    <x v="2"/>
    <s v="High"/>
    <s v="INDIA"/>
    <d v="2023-01-29T00:00:00"/>
    <s v="Jan-2023"/>
    <d v="2025-05-31T00:00:00"/>
    <n v="1"/>
  </r>
  <r>
    <s v="ORD-2024-381197"/>
    <d v="2024-11-01T00:00:00"/>
    <d v="2024-11-12T00:00:00"/>
    <s v="Europe"/>
    <x v="5"/>
    <s v="Frankfurt"/>
    <s v="Consumer"/>
    <s v="Online"/>
    <s v="B. Chen"/>
    <x v="1"/>
    <s v="PRN-2409"/>
    <n v="599.84"/>
    <n v="1330.85"/>
    <n v="0.115"/>
    <n v="11"/>
    <s v="Valid"/>
    <n v="1330.85"/>
    <b v="0"/>
    <n v="0.115"/>
    <n v="11"/>
    <d v="2024-11-12T00:00:00"/>
    <n v="11"/>
    <n v="1462251.4747499998"/>
    <n v="14639.349999999999"/>
    <n v="1447612.1247499997"/>
    <n v="0.98998848675977369"/>
    <s v="Nov-2024"/>
    <s v="Q4-2024"/>
    <s v="Europe → Germany → Frankfurt"/>
    <x v="1"/>
    <s v="High"/>
    <s v="GERMANY"/>
    <d v="2023-01-22T00:00:00"/>
    <s v="Jan-2023"/>
    <d v="2024-11-30T00:00:00"/>
    <n v="0"/>
  </r>
  <r>
    <s v="ORD-2024-651852"/>
    <d v="2024-12-28T00:00:00"/>
    <d v="2025-01-08T00:00:00"/>
    <s v="Asia"/>
    <x v="9"/>
    <s v="Shenzhen"/>
    <s v="Enterprise"/>
    <s v="Online"/>
    <s v="K. Singh"/>
    <x v="4"/>
    <s v="LAP-8825"/>
    <n v="1201.31"/>
    <n v="2764.65"/>
    <n v="0"/>
    <n v="21"/>
    <s v="Valid"/>
    <n v="2764.65"/>
    <b v="0"/>
    <n v="0"/>
    <n v="11"/>
    <d v="2025-01-08T00:00:00"/>
    <n v="11"/>
    <n v="5805765"/>
    <n v="58057.65"/>
    <n v="5747707.3499999996"/>
    <n v="0.99"/>
    <s v="Dec-2024"/>
    <s v="Q4-2024"/>
    <s v="Asia → China → Shenzhen"/>
    <x v="2"/>
    <s v="High"/>
    <s v="CHINA"/>
    <d v="2023-01-12T00:00:00"/>
    <s v="Jan-2023"/>
    <d v="2024-12-31T00:00:00"/>
    <n v="0"/>
  </r>
  <r>
    <s v="ORD-2023-659070"/>
    <d v="2023-10-21T00:00:00"/>
    <d v="2023-10-21T00:00:00"/>
    <s v="Europe"/>
    <x v="8"/>
    <s v="Manchester"/>
    <s v="Enterprise"/>
    <s v="Distributor"/>
    <s v="J. Njeri"/>
    <x v="5"/>
    <s v="MON-8697"/>
    <n v="384.19"/>
    <n v="278.35000000000002"/>
    <n v="5.6000000000000001E-2"/>
    <n v="10"/>
    <s v="Valid"/>
    <n v="278.35000000000002"/>
    <b v="0"/>
    <n v="5.6000000000000001E-2"/>
    <n v="0"/>
    <d v="2023-10-21T00:00:00"/>
    <n v="0"/>
    <n v="278194.12400000001"/>
    <n v="2783.5"/>
    <n v="275410.62400000001"/>
    <n v="0.98999439686224289"/>
    <s v="Oct-2023"/>
    <s v="Q4-2023"/>
    <s v="Europe → United Kingdom → Manchester"/>
    <x v="1"/>
    <s v="Low"/>
    <s v="UNITED KINGDOM"/>
    <d v="2023-01-19T00:00:00"/>
    <s v="Jan-2023"/>
    <d v="2023-10-31T00:00:00"/>
    <n v="1"/>
  </r>
  <r>
    <s v="ORD-2024-837651"/>
    <d v="2024-12-10T00:00:00"/>
    <d v="2024-12-19T00:00:00"/>
    <s v="Africa"/>
    <x v="1"/>
    <s v="Lagos"/>
    <s v="Corporate"/>
    <s v="Retail"/>
    <s v="O. Wang"/>
    <x v="5"/>
    <s v="MON-4789"/>
    <n v="488.68"/>
    <n v="984.36"/>
    <n v="5.8999999999999997E-2"/>
    <n v="14"/>
    <s v="Valid"/>
    <n v="984.36"/>
    <b v="0"/>
    <n v="5.8999999999999997E-2"/>
    <n v="9"/>
    <d v="2024-12-19T00:00:00"/>
    <n v="9"/>
    <n v="1377290.91864"/>
    <n v="13781.04"/>
    <n v="1363509.87864"/>
    <n v="0.98999409651694492"/>
    <s v="Dec-2024"/>
    <s v="Q4-2024"/>
    <s v="Africa → Nigeria → Lagos"/>
    <x v="1"/>
    <s v="High"/>
    <s v="NIGERIA"/>
    <d v="2023-01-15T00:00:00"/>
    <s v="Jan-2023"/>
    <d v="2024-12-31T00:00:00"/>
    <n v="0"/>
  </r>
  <r>
    <s v="ORD-2024-581530"/>
    <d v="2024-09-07T00:00:00"/>
    <d v="2024-09-18T00:00:00"/>
    <s v="Asia"/>
    <x v="9"/>
    <s v="Beijing"/>
    <s v="Consumer"/>
    <s v="Distributor"/>
    <s v="O. Wang"/>
    <x v="2"/>
    <s v="NET-7998"/>
    <n v="181.74"/>
    <n v="190.84"/>
    <n v="0.214"/>
    <n v="13"/>
    <s v="Valid"/>
    <n v="190.84"/>
    <b v="0"/>
    <n v="0.214"/>
    <n v="11"/>
    <d v="2024-09-18T00:00:00"/>
    <n v="11"/>
    <n v="247561.08312000002"/>
    <n v="2480.92"/>
    <n v="245080.16312000001"/>
    <n v="0.98997855410578628"/>
    <s v="Sep-2024"/>
    <s v="Q3-2024"/>
    <s v="Asia → China → Beijing"/>
    <x v="0"/>
    <s v="Medium"/>
    <s v="CHINA"/>
    <d v="2023-01-12T00:00:00"/>
    <s v="Jan-2023"/>
    <d v="2024-09-30T00:00:00"/>
    <n v="0"/>
  </r>
  <r>
    <s v="ORD-2023-378104"/>
    <d v="2023-10-18T00:00:00"/>
    <d v="2023-10-20T00:00:00"/>
    <s v="Africa"/>
    <x v="0"/>
    <s v="Kisumu"/>
    <s v="Consumer"/>
    <s v="Retail"/>
    <s v="J. Njeri"/>
    <x v="3"/>
    <s v="PHN-8891"/>
    <n v="774.12"/>
    <n v="908.3"/>
    <n v="0"/>
    <n v="30"/>
    <s v="Valid"/>
    <n v="908.3"/>
    <b v="0"/>
    <n v="0"/>
    <n v="2"/>
    <d v="2023-10-20T00:00:00"/>
    <n v="2"/>
    <n v="2724900"/>
    <n v="27249"/>
    <n v="2697651"/>
    <n v="0.99"/>
    <s v="Oct-2023"/>
    <s v="Q4-2023"/>
    <s v="Africa → Kenya → Kisumu"/>
    <x v="2"/>
    <s v="Low"/>
    <s v="KENYA"/>
    <d v="2023-01-20T00:00:00"/>
    <s v="Jan-2023"/>
    <d v="2023-10-31T00:00:00"/>
    <n v="1"/>
  </r>
  <r>
    <s v="ORD-2024-972318"/>
    <d v="2024-12-24T00:00:00"/>
    <d v="2025-01-13T00:00:00"/>
    <s v="Asia"/>
    <x v="3"/>
    <s v="Bengaluru"/>
    <s v="Corporate"/>
    <s v="Marketplace"/>
    <s v="D. Smith"/>
    <x v="2"/>
    <s v="NET-9832"/>
    <n v="126.15"/>
    <n v="284.23"/>
    <n v="0.113"/>
    <n v="22"/>
    <s v="Valid"/>
    <n v="284.23"/>
    <b v="0"/>
    <n v="0.113"/>
    <n v="20"/>
    <d v="2025-01-13T00:00:00"/>
    <n v="20"/>
    <n v="624599.40422000003"/>
    <n v="6253.06"/>
    <n v="618346.34421999997"/>
    <n v="0.98998868721655464"/>
    <s v="Dec-2024"/>
    <s v="Q4-2024"/>
    <s v="Asia → India → Bengaluru"/>
    <x v="0"/>
    <s v="High"/>
    <s v="INDIA"/>
    <d v="2023-01-29T00:00:00"/>
    <s v="Jan-2023"/>
    <d v="2024-12-31T00:00:00"/>
    <n v="0"/>
  </r>
  <r>
    <s v="ORD-2023-752962"/>
    <d v="2023-04-21T00:00:00"/>
    <d v="2023-04-19T00:00:00"/>
    <s v="Asia"/>
    <x v="6"/>
    <s v="Nagoya"/>
    <s v="Small Business"/>
    <s v="Direct"/>
    <s v="M. Rossi"/>
    <x v="0"/>
    <s v="CMP-8604"/>
    <n v="607.04"/>
    <n v="1229.3399999999999"/>
    <n v="0.14699999999999999"/>
    <n v="7"/>
    <s v="Valid"/>
    <n v="1229.3399999999999"/>
    <b v="0"/>
    <n v="0.14699999999999999"/>
    <n v="-2"/>
    <d v="2023-04-28T00:00:00"/>
    <n v="7"/>
    <n v="859273.00913999986"/>
    <n v="8605.3799999999992"/>
    <n v="850667.62913999986"/>
    <n v="0.98998527835918804"/>
    <s v="Apr-2023"/>
    <s v="Q2-2023"/>
    <s v="Asia → Japan → Nagoya"/>
    <x v="0"/>
    <s v="Low"/>
    <s v="JAPAN"/>
    <d v="2023-03-03T00:00:00"/>
    <s v="Mar-2023"/>
    <d v="2023-04-30T00:00:00"/>
    <n v="1"/>
  </r>
  <r>
    <s v="ORD-2023-808024"/>
    <d v="2023-12-30T00:00:00"/>
    <d v="2024-01-08T00:00:00"/>
    <s v="Europe"/>
    <x v="7"/>
    <s v="Marseille"/>
    <s v="Consumer"/>
    <s v="Marketplace"/>
    <s v="L. Okafor"/>
    <x v="6"/>
    <s v="ACC-6594"/>
    <n v="861.1"/>
    <n v="1224.72"/>
    <n v="0.17399999999999999"/>
    <n v="24"/>
    <s v="Valid"/>
    <n v="1224.72"/>
    <b v="0"/>
    <n v="0.17399999999999999"/>
    <n v="9"/>
    <d v="2024-01-08T00:00:00"/>
    <n v="9"/>
    <n v="2934213.5692799995"/>
    <n v="29393.279999999999"/>
    <n v="2904820.2892799997"/>
    <n v="0.989982569671228"/>
    <s v="Dec-2023"/>
    <s v="Q4-2023"/>
    <s v="Europe → France → Marseille"/>
    <x v="0"/>
    <s v="Medium"/>
    <s v="FRANCE"/>
    <d v="2023-01-10T00:00:00"/>
    <s v="Jan-2023"/>
    <d v="2023-12-31T00:00:00"/>
    <n v="0"/>
  </r>
  <r>
    <s v="ORD-2023-156396"/>
    <d v="2023-02-21T00:00:00"/>
    <d v="2023-03-12T00:00:00"/>
    <s v="Africa"/>
    <x v="0"/>
    <s v="Nakuru"/>
    <s v="Corporate"/>
    <s v="Online"/>
    <s v="F. Müller"/>
    <x v="2"/>
    <s v="NET-2499"/>
    <n v="352.65"/>
    <n v="485.86"/>
    <n v="4.1000000000000002E-2"/>
    <n v="6"/>
    <s v="Valid"/>
    <n v="485.86"/>
    <b v="0"/>
    <n v="4.1000000000000002E-2"/>
    <n v="19"/>
    <d v="2023-03-12T00:00:00"/>
    <n v="19"/>
    <n v="291396.47843999998"/>
    <n v="2915.16"/>
    <n v="288481.31844"/>
    <n v="0.98999589831831059"/>
    <s v="Feb-2023"/>
    <s v="Q1-2023"/>
    <s v="Africa → Kenya → Nakuru"/>
    <x v="0"/>
    <s v="Low"/>
    <s v="KENYA"/>
    <d v="2023-01-20T00:00:00"/>
    <s v="Jan-2023"/>
    <d v="2023-02-28T00:00:00"/>
    <n v="0"/>
  </r>
  <r>
    <s v="ORD-2023-184577"/>
    <d v="2023-05-17T00:00:00"/>
    <d v="2023-06-03T00:00:00"/>
    <s v="Asia"/>
    <x v="9"/>
    <s v="Beijing"/>
    <s v="Non-Profit"/>
    <s v="Distributor"/>
    <s v="M. Rossi"/>
    <x v="1"/>
    <s v="PRN-1923"/>
    <n v="979.59"/>
    <n v="2210.94"/>
    <n v="0.15"/>
    <n v="11"/>
    <s v="Valid"/>
    <n v="2210.94"/>
    <b v="0"/>
    <n v="0.15"/>
    <n v="17"/>
    <d v="2023-06-03T00:00:00"/>
    <n v="17"/>
    <n v="2428385.949"/>
    <n v="24320.34"/>
    <n v="2404065.6090000002"/>
    <n v="0.9899849774661994"/>
    <s v="May-2023"/>
    <s v="Q2-2023"/>
    <s v="Asia → China → Beijing"/>
    <x v="1"/>
    <s v="Low"/>
    <s v="CHINA"/>
    <d v="2023-01-12T00:00:00"/>
    <s v="Jan-2023"/>
    <d v="2023-05-31T00:00:00"/>
    <n v="0"/>
  </r>
  <r>
    <s v="ORD-2024-446030"/>
    <d v="2024-03-23T00:00:00"/>
    <d v="2024-03-26T00:00:00"/>
    <s v="Asia"/>
    <x v="3"/>
    <s v="Bengaluru"/>
    <s v="Education"/>
    <s v="Direct"/>
    <s v="G. Dubois"/>
    <x v="3"/>
    <s v="PHN-4346"/>
    <n v="382.21"/>
    <n v="571.89"/>
    <n v="0.14799999999999999"/>
    <n v="26"/>
    <s v="Valid"/>
    <n v="571.89"/>
    <b v="0"/>
    <n v="0.14799999999999999"/>
    <n v="3"/>
    <d v="2024-03-26T00:00:00"/>
    <n v="3"/>
    <n v="1484713.3672799999"/>
    <n v="14869.14"/>
    <n v="1469844.22728"/>
    <n v="0.98998517806353414"/>
    <s v="Mar-2024"/>
    <s v="Q1-2024"/>
    <s v="Asia → India → Bengaluru"/>
    <x v="2"/>
    <s v="Medium"/>
    <s v="INDIA"/>
    <d v="2023-01-29T00:00:00"/>
    <s v="Jan-2023"/>
    <d v="2024-03-31T00:00:00"/>
    <n v="1"/>
  </r>
  <r>
    <s v="ORD-2023-842820"/>
    <d v="2023-09-20T00:00:00"/>
    <d v="2023-09-28T00:00:00"/>
    <s v="Asia"/>
    <x v="3"/>
    <s v="Unknown City "/>
    <s v="Corporate"/>
    <s v="Unknown Channel "/>
    <s v="B. Chen"/>
    <x v="6"/>
    <s v="ACC-1375"/>
    <n v="1362.06"/>
    <n v="3398.37"/>
    <n v="0.157"/>
    <n v="11"/>
    <s v="Valid"/>
    <n v="3398.37"/>
    <b v="0"/>
    <n v="0.157"/>
    <n v="8"/>
    <d v="2023-09-28T00:00:00"/>
    <n v="8"/>
    <n v="3732338.0150100002"/>
    <n v="37382.07"/>
    <n v="3694955.9450100004"/>
    <n v="0.98998427531224031"/>
    <s v="Sep-2023"/>
    <s v="Q3-2023"/>
    <s v="Asia → India → Unknown City "/>
    <x v="0"/>
    <s v="Low"/>
    <s v="INDIA"/>
    <d v="2023-01-29T00:00:00"/>
    <s v="Jan-2023"/>
    <d v="2023-09-30T00:00:00"/>
    <n v="0"/>
  </r>
  <r>
    <s v="ORD-2024-745424"/>
    <d v="2024-08-22T00:00:00"/>
    <d v="2024-09-04T00:00:00"/>
    <s v="Europe"/>
    <x v="5"/>
    <s v="Frankfurt"/>
    <s v="Non-Profit"/>
    <s v="Retail"/>
    <s v="L. Okafor"/>
    <x v="1"/>
    <s v="PRN-4892"/>
    <n v="90.04"/>
    <n v="194.62"/>
    <n v="4.2999999999999997E-2"/>
    <n v="32"/>
    <s v="Valid"/>
    <n v="194.62"/>
    <b v="0"/>
    <n v="4.2999999999999997E-2"/>
    <n v="13"/>
    <d v="2024-09-04T00:00:00"/>
    <n v="13"/>
    <n v="622516.20288"/>
    <n v="6227.84"/>
    <n v="616288.36288000003"/>
    <n v="0.98999569815020461"/>
    <s v="Aug-2024"/>
    <s v="Q3-2024"/>
    <s v="Europe → Germany → Frankfurt"/>
    <x v="1"/>
    <s v="Medium"/>
    <s v="GERMANY"/>
    <d v="2023-01-22T00:00:00"/>
    <s v="Jan-2023"/>
    <d v="2024-08-31T00:00:00"/>
    <n v="0"/>
  </r>
  <r>
    <s v="ORD-2024-510520"/>
    <d v="2024-09-25T00:00:00"/>
    <d v="2024-10-03T00:00:00"/>
    <s v="Americas"/>
    <x v="2"/>
    <s v="Toronto"/>
    <s v="Consumer"/>
    <s v="Online"/>
    <s v="E. Garcia"/>
    <x v="1"/>
    <s v="PRN-9557"/>
    <n v="558.19000000000005"/>
    <n v="1031.6400000000001"/>
    <n v="0"/>
    <n v="21"/>
    <s v="Valid"/>
    <n v="1031.6400000000001"/>
    <b v="0"/>
    <n v="0"/>
    <n v="8"/>
    <d v="2024-10-03T00:00:00"/>
    <n v="8"/>
    <n v="2166444"/>
    <n v="21664.440000000002"/>
    <n v="2144779.56"/>
    <n v="0.99"/>
    <s v="Sep-2024"/>
    <s v="Q3-2024"/>
    <s v="Americas → Canada → Toronto"/>
    <x v="1"/>
    <s v="Medium"/>
    <s v="CANADA"/>
    <d v="2023-01-02T00:00:00"/>
    <s v="Jan-2023"/>
    <d v="2024-09-30T00:00:00"/>
    <n v="0"/>
  </r>
  <r>
    <s v="ORD-2023-769774"/>
    <d v="2023-06-13T00:00:00"/>
    <d v="2023-06-24T00:00:00"/>
    <s v="Americas"/>
    <x v="2"/>
    <s v="Toronto"/>
    <s v="Corporate"/>
    <s v="Online"/>
    <s v="C. Otieno"/>
    <x v="1"/>
    <s v="PRN-8008"/>
    <n v="247.07"/>
    <n v="495.19"/>
    <n v="2.8000000000000001E-2"/>
    <n v="4"/>
    <s v="Valid"/>
    <n v="495.19"/>
    <b v="0"/>
    <n v="2.8000000000000001E-2"/>
    <n v="11"/>
    <d v="2023-06-24T00:00:00"/>
    <n v="11"/>
    <n v="198020.53871999998"/>
    <n v="1980.76"/>
    <n v="196039.77871999997"/>
    <n v="0.98999719921578033"/>
    <s v="Jun-2023"/>
    <s v="Q2-2023"/>
    <s v="Americas → Canada → Toronto"/>
    <x v="1"/>
    <s v="Low"/>
    <s v="CANADA"/>
    <d v="2023-01-02T00:00:00"/>
    <s v="Jan-2023"/>
    <d v="2023-06-30T00:00:00"/>
    <n v="0"/>
  </r>
  <r>
    <s v="ORD-2023-580751"/>
    <d v="2023-12-24T00:00:00"/>
    <d v="2024-01-13T00:00:00"/>
    <s v="Asia"/>
    <x v="6"/>
    <s v="Nagoya"/>
    <s v="Education"/>
    <s v="Direct"/>
    <s v="B. Chen"/>
    <x v="4"/>
    <s v="LAP-1946"/>
    <n v="625.37"/>
    <n v="1319.04"/>
    <n v="7.3999999999999996E-2"/>
    <n v="8"/>
    <s v="Valid"/>
    <n v="1319.04"/>
    <b v="0"/>
    <n v="7.3999999999999996E-2"/>
    <n v="20"/>
    <d v="2024-01-13T00:00:00"/>
    <n v="20"/>
    <n v="1054451.1283199999"/>
    <n v="10552.32"/>
    <n v="1043898.80832"/>
    <n v="0.98999259451994481"/>
    <s v="Dec-2023"/>
    <s v="Q4-2023"/>
    <s v="Asia → Japan → Nagoya"/>
    <x v="2"/>
    <s v="Medium"/>
    <s v="JAPAN"/>
    <d v="2023-03-03T00:00:00"/>
    <s v="Mar-2023"/>
    <d v="2023-12-31T00:00:00"/>
    <n v="0"/>
  </r>
  <r>
    <s v="ORD-2025-473192"/>
    <d v="2025-03-30T00:00:00"/>
    <d v="2025-04-29T00:00:00"/>
    <s v="Africa"/>
    <x v="11"/>
    <s v="Durban"/>
    <s v="Consumer"/>
    <s v="Marketplace"/>
    <s v="J. Njeri"/>
    <x v="5"/>
    <s v="MON-7106"/>
    <n v="194.6"/>
    <n v="314.87"/>
    <n v="0.29299999999999998"/>
    <n v="25"/>
    <s v="Valid"/>
    <n v="314.87"/>
    <b v="0"/>
    <n v="0.29299999999999998"/>
    <n v="30"/>
    <d v="2025-04-29T00:00:00"/>
    <n v="30"/>
    <n v="784868.57724999997"/>
    <n v="7871.75"/>
    <n v="776996.82724999997"/>
    <n v="0.98997061389872321"/>
    <s v="Mar-2025"/>
    <s v="Q1-2025"/>
    <s v="Africa → South Africa → Durban"/>
    <x v="1"/>
    <s v="High"/>
    <s v="SOUTH AFRICA"/>
    <d v="2023-01-07T00:00:00"/>
    <s v="Jan-2023"/>
    <d v="2025-03-31T00:00:00"/>
    <n v="0"/>
  </r>
  <r>
    <s v="ORD-2024-886939"/>
    <d v="2024-06-03T00:00:00"/>
    <d v="2024-06-24T00:00:00"/>
    <s v="Americas"/>
    <x v="2"/>
    <s v="Toronto"/>
    <s v="Small Business"/>
    <s v="Direct"/>
    <s v="G. Dubois"/>
    <x v="5"/>
    <s v="MON-5386"/>
    <n v="1205.5"/>
    <n v="2210.17"/>
    <n v="0.104"/>
    <n v="23"/>
    <s v="Valid"/>
    <n v="2210.17"/>
    <b v="0"/>
    <n v="0.104"/>
    <n v="21"/>
    <d v="2024-06-24T00:00:00"/>
    <n v="21"/>
    <n v="5078104.27336"/>
    <n v="50833.91"/>
    <n v="5027270.3633599998"/>
    <n v="0.9899895891727396"/>
    <s v="Jun-2024"/>
    <s v="Q2-2024"/>
    <s v="Americas → Canada → Toronto"/>
    <x v="1"/>
    <s v="Medium"/>
    <s v="CANADA"/>
    <d v="2023-01-02T00:00:00"/>
    <s v="Jan-2023"/>
    <d v="2024-06-30T00:00:00"/>
    <n v="0"/>
  </r>
  <r>
    <s v="ORD-2024-566589"/>
    <d v="2024-06-11T00:00:00"/>
    <d v="2024-07-09T00:00:00"/>
    <s v="Africa"/>
    <x v="1"/>
    <s v="Port Harcourt"/>
    <s v="Corporate"/>
    <s v="Marketplace"/>
    <s v="I. Johnson"/>
    <x v="3"/>
    <s v="PHN-2436"/>
    <n v="895.54"/>
    <n v="1045"/>
    <n v="0.216"/>
    <n v="15"/>
    <s v="Valid"/>
    <n v="1045"/>
    <b v="0"/>
    <n v="0.216"/>
    <n v="28"/>
    <d v="2024-07-09T00:00:00"/>
    <n v="28"/>
    <n v="1564114.2000000002"/>
    <n v="15675"/>
    <n v="1548439.2000000002"/>
    <n v="0.98997835324300487"/>
    <s v="Jun-2024"/>
    <s v="Q2-2024"/>
    <s v="Africa → Nigeria → Port Harcourt"/>
    <x v="2"/>
    <s v="Medium"/>
    <s v="NIGERIA"/>
    <d v="2023-01-15T00:00:00"/>
    <s v="Jan-2023"/>
    <d v="2024-06-30T00:00:00"/>
    <n v="0"/>
  </r>
  <r>
    <s v="ORD-2023-109927"/>
    <d v="2023-07-22T00:00:00"/>
    <d v="2023-07-21T00:00:00"/>
    <s v="Asia"/>
    <x v="3"/>
    <s v="Delhi"/>
    <s v="Small Business"/>
    <s v="Distributor"/>
    <s v="E. Garcia"/>
    <x v="1"/>
    <s v="PRN-2301"/>
    <n v="946.99"/>
    <n v="2132.19"/>
    <n v="0.16500000000000001"/>
    <n v="7"/>
    <s v="Valid"/>
    <n v="2132.19"/>
    <b v="0"/>
    <n v="0.16500000000000001"/>
    <n v="-1"/>
    <d v="2023-07-29T00:00:00"/>
    <n v="7"/>
    <n v="1490070.3205499998"/>
    <n v="14925.33"/>
    <n v="1475144.9905499998"/>
    <n v="0.98998347273000442"/>
    <s v="Jul-2023"/>
    <s v="Q3-2023"/>
    <s v="Asia → India → Delhi"/>
    <x v="1"/>
    <s v="Low"/>
    <s v="INDIA"/>
    <d v="2023-01-29T00:00:00"/>
    <s v="Jan-2023"/>
    <d v="2023-07-31T00:00:00"/>
    <n v="1"/>
  </r>
  <r>
    <s v="ORD-2023-780206"/>
    <d v="2023-01-19T00:00:00"/>
    <d v="2023-02-03T00:00:00"/>
    <s v="Europe"/>
    <x v="8"/>
    <s v="London"/>
    <s v="Enterprise"/>
    <s v="Distributor"/>
    <s v="G. Dubois"/>
    <x v="6"/>
    <s v="ACC-3645"/>
    <n v="873.06"/>
    <n v="2101.5500000000002"/>
    <n v="6.6000000000000003E-2"/>
    <n v="10"/>
    <s v="Valid"/>
    <n v="2101.5500000000002"/>
    <b v="0"/>
    <n v="6.6000000000000003E-2"/>
    <n v="15"/>
    <d v="2023-02-03T00:00:00"/>
    <n v="15"/>
    <n v="2100162.977"/>
    <n v="21015.5"/>
    <n v="2079147.477"/>
    <n v="0.9899933956411231"/>
    <s v="Jan-2023"/>
    <s v="Q1-2023"/>
    <s v="Europe → United Kingdom → London"/>
    <x v="0"/>
    <s v="Low"/>
    <s v="UNITED KINGDOM"/>
    <d v="2023-01-19T00:00:00"/>
    <s v="Jan-2023"/>
    <d v="2023-01-31T00:00:00"/>
    <n v="0"/>
  </r>
  <r>
    <s v="ORD-2024-851993"/>
    <d v="2024-05-01T00:00:00"/>
    <d v="2024-05-16T00:00:00"/>
    <s v="Asia"/>
    <x v="3"/>
    <s v="Bengaluru"/>
    <s v="Small Business"/>
    <s v="Retail"/>
    <s v="L. Okafor"/>
    <x v="0"/>
    <s v="CMP-6811"/>
    <n v="901.19"/>
    <n v="2125.44"/>
    <n v="7.0999999999999994E-2"/>
    <n v="12"/>
    <s v="Valid"/>
    <n v="2125.44"/>
    <b v="0"/>
    <n v="7.0999999999999994E-2"/>
    <n v="15"/>
    <d v="2024-05-16T00:00:00"/>
    <n v="15"/>
    <n v="2548717.12512"/>
    <n v="25505.279999999999"/>
    <n v="2523211.8451200002"/>
    <n v="0.98999289495541842"/>
    <s v="May-2024"/>
    <s v="Q2-2024"/>
    <s v="Asia → India → Bengaluru"/>
    <x v="0"/>
    <s v="Medium"/>
    <s v="INDIA"/>
    <d v="2023-01-29T00:00:00"/>
    <s v="Jan-2023"/>
    <d v="2024-05-31T00:00:00"/>
    <n v="0"/>
  </r>
  <r>
    <s v="ORD-2025-417942"/>
    <d v="2025-06-09T00:00:00"/>
    <d v="2025-06-24T00:00:00"/>
    <s v="Asia"/>
    <x v="6"/>
    <s v="Nagoya"/>
    <s v="Corporate"/>
    <s v="Direct"/>
    <s v="B. Chen"/>
    <x v="3"/>
    <s v="PHN-5675"/>
    <n v="400.39"/>
    <n v="712.75"/>
    <n v="0.115"/>
    <n v="19"/>
    <s v="Valid"/>
    <n v="712.75"/>
    <b v="0"/>
    <n v="0.115"/>
    <n v="15"/>
    <d v="2025-06-24T00:00:00"/>
    <n v="15"/>
    <n v="1352667.6412500001"/>
    <n v="13542.25"/>
    <n v="1339125.3912500001"/>
    <n v="0.98998848675977369"/>
    <s v="Jun-2025"/>
    <s v="Q2-2025"/>
    <s v="Asia → Japan → Nagoya"/>
    <x v="2"/>
    <s v="High"/>
    <s v="JAPAN"/>
    <d v="2023-03-03T00:00:00"/>
    <s v="Mar-2023"/>
    <d v="2025-06-30T00:00:00"/>
    <n v="0"/>
  </r>
  <r>
    <s v="ORD-2023-172095"/>
    <d v="2023-05-24T00:00:00"/>
    <d v="2023-06-21T00:00:00"/>
    <s v="Americas"/>
    <x v="10"/>
    <s v="Austin"/>
    <s v="Small Business"/>
    <s v="Marketplace"/>
    <s v="G. Dubois"/>
    <x v="5"/>
    <s v="MON-6882"/>
    <n v="813.97"/>
    <n v="1568.83"/>
    <n v="1.7000000000000001E-2"/>
    <n v="15"/>
    <s v="Valid"/>
    <n v="1568.83"/>
    <b v="0"/>
    <n v="1.7000000000000001E-2"/>
    <n v="28"/>
    <d v="2023-06-21T00:00:00"/>
    <n v="28"/>
    <n v="2352844.9483499997"/>
    <n v="23532.449999999997"/>
    <n v="2329312.4983499995"/>
    <n v="0.98999829971095077"/>
    <s v="May-2023"/>
    <s v="Q2-2023"/>
    <s v="Americas → USA → Austin"/>
    <x v="1"/>
    <s v="Low"/>
    <s v="USA"/>
    <d v="2023-01-13T00:00:00"/>
    <s v="Jan-2023"/>
    <d v="2023-05-31T00:00:00"/>
    <n v="0"/>
  </r>
  <r>
    <s v="ORD-2024-257550"/>
    <d v="2024-12-27T00:00:00"/>
    <d v="2024-12-29T00:00:00"/>
    <s v="Americas"/>
    <x v="2"/>
    <s v="Vancouver"/>
    <s v="Enterprise"/>
    <s v="Marketplace"/>
    <s v="C. Otieno"/>
    <x v="6"/>
    <s v="ACC-8620"/>
    <n v="1146.72"/>
    <n v="2074.34"/>
    <n v="0.111"/>
    <n v="8"/>
    <s v="Valid"/>
    <n v="2074.34"/>
    <b v="0"/>
    <n v="0.111"/>
    <n v="2"/>
    <d v="2024-12-29T00:00:00"/>
    <n v="2"/>
    <n v="1657629.9860799999"/>
    <n v="16594.72"/>
    <n v="1641035.26608"/>
    <n v="0.98998888766530846"/>
    <s v="Dec-2024"/>
    <s v="Q4-2024"/>
    <s v="Americas → Canada → Vancouver"/>
    <x v="0"/>
    <s v="High"/>
    <s v="CANADA"/>
    <d v="2023-01-02T00:00:00"/>
    <s v="Jan-2023"/>
    <d v="2024-12-31T00:00:00"/>
    <n v="1"/>
  </r>
  <r>
    <s v="ORD-2023-581799"/>
    <d v="2023-12-05T00:00:00"/>
    <d v="2023-12-12T00:00:00"/>
    <s v="Americas"/>
    <x v="4"/>
    <s v="Brasília"/>
    <s v="Corporate"/>
    <s v="Direct"/>
    <s v="F. Müller"/>
    <x v="3"/>
    <s v="PHN-6506"/>
    <n v="307.43"/>
    <n v="495.19"/>
    <n v="0"/>
    <n v="42"/>
    <s v="Valid"/>
    <n v="495.19"/>
    <b v="0"/>
    <n v="0"/>
    <n v="7"/>
    <d v="2023-12-12T00:00:00"/>
    <n v="7"/>
    <n v="2079798"/>
    <n v="20797.98"/>
    <n v="2059000.02"/>
    <n v="0.99"/>
    <s v="Dec-2023"/>
    <s v="Q4-2023"/>
    <s v="Americas → Brazil → Brasília"/>
    <x v="2"/>
    <s v="Medium"/>
    <s v="BRAZIL"/>
    <d v="2023-01-29T00:00:00"/>
    <s v="Jan-2023"/>
    <d v="2023-12-31T00:00:00"/>
    <n v="1"/>
  </r>
  <r>
    <s v="ORD-2023-880296"/>
    <d v="2023-05-02T00:00:00"/>
    <d v="2023-05-19T00:00:00"/>
    <s v="Asia"/>
    <x v="9"/>
    <s v="Shanghai"/>
    <s v="Non-Profit"/>
    <s v="Direct"/>
    <s v="J. Njeri"/>
    <x v="5"/>
    <s v="MON-5086"/>
    <n v="714.28"/>
    <n v="757.59"/>
    <n v="0.13600000000000001"/>
    <n v="12"/>
    <s v="Valid"/>
    <n v="757.59"/>
    <b v="0"/>
    <n v="0.13600000000000001"/>
    <n v="17"/>
    <d v="2023-05-19T00:00:00"/>
    <n v="17"/>
    <n v="907871.61311999999"/>
    <n v="9091.08"/>
    <n v="898780.53312000004"/>
    <n v="0.98998638147881124"/>
    <s v="May-2023"/>
    <s v="Q2-2023"/>
    <s v="Asia → China → Shanghai"/>
    <x v="1"/>
    <s v="Low"/>
    <s v="CHINA"/>
    <d v="2023-01-12T00:00:00"/>
    <s v="Jan-2023"/>
    <d v="2023-05-31T00:00:00"/>
    <n v="0"/>
  </r>
  <r>
    <s v="ORD-2023-191563"/>
    <d v="2023-11-30T00:00:00"/>
    <d v="2023-12-10T00:00:00"/>
    <s v="Europe"/>
    <x v="5"/>
    <s v="Munich"/>
    <s v="Small Business"/>
    <s v="Direct"/>
    <s v="F. Müller"/>
    <x v="4"/>
    <s v="LAP-4899"/>
    <n v="174.74"/>
    <n v="415.96"/>
    <n v="0.125"/>
    <n v="21"/>
    <s v="Valid"/>
    <n v="415.96"/>
    <b v="0"/>
    <n v="0.125"/>
    <n v="10"/>
    <d v="2023-12-10T00:00:00"/>
    <n v="10"/>
    <n v="872424.10499999998"/>
    <n v="8735.16"/>
    <n v="863688.94499999995"/>
    <n v="0.98998748435544426"/>
    <s v="Nov-2023"/>
    <s v="Q4-2023"/>
    <s v="Europe → Germany → Munich"/>
    <x v="2"/>
    <s v="Low"/>
    <s v="GERMANY"/>
    <d v="2023-01-22T00:00:00"/>
    <s v="Jan-2023"/>
    <d v="2023-11-30T00:00:00"/>
    <n v="0"/>
  </r>
  <r>
    <s v="ORD-2024-202166"/>
    <d v="2024-05-05T00:00:00"/>
    <d v="2024-05-18T00:00:00"/>
    <s v="Europe"/>
    <x v="7"/>
    <s v="Marseille"/>
    <s v="Corporate"/>
    <s v="Marketplace"/>
    <s v="A. Patel"/>
    <x v="0"/>
    <s v="CMP-3313"/>
    <n v="1264.04"/>
    <n v="1870.89"/>
    <n v="0"/>
    <n v="13"/>
    <s v="Valid"/>
    <n v="1870.89"/>
    <b v="0"/>
    <n v="0"/>
    <n v="13"/>
    <d v="2024-05-18T00:00:00"/>
    <n v="13"/>
    <n v="2432157"/>
    <n v="24321.57"/>
    <n v="2407835.4300000002"/>
    <n v="0.9900000000000001"/>
    <s v="May-2024"/>
    <s v="Q2-2024"/>
    <s v="Europe → France → Marseille"/>
    <x v="0"/>
    <s v="Medium"/>
    <s v="FRANCE"/>
    <d v="2023-01-10T00:00:00"/>
    <s v="Jan-2023"/>
    <d v="2024-05-31T00:00:00"/>
    <n v="0"/>
  </r>
  <r>
    <s v="ORD-2023-539967"/>
    <d v="2023-07-09T00:00:00"/>
    <d v="2023-07-19T00:00:00"/>
    <s v="Asia"/>
    <x v="6"/>
    <s v="Tokyo"/>
    <s v="Enterprise"/>
    <s v="Distributor"/>
    <s v="N. Brown"/>
    <x v="0"/>
    <s v="CMP-6649"/>
    <n v="141.26"/>
    <n v="206.88"/>
    <n v="0.107"/>
    <n v="9"/>
    <s v="Valid"/>
    <n v="206.88"/>
    <b v="0"/>
    <n v="0.107"/>
    <n v="10"/>
    <d v="2023-07-19T00:00:00"/>
    <n v="10"/>
    <n v="185992.77456000002"/>
    <n v="1861.92"/>
    <n v="184130.85456000001"/>
    <n v="0.98998928853873636"/>
    <s v="Jul-2023"/>
    <s v="Q3-2023"/>
    <s v="Asia → Japan → Tokyo"/>
    <x v="0"/>
    <s v="Low"/>
    <s v="JAPAN"/>
    <d v="2023-03-03T00:00:00"/>
    <s v="Mar-2023"/>
    <d v="2023-07-31T00:00:00"/>
    <n v="0"/>
  </r>
  <r>
    <s v="ORD-2023-704111"/>
    <d v="2023-05-17T00:00:00"/>
    <d v="2023-06-15T00:00:00"/>
    <s v="Africa"/>
    <x v="11"/>
    <s v="Durban"/>
    <s v="Enterprise"/>
    <s v="Retail"/>
    <s v="K. Singh"/>
    <x v="6"/>
    <s v="ACC-5206"/>
    <n v="40.89"/>
    <n v="62.82"/>
    <n v="0.129"/>
    <n v="17"/>
    <s v="Valid"/>
    <n v="62.82"/>
    <b v="0"/>
    <n v="0.129"/>
    <n v="29"/>
    <d v="2023-06-15T00:00:00"/>
    <n v="29"/>
    <n v="106656.23574"/>
    <n v="1067.94"/>
    <n v="105588.29574"/>
    <n v="0.9899870833375054"/>
    <s v="May-2023"/>
    <s v="Q2-2023"/>
    <s v="Africa → South Africa → Durban"/>
    <x v="0"/>
    <s v="Low"/>
    <s v="SOUTH AFRICA"/>
    <d v="2023-01-07T00:00:00"/>
    <s v="Jan-2023"/>
    <d v="2023-05-31T00:00:00"/>
    <n v="0"/>
  </r>
  <r>
    <s v="ORD-2024-356812"/>
    <d v="2024-03-07T00:00:00"/>
    <d v="2024-04-03T00:00:00"/>
    <s v="Europe"/>
    <x v="5"/>
    <s v="Frankfurt"/>
    <s v="Corporate"/>
    <s v="Direct"/>
    <s v="M. Rossi"/>
    <x v="1"/>
    <s v="PRN-6911"/>
    <n v="738.16"/>
    <n v="956.49"/>
    <n v="0.152"/>
    <n v="5"/>
    <s v="Valid"/>
    <n v="956.49"/>
    <b v="0"/>
    <n v="0.152"/>
    <n v="27"/>
    <d v="2024-04-03T00:00:00"/>
    <n v="27"/>
    <n v="477518.06759999995"/>
    <n v="4782.45"/>
    <n v="472735.61759999994"/>
    <n v="0.98998477686082842"/>
    <s v="Mar-2024"/>
    <s v="Q1-2024"/>
    <s v="Europe → Germany → Frankfurt"/>
    <x v="1"/>
    <s v="Medium"/>
    <s v="GERMANY"/>
    <d v="2023-01-22T00:00:00"/>
    <s v="Jan-2023"/>
    <d v="2024-03-31T00:00:00"/>
    <n v="0"/>
  </r>
  <r>
    <s v="ORD-2025-306251"/>
    <d v="2025-04-10T00:00:00"/>
    <d v="2025-04-19T00:00:00"/>
    <s v="Africa"/>
    <x v="11"/>
    <s v="Durban"/>
    <s v="Enterprise"/>
    <s v="Unknown Channel "/>
    <s v="G. Dubois"/>
    <x v="2"/>
    <s v="NET-5270"/>
    <n v="113.74"/>
    <n v="165.7"/>
    <n v="0.124"/>
    <n v="13"/>
    <s v="Valid"/>
    <n v="165.7"/>
    <b v="0"/>
    <n v="0.124"/>
    <n v="9"/>
    <d v="2025-04-19T00:00:00"/>
    <n v="9"/>
    <n v="215142.8916"/>
    <n v="2154.1"/>
    <n v="212988.7916"/>
    <n v="0.9899875846049101"/>
    <s v="Apr-2025"/>
    <s v="Q2-2025"/>
    <s v="Africa → South Africa → Durban"/>
    <x v="0"/>
    <s v="High"/>
    <s v="SOUTH AFRICA"/>
    <d v="2023-01-07T00:00:00"/>
    <s v="Jan-2023"/>
    <d v="2025-04-30T00:00:00"/>
    <n v="0"/>
  </r>
  <r>
    <s v="ORD-2025-496178"/>
    <d v="2025-07-27T00:00:00"/>
    <d v="2025-08-15T00:00:00"/>
    <s v="Asia"/>
    <x v="6"/>
    <s v="Tokyo"/>
    <s v="Small Business"/>
    <s v="Marketplace"/>
    <s v="J. Njeri"/>
    <x v="0"/>
    <s v="CMP-5658"/>
    <n v="275.43"/>
    <n v="608.36"/>
    <n v="0.25700000000000001"/>
    <n v="4"/>
    <s v="Valid"/>
    <n v="608.36"/>
    <b v="0"/>
    <n v="0.25700000000000001"/>
    <n v="19"/>
    <d v="2025-08-15T00:00:00"/>
    <n v="19"/>
    <n v="242718.60592"/>
    <n v="2433.44"/>
    <n v="240285.16592"/>
    <n v="0.98997423378081673"/>
    <s v="Jul-2025"/>
    <s v="Q3-2025"/>
    <s v="Asia → Japan → Tokyo"/>
    <x v="0"/>
    <s v="High"/>
    <s v="JAPAN"/>
    <d v="2023-03-03T00:00:00"/>
    <s v="Mar-2023"/>
    <d v="2025-07-31T00:00:00"/>
    <n v="0"/>
  </r>
  <r>
    <s v="ORD-2024-508213"/>
    <d v="2024-11-22T00:00:00"/>
    <d v="2024-12-15T00:00:00"/>
    <s v="Africa"/>
    <x v="0"/>
    <s v="Mombasa"/>
    <s v="Non-Profit"/>
    <s v="Distributor"/>
    <s v="C. Otieno"/>
    <x v="0"/>
    <s v="CMP-3938"/>
    <n v="1335.76"/>
    <n v="2665.91"/>
    <n v="0.21099999999999999"/>
    <n v="40"/>
    <s v="Valid"/>
    <n v="2665.91"/>
    <b v="0"/>
    <n v="0.21099999999999999"/>
    <n v="23"/>
    <d v="2024-12-15T00:00:00"/>
    <n v="23"/>
    <n v="10641139.719599999"/>
    <n v="106636.4"/>
    <n v="10534503.319599999"/>
    <n v="0.98997885538486208"/>
    <s v="Nov-2024"/>
    <s v="Q4-2024"/>
    <s v="Africa → Kenya → Mombasa"/>
    <x v="0"/>
    <s v="High"/>
    <s v="KENYA"/>
    <d v="2023-01-20T00:00:00"/>
    <s v="Jan-2023"/>
    <d v="2024-11-30T00:00:00"/>
    <n v="0"/>
  </r>
  <r>
    <s v="ORD-2024-787018"/>
    <d v="2024-06-23T00:00:00"/>
    <d v="2024-06-28T00:00:00"/>
    <s v="Africa"/>
    <x v="1"/>
    <s v="Port Harcourt"/>
    <s v="Non-Profit"/>
    <s v="Direct"/>
    <s v="M. Rossi"/>
    <x v="6"/>
    <s v="ACC-7671"/>
    <n v="242.31"/>
    <n v="587.95000000000005"/>
    <n v="0.22900000000000001"/>
    <n v="6"/>
    <s v="Valid"/>
    <n v="587.95000000000005"/>
    <b v="0"/>
    <n v="0.22900000000000001"/>
    <n v="5"/>
    <d v="2024-06-28T00:00:00"/>
    <n v="5"/>
    <n v="351962.15670000005"/>
    <n v="3527.7000000000003"/>
    <n v="348434.45670000004"/>
    <n v="0.98997704743863446"/>
    <s v="Jun-2024"/>
    <s v="Q2-2024"/>
    <s v="Africa → Nigeria → Port Harcourt"/>
    <x v="0"/>
    <s v="Medium"/>
    <s v="NIGERIA"/>
    <d v="2023-01-15T00:00:00"/>
    <s v="Jan-2023"/>
    <d v="2024-06-30T00:00:00"/>
    <n v="1"/>
  </r>
  <r>
    <s v="ORD-2023-728177"/>
    <d v="2023-12-18T00:00:00"/>
    <d v="2024-01-14T00:00:00"/>
    <s v="Asia"/>
    <x v="3"/>
    <s v="Mumbai"/>
    <s v="Consumer"/>
    <s v="Distributor"/>
    <s v="D. Smith"/>
    <x v="2"/>
    <s v="NET-6014"/>
    <n v="1408.3"/>
    <n v="2193.13"/>
    <n v="7.0999999999999994E-2"/>
    <n v="7"/>
    <s v="Valid"/>
    <n v="2193.13"/>
    <b v="0"/>
    <n v="7.0999999999999994E-2"/>
    <n v="27"/>
    <d v="2024-01-14T00:00:00"/>
    <n v="27"/>
    <n v="1534101.0143899999"/>
    <n v="15351.91"/>
    <n v="1518749.10439"/>
    <n v="0.98999289495541842"/>
    <s v="Dec-2023"/>
    <s v="Q4-2023"/>
    <s v="Asia → India → Mumbai"/>
    <x v="0"/>
    <s v="Medium"/>
    <s v="INDIA"/>
    <d v="2023-01-29T00:00:00"/>
    <s v="Jan-2023"/>
    <d v="2023-12-31T00:00:00"/>
    <n v="0"/>
  </r>
  <r>
    <s v="ORD-2025-795385"/>
    <d v="2025-06-01T00:00:00"/>
    <d v="2025-06-05T00:00:00"/>
    <s v="Europe"/>
    <x v="5"/>
    <s v="Munich"/>
    <s v="Enterprise"/>
    <s v="Direct"/>
    <s v="M. Rossi"/>
    <x v="0"/>
    <s v="CMP-4159"/>
    <n v="1171.42"/>
    <n v="2187.8000000000002"/>
    <n v="0.23"/>
    <n v="15"/>
    <s v="Valid"/>
    <n v="2187.8000000000002"/>
    <b v="0"/>
    <n v="0.23"/>
    <n v="4"/>
    <d v="2025-06-05T00:00:00"/>
    <n v="4"/>
    <n v="3274152.09"/>
    <n v="32817"/>
    <n v="3241335.09"/>
    <n v="0.9899769469780495"/>
    <s v="Jun-2025"/>
    <s v="Q2-2025"/>
    <s v="Europe → Germany → Munich"/>
    <x v="0"/>
    <s v="High"/>
    <s v="GERMANY"/>
    <d v="2023-01-22T00:00:00"/>
    <s v="Jan-2023"/>
    <d v="2025-06-30T00:00:00"/>
    <n v="1"/>
  </r>
  <r>
    <s v="ORD-2025-947929"/>
    <d v="2025-03-23T00:00:00"/>
    <d v="2025-04-02T00:00:00"/>
    <s v="Europe"/>
    <x v="5"/>
    <s v="Berlin"/>
    <s v="Enterprise"/>
    <s v="Online"/>
    <s v="E. Garcia"/>
    <x v="1"/>
    <s v="PRN-3159"/>
    <n v="663.61"/>
    <n v="1002.11"/>
    <n v="4.5999999999999999E-2"/>
    <n v="17"/>
    <s v="Valid"/>
    <n v="1002.11"/>
    <b v="0"/>
    <n v="4.5999999999999999E-2"/>
    <n v="10"/>
    <d v="2025-04-02T00:00:00"/>
    <n v="10"/>
    <n v="1702803.3499799997"/>
    <n v="17035.87"/>
    <n v="1685767.4799799996"/>
    <n v="0.98999539788302615"/>
    <s v="Mar-2025"/>
    <s v="Q1-2025"/>
    <s v="Europe → Germany → Berlin"/>
    <x v="1"/>
    <s v="High"/>
    <s v="GERMANY"/>
    <d v="2023-01-22T00:00:00"/>
    <s v="Jan-2023"/>
    <d v="2025-03-31T00:00:00"/>
    <n v="0"/>
  </r>
  <r>
    <s v="ORD-2023-931633"/>
    <d v="2023-05-14T00:00:00"/>
    <d v="2023-05-22T00:00:00"/>
    <s v="Africa"/>
    <x v="0"/>
    <s v="Mombasa"/>
    <s v="Small Business"/>
    <s v="Distributor"/>
    <s v="F. Müller"/>
    <x v="1"/>
    <s v="PRN-9488"/>
    <n v="432.01"/>
    <n v="913.78"/>
    <n v="4.9000000000000002E-2"/>
    <n v="12"/>
    <s v="Valid"/>
    <n v="913.78"/>
    <b v="0"/>
    <n v="4.9000000000000002E-2"/>
    <n v="8"/>
    <d v="2023-05-22T00:00:00"/>
    <n v="8"/>
    <n v="1095998.6973599999"/>
    <n v="10965.36"/>
    <n v="1085033.3373599998"/>
    <n v="0.98999509759782289"/>
    <s v="May-2023"/>
    <s v="Q2-2023"/>
    <s v="Africa → Kenya → Mombasa"/>
    <x v="1"/>
    <s v="Low"/>
    <s v="KENYA"/>
    <d v="2023-01-20T00:00:00"/>
    <s v="Jan-2023"/>
    <d v="2023-05-31T00:00:00"/>
    <n v="0"/>
  </r>
  <r>
    <s v="ORD-2023-243704"/>
    <d v="2023-08-29T00:00:00"/>
    <d v="2023-09-19T00:00:00"/>
    <s v="Europe"/>
    <x v="7"/>
    <s v="Lyon"/>
    <s v="Small Business"/>
    <s v="Direct"/>
    <s v="B. Chen"/>
    <x v="1"/>
    <s v="PRN-7079"/>
    <n v="784.46"/>
    <n v="1843.51"/>
    <n v="0.13800000000000001"/>
    <n v="23"/>
    <s v="Valid"/>
    <n v="1843.51"/>
    <b v="0"/>
    <n v="0.13800000000000001"/>
    <n v="21"/>
    <d v="2023-09-19T00:00:00"/>
    <n v="21"/>
    <n v="4234221.6992600001"/>
    <n v="42400.73"/>
    <n v="4191820.9692600002"/>
    <n v="0.98998618092968294"/>
    <s v="Aug-2023"/>
    <s v="Q3-2023"/>
    <s v="Europe → France → Lyon"/>
    <x v="1"/>
    <s v="Low"/>
    <s v="FRANCE"/>
    <d v="2023-01-10T00:00:00"/>
    <s v="Jan-2023"/>
    <d v="2023-08-31T00:00:00"/>
    <n v="0"/>
  </r>
  <r>
    <s v="ORD-2025-779659"/>
    <d v="2025-07-03T00:00:00"/>
    <d v="2025-07-23T00:00:00"/>
    <s v="Asia"/>
    <x v="9"/>
    <s v="Beijing"/>
    <s v="Small Business"/>
    <s v="Online"/>
    <s v="M. Rossi"/>
    <x v="0"/>
    <s v="CMP-1220"/>
    <n v="647.36"/>
    <n v="1383.6"/>
    <n v="7.3999999999999996E-2"/>
    <n v="12"/>
    <s v="Valid"/>
    <n v="1383.6"/>
    <b v="0"/>
    <n v="7.3999999999999996E-2"/>
    <n v="20"/>
    <d v="2025-07-23T00:00:00"/>
    <n v="20"/>
    <n v="1659091.3631999998"/>
    <n v="16603.199999999997"/>
    <n v="1642488.1631999998"/>
    <n v="0.98999259451994481"/>
    <s v="Jul-2025"/>
    <s v="Q3-2025"/>
    <s v="Asia → China → Beijing"/>
    <x v="0"/>
    <s v="High"/>
    <s v="CHINA"/>
    <d v="2023-01-12T00:00:00"/>
    <s v="Jan-2023"/>
    <d v="2025-07-31T00:00:00"/>
    <n v="0"/>
  </r>
  <r>
    <s v="ORD-2024-647571"/>
    <d v="2024-02-06T00:00:00"/>
    <d v="2024-02-28T00:00:00"/>
    <s v="Africa"/>
    <x v="0"/>
    <s v="Kisumu"/>
    <s v="Non-Profit"/>
    <s v="Online"/>
    <s v="K. Singh"/>
    <x v="5"/>
    <s v="MON-2462"/>
    <n v="834.93"/>
    <n v="1588.53"/>
    <n v="0.126"/>
    <n v="6"/>
    <s v="Valid"/>
    <n v="1588.53"/>
    <b v="0"/>
    <n v="0.126"/>
    <n v="22"/>
    <d v="2024-02-28T00:00:00"/>
    <n v="22"/>
    <n v="951917.07131999999"/>
    <n v="9531.18"/>
    <n v="942385.89131999994"/>
    <n v="0.98998738410397091"/>
    <s v="Feb-2024"/>
    <s v="Q1-2024"/>
    <s v="Africa → Kenya → Kisumu"/>
    <x v="1"/>
    <s v="Medium"/>
    <s v="KENYA"/>
    <d v="2023-01-20T00:00:00"/>
    <s v="Jan-2023"/>
    <d v="2024-02-29T00:00:00"/>
    <n v="0"/>
  </r>
  <r>
    <s v="ORD-2025-683043"/>
    <d v="2025-08-13T00:00:00"/>
    <d v="2025-09-03T00:00:00"/>
    <s v="Europe"/>
    <x v="7"/>
    <s v="Paris"/>
    <s v="Education"/>
    <s v="Retail"/>
    <s v="I. Johnson"/>
    <x v="3"/>
    <s v="PHN-9465"/>
    <n v="603.47"/>
    <n v="1344.05"/>
    <n v="0.20499999999999999"/>
    <n v="18"/>
    <s v="Valid"/>
    <n v="1344.05"/>
    <b v="0"/>
    <n v="0.20499999999999999"/>
    <n v="21"/>
    <d v="2025-09-03T00:00:00"/>
    <n v="21"/>
    <n v="2414330.4554999997"/>
    <n v="24192.899999999998"/>
    <n v="2390137.5554999998"/>
    <n v="0.98997945788867181"/>
    <s v="Aug-2025"/>
    <s v="Q3-2025"/>
    <s v="Europe → France → Paris"/>
    <x v="2"/>
    <s v="High"/>
    <s v="FRANCE"/>
    <d v="2023-01-10T00:00:00"/>
    <s v="Jan-2023"/>
    <d v="2025-08-31T00:00:00"/>
    <n v="0"/>
  </r>
  <r>
    <s v="ORD-2023-588455"/>
    <d v="2023-05-23T00:00:00"/>
    <d v="2023-05-25T00:00:00"/>
    <s v="Americas"/>
    <x v="4"/>
    <s v="Rio de Janeiro"/>
    <s v="Enterprise"/>
    <s v="Retail"/>
    <s v="M. Rossi"/>
    <x v="1"/>
    <s v="PRN-1271"/>
    <n v="690.49"/>
    <n v="1290.29"/>
    <n v="4.2000000000000003E-2"/>
    <n v="22"/>
    <s v="Valid"/>
    <n v="1290.29"/>
    <b v="0"/>
    <n v="4.2000000000000003E-2"/>
    <n v="2"/>
    <d v="2023-05-25T00:00:00"/>
    <n v="2"/>
    <n v="2837445.7720399997"/>
    <n v="28386.379999999997"/>
    <n v="2809059.3920399998"/>
    <n v="0.98999579823525885"/>
    <s v="May-2023"/>
    <s v="Q2-2023"/>
    <s v="Americas → Brazil → Rio de Janeiro"/>
    <x v="1"/>
    <s v="Low"/>
    <s v="BRAZIL"/>
    <d v="2023-01-29T00:00:00"/>
    <s v="Jan-2023"/>
    <d v="2023-05-31T00:00:00"/>
    <n v="1"/>
  </r>
  <r>
    <s v="ORD-2024-641220"/>
    <d v="2024-05-10T00:00:00"/>
    <d v="2024-05-16T00:00:00"/>
    <s v="Europe"/>
    <x v="8"/>
    <s v="Birmingham"/>
    <s v="Non-Profit"/>
    <s v="Direct"/>
    <s v="G. Dubois"/>
    <x v="4"/>
    <s v="LAP-1066"/>
    <n v="210.76"/>
    <n v="221.58"/>
    <n v="8.8999999999999996E-2"/>
    <n v="5"/>
    <s v="Valid"/>
    <n v="221.58"/>
    <b v="0"/>
    <n v="8.8999999999999996E-2"/>
    <n v="6"/>
    <d v="2024-05-16T00:00:00"/>
    <n v="6"/>
    <n v="110691.39690000001"/>
    <n v="1107.9000000000001"/>
    <n v="109583.49690000001"/>
    <n v="0.98999109207194413"/>
    <s v="May-2024"/>
    <s v="Q2-2024"/>
    <s v="Europe → United Kingdom → Birmingham"/>
    <x v="2"/>
    <s v="Medium"/>
    <s v="UNITED KINGDOM"/>
    <d v="2023-01-19T00:00:00"/>
    <s v="Jan-2023"/>
    <d v="2024-05-31T00:00:00"/>
    <n v="1"/>
  </r>
  <r>
    <s v="ORD-2023-799597"/>
    <d v="2023-03-14T00:00:00"/>
    <d v="2023-03-18T00:00:00"/>
    <s v="Europe"/>
    <x v="5"/>
    <s v="Frankfurt"/>
    <s v="Enterprise"/>
    <s v="Direct"/>
    <s v="A. Patel"/>
    <x v="0"/>
    <s v="CMP-8675"/>
    <n v="472.33"/>
    <n v="360.34"/>
    <n v="0.16500000000000001"/>
    <n v="14"/>
    <s v="Valid"/>
    <n v="360.34"/>
    <b v="0"/>
    <n v="0.16500000000000001"/>
    <n v="4"/>
    <d v="2023-03-18T00:00:00"/>
    <n v="4"/>
    <n v="503643.61459999991"/>
    <n v="5044.7599999999993"/>
    <n v="498598.8545999999"/>
    <n v="0.98998347273000453"/>
    <s v="Mar-2023"/>
    <s v="Q1-2023"/>
    <s v="Europe → Germany → Frankfurt"/>
    <x v="0"/>
    <s v="Low"/>
    <s v="GERMANY"/>
    <d v="2023-01-22T00:00:00"/>
    <s v="Jan-2023"/>
    <d v="2023-03-31T00:00:00"/>
    <n v="1"/>
  </r>
  <r>
    <s v="ORD-2023-569862"/>
    <d v="2023-07-16T00:00:00"/>
    <d v="2023-08-13T00:00:00"/>
    <s v="Europe"/>
    <x v="8"/>
    <s v="Manchester"/>
    <s v="Non-Profit"/>
    <s v="Online"/>
    <s v="J. Njeri"/>
    <x v="4"/>
    <s v="LAP-1178"/>
    <n v="1039.03"/>
    <n v="2545.81"/>
    <n v="0.216"/>
    <n v="21"/>
    <s v="Valid"/>
    <n v="2545.81"/>
    <b v="0"/>
    <n v="0.216"/>
    <n v="28"/>
    <d v="2023-08-13T00:00:00"/>
    <n v="28"/>
    <n v="5334653.2058400009"/>
    <n v="53462.01"/>
    <n v="5281191.1958400011"/>
    <n v="0.98997835324300498"/>
    <s v="Jul-2023"/>
    <s v="Q3-2023"/>
    <s v="Europe → United Kingdom → Manchester"/>
    <x v="2"/>
    <s v="Low"/>
    <s v="UNITED KINGDOM"/>
    <d v="2023-01-19T00:00:00"/>
    <s v="Jan-2023"/>
    <d v="2023-07-31T00:00:00"/>
    <n v="0"/>
  </r>
  <r>
    <s v="ORD-2023-609394"/>
    <d v="2023-04-16T00:00:00"/>
    <d v="2023-04-19T00:00:00"/>
    <s v="Europe"/>
    <x v="5"/>
    <s v="Munich"/>
    <s v="Corporate"/>
    <s v="Direct"/>
    <s v="B. Chen"/>
    <x v="6"/>
    <s v="ACC-1731"/>
    <n v="553.61"/>
    <n v="699.47"/>
    <n v="0.02"/>
    <n v="33"/>
    <s v="Valid"/>
    <n v="699.47"/>
    <b v="0"/>
    <n v="0.02"/>
    <n v="3"/>
    <d v="2023-04-19T00:00:00"/>
    <n v="3"/>
    <n v="2307789.3498000004"/>
    <n v="23082.510000000002"/>
    <n v="2284706.8398000007"/>
    <n v="0.98999799959992008"/>
    <s v="Apr-2023"/>
    <s v="Q2-2023"/>
    <s v="Europe → Germany → Munich"/>
    <x v="0"/>
    <s v="Low"/>
    <s v="GERMANY"/>
    <d v="2023-01-22T00:00:00"/>
    <s v="Jan-2023"/>
    <d v="2023-04-30T00:00:00"/>
    <n v="1"/>
  </r>
  <r>
    <s v="ORD-2024-105586"/>
    <d v="2024-01-02T00:00:00"/>
    <d v="2024-01-15T00:00:00"/>
    <s v="Asia"/>
    <x v="6"/>
    <s v="Nagoya"/>
    <s v="Small Business"/>
    <s v="Marketplace"/>
    <s v="G. Dubois"/>
    <x v="2"/>
    <s v="NET-1893"/>
    <n v="1219.06"/>
    <n v="2738.69"/>
    <n v="7.5999999999999998E-2"/>
    <n v="16"/>
    <s v="Valid"/>
    <n v="2738.69"/>
    <b v="0"/>
    <n v="7.5999999999999998E-2"/>
    <n v="13"/>
    <d v="2024-01-15T00:00:00"/>
    <n v="13"/>
    <n v="4378573.7529600002"/>
    <n v="43819.040000000001"/>
    <n v="4334754.7129600001"/>
    <n v="0.98999239421960694"/>
    <s v="Jan-2024"/>
    <s v="Q1-2024"/>
    <s v="Asia → Japan → Nagoya"/>
    <x v="0"/>
    <s v="Medium"/>
    <s v="JAPAN"/>
    <d v="2023-03-03T00:00:00"/>
    <s v="Mar-2023"/>
    <d v="2024-01-31T00:00:00"/>
    <n v="0"/>
  </r>
  <r>
    <s v="ORD-2024-207792"/>
    <d v="2024-09-03T00:00:00"/>
    <d v="2024-09-07T00:00:00"/>
    <s v="Asia"/>
    <x v="6"/>
    <s v="Tokyo"/>
    <s v="Small Business"/>
    <s v="Distributor"/>
    <s v="N. Brown"/>
    <x v="1"/>
    <s v="PRN-3917"/>
    <n v="43.23"/>
    <n v="94.78"/>
    <n v="9.0999999999999998E-2"/>
    <n v="55"/>
    <s v="Valid"/>
    <n v="94.78"/>
    <b v="0"/>
    <n v="9.0999999999999998E-2"/>
    <n v="4"/>
    <d v="2024-09-07T00:00:00"/>
    <n v="4"/>
    <n v="520815.62609999999"/>
    <n v="5212.8999999999996"/>
    <n v="515602.72609999997"/>
    <n v="0.98999089171145738"/>
    <s v="Sep-2024"/>
    <s v="Q3-2024"/>
    <s v="Asia → Japan → Tokyo"/>
    <x v="1"/>
    <s v="Medium"/>
    <s v="JAPAN"/>
    <d v="2023-03-03T00:00:00"/>
    <s v="Mar-2023"/>
    <d v="2024-09-30T00:00:00"/>
    <n v="1"/>
  </r>
  <r>
    <s v="ORD-2025-417336"/>
    <d v="2025-08-30T00:00:00"/>
    <d v="2025-09-03T00:00:00"/>
    <s v="Europe"/>
    <x v="7"/>
    <s v="Marseille"/>
    <s v="Small Business"/>
    <s v="Marketplace"/>
    <s v="J. Njeri"/>
    <x v="4"/>
    <s v="LAP-3220"/>
    <n v="1286.56"/>
    <n v="2777.35"/>
    <n v="0.13200000000000001"/>
    <n v="15"/>
    <s v="Valid"/>
    <n v="2777.35"/>
    <b v="0"/>
    <n v="0.13200000000000001"/>
    <n v="4"/>
    <d v="2025-09-03T00:00:00"/>
    <n v="4"/>
    <n v="4160525.8469999996"/>
    <n v="41660.25"/>
    <n v="4118865.5969999996"/>
    <n v="0.9899867825529699"/>
    <s v="Aug-2025"/>
    <s v="Q3-2025"/>
    <s v="Europe → France → Marseille"/>
    <x v="2"/>
    <s v="High"/>
    <s v="FRANCE"/>
    <d v="2023-01-10T00:00:00"/>
    <s v="Jan-2023"/>
    <d v="2025-08-31T00:00:00"/>
    <n v="1"/>
  </r>
  <r>
    <s v="ORD-2025-252117"/>
    <d v="2025-04-28T00:00:00"/>
    <d v="2025-05-19T00:00:00"/>
    <s v="Europe"/>
    <x v="5"/>
    <s v="Berlin"/>
    <s v="Corporate"/>
    <s v="Distributor"/>
    <s v="B. Chen"/>
    <x v="3"/>
    <s v="PHN-2462"/>
    <n v="350.76"/>
    <n v="492.18"/>
    <n v="5.2999999999999999E-2"/>
    <n v="11"/>
    <s v="Valid"/>
    <n v="492.18"/>
    <b v="0"/>
    <n v="5.2999999999999999E-2"/>
    <n v="21"/>
    <d v="2025-05-19T00:00:00"/>
    <n v="21"/>
    <n v="541111.05906000012"/>
    <n v="5413.9800000000005"/>
    <n v="535697.07906000013"/>
    <n v="0.9899946971895105"/>
    <s v="Apr-2025"/>
    <s v="Q2-2025"/>
    <s v="Europe → Germany → Berlin"/>
    <x v="2"/>
    <s v="High"/>
    <s v="GERMANY"/>
    <d v="2023-01-22T00:00:00"/>
    <s v="Jan-2023"/>
    <d v="2025-04-30T00:00:00"/>
    <n v="0"/>
  </r>
  <r>
    <s v="ORD-2023-867175"/>
    <d v="2023-08-10T00:00:00"/>
    <d v="2023-08-15T00:00:00"/>
    <s v="Americas"/>
    <x v="4"/>
    <s v="São Paulo"/>
    <s v="Education"/>
    <s v="Direct"/>
    <s v="G. Dubois"/>
    <x v="2"/>
    <s v="NET-2894"/>
    <n v="1307.52"/>
    <n v="1921.65"/>
    <n v="0.123"/>
    <n v="13"/>
    <s v="Valid"/>
    <n v="1921.65"/>
    <b v="0"/>
    <n v="0.123"/>
    <n v="5"/>
    <d v="2023-08-15T00:00:00"/>
    <n v="5"/>
    <n v="2495072.2816499998"/>
    <n v="24981.45"/>
    <n v="2470090.8316499996"/>
    <n v="0.98998768485236832"/>
    <s v="Aug-2023"/>
    <s v="Q3-2023"/>
    <s v="Americas → Brazil → São Paulo"/>
    <x v="0"/>
    <s v="Low"/>
    <s v="BRAZIL"/>
    <d v="2023-01-29T00:00:00"/>
    <s v="Jan-2023"/>
    <d v="2023-08-31T00:00:00"/>
    <n v="1"/>
  </r>
  <r>
    <s v="ORD-2024-382152"/>
    <d v="2024-12-08T00:00:00"/>
    <d v="2024-12-08T00:00:00"/>
    <s v="Europe"/>
    <x v="7"/>
    <s v="Lyon"/>
    <s v="Enterprise"/>
    <s v="Retail"/>
    <s v="H. Kim"/>
    <x v="0"/>
    <s v="CMP-2335"/>
    <n v="257.44"/>
    <n v="290.33"/>
    <n v="9.1999999999999998E-2"/>
    <n v="23"/>
    <s v="Valid"/>
    <n v="290.33"/>
    <b v="0"/>
    <n v="9.1999999999999998E-2"/>
    <n v="0"/>
    <d v="2024-12-08T00:00:00"/>
    <n v="0"/>
    <n v="667144.66171999997"/>
    <n v="6677.5899999999992"/>
    <n v="660467.07172000001"/>
    <n v="0.98999079152820602"/>
    <s v="Dec-2024"/>
    <s v="Q4-2024"/>
    <s v="Europe → France → Lyon"/>
    <x v="0"/>
    <s v="High"/>
    <s v="FRANCE"/>
    <d v="2023-01-10T00:00:00"/>
    <s v="Jan-2023"/>
    <d v="2024-12-31T00:00:00"/>
    <n v="1"/>
  </r>
  <r>
    <s v="ORD-2023-597666"/>
    <d v="2023-10-25T00:00:00"/>
    <d v="2023-11-24T00:00:00"/>
    <s v="Europe"/>
    <x v="7"/>
    <s v="Paris"/>
    <s v="Enterprise"/>
    <s v="Distributor"/>
    <s v="C. Otieno"/>
    <x v="3"/>
    <s v="PHN-5938"/>
    <n v="287.85000000000002"/>
    <n v="602.91999999999996"/>
    <n v="0.222"/>
    <n v="11"/>
    <s v="Valid"/>
    <n v="602.91999999999996"/>
    <b v="0"/>
    <n v="0.222"/>
    <n v="30"/>
    <d v="2023-11-24T00:00:00"/>
    <n v="30"/>
    <n v="661739.66936000006"/>
    <n v="6632.12"/>
    <n v="655107.54936000006"/>
    <n v="0.98997775060634607"/>
    <s v="Oct-2023"/>
    <s v="Q4-2023"/>
    <s v="Europe → France → Paris"/>
    <x v="2"/>
    <s v="Low"/>
    <s v="FRANCE"/>
    <d v="2023-01-10T00:00:00"/>
    <s v="Jan-2023"/>
    <d v="2023-10-31T00:00:00"/>
    <n v="0"/>
  </r>
  <r>
    <s v="ORD-2024-371409"/>
    <d v="2024-11-17T00:00:00"/>
    <d v="2024-11-28T00:00:00"/>
    <s v="Americas"/>
    <x v="2"/>
    <s v="Unknown City "/>
    <s v="Consumer"/>
    <s v="Distributor"/>
    <s v="A. Patel"/>
    <x v="1"/>
    <s v="PRN-1371"/>
    <n v="1008.16"/>
    <n v="2077.5"/>
    <n v="7.3999999999999996E-2"/>
    <n v="15"/>
    <s v="Valid"/>
    <n v="2077.5"/>
    <b v="0"/>
    <n v="7.3999999999999996E-2"/>
    <n v="11"/>
    <d v="2024-11-28T00:00:00"/>
    <n v="11"/>
    <n v="3113943.9750000001"/>
    <n v="31162.5"/>
    <n v="3082781.4750000001"/>
    <n v="0.98999259451994481"/>
    <s v="Nov-2024"/>
    <s v="Q4-2024"/>
    <s v="Americas → Canada → Unknown City "/>
    <x v="1"/>
    <s v="High"/>
    <s v="CANADA"/>
    <d v="2023-01-02T00:00:00"/>
    <s v="Jan-2023"/>
    <d v="2024-11-30T00:00:00"/>
    <n v="0"/>
  </r>
  <r>
    <s v="ORD-2024-973420"/>
    <d v="2024-05-12T00:00:00"/>
    <d v="2024-05-24T00:00:00"/>
    <s v="Europe"/>
    <x v="8"/>
    <s v="Manchester"/>
    <s v="Education"/>
    <s v="Marketplace"/>
    <s v="K. Singh"/>
    <x v="1"/>
    <s v="PRN-5813"/>
    <n v="111.02"/>
    <n v="172.88"/>
    <n v="0.19700000000000001"/>
    <n v="29"/>
    <s v="Valid"/>
    <n v="172.88"/>
    <b v="0"/>
    <n v="0.19700000000000001"/>
    <n v="12"/>
    <d v="2024-05-24T00:00:00"/>
    <n v="12"/>
    <n v="500364.33655999997"/>
    <n v="5013.5199999999995"/>
    <n v="495350.81655999995"/>
    <n v="0.9899802611143953"/>
    <s v="May-2024"/>
    <s v="Q2-2024"/>
    <s v="Europe → United Kingdom → Manchester"/>
    <x v="1"/>
    <s v="Medium"/>
    <s v="UNITED KINGDOM"/>
    <d v="2023-01-19T00:00:00"/>
    <s v="Jan-2023"/>
    <d v="2024-05-31T00:00:00"/>
    <n v="0"/>
  </r>
  <r>
    <s v="ORD-2025-254721"/>
    <d v="2025-05-15T00:00:00"/>
    <d v="2025-06-05T00:00:00"/>
    <s v="Asia"/>
    <x v="6"/>
    <s v="Osaka"/>
    <s v="Enterprise"/>
    <s v="Direct"/>
    <s v="H. Kim"/>
    <x v="3"/>
    <s v="PHN-6480"/>
    <n v="1466.5"/>
    <n v="2778.74"/>
    <n v="0.13500000000000001"/>
    <n v="4"/>
    <s v="Valid"/>
    <n v="2778.74"/>
    <b v="0"/>
    <n v="0.13500000000000001"/>
    <n v="21"/>
    <d v="2025-06-05T00:00:00"/>
    <n v="21"/>
    <n v="1109995.4803999998"/>
    <n v="11114.96"/>
    <n v="1098880.5203999998"/>
    <n v="0.98998648175036297"/>
    <s v="May-2025"/>
    <s v="Q2-2025"/>
    <s v="Asia → Japan → Osaka"/>
    <x v="2"/>
    <s v="High"/>
    <s v="JAPAN"/>
    <d v="2023-03-03T00:00:00"/>
    <s v="Mar-2023"/>
    <d v="2025-05-31T00:00:00"/>
    <n v="0"/>
  </r>
  <r>
    <s v="ORD-2024-247032"/>
    <d v="2024-04-21T00:00:00"/>
    <d v="2024-05-19T00:00:00"/>
    <s v="Africa"/>
    <x v="1"/>
    <s v="Lagos"/>
    <s v="Corporate"/>
    <s v="Distributor"/>
    <s v="A. Patel"/>
    <x v="6"/>
    <s v="ACC-2990"/>
    <n v="187.22"/>
    <n v="309.47000000000003"/>
    <n v="0"/>
    <n v="5"/>
    <s v="Valid"/>
    <n v="309.47000000000003"/>
    <b v="0"/>
    <n v="0"/>
    <n v="28"/>
    <d v="2024-05-19T00:00:00"/>
    <n v="28"/>
    <n v="154735"/>
    <n v="1547.3500000000001"/>
    <n v="153187.65"/>
    <n v="0.99"/>
    <s v="Apr-2024"/>
    <s v="Q2-2024"/>
    <s v="Africa → Nigeria → Lagos"/>
    <x v="0"/>
    <s v="Medium"/>
    <s v="NIGERIA"/>
    <d v="2023-01-15T00:00:00"/>
    <s v="Jan-2023"/>
    <d v="2024-04-30T00:00:00"/>
    <n v="0"/>
  </r>
  <r>
    <s v="ORD-2024-792353"/>
    <d v="2024-08-19T00:00:00"/>
    <d v="2024-09-07T00:00:00"/>
    <s v="Europe"/>
    <x v="7"/>
    <s v="Lyon"/>
    <s v="Corporate"/>
    <s v="Direct"/>
    <s v="J. Njeri"/>
    <x v="0"/>
    <s v="CMP-5435"/>
    <n v="297.58999999999997"/>
    <n v="666.41"/>
    <n v="0"/>
    <n v="10"/>
    <s v="Valid"/>
    <n v="666.41"/>
    <b v="0"/>
    <n v="0"/>
    <n v="19"/>
    <d v="2024-09-07T00:00:00"/>
    <n v="19"/>
    <n v="666410"/>
    <n v="6664.0999999999995"/>
    <n v="659745.9"/>
    <n v="0.99"/>
    <s v="Aug-2024"/>
    <s v="Q3-2024"/>
    <s v="Europe → France → Lyon"/>
    <x v="0"/>
    <s v="Medium"/>
    <s v="FRANCE"/>
    <d v="2023-01-10T00:00:00"/>
    <s v="Jan-2023"/>
    <d v="2024-08-31T00:00:00"/>
    <n v="0"/>
  </r>
  <r>
    <s v="ORD-2025-703623"/>
    <d v="2025-07-23T00:00:00"/>
    <d v="2025-08-19T00:00:00"/>
    <s v="Asia"/>
    <x v="6"/>
    <s v="Nagoya"/>
    <s v="Consumer"/>
    <s v="Marketplace"/>
    <s v="B. Chen"/>
    <x v="6"/>
    <s v="ACC-1596"/>
    <n v="896.09"/>
    <n v="744.27"/>
    <n v="8.3000000000000004E-2"/>
    <n v="11"/>
    <s v="Valid"/>
    <n v="744.27"/>
    <b v="0"/>
    <n v="8.3000000000000004E-2"/>
    <n v="27"/>
    <d v="2025-08-19T00:00:00"/>
    <n v="27"/>
    <n v="818017.48148999992"/>
    <n v="8186.9699999999993"/>
    <n v="809830.51148999995"/>
    <n v="0.98999169310527746"/>
    <s v="Jul-2025"/>
    <s v="Q3-2025"/>
    <s v="Asia → Japan → Nagoya"/>
    <x v="0"/>
    <s v="High"/>
    <s v="JAPAN"/>
    <d v="2023-03-03T00:00:00"/>
    <s v="Mar-2023"/>
    <d v="2025-07-31T00:00:00"/>
    <n v="0"/>
  </r>
  <r>
    <s v="ORD-2024-516704"/>
    <d v="2024-03-01T00:00:00"/>
    <d v="2024-02-29T00:00:00"/>
    <s v="Americas"/>
    <x v="4"/>
    <s v="São Paulo"/>
    <s v="Non-Profit"/>
    <s v="Direct"/>
    <s v="I. Johnson"/>
    <x v="3"/>
    <s v="PHN-7852"/>
    <n v="5.34"/>
    <n v="12.69"/>
    <n v="0.13200000000000001"/>
    <n v="10"/>
    <s v="Valid"/>
    <n v="12.69"/>
    <b v="0"/>
    <n v="0.13200000000000001"/>
    <n v="-1"/>
    <d v="2024-03-08T00:00:00"/>
    <n v="7"/>
    <n v="12673.249199999998"/>
    <n v="126.89999999999999"/>
    <n v="12546.349199999999"/>
    <n v="0.9899867825529699"/>
    <s v="Mar-2024"/>
    <s v="Q1-2024"/>
    <s v="Americas → Brazil → São Paulo"/>
    <x v="2"/>
    <s v="Medium"/>
    <s v="BRAZIL"/>
    <d v="2023-01-29T00:00:00"/>
    <s v="Jan-2023"/>
    <d v="2024-03-31T00:00:00"/>
    <n v="1"/>
  </r>
  <r>
    <s v="ORD-2024-578646"/>
    <d v="2024-05-27T00:00:00"/>
    <d v="2024-06-17T00:00:00"/>
    <s v="Asia"/>
    <x v="3"/>
    <s v="Delhi"/>
    <s v="Small Business"/>
    <s v="Online"/>
    <s v="H. Kim"/>
    <x v="6"/>
    <s v="ACC-7240"/>
    <n v="465.02"/>
    <n v="651.55999999999995"/>
    <n v="4.2000000000000003E-2"/>
    <n v="19"/>
    <s v="Valid"/>
    <n v="651.55999999999995"/>
    <b v="0"/>
    <n v="4.2000000000000003E-2"/>
    <n v="21"/>
    <d v="2024-06-17T00:00:00"/>
    <n v="21"/>
    <n v="1237444.0551199999"/>
    <n v="12379.64"/>
    <n v="1225064.41512"/>
    <n v="0.98999579823525885"/>
    <s v="May-2024"/>
    <s v="Q2-2024"/>
    <s v="Asia → India → Delhi"/>
    <x v="0"/>
    <s v="Medium"/>
    <s v="INDIA"/>
    <d v="2023-01-29T00:00:00"/>
    <s v="Jan-2023"/>
    <d v="2024-05-31T00:00:00"/>
    <n v="0"/>
  </r>
  <r>
    <s v="ORD-2024-433936"/>
    <d v="2024-08-04T00:00:00"/>
    <d v="2024-08-17T00:00:00"/>
    <s v="Americas"/>
    <x v="10"/>
    <s v="Austin"/>
    <s v="Consumer"/>
    <s v="Retail"/>
    <s v="D. Smith"/>
    <x v="5"/>
    <s v="MON-8867"/>
    <n v="352.79"/>
    <n v="754.22"/>
    <n v="0.113"/>
    <n v="7"/>
    <s v="Valid"/>
    <n v="754.22"/>
    <b v="0"/>
    <n v="0.113"/>
    <n v="13"/>
    <d v="2024-08-17T00:00:00"/>
    <n v="13"/>
    <n v="527357.41197999998"/>
    <n v="5279.54"/>
    <n v="522077.87198"/>
    <n v="0.98998868721655475"/>
    <s v="Aug-2024"/>
    <s v="Q3-2024"/>
    <s v="Americas → USA → Austin"/>
    <x v="1"/>
    <s v="Medium"/>
    <s v="USA"/>
    <d v="2023-01-13T00:00:00"/>
    <s v="Jan-2023"/>
    <d v="2024-08-31T00:00:00"/>
    <n v="0"/>
  </r>
  <r>
    <s v="ORD-2023-434071"/>
    <d v="2023-06-20T00:00:00"/>
    <d v="2023-07-04T00:00:00"/>
    <s v="Americas"/>
    <x v="4"/>
    <s v="Brasília"/>
    <s v="Non-Profit"/>
    <s v="Direct"/>
    <s v="C. Otieno"/>
    <x v="2"/>
    <s v="NET-1228"/>
    <n v="1292.8599999999999"/>
    <n v="2981.01"/>
    <n v="0.14199999999999999"/>
    <n v="12"/>
    <s v="Valid"/>
    <n v="2981.01"/>
    <b v="0"/>
    <n v="0.14199999999999999"/>
    <n v="14"/>
    <d v="2023-07-04T00:00:00"/>
    <n v="14"/>
    <n v="3572132.3589600003"/>
    <n v="35772.120000000003"/>
    <n v="3536360.2389600002"/>
    <n v="0.98998577980732638"/>
    <s v="Jun-2023"/>
    <s v="Q2-2023"/>
    <s v="Americas → Brazil → Brasília"/>
    <x v="0"/>
    <s v="Low"/>
    <s v="BRAZIL"/>
    <d v="2023-01-29T00:00:00"/>
    <s v="Jan-2023"/>
    <d v="2023-06-30T00:00:00"/>
    <n v="0"/>
  </r>
  <r>
    <s v="ORD-2024-728474"/>
    <d v="2024-09-09T00:00:00"/>
    <d v="2024-09-13T00:00:00"/>
    <s v="Europe"/>
    <x v="8"/>
    <s v="London"/>
    <s v="Consumer"/>
    <s v="Marketplace"/>
    <s v="F. Müller"/>
    <x v="2"/>
    <s v="NET-1145"/>
    <n v="1133.08"/>
    <n v="976.17"/>
    <n v="4.2000000000000003E-2"/>
    <n v="27"/>
    <s v="Valid"/>
    <n v="976.17"/>
    <b v="0"/>
    <n v="4.2000000000000003E-2"/>
    <n v="4"/>
    <d v="2024-09-13T00:00:00"/>
    <n v="4"/>
    <n v="2634552.0232199999"/>
    <n v="26356.59"/>
    <n v="2608195.43322"/>
    <n v="0.98999579823525885"/>
    <s v="Sep-2024"/>
    <s v="Q3-2024"/>
    <s v="Europe → United Kingdom → London"/>
    <x v="0"/>
    <s v="Medium"/>
    <s v="UNITED KINGDOM"/>
    <d v="2023-01-19T00:00:00"/>
    <s v="Jan-2023"/>
    <d v="2024-09-30T00:00:00"/>
    <n v="1"/>
  </r>
  <r>
    <s v="ORD-2023-406606"/>
    <d v="2023-10-25T00:00:00"/>
    <d v="2023-10-28T00:00:00"/>
    <s v="Americas"/>
    <x v="4"/>
    <s v="Brasília"/>
    <s v="Corporate"/>
    <s v="Distributor"/>
    <s v="L. Okafor"/>
    <x v="6"/>
    <s v="ACC-2867"/>
    <n v="509.31"/>
    <n v="1145.9000000000001"/>
    <n v="5.7000000000000002E-2"/>
    <n v="8"/>
    <s v="Valid"/>
    <n v="1145.9000000000001"/>
    <b v="0"/>
    <n v="5.7000000000000002E-2"/>
    <n v="3"/>
    <d v="2023-10-28T00:00:00"/>
    <n v="3"/>
    <n v="916197.46960000007"/>
    <n v="9167.2000000000007"/>
    <n v="907030.26960000012"/>
    <n v="0.98999429674914707"/>
    <s v="Oct-2023"/>
    <s v="Q4-2023"/>
    <s v="Americas → Brazil → Brasília"/>
    <x v="0"/>
    <s v="Low"/>
    <s v="BRAZIL"/>
    <d v="2023-01-29T00:00:00"/>
    <s v="Jan-2023"/>
    <d v="2023-10-31T00:00:00"/>
    <n v="1"/>
  </r>
  <r>
    <s v="ORD-2025-823055"/>
    <d v="2025-09-08T00:00:00"/>
    <d v="2025-10-05T00:00:00"/>
    <s v="Americas"/>
    <x v="4"/>
    <s v="Rio de Janeiro"/>
    <s v="Education"/>
    <s v="Online"/>
    <s v="C. Otieno"/>
    <x v="5"/>
    <s v="MON-9274"/>
    <n v="660.78"/>
    <n v="1630.39"/>
    <n v="0.218"/>
    <n v="13"/>
    <s v="Valid"/>
    <n v="1630.39"/>
    <b v="0"/>
    <n v="0.218"/>
    <n v="27"/>
    <d v="2025-10-05T00:00:00"/>
    <n v="27"/>
    <n v="2114886.47474"/>
    <n v="21195.07"/>
    <n v="2093691.4047399999"/>
    <n v="0.98997815237217135"/>
    <s v="Sep-2025"/>
    <s v="Q3-2025"/>
    <s v="Americas → Brazil → Rio de Janeiro"/>
    <x v="1"/>
    <s v="High"/>
    <s v="BRAZIL"/>
    <d v="2023-01-29T00:00:00"/>
    <s v="Jan-2023"/>
    <d v="2025-09-30T00:00:00"/>
    <n v="0"/>
  </r>
  <r>
    <s v="ORD-2023-573656"/>
    <d v="2023-05-02T00:00:00"/>
    <d v="2023-05-16T00:00:00"/>
    <s v="Asia"/>
    <x v="3"/>
    <s v="Bengaluru"/>
    <s v="Non-Profit"/>
    <s v="Retail"/>
    <s v="L. Okafor"/>
    <x v="5"/>
    <s v="MON-4830"/>
    <n v="475.37"/>
    <n v="963.73"/>
    <n v="4.1000000000000002E-2"/>
    <n v="22"/>
    <s v="Valid"/>
    <n v="963.73"/>
    <b v="0"/>
    <n v="4.1000000000000002E-2"/>
    <n v="14"/>
    <d v="2023-05-16T00:00:00"/>
    <n v="14"/>
    <n v="2119336.7155400002"/>
    <n v="21202.06"/>
    <n v="2098134.6555400002"/>
    <n v="0.98999589831831047"/>
    <s v="May-2023"/>
    <s v="Q2-2023"/>
    <s v="Asia → India → Bengaluru"/>
    <x v="1"/>
    <s v="Low"/>
    <s v="INDIA"/>
    <d v="2023-01-29T00:00:00"/>
    <s v="Jan-2023"/>
    <d v="2023-05-31T00:00:00"/>
    <n v="0"/>
  </r>
  <r>
    <s v="ORD-2024-567435"/>
    <d v="2024-04-26T00:00:00"/>
    <d v="2024-04-24T00:00:00"/>
    <s v="Europe"/>
    <x v="8"/>
    <s v="London"/>
    <s v="Non-Profit"/>
    <s v="Distributor"/>
    <s v="N. Brown"/>
    <x v="3"/>
    <s v="PHN-9107"/>
    <n v="1232.77"/>
    <n v="891.73"/>
    <n v="0.16700000000000001"/>
    <n v="10"/>
    <s v="Valid"/>
    <n v="891.73"/>
    <b v="0"/>
    <n v="0.16700000000000001"/>
    <n v="-2"/>
    <d v="2024-05-03T00:00:00"/>
    <n v="7"/>
    <n v="890240.81089999992"/>
    <n v="8917.2999999999993"/>
    <n v="881323.51089999988"/>
    <n v="0.98998327206434744"/>
    <s v="Apr-2024"/>
    <s v="Q2-2024"/>
    <s v="Europe → United Kingdom → London"/>
    <x v="2"/>
    <s v="Medium"/>
    <s v="UNITED KINGDOM"/>
    <d v="2023-01-19T00:00:00"/>
    <s v="Jan-2023"/>
    <d v="2024-04-30T00:00:00"/>
    <n v="1"/>
  </r>
  <r>
    <s v="ORD-2023-744942"/>
    <d v="2023-02-23T00:00:00"/>
    <d v="2023-03-18T00:00:00"/>
    <s v="Asia"/>
    <x v="9"/>
    <s v="Beijing"/>
    <s v="Education"/>
    <s v="Distributor"/>
    <s v="K. Singh"/>
    <x v="1"/>
    <s v="PRN-1060"/>
    <n v="770.11"/>
    <n v="1667.82"/>
    <n v="6.9000000000000006E-2"/>
    <n v="7"/>
    <s v="Valid"/>
    <n v="1667.82"/>
    <b v="0"/>
    <n v="6.9000000000000006E-2"/>
    <n v="23"/>
    <d v="2023-03-18T00:00:00"/>
    <n v="23"/>
    <n v="1166668.44294"/>
    <n v="11674.74"/>
    <n v="1154993.70294"/>
    <n v="0.98999309523571266"/>
    <s v="Feb-2023"/>
    <s v="Q1-2023"/>
    <s v="Asia → China → Beijing"/>
    <x v="1"/>
    <s v="Low"/>
    <s v="CHINA"/>
    <d v="2023-01-12T00:00:00"/>
    <s v="Jan-2023"/>
    <d v="2023-02-28T00:00:00"/>
    <n v="0"/>
  </r>
  <r>
    <s v="ORD-2025-331237"/>
    <d v="2025-03-24T00:00:00"/>
    <d v="2025-03-25T00:00:00"/>
    <s v="Asia"/>
    <x v="9"/>
    <s v="Beijing"/>
    <s v="Non-Profit"/>
    <s v="Online"/>
    <s v="G. Dubois"/>
    <x v="2"/>
    <s v="NET-8329"/>
    <n v="1133.03"/>
    <n v="1921.51"/>
    <n v="0.10100000000000001"/>
    <n v="5"/>
    <s v="Valid"/>
    <n v="1921.51"/>
    <b v="0"/>
    <n v="0.10100000000000001"/>
    <n v="1"/>
    <d v="2025-03-25T00:00:00"/>
    <n v="1"/>
    <n v="959784.63744999992"/>
    <n v="9607.5499999999993"/>
    <n v="950177.08744999988"/>
    <n v="0.98998988978868652"/>
    <s v="Mar-2025"/>
    <s v="Q1-2025"/>
    <s v="Asia → China → Beijing"/>
    <x v="0"/>
    <s v="High"/>
    <s v="CHINA"/>
    <d v="2023-01-12T00:00:00"/>
    <s v="Jan-2023"/>
    <d v="2025-03-31T00:00:00"/>
    <n v="1"/>
  </r>
  <r>
    <s v="ORD-2025-680118"/>
    <d v="2025-03-10T00:00:00"/>
    <d v="2025-03-27T00:00:00"/>
    <s v="Americas"/>
    <x v="4"/>
    <s v="Rio de Janeiro"/>
    <s v="Enterprise"/>
    <s v="Direct"/>
    <s v="F. Müller"/>
    <x v="2"/>
    <s v="NET-6269"/>
    <n v="996.73"/>
    <n v="1217.43"/>
    <n v="7.0000000000000007E-2"/>
    <n v="9"/>
    <s v="Valid"/>
    <n v="1217.43"/>
    <b v="0"/>
    <n v="7.0000000000000007E-2"/>
    <n v="17"/>
    <d v="2025-03-27T00:00:00"/>
    <n v="17"/>
    <n v="1094920.0191000002"/>
    <n v="10956.87"/>
    <n v="1083963.1491"/>
    <n v="0.98999299509656746"/>
    <s v="Mar-2025"/>
    <s v="Q1-2025"/>
    <s v="Americas → Brazil → Rio de Janeiro"/>
    <x v="0"/>
    <s v="High"/>
    <s v="BRAZIL"/>
    <d v="2023-01-29T00:00:00"/>
    <s v="Jan-2023"/>
    <d v="2025-03-31T00:00:00"/>
    <n v="0"/>
  </r>
  <r>
    <s v="ORD-2024-310809"/>
    <d v="2024-04-05T00:00:00"/>
    <d v="2024-04-09T00:00:00"/>
    <s v="Africa"/>
    <x v="1"/>
    <s v="Lagos"/>
    <s v="Non-Profit"/>
    <s v="Direct"/>
    <s v="K. Singh"/>
    <x v="0"/>
    <s v="CMP-6529"/>
    <n v="395.07"/>
    <n v="970.27"/>
    <n v="0.123"/>
    <n v="38"/>
    <s v="Valid"/>
    <n v="970.27"/>
    <b v="0"/>
    <n v="0.123"/>
    <n v="4"/>
    <d v="2024-04-09T00:00:00"/>
    <n v="4"/>
    <n v="3682490.9580200003"/>
    <n v="36870.26"/>
    <n v="3645620.6980200005"/>
    <n v="0.98998768485236843"/>
    <s v="Apr-2024"/>
    <s v="Q2-2024"/>
    <s v="Africa → Nigeria → Lagos"/>
    <x v="0"/>
    <s v="Medium"/>
    <s v="NIGERIA"/>
    <d v="2023-01-15T00:00:00"/>
    <s v="Jan-2023"/>
    <d v="2024-04-30T00:00:00"/>
    <n v="1"/>
  </r>
  <r>
    <s v="ORD-2025-474368"/>
    <d v="2025-04-27T00:00:00"/>
    <d v="2025-05-17T00:00:00"/>
    <s v="Americas"/>
    <x v="10"/>
    <s v="Austin"/>
    <s v="Corporate"/>
    <s v="Direct"/>
    <s v="N. Brown"/>
    <x v="3"/>
    <s v="PHN-8776"/>
    <n v="932.26"/>
    <n v="1624.67"/>
    <n v="0.23499999999999999"/>
    <n v="28"/>
    <s v="Valid"/>
    <n v="1624.67"/>
    <b v="0"/>
    <n v="0.23499999999999999"/>
    <n v="20"/>
    <d v="2025-05-17T00:00:00"/>
    <n v="20"/>
    <n v="4538385.6714000003"/>
    <n v="45490.76"/>
    <n v="4492894.9114000006"/>
    <n v="0.98997644464491563"/>
    <s v="Apr-2025"/>
    <s v="Q2-2025"/>
    <s v="Americas → USA → Austin"/>
    <x v="2"/>
    <s v="High"/>
    <s v="USA"/>
    <d v="2023-01-13T00:00:00"/>
    <s v="Jan-2023"/>
    <d v="2025-04-30T00:00:00"/>
    <n v="0"/>
  </r>
  <r>
    <s v="ORD-2024-732543"/>
    <d v="2024-10-24T00:00:00"/>
    <d v="2024-10-28T00:00:00"/>
    <s v="Asia"/>
    <x v="9"/>
    <s v="Shanghai"/>
    <s v="Small Business"/>
    <s v="Distributor"/>
    <s v="I. Johnson"/>
    <x v="2"/>
    <s v="NET-3728"/>
    <n v="1331.77"/>
    <n v="2606.11"/>
    <n v="0.02"/>
    <n v="6"/>
    <s v="Valid"/>
    <n v="2606.11"/>
    <b v="0"/>
    <n v="0.02"/>
    <n v="4"/>
    <d v="2024-10-28T00:00:00"/>
    <n v="4"/>
    <n v="1563353.2668000001"/>
    <n v="15636.66"/>
    <n v="1547716.6068000002"/>
    <n v="0.98999799959992008"/>
    <s v="Oct-2024"/>
    <s v="Q4-2024"/>
    <s v="Asia → China → Shanghai"/>
    <x v="0"/>
    <s v="High"/>
    <s v="CHINA"/>
    <d v="2023-01-12T00:00:00"/>
    <s v="Jan-2023"/>
    <d v="2024-10-31T00:00:00"/>
    <n v="1"/>
  </r>
  <r>
    <s v="ORD-2023-867166"/>
    <d v="2023-04-13T00:00:00"/>
    <d v="2023-04-20T00:00:00"/>
    <s v="Europe"/>
    <x v="7"/>
    <s v="Lyon"/>
    <s v="Small Business"/>
    <s v="Online"/>
    <s v="A. Patel"/>
    <x v="4"/>
    <s v="LAP-3565"/>
    <n v="227.02"/>
    <n v="434.72"/>
    <n v="9.8000000000000004E-2"/>
    <n v="10"/>
    <s v="Valid"/>
    <n v="434.72"/>
    <b v="0"/>
    <n v="9.8000000000000004E-2"/>
    <n v="7"/>
    <d v="2023-04-20T00:00:00"/>
    <n v="7"/>
    <n v="434293.97440000006"/>
    <n v="4347.2000000000007"/>
    <n v="429946.77440000005"/>
    <n v="0.98999019038657887"/>
    <s v="Apr-2023"/>
    <s v="Q2-2023"/>
    <s v="Europe → France → Lyon"/>
    <x v="2"/>
    <s v="Low"/>
    <s v="FRANCE"/>
    <d v="2023-01-10T00:00:00"/>
    <s v="Jan-2023"/>
    <d v="2023-04-30T00:00:00"/>
    <n v="1"/>
  </r>
  <r>
    <s v="ORD-2024-776337"/>
    <d v="2024-11-12T00:00:00"/>
    <d v="2024-11-21T00:00:00"/>
    <s v="Asia"/>
    <x v="3"/>
    <s v="Mumbai"/>
    <s v="Corporate"/>
    <s v="Direct"/>
    <s v="H. Kim"/>
    <x v="4"/>
    <s v="LAP-5078"/>
    <n v="903.41"/>
    <n v="1860.41"/>
    <n v="0.108"/>
    <n v="5"/>
    <s v="Valid"/>
    <n v="1860.41"/>
    <b v="0"/>
    <n v="0.108"/>
    <n v="9"/>
    <d v="2024-11-21T00:00:00"/>
    <n v="9"/>
    <n v="929200.37860000005"/>
    <n v="9302.0500000000011"/>
    <n v="919898.32860000001"/>
    <n v="0.98998918832338922"/>
    <s v="Nov-2024"/>
    <s v="Q4-2024"/>
    <s v="Asia → India → Mumbai"/>
    <x v="2"/>
    <s v="High"/>
    <s v="INDIA"/>
    <d v="2023-01-29T00:00:00"/>
    <s v="Jan-2023"/>
    <d v="2024-11-30T00:00:00"/>
    <n v="0"/>
  </r>
  <r>
    <s v="ORD-2023-913592"/>
    <d v="2023-05-10T00:00:00"/>
    <d v="2023-05-14T00:00:00"/>
    <s v="Asia"/>
    <x v="3"/>
    <s v="Delhi"/>
    <s v="Non-Profit"/>
    <s v="Distributor"/>
    <s v="C. Otieno"/>
    <x v="5"/>
    <s v="MON-2465"/>
    <n v="622.6"/>
    <n v="833.69"/>
    <n v="0.20899999999999999"/>
    <n v="14"/>
    <s v="Valid"/>
    <n v="833.69"/>
    <b v="0"/>
    <n v="0.20899999999999999"/>
    <n v="4"/>
    <d v="2023-05-14T00:00:00"/>
    <n v="4"/>
    <n v="1164726.6230599999"/>
    <n v="11671.66"/>
    <n v="1153054.96306"/>
    <n v="0.98997905622751559"/>
    <s v="May-2023"/>
    <s v="Q2-2023"/>
    <s v="Asia → India → Delhi"/>
    <x v="1"/>
    <s v="Low"/>
    <s v="INDIA"/>
    <d v="2023-01-29T00:00:00"/>
    <s v="Jan-2023"/>
    <d v="2023-05-31T00:00:00"/>
    <n v="1"/>
  </r>
  <r>
    <s v="ORD-2024-961501"/>
    <d v="2024-03-02T00:00:00"/>
    <d v="2024-03-23T00:00:00"/>
    <s v="Americas"/>
    <x v="10"/>
    <s v="Chicago"/>
    <s v="Small Business"/>
    <s v="Online"/>
    <s v="F. Müller"/>
    <x v="0"/>
    <s v="CMP-3223"/>
    <n v="225.01"/>
    <n v="333.48"/>
    <n v="0.11899999999999999"/>
    <n v="12"/>
    <s v="Valid"/>
    <n v="333.48"/>
    <b v="0"/>
    <n v="0.11899999999999999"/>
    <n v="21"/>
    <d v="2024-03-23T00:00:00"/>
    <n v="21"/>
    <n v="399699.79055999999"/>
    <n v="4001.76"/>
    <n v="395698.03055999998"/>
    <n v="0.98998808582212827"/>
    <s v="Mar-2024"/>
    <s v="Q1-2024"/>
    <s v="Americas → USA → Chicago"/>
    <x v="0"/>
    <s v="Medium"/>
    <s v="USA"/>
    <d v="2023-01-13T00:00:00"/>
    <s v="Jan-2023"/>
    <d v="2024-03-31T00:00:00"/>
    <n v="0"/>
  </r>
  <r>
    <s v="ORD-2024-964950"/>
    <d v="2024-10-10T00:00:00"/>
    <d v="2024-10-11T00:00:00"/>
    <s v="Europe"/>
    <x v="8"/>
    <s v="Manchester"/>
    <s v="Non-Profit"/>
    <s v="Distributor"/>
    <s v="L. Okafor"/>
    <x v="0"/>
    <s v="CMP-8127"/>
    <n v="1389.46"/>
    <n v="1784.7"/>
    <n v="0.14599999999999999"/>
    <n v="33"/>
    <s v="Valid"/>
    <n v="1784.7"/>
    <b v="0"/>
    <n v="0.14599999999999999"/>
    <n v="1"/>
    <d v="2024-10-11T00:00:00"/>
    <n v="1"/>
    <n v="5880911.3153999997"/>
    <n v="58895.1"/>
    <n v="5822016.2154000001"/>
    <n v="0.9899853786528332"/>
    <s v="Oct-2024"/>
    <s v="Q4-2024"/>
    <s v="Europe → United Kingdom → Manchester"/>
    <x v="0"/>
    <s v="Medium"/>
    <s v="UNITED KINGDOM"/>
    <d v="2023-01-19T00:00:00"/>
    <s v="Jan-2023"/>
    <d v="2024-10-31T00:00:00"/>
    <n v="1"/>
  </r>
  <r>
    <s v="ORD-2023-349264"/>
    <d v="2023-06-01T00:00:00"/>
    <d v="2023-06-08T00:00:00"/>
    <s v="Europe"/>
    <x v="5"/>
    <s v="Frankfurt"/>
    <s v="Consumer"/>
    <s v="Online"/>
    <s v="A. Patel"/>
    <x v="3"/>
    <s v="PHN-1924"/>
    <n v="804.17"/>
    <n v="1072.29"/>
    <n v="3.2000000000000001E-2"/>
    <n v="5"/>
    <s v="Valid"/>
    <n v="1072.29"/>
    <b v="0"/>
    <n v="3.2000000000000001E-2"/>
    <n v="7"/>
    <d v="2023-06-08T00:00:00"/>
    <n v="7"/>
    <n v="535973.43359999999"/>
    <n v="5361.45"/>
    <n v="530611.98360000004"/>
    <n v="0.98999679897567228"/>
    <s v="Jun-2023"/>
    <s v="Q2-2023"/>
    <s v="Europe → Germany → Frankfurt"/>
    <x v="2"/>
    <s v="Low"/>
    <s v="GERMANY"/>
    <d v="2023-01-22T00:00:00"/>
    <s v="Jan-2023"/>
    <d v="2023-06-30T00:00:00"/>
    <n v="1"/>
  </r>
  <r>
    <s v="ORD-2025-137394"/>
    <d v="2025-01-04T00:00:00"/>
    <d v="2025-01-05T00:00:00"/>
    <s v="Asia"/>
    <x v="3"/>
    <s v="Delhi"/>
    <s v="Education"/>
    <s v="Retail"/>
    <s v="I. Johnson"/>
    <x v="0"/>
    <s v="CMP-1156"/>
    <n v="1428.33"/>
    <n v="3028.05"/>
    <n v="0"/>
    <n v="11"/>
    <s v="Valid"/>
    <n v="3028.05"/>
    <b v="0"/>
    <n v="0"/>
    <n v="1"/>
    <d v="2025-01-05T00:00:00"/>
    <n v="1"/>
    <n v="3330855.0000000005"/>
    <n v="33308.550000000003"/>
    <n v="3297546.4500000007"/>
    <n v="0.9900000000000001"/>
    <s v="Jan-2025"/>
    <s v="Q1-2025"/>
    <s v="Asia → India → Delhi"/>
    <x v="0"/>
    <s v="High"/>
    <s v="INDIA"/>
    <d v="2023-01-29T00:00:00"/>
    <s v="Jan-2023"/>
    <d v="2025-01-31T00:00:00"/>
    <n v="1"/>
  </r>
  <r>
    <s v="ORD-2025-635337"/>
    <d v="2025-08-05T00:00:00"/>
    <d v="2025-08-28T00:00:00"/>
    <s v="Asia"/>
    <x v="3"/>
    <s v="Mumbai"/>
    <s v="Non-Profit"/>
    <s v="Distributor"/>
    <s v="N. Brown"/>
    <x v="4"/>
    <s v="LAP-3905"/>
    <n v="638.54"/>
    <n v="987.24"/>
    <n v="0"/>
    <n v="11"/>
    <s v="Valid"/>
    <n v="987.24"/>
    <b v="0"/>
    <n v="0"/>
    <n v="23"/>
    <d v="2025-08-28T00:00:00"/>
    <n v="23"/>
    <n v="1085964"/>
    <n v="10859.64"/>
    <n v="1075104.3600000001"/>
    <n v="0.9900000000000001"/>
    <s v="Aug-2025"/>
    <s v="Q3-2025"/>
    <s v="Asia → India → Mumbai"/>
    <x v="2"/>
    <s v="High"/>
    <s v="INDIA"/>
    <d v="2023-01-29T00:00:00"/>
    <s v="Jan-2023"/>
    <d v="2025-08-31T00:00:00"/>
    <n v="0"/>
  </r>
  <r>
    <s v="ORD-2023-568013"/>
    <d v="2023-09-30T00:00:00"/>
    <d v="2023-10-30T00:00:00"/>
    <s v="Asia"/>
    <x v="6"/>
    <s v="Tokyo"/>
    <s v="Enterprise"/>
    <s v="Online"/>
    <s v="D. Smith"/>
    <x v="1"/>
    <s v="PRN-1786"/>
    <n v="649.13"/>
    <n v="975.43"/>
    <n v="0.157"/>
    <n v="27"/>
    <s v="Valid"/>
    <n v="975.43"/>
    <b v="0"/>
    <n v="0.157"/>
    <n v="30"/>
    <d v="2023-10-30T00:00:00"/>
    <n v="30"/>
    <n v="2629526.1522299997"/>
    <n v="26336.609999999997"/>
    <n v="2603189.5422299998"/>
    <n v="0.98998427531224031"/>
    <s v="Sep-2023"/>
    <s v="Q3-2023"/>
    <s v="Asia → Japan → Tokyo"/>
    <x v="1"/>
    <s v="Low"/>
    <s v="JAPAN"/>
    <d v="2023-03-03T00:00:00"/>
    <s v="Mar-2023"/>
    <d v="2023-09-30T00:00:00"/>
    <n v="0"/>
  </r>
  <r>
    <s v="ORD-2025-828263"/>
    <d v="2025-05-17T00:00:00"/>
    <d v="2025-05-30T00:00:00"/>
    <s v="Africa"/>
    <x v="1"/>
    <s v="Lagos"/>
    <s v="Consumer"/>
    <s v="Distributor"/>
    <s v="F. Müller"/>
    <x v="6"/>
    <s v="ACC-3349"/>
    <n v="66.400000000000006"/>
    <n v="141.43"/>
    <n v="0.107"/>
    <n v="8"/>
    <s v="Valid"/>
    <n v="141.43"/>
    <b v="0"/>
    <n v="0.107"/>
    <n v="13"/>
    <d v="2025-05-30T00:00:00"/>
    <n v="13"/>
    <n v="113022.93592"/>
    <n v="1131.44"/>
    <n v="111891.49592"/>
    <n v="0.98998928853873647"/>
    <s v="May-2025"/>
    <s v="Q2-2025"/>
    <s v="Africa → Nigeria → Lagos"/>
    <x v="0"/>
    <s v="High"/>
    <s v="NIGERIA"/>
    <d v="2023-01-15T00:00:00"/>
    <s v="Jan-2023"/>
    <d v="2025-05-31T00:00:00"/>
    <n v="0"/>
  </r>
  <r>
    <s v="ORD-2024-402240"/>
    <d v="2024-05-01T00:00:00"/>
    <d v="2024-05-26T00:00:00"/>
    <s v="Europe"/>
    <x v="5"/>
    <s v="Berlin"/>
    <s v="Non-Profit"/>
    <s v="Retail"/>
    <s v="B. Chen"/>
    <x v="2"/>
    <s v="NET-4228"/>
    <n v="930.71"/>
    <n v="1625.42"/>
    <n v="0.13800000000000001"/>
    <n v="7"/>
    <s v="Valid"/>
    <n v="1625.42"/>
    <b v="0"/>
    <n v="0.13800000000000001"/>
    <n v="25"/>
    <d v="2024-05-26T00:00:00"/>
    <n v="25"/>
    <n v="1136223.8442800001"/>
    <n v="11377.94"/>
    <n v="1124845.9042800001"/>
    <n v="0.98998618092968305"/>
    <s v="May-2024"/>
    <s v="Q2-2024"/>
    <s v="Europe → Germany → Berlin"/>
    <x v="0"/>
    <s v="Medium"/>
    <s v="GERMANY"/>
    <d v="2023-01-22T00:00:00"/>
    <s v="Jan-2023"/>
    <d v="2024-05-31T00:00:00"/>
    <n v="0"/>
  </r>
  <r>
    <s v="ORD-2023-125739"/>
    <d v="2023-05-01T00:00:00"/>
    <d v="2023-05-18T00:00:00"/>
    <s v="Africa"/>
    <x v="1"/>
    <s v="Port Harcourt"/>
    <s v="Corporate"/>
    <s v="Direct"/>
    <s v="F. Müller"/>
    <x v="0"/>
    <s v="CMP-5633"/>
    <n v="327.97"/>
    <n v="299.94"/>
    <n v="4.9000000000000002E-2"/>
    <n v="3"/>
    <s v="Valid"/>
    <n v="299.94"/>
    <b v="0"/>
    <n v="4.9000000000000002E-2"/>
    <n v="17"/>
    <d v="2023-05-18T00:00:00"/>
    <n v="17"/>
    <n v="89937.908819999982"/>
    <n v="899.81999999999994"/>
    <n v="89038.088819999975"/>
    <n v="0.98999509759782289"/>
    <s v="May-2023"/>
    <s v="Q2-2023"/>
    <s v="Africa → Nigeria → Port Harcourt"/>
    <x v="0"/>
    <s v="Low"/>
    <s v="NIGERIA"/>
    <d v="2023-01-15T00:00:00"/>
    <s v="Jan-2023"/>
    <d v="2023-05-31T00:00:00"/>
    <n v="0"/>
  </r>
  <r>
    <s v="ORD-2024-892879"/>
    <d v="2024-07-09T00:00:00"/>
    <d v="2024-08-08T00:00:00"/>
    <s v="Europe"/>
    <x v="7"/>
    <s v="Marseille"/>
    <s v="Corporate"/>
    <s v="Direct"/>
    <s v="J. Njeri"/>
    <x v="0"/>
    <s v="CMP-5825"/>
    <n v="1062.3800000000001"/>
    <n v="1503.96"/>
    <n v="0.18"/>
    <n v="6"/>
    <s v="Valid"/>
    <n v="1503.96"/>
    <b v="0"/>
    <n v="0.18"/>
    <n v="30"/>
    <d v="2024-08-08T00:00:00"/>
    <n v="30"/>
    <n v="900751.72320000001"/>
    <n v="9023.76"/>
    <n v="891727.9632"/>
    <n v="0.98998196754157486"/>
    <s v="Jul-2024"/>
    <s v="Q3-2024"/>
    <s v="Europe → France → Marseille"/>
    <x v="0"/>
    <s v="Medium"/>
    <s v="FRANCE"/>
    <d v="2023-01-10T00:00:00"/>
    <s v="Jan-2023"/>
    <d v="2024-07-31T00:00:00"/>
    <n v="0"/>
  </r>
  <r>
    <s v="ORD-2023-472050"/>
    <d v="2023-05-10T00:00:00"/>
    <d v="2023-05-27T00:00:00"/>
    <s v="Asia"/>
    <x v="3"/>
    <s v="Mumbai"/>
    <s v="Consumer"/>
    <s v="Retail"/>
    <s v="M. Rossi"/>
    <x v="4"/>
    <s v="LAP-6499"/>
    <n v="1286.1600000000001"/>
    <n v="3101.11"/>
    <n v="0.1"/>
    <n v="23"/>
    <s v="Valid"/>
    <n v="3101.11"/>
    <b v="0"/>
    <n v="0.1"/>
    <n v="17"/>
    <d v="2023-05-27T00:00:00"/>
    <n v="17"/>
    <n v="7125420.4470000006"/>
    <n v="71325.53"/>
    <n v="7054094.9170000004"/>
    <n v="0.98998998998998999"/>
    <s v="May-2023"/>
    <s v="Q2-2023"/>
    <s v="Asia → India → Mumbai"/>
    <x v="2"/>
    <s v="Low"/>
    <s v="INDIA"/>
    <d v="2023-01-29T00:00:00"/>
    <s v="Jan-2023"/>
    <d v="2023-05-31T00:00:00"/>
    <n v="0"/>
  </r>
  <r>
    <s v="ORD-2024-468615"/>
    <d v="2024-07-09T00:00:00"/>
    <d v="2024-07-12T00:00:00"/>
    <s v="Asia"/>
    <x v="9"/>
    <s v="Shanghai"/>
    <s v="Small Business"/>
    <s v="Retail"/>
    <s v="D. Smith"/>
    <x v="6"/>
    <s v="ACC-3721"/>
    <n v="748.39"/>
    <n v="979.42"/>
    <n v="0"/>
    <n v="23"/>
    <s v="Valid"/>
    <n v="979.42"/>
    <b v="0"/>
    <n v="0"/>
    <n v="3"/>
    <d v="2024-07-12T00:00:00"/>
    <n v="3"/>
    <n v="2252666"/>
    <n v="22526.66"/>
    <n v="2230139.34"/>
    <n v="0.98999999999999988"/>
    <s v="Jul-2024"/>
    <s v="Q3-2024"/>
    <s v="Asia → China → Shanghai"/>
    <x v="0"/>
    <s v="Medium"/>
    <s v="CHINA"/>
    <d v="2023-01-12T00:00:00"/>
    <s v="Jan-2023"/>
    <d v="2024-07-31T00:00:00"/>
    <n v="1"/>
  </r>
  <r>
    <s v="ORD-2024-833375"/>
    <d v="2024-04-24T00:00:00"/>
    <d v="2024-05-10T00:00:00"/>
    <s v="Africa"/>
    <x v="0"/>
    <s v="Kisumu"/>
    <s v="Non-Profit"/>
    <s v="Online"/>
    <s v="N. Brown"/>
    <x v="5"/>
    <s v="MON-6190"/>
    <n v="513.30999999999995"/>
    <n v="1186.26"/>
    <n v="9.4E-2"/>
    <n v="15"/>
    <s v="Valid"/>
    <n v="1186.26"/>
    <b v="0"/>
    <n v="9.4E-2"/>
    <n v="16"/>
    <d v="2024-05-10T00:00:00"/>
    <n v="16"/>
    <n v="1777717.3734000002"/>
    <n v="17793.900000000001"/>
    <n v="1759923.4734000002"/>
    <n v="0.98999059115568644"/>
    <s v="Apr-2024"/>
    <s v="Q2-2024"/>
    <s v="Africa → Kenya → Kisumu"/>
    <x v="1"/>
    <s v="Medium"/>
    <s v="KENYA"/>
    <d v="2023-01-20T00:00:00"/>
    <s v="Jan-2023"/>
    <d v="2024-04-30T00:00:00"/>
    <n v="0"/>
  </r>
  <r>
    <s v="ORD-2024-206311"/>
    <d v="2024-01-13T00:00:00"/>
    <d v="2024-01-15T00:00:00"/>
    <s v="Americas"/>
    <x v="10"/>
    <s v="San Francisco"/>
    <s v="Non-Profit"/>
    <s v="Direct"/>
    <s v="E. Garcia"/>
    <x v="0"/>
    <s v="CMP-2410"/>
    <n v="1061.3699999999999"/>
    <n v="1938.33"/>
    <n v="0.17"/>
    <n v="4"/>
    <s v="Valid"/>
    <n v="1938.33"/>
    <b v="0"/>
    <n v="0.17"/>
    <n v="2"/>
    <d v="2024-01-15T00:00:00"/>
    <n v="2"/>
    <n v="774013.93559999997"/>
    <n v="7753.32"/>
    <n v="766260.61560000002"/>
    <n v="0.98998297105078636"/>
    <s v="Jan-2024"/>
    <s v="Q1-2024"/>
    <s v="Americas → USA → San Francisco"/>
    <x v="0"/>
    <s v="Medium"/>
    <s v="USA"/>
    <d v="2023-01-13T00:00:00"/>
    <s v="Jan-2023"/>
    <d v="2024-01-31T00:00:00"/>
    <n v="1"/>
  </r>
  <r>
    <s v="ORD-2024-364080"/>
    <d v="2024-04-16T00:00:00"/>
    <d v="2024-04-27T00:00:00"/>
    <s v="Africa"/>
    <x v="0"/>
    <s v="Nakuru"/>
    <s v="Enterprise"/>
    <s v="Online"/>
    <s v="D. Smith"/>
    <x v="1"/>
    <s v="PRN-2641"/>
    <n v="401.3"/>
    <n v="826.47"/>
    <n v="0.22500000000000001"/>
    <n v="13"/>
    <s v="Valid"/>
    <n v="826.47"/>
    <b v="0"/>
    <n v="0.22500000000000001"/>
    <n v="11"/>
    <d v="2024-04-27T00:00:00"/>
    <n v="11"/>
    <n v="1071993.5752500002"/>
    <n v="10744.11"/>
    <n v="1061249.4652500001"/>
    <n v="0.98997744926083675"/>
    <s v="Apr-2024"/>
    <s v="Q2-2024"/>
    <s v="Africa → Kenya → Nakuru"/>
    <x v="1"/>
    <s v="Medium"/>
    <s v="KENYA"/>
    <d v="2023-01-20T00:00:00"/>
    <s v="Jan-2023"/>
    <d v="2024-04-30T00:00:00"/>
    <n v="0"/>
  </r>
  <r>
    <s v="ORD-2025-460466"/>
    <d v="2025-02-07T00:00:00"/>
    <d v="2025-02-16T00:00:00"/>
    <s v="Africa"/>
    <x v="1"/>
    <s v="Lagos"/>
    <s v="Small Business"/>
    <s v="Distributor"/>
    <s v="C. Otieno"/>
    <x v="1"/>
    <s v="PRN-1882"/>
    <n v="90.68"/>
    <n v="118.17"/>
    <n v="0.13500000000000001"/>
    <n v="21"/>
    <s v="Valid"/>
    <n v="118.17"/>
    <b v="0"/>
    <n v="0.13500000000000001"/>
    <n v="9"/>
    <d v="2025-02-16T00:00:00"/>
    <n v="9"/>
    <n v="247821.98805000001"/>
    <n v="2481.5700000000002"/>
    <n v="245340.41805000001"/>
    <n v="0.98998648175036297"/>
    <s v="Feb-2025"/>
    <s v="Q1-2025"/>
    <s v="Africa → Nigeria → Lagos"/>
    <x v="1"/>
    <s v="High"/>
    <s v="NIGERIA"/>
    <d v="2023-01-15T00:00:00"/>
    <s v="Jan-2023"/>
    <d v="2025-02-28T00:00:00"/>
    <n v="0"/>
  </r>
  <r>
    <s v="ORD-2023-700699"/>
    <d v="2023-01-12T00:00:00"/>
    <d v="2023-01-26T00:00:00"/>
    <s v="Asia"/>
    <x v="9"/>
    <s v="Shenzhen"/>
    <s v="Non-Profit"/>
    <s v="Retail"/>
    <s v="M. Rossi"/>
    <x v="1"/>
    <s v="PRN-1641"/>
    <n v="1083.0899999999999"/>
    <n v="1425.87"/>
    <n v="0"/>
    <n v="8"/>
    <s v="Valid"/>
    <n v="1425.87"/>
    <b v="0"/>
    <n v="0"/>
    <n v="14"/>
    <d v="2023-01-26T00:00:00"/>
    <n v="14"/>
    <n v="1140696"/>
    <n v="11406.96"/>
    <n v="1129289.04"/>
    <n v="0.99"/>
    <s v="Jan-2023"/>
    <s v="Q1-2023"/>
    <s v="Asia → China → Shenzhen"/>
    <x v="1"/>
    <s v="Low"/>
    <s v="CHINA"/>
    <d v="2023-01-12T00:00:00"/>
    <s v="Jan-2023"/>
    <d v="2023-01-31T00:00:00"/>
    <n v="0"/>
  </r>
  <r>
    <s v="ORD-2024-713332"/>
    <d v="2024-06-05T00:00:00"/>
    <d v="2024-06-23T00:00:00"/>
    <s v="Africa"/>
    <x v="0"/>
    <s v="Nairobi"/>
    <s v="Consumer"/>
    <s v="Distributor"/>
    <s v="D. Smith"/>
    <x v="4"/>
    <s v="LAP-1739"/>
    <n v="1208.74"/>
    <n v="1594.78"/>
    <n v="5.8999999999999997E-2"/>
    <n v="39"/>
    <s v="Valid"/>
    <n v="1594.78"/>
    <b v="0"/>
    <n v="5.8999999999999997E-2"/>
    <n v="18"/>
    <d v="2024-06-23T00:00:00"/>
    <n v="18"/>
    <n v="6215972.4112200001"/>
    <n v="62196.42"/>
    <n v="6153775.9912200002"/>
    <n v="0.98999409651694503"/>
    <s v="Jun-2024"/>
    <s v="Q2-2024"/>
    <s v="Africa → Kenya → Nairobi"/>
    <x v="2"/>
    <s v="Medium"/>
    <s v="KENYA"/>
    <d v="2023-01-20T00:00:00"/>
    <s v="Jan-2023"/>
    <d v="2024-06-30T00:00:00"/>
    <n v="0"/>
  </r>
  <r>
    <s v="ORD-2023-640022"/>
    <d v="2023-08-24T00:00:00"/>
    <d v="2023-09-20T00:00:00"/>
    <s v="Africa"/>
    <x v="11"/>
    <s v="Durban"/>
    <s v="Small Business"/>
    <s v="Marketplace"/>
    <s v="M. Rossi"/>
    <x v="1"/>
    <s v="PRN-4732"/>
    <n v="1399.64"/>
    <n v="3342.11"/>
    <n v="0"/>
    <n v="10"/>
    <s v="Valid"/>
    <n v="3342.11"/>
    <b v="0"/>
    <n v="0"/>
    <n v="27"/>
    <d v="2023-09-20T00:00:00"/>
    <n v="27"/>
    <n v="3342110"/>
    <n v="33421.1"/>
    <n v="3308688.9"/>
    <n v="0.99"/>
    <s v="Aug-2023"/>
    <s v="Q3-2023"/>
    <s v="Africa → South Africa → Durban"/>
    <x v="1"/>
    <s v="Low"/>
    <s v="SOUTH AFRICA"/>
    <d v="2023-01-07T00:00:00"/>
    <s v="Jan-2023"/>
    <d v="2023-08-31T00:00:00"/>
    <n v="0"/>
  </r>
  <r>
    <s v="ORD-2024-532184"/>
    <d v="2024-01-25T00:00:00"/>
    <d v="2024-02-08T00:00:00"/>
    <s v="Asia"/>
    <x v="6"/>
    <s v="Osaka"/>
    <s v="Consumer"/>
    <s v="Marketplace"/>
    <s v="I. Johnson"/>
    <x v="2"/>
    <s v="NET-9569"/>
    <n v="937.16"/>
    <n v="1069.77"/>
    <n v="3.7999999999999999E-2"/>
    <n v="9"/>
    <s v="Valid"/>
    <n v="1069.77"/>
    <b v="0"/>
    <n v="3.7999999999999999E-2"/>
    <n v="14"/>
    <d v="2024-02-08T00:00:00"/>
    <n v="14"/>
    <n v="962427.13866000006"/>
    <n v="9627.93"/>
    <n v="952799.20866"/>
    <n v="0.98999619855545107"/>
    <s v="Jan-2024"/>
    <s v="Q1-2024"/>
    <s v="Asia → Japan → Osaka"/>
    <x v="0"/>
    <s v="Medium"/>
    <s v="JAPAN"/>
    <d v="2023-03-03T00:00:00"/>
    <s v="Mar-2023"/>
    <d v="2024-01-31T00:00:00"/>
    <n v="0"/>
  </r>
  <r>
    <s v="ORD-2025-926547"/>
    <d v="2025-03-11T00:00:00"/>
    <d v="2025-03-26T00:00:00"/>
    <s v="Europe"/>
    <x v="5"/>
    <s v="Berlin"/>
    <s v="Small Business"/>
    <s v="Online"/>
    <s v="I. Johnson"/>
    <x v="3"/>
    <s v="PHN-3007"/>
    <n v="116.97"/>
    <n v="140.82"/>
    <n v="0.122"/>
    <n v="5"/>
    <s v="Valid"/>
    <n v="140.82"/>
    <b v="0"/>
    <n v="0.122"/>
    <n v="15"/>
    <d v="2025-03-26T00:00:00"/>
    <n v="15"/>
    <n v="70324.099799999996"/>
    <n v="704.09999999999991"/>
    <n v="69619.999799999991"/>
    <n v="0.98998778509781926"/>
    <s v="Mar-2025"/>
    <s v="Q1-2025"/>
    <s v="Europe → Germany → Berlin"/>
    <x v="2"/>
    <s v="High"/>
    <s v="GERMANY"/>
    <d v="2023-01-22T00:00:00"/>
    <s v="Jan-2023"/>
    <d v="2025-03-31T00:00:00"/>
    <n v="0"/>
  </r>
  <r>
    <s v="ORD-2025-778145"/>
    <d v="2025-04-22T00:00:00"/>
    <d v="2025-05-12T00:00:00"/>
    <s v="Europe"/>
    <x v="7"/>
    <s v="Lyon"/>
    <s v="Enterprise"/>
    <s v="Marketplace"/>
    <s v="K. Singh"/>
    <x v="5"/>
    <s v="MON-9216"/>
    <n v="59.51"/>
    <n v="67.040000000000006"/>
    <n v="0.114"/>
    <n v="9"/>
    <s v="Valid"/>
    <n v="67.040000000000006"/>
    <b v="0"/>
    <n v="0.114"/>
    <n v="20"/>
    <d v="2025-05-12T00:00:00"/>
    <n v="20"/>
    <n v="60267.216959999998"/>
    <n v="603.36"/>
    <n v="59663.856959999997"/>
    <n v="0.9899885869891677"/>
    <s v="Apr-2025"/>
    <s v="Q2-2025"/>
    <s v="Europe → France → Lyon"/>
    <x v="1"/>
    <s v="High"/>
    <s v="FRANCE"/>
    <d v="2023-01-10T00:00:00"/>
    <s v="Jan-2023"/>
    <d v="2025-04-30T00:00:00"/>
    <n v="0"/>
  </r>
  <r>
    <s v="ORD-2023-525643"/>
    <d v="2023-08-17T00:00:00"/>
    <d v="2023-09-03T00:00:00"/>
    <s v="Africa"/>
    <x v="11"/>
    <s v="Durban"/>
    <s v="Enterprise"/>
    <s v="Retail"/>
    <s v="A. Patel"/>
    <x v="3"/>
    <s v="PHN-8072"/>
    <n v="676.37"/>
    <n v="1276.67"/>
    <n v="6.6000000000000003E-2"/>
    <n v="10"/>
    <s v="Valid"/>
    <n v="1276.67"/>
    <b v="0"/>
    <n v="6.6000000000000003E-2"/>
    <n v="17"/>
    <d v="2023-09-03T00:00:00"/>
    <n v="17"/>
    <n v="1275827.3978000002"/>
    <n v="12766.7"/>
    <n v="1263060.6978000002"/>
    <n v="0.98999339564112321"/>
    <s v="Aug-2023"/>
    <s v="Q3-2023"/>
    <s v="Africa → South Africa → Durban"/>
    <x v="2"/>
    <s v="Low"/>
    <s v="SOUTH AFRICA"/>
    <d v="2023-01-07T00:00:00"/>
    <s v="Jan-2023"/>
    <d v="2023-08-31T00:00:00"/>
    <n v="0"/>
  </r>
  <r>
    <s v="ORD-2025-312803"/>
    <d v="2025-06-24T00:00:00"/>
    <d v="2025-07-14T00:00:00"/>
    <s v="Africa"/>
    <x v="11"/>
    <s v="Johannesburg"/>
    <s v="Enterprise"/>
    <s v="Marketplace"/>
    <s v="J. Njeri"/>
    <x v="4"/>
    <s v="LAP-1308"/>
    <n v="1151.06"/>
    <n v="2821.36"/>
    <n v="0.248"/>
    <n v="20"/>
    <s v="Valid"/>
    <n v="2821.36"/>
    <b v="0"/>
    <n v="0.248"/>
    <n v="20"/>
    <d v="2025-07-14T00:00:00"/>
    <n v="20"/>
    <n v="5628726.0543999998"/>
    <n v="56427.200000000004"/>
    <n v="5572298.8543999996"/>
    <n v="0.98997513834309081"/>
    <s v="Jun-2025"/>
    <s v="Q2-2025"/>
    <s v="Africa → South Africa → Johannesburg"/>
    <x v="2"/>
    <s v="High"/>
    <s v="SOUTH AFRICA"/>
    <d v="2023-01-07T00:00:00"/>
    <s v="Jan-2023"/>
    <d v="2025-06-30T00:00:00"/>
    <n v="0"/>
  </r>
  <r>
    <s v="ORD-2025-149156"/>
    <d v="2025-01-10T00:00:00"/>
    <d v="2025-02-06T00:00:00"/>
    <s v="Americas"/>
    <x v="4"/>
    <s v="Brasília"/>
    <s v="Non-Profit"/>
    <s v="Retail"/>
    <s v="B. Chen"/>
    <x v="4"/>
    <s v="LAP-7353"/>
    <n v="725.62"/>
    <n v="1559.19"/>
    <n v="0.19"/>
    <n v="12"/>
    <s v="Valid"/>
    <n v="1559.19"/>
    <b v="0"/>
    <n v="0.19"/>
    <n v="27"/>
    <d v="2025-02-06T00:00:00"/>
    <n v="27"/>
    <n v="1867473.0467999999"/>
    <n v="18710.28"/>
    <n v="1848762.7667999999"/>
    <n v="0.98998096383127943"/>
    <s v="Jan-2025"/>
    <s v="Q1-2025"/>
    <s v="Americas → Brazil → Brasília"/>
    <x v="2"/>
    <s v="High"/>
    <s v="BRAZIL"/>
    <d v="2023-01-29T00:00:00"/>
    <s v="Jan-2023"/>
    <d v="2025-01-31T00:00:00"/>
    <n v="0"/>
  </r>
  <r>
    <s v="ORD-2023-215819"/>
    <d v="2023-07-01T00:00:00"/>
    <d v="2023-07-11T00:00:00"/>
    <s v="Europe"/>
    <x v="7"/>
    <s v="Paris"/>
    <s v="Corporate"/>
    <s v="Direct"/>
    <s v="F. Müller"/>
    <x v="2"/>
    <s v="NET-6533"/>
    <n v="479.5"/>
    <n v="656.66"/>
    <n v="0.14899999999999999"/>
    <n v="14"/>
    <s v="Valid"/>
    <n v="656.66"/>
    <b v="0"/>
    <n v="0.14899999999999999"/>
    <n v="10"/>
    <d v="2023-07-11T00:00:00"/>
    <n v="10"/>
    <n v="917954.20724000002"/>
    <n v="9193.24"/>
    <n v="908760.96724000003"/>
    <n v="0.98998507776587119"/>
    <s v="Jul-2023"/>
    <s v="Q3-2023"/>
    <s v="Europe → France → Paris"/>
    <x v="0"/>
    <s v="Low"/>
    <s v="FRANCE"/>
    <d v="2023-01-10T00:00:00"/>
    <s v="Jan-2023"/>
    <d v="2023-07-31T00:00:00"/>
    <n v="0"/>
  </r>
  <r>
    <s v="ORD-2024-353078"/>
    <d v="2024-08-16T00:00:00"/>
    <d v="2024-08-26T00:00:00"/>
    <s v="Americas"/>
    <x v="10"/>
    <s v="Chicago"/>
    <s v="Corporate"/>
    <s v="Distributor"/>
    <s v="L. Okafor"/>
    <x v="4"/>
    <s v="LAP-5763"/>
    <n v="1291.7"/>
    <n v="2657.84"/>
    <n v="8.6999999999999994E-2"/>
    <n v="21"/>
    <s v="Valid"/>
    <n v="2657.84"/>
    <b v="0"/>
    <n v="8.6999999999999994E-2"/>
    <n v="10"/>
    <d v="2024-08-26T00:00:00"/>
    <n v="10"/>
    <n v="5576608.1263199998"/>
    <n v="55814.64"/>
    <n v="5520793.4863200001"/>
    <n v="0.98999129242440931"/>
    <s v="Aug-2024"/>
    <s v="Q3-2024"/>
    <s v="Americas → USA → Chicago"/>
    <x v="2"/>
    <s v="Medium"/>
    <s v="USA"/>
    <d v="2023-01-13T00:00:00"/>
    <s v="Jan-2023"/>
    <d v="2024-08-31T00:00:00"/>
    <n v="0"/>
  </r>
  <r>
    <s v="ORD-2023-621393"/>
    <d v="2023-07-07T00:00:00"/>
    <d v="2023-07-13T00:00:00"/>
    <s v="Africa"/>
    <x v="11"/>
    <s v="Cape Town"/>
    <s v="Small Business"/>
    <s v="Marketplace"/>
    <s v="B. Chen"/>
    <x v="6"/>
    <s v="ACC-9445"/>
    <n v="612.59"/>
    <n v="1424.74"/>
    <n v="4.3999999999999997E-2"/>
    <n v="15"/>
    <s v="Valid"/>
    <n v="1424.74"/>
    <b v="0"/>
    <n v="4.3999999999999997E-2"/>
    <n v="6"/>
    <d v="2023-07-13T00:00:00"/>
    <n v="6"/>
    <n v="2136169.6716"/>
    <n v="21371.1"/>
    <n v="2114798.5715999999"/>
    <n v="0.98999559806314774"/>
    <s v="Jul-2023"/>
    <s v="Q3-2023"/>
    <s v="Africa → South Africa → Cape Town"/>
    <x v="0"/>
    <s v="Low"/>
    <s v="SOUTH AFRICA"/>
    <d v="2023-01-07T00:00:00"/>
    <s v="Jan-2023"/>
    <d v="2023-07-31T00:00:00"/>
    <n v="1"/>
  </r>
  <r>
    <s v="ORD-2023-974506"/>
    <d v="2023-12-28T00:00:00"/>
    <d v="2024-01-01T00:00:00"/>
    <s v="Africa"/>
    <x v="11"/>
    <s v="Cape Town"/>
    <s v="Education"/>
    <s v="Distributor"/>
    <s v="A. Patel"/>
    <x v="1"/>
    <s v="PRN-1654"/>
    <n v="1141.8"/>
    <n v="2318.7399999999998"/>
    <n v="0.107"/>
    <n v="32"/>
    <s v="Valid"/>
    <n v="2318.7399999999998"/>
    <b v="0"/>
    <n v="0.107"/>
    <n v="4"/>
    <d v="2024-01-01T00:00:00"/>
    <n v="4"/>
    <n v="7412028.6342399996"/>
    <n v="74199.679999999993"/>
    <n v="7337828.9542399999"/>
    <n v="0.98998928853873647"/>
    <s v="Dec-2023"/>
    <s v="Q4-2023"/>
    <s v="Africa → South Africa → Cape Town"/>
    <x v="1"/>
    <s v="Medium"/>
    <s v="SOUTH AFRICA"/>
    <d v="2023-01-07T00:00:00"/>
    <s v="Jan-2023"/>
    <d v="2023-12-31T00:00:00"/>
    <n v="1"/>
  </r>
  <r>
    <s v="ORD-2023-811823"/>
    <d v="2023-01-26T00:00:00"/>
    <d v="2023-02-15T00:00:00"/>
    <s v="Europe"/>
    <x v="5"/>
    <s v="Berlin"/>
    <s v="Small Business"/>
    <s v="Online"/>
    <s v="O. Wang"/>
    <x v="2"/>
    <s v="NET-8787"/>
    <n v="492.62"/>
    <n v="366.7"/>
    <n v="8.8999999999999996E-2"/>
    <n v="10"/>
    <s v="Valid"/>
    <n v="366.7"/>
    <b v="0"/>
    <n v="8.8999999999999996E-2"/>
    <n v="20"/>
    <d v="2023-02-15T00:00:00"/>
    <n v="20"/>
    <n v="366373.63699999999"/>
    <n v="3667"/>
    <n v="362706.63699999999"/>
    <n v="0.98999109207194402"/>
    <s v="Jan-2023"/>
    <s v="Q1-2023"/>
    <s v="Europe → Germany → Berlin"/>
    <x v="0"/>
    <s v="Low"/>
    <s v="GERMANY"/>
    <d v="2023-01-22T00:00:00"/>
    <s v="Jan-2023"/>
    <d v="2023-01-31T00:00:00"/>
    <n v="0"/>
  </r>
  <r>
    <s v="ORD-2023-286720"/>
    <d v="2023-07-08T00:00:00"/>
    <d v="2023-07-09T00:00:00"/>
    <s v="Africa"/>
    <x v="0"/>
    <s v="Nairobi"/>
    <s v="Consumer"/>
    <s v="Online"/>
    <s v="D. Smith"/>
    <x v="4"/>
    <s v="LAP-1989"/>
    <n v="1258.72"/>
    <n v="2797.41"/>
    <n v="0"/>
    <n v="7"/>
    <s v="Valid"/>
    <n v="2797.41"/>
    <b v="0"/>
    <n v="0"/>
    <n v="1"/>
    <d v="2023-07-09T00:00:00"/>
    <n v="1"/>
    <n v="1958187"/>
    <n v="19581.87"/>
    <n v="1938605.13"/>
    <n v="0.99"/>
    <s v="Jul-2023"/>
    <s v="Q3-2023"/>
    <s v="Africa → Kenya → Nairobi"/>
    <x v="2"/>
    <s v="Low"/>
    <s v="KENYA"/>
    <d v="2023-01-20T00:00:00"/>
    <s v="Jan-2023"/>
    <d v="2023-07-31T00:00:00"/>
    <n v="1"/>
  </r>
  <r>
    <s v="ORD-2024-626925"/>
    <d v="2024-06-07T00:00:00"/>
    <d v="2024-06-09T00:00:00"/>
    <s v="Asia"/>
    <x v="9"/>
    <s v="Shanghai"/>
    <s v="Corporate"/>
    <s v="Retail"/>
    <s v="O. Wang"/>
    <x v="5"/>
    <s v="MON-8688"/>
    <n v="1370.28"/>
    <n v="2209.66"/>
    <n v="0.13300000000000001"/>
    <n v="16"/>
    <s v="Valid"/>
    <n v="2209.66"/>
    <b v="0"/>
    <n v="0.13300000000000001"/>
    <n v="2"/>
    <d v="2024-06-09T00:00:00"/>
    <n v="2"/>
    <n v="3530753.8435200001"/>
    <n v="35354.559999999998"/>
    <n v="3495399.2835200001"/>
    <n v="0.98998668228744224"/>
    <s v="Jun-2024"/>
    <s v="Q2-2024"/>
    <s v="Asia → China → Shanghai"/>
    <x v="1"/>
    <s v="Medium"/>
    <s v="CHINA"/>
    <d v="2023-01-12T00:00:00"/>
    <s v="Jan-2023"/>
    <d v="2024-06-30T00:00:00"/>
    <n v="1"/>
  </r>
  <r>
    <s v="ORD-2023-960380"/>
    <d v="2023-02-11T00:00:00"/>
    <d v="2023-02-12T00:00:00"/>
    <s v="Africa"/>
    <x v="1"/>
    <s v="Port Harcourt"/>
    <s v="Non-Profit"/>
    <s v="Direct"/>
    <s v="D. Smith"/>
    <x v="6"/>
    <s v="ACC-8242"/>
    <n v="944.61"/>
    <n v="839.04"/>
    <n v="5.8999999999999997E-2"/>
    <n v="6"/>
    <s v="Valid"/>
    <n v="839.04"/>
    <b v="0"/>
    <n v="5.8999999999999997E-2"/>
    <n v="1"/>
    <d v="2023-02-12T00:00:00"/>
    <n v="1"/>
    <n v="503126.97983999999"/>
    <n v="5034.24"/>
    <n v="498092.73983999999"/>
    <n v="0.98999409651694503"/>
    <s v="Feb-2023"/>
    <s v="Q1-2023"/>
    <s v="Africa → Nigeria → Port Harcourt"/>
    <x v="0"/>
    <s v="Low"/>
    <s v="NIGERIA"/>
    <d v="2023-01-15T00:00:00"/>
    <s v="Jan-2023"/>
    <d v="2023-02-28T00:00:00"/>
    <n v="1"/>
  </r>
  <r>
    <s v="ORD-2023-453699"/>
    <d v="2023-07-01T00:00:00"/>
    <d v="2023-07-08T00:00:00"/>
    <s v="Europe"/>
    <x v="5"/>
    <s v="Frankfurt"/>
    <s v="Small Business"/>
    <s v="Distributor"/>
    <s v="N. Brown"/>
    <x v="4"/>
    <s v="LAP-4666"/>
    <n v="460.21"/>
    <n v="1139.1500000000001"/>
    <n v="0.115"/>
    <n v="14"/>
    <s v="Valid"/>
    <n v="1139.1500000000001"/>
    <b v="0"/>
    <n v="0.115"/>
    <n v="7"/>
    <d v="2023-07-08T00:00:00"/>
    <n v="7"/>
    <n v="1592975.9685000002"/>
    <n v="15948.100000000002"/>
    <n v="1577027.8685000001"/>
    <n v="0.98998848675977369"/>
    <s v="Jul-2023"/>
    <s v="Q3-2023"/>
    <s v="Europe → Germany → Frankfurt"/>
    <x v="2"/>
    <s v="Low"/>
    <s v="GERMANY"/>
    <d v="2023-01-22T00:00:00"/>
    <s v="Jan-2023"/>
    <d v="2023-07-31T00:00:00"/>
    <n v="1"/>
  </r>
  <r>
    <s v="ORD-2025-960931"/>
    <d v="2025-08-20T00:00:00"/>
    <d v="2025-08-26T00:00:00"/>
    <s v="Americas"/>
    <x v="10"/>
    <s v="New York"/>
    <s v="Corporate"/>
    <s v="Retail"/>
    <s v="M. Rossi"/>
    <x v="2"/>
    <s v="NET-5196"/>
    <n v="1304.95"/>
    <n v="1712.03"/>
    <n v="0.21199999999999999"/>
    <n v="8"/>
    <s v="Valid"/>
    <n v="1712.03"/>
    <b v="0"/>
    <n v="0.21199999999999999"/>
    <n v="6"/>
    <d v="2025-08-26T00:00:00"/>
    <n v="6"/>
    <n v="1366720.3971199999"/>
    <n v="13696.24"/>
    <n v="1353024.1571199999"/>
    <n v="0.98997875496051635"/>
    <s v="Aug-2025"/>
    <s v="Q3-2025"/>
    <s v="Americas → USA → New York"/>
    <x v="0"/>
    <s v="High"/>
    <s v="USA"/>
    <d v="2023-01-13T00:00:00"/>
    <s v="Jan-2023"/>
    <d v="2025-08-31T00:00:00"/>
    <n v="1"/>
  </r>
  <r>
    <s v="ORD-2024-419248"/>
    <d v="2024-03-04T00:00:00"/>
    <d v="2024-03-16T00:00:00"/>
    <s v="Africa"/>
    <x v="11"/>
    <s v="Johannesburg"/>
    <s v="Enterprise"/>
    <s v="Distributor"/>
    <s v="M. Rossi"/>
    <x v="5"/>
    <s v="MON-8422"/>
    <n v="441.08"/>
    <n v="1054.29"/>
    <n v="0.23699999999999999"/>
    <n v="6"/>
    <s v="Valid"/>
    <n v="1054.29"/>
    <b v="0"/>
    <n v="0.23699999999999999"/>
    <n v="12"/>
    <d v="2024-03-16T00:00:00"/>
    <n v="12"/>
    <n v="631074.79962000006"/>
    <n v="6325.74"/>
    <n v="624749.05962000007"/>
    <n v="0.98997624369756321"/>
    <s v="Mar-2024"/>
    <s v="Q1-2024"/>
    <s v="Africa → South Africa → Johannesburg"/>
    <x v="1"/>
    <s v="Medium"/>
    <s v="SOUTH AFRICA"/>
    <d v="2023-01-07T00:00:00"/>
    <s v="Jan-2023"/>
    <d v="2024-03-31T00:00:00"/>
    <n v="0"/>
  </r>
  <r>
    <s v="ORD-2023-488227"/>
    <d v="2023-09-08T00:00:00"/>
    <d v="2023-10-02T00:00:00"/>
    <s v="Americas"/>
    <x v="2"/>
    <s v="Toronto"/>
    <s v="Education"/>
    <s v="Direct"/>
    <s v="A. Patel"/>
    <x v="6"/>
    <s v="ACC-3415"/>
    <n v="1299.03"/>
    <n v="2451.2199999999998"/>
    <n v="0.20799999999999999"/>
    <n v="8"/>
    <s v="Valid"/>
    <n v="2451.2199999999998"/>
    <b v="0"/>
    <n v="0.20799999999999999"/>
    <n v="24"/>
    <d v="2023-10-02T00:00:00"/>
    <n v="24"/>
    <n v="1956897.1699199998"/>
    <n v="19609.759999999998"/>
    <n v="1937287.4099199998"/>
    <n v="0.98997915664582326"/>
    <s v="Sep-2023"/>
    <s v="Q3-2023"/>
    <s v="Americas → Canada → Toronto"/>
    <x v="0"/>
    <s v="Low"/>
    <s v="CANADA"/>
    <d v="2023-01-02T00:00:00"/>
    <s v="Jan-2023"/>
    <d v="2023-09-30T00:00:00"/>
    <n v="0"/>
  </r>
  <r>
    <s v="ORD-2023-472078"/>
    <d v="2023-02-28T00:00:00"/>
    <d v="2023-03-06T00:00:00"/>
    <s v="Europe"/>
    <x v="5"/>
    <s v="Frankfurt"/>
    <s v="Small Business"/>
    <s v="Marketplace"/>
    <s v="D. Smith"/>
    <x v="1"/>
    <s v="PRN-9624"/>
    <n v="880.02"/>
    <n v="1251.21"/>
    <n v="0.123"/>
    <n v="29"/>
    <s v="Valid"/>
    <n v="1251.21"/>
    <b v="0"/>
    <n v="0.123"/>
    <n v="6"/>
    <d v="2023-03-06T00:00:00"/>
    <n v="6"/>
    <n v="3624045.9339300003"/>
    <n v="36285.090000000004"/>
    <n v="3587760.8439300004"/>
    <n v="0.98998768485236843"/>
    <s v="Feb-2023"/>
    <s v="Q1-2023"/>
    <s v="Europe → Germany → Frankfurt"/>
    <x v="1"/>
    <s v="Low"/>
    <s v="GERMANY"/>
    <d v="2023-01-22T00:00:00"/>
    <s v="Jan-2023"/>
    <d v="2023-02-28T00:00:00"/>
    <n v="1"/>
  </r>
  <r>
    <s v="ORD-2024-202877"/>
    <d v="2024-07-13T00:00:00"/>
    <d v="2024-08-03T00:00:00"/>
    <s v="Americas"/>
    <x v="4"/>
    <s v="Rio de Janeiro"/>
    <s v="Corporate"/>
    <s v="Marketplace"/>
    <s v="M. Rossi"/>
    <x v="5"/>
    <s v="MON-6287"/>
    <n v="702.98"/>
    <n v="1104.8"/>
    <n v="0.17499999999999999"/>
    <n v="12"/>
    <s v="Valid"/>
    <n v="1104.8"/>
    <b v="0"/>
    <n v="0.17499999999999999"/>
    <n v="21"/>
    <d v="2024-08-03T00:00:00"/>
    <n v="21"/>
    <n v="1323439.92"/>
    <n v="13257.599999999999"/>
    <n v="1310182.3199999998"/>
    <n v="0.98998246932131218"/>
    <s v="Jul-2024"/>
    <s v="Q3-2024"/>
    <s v="Americas → Brazil → Rio de Janeiro"/>
    <x v="1"/>
    <s v="Medium"/>
    <s v="BRAZIL"/>
    <d v="2023-01-29T00:00:00"/>
    <s v="Jan-2023"/>
    <d v="2024-07-31T00:00:00"/>
    <n v="0"/>
  </r>
  <r>
    <s v="ORD-2024-140633"/>
    <d v="2024-12-07T00:00:00"/>
    <d v="2024-12-26T00:00:00"/>
    <s v="Europe"/>
    <x v="8"/>
    <s v="London"/>
    <s v="Enterprise"/>
    <s v="Online"/>
    <s v="D. Smith"/>
    <x v="2"/>
    <s v="NET-4491"/>
    <n v="1035.24"/>
    <n v="2383.41"/>
    <n v="0.17"/>
    <n v="15"/>
    <s v="Valid"/>
    <n v="2383.41"/>
    <b v="0"/>
    <n v="0.17"/>
    <n v="19"/>
    <d v="2024-12-26T00:00:00"/>
    <n v="19"/>
    <n v="3569037.3044999992"/>
    <n v="35751.149999999994"/>
    <n v="3533286.1544999992"/>
    <n v="0.98998297105078636"/>
    <s v="Dec-2024"/>
    <s v="Q4-2024"/>
    <s v="Europe → United Kingdom → London"/>
    <x v="0"/>
    <s v="High"/>
    <s v="UNITED KINGDOM"/>
    <d v="2023-01-19T00:00:00"/>
    <s v="Jan-2023"/>
    <d v="2024-12-31T00:00:00"/>
    <n v="0"/>
  </r>
  <r>
    <s v="ORD-2025-419532"/>
    <d v="2025-08-06T00:00:00"/>
    <d v="2025-08-23T00:00:00"/>
    <s v="Americas"/>
    <x v="4"/>
    <s v="Brasília"/>
    <s v="Consumer"/>
    <s v="Distributor"/>
    <s v="A. Patel"/>
    <x v="5"/>
    <s v="MON-4317"/>
    <n v="86.64"/>
    <n v="213.06"/>
    <n v="0.21199999999999999"/>
    <n v="11"/>
    <s v="Valid"/>
    <n v="213.06"/>
    <b v="0"/>
    <n v="0.21199999999999999"/>
    <n v="17"/>
    <d v="2025-08-23T00:00:00"/>
    <n v="17"/>
    <n v="233869.14407999997"/>
    <n v="2343.66"/>
    <n v="231525.48407999997"/>
    <n v="0.98997875496051624"/>
    <s v="Aug-2025"/>
    <s v="Q3-2025"/>
    <s v="Americas → Brazil → Brasília"/>
    <x v="1"/>
    <s v="High"/>
    <s v="BRAZIL"/>
    <d v="2023-01-29T00:00:00"/>
    <s v="Jan-2023"/>
    <d v="2025-08-31T00:00:00"/>
    <n v="0"/>
  </r>
  <r>
    <s v="ORD-2023-139236"/>
    <d v="2023-03-03T00:00:00"/>
    <d v="2023-03-20T00:00:00"/>
    <s v="Asia"/>
    <x v="6"/>
    <s v="Nagoya"/>
    <s v="Small Business"/>
    <s v="Online"/>
    <s v="D. Smith"/>
    <x v="2"/>
    <s v="NET-7349"/>
    <n v="1171.17"/>
    <n v="2030.64"/>
    <n v="0.157"/>
    <n v="11"/>
    <s v="Valid"/>
    <n v="2030.64"/>
    <b v="0"/>
    <n v="0.157"/>
    <n v="17"/>
    <d v="2023-03-20T00:00:00"/>
    <n v="17"/>
    <n v="2230197.0847200002"/>
    <n v="22337.040000000001"/>
    <n v="2207860.0447200001"/>
    <n v="0.9899842753122402"/>
    <s v="Mar-2023"/>
    <s v="Q1-2023"/>
    <s v="Asia → Japan → Nagoya"/>
    <x v="0"/>
    <s v="Low"/>
    <s v="JAPAN"/>
    <d v="2023-03-03T00:00:00"/>
    <s v="Mar-2023"/>
    <d v="2023-03-31T00:00:00"/>
    <n v="0"/>
  </r>
  <r>
    <s v="ORD-2025-337268"/>
    <d v="2025-02-16T00:00:00"/>
    <d v="2025-03-17T00:00:00"/>
    <s v="Europe"/>
    <x v="5"/>
    <s v="Munich"/>
    <s v="Consumer"/>
    <s v="Retail"/>
    <s v="L. Okafor"/>
    <x v="6"/>
    <s v="ACC-5150"/>
    <n v="730.42"/>
    <n v="956.7"/>
    <n v="4.2000000000000003E-2"/>
    <n v="22"/>
    <s v="Valid"/>
    <n v="956.7"/>
    <b v="0"/>
    <n v="4.2000000000000003E-2"/>
    <n v="29"/>
    <d v="2025-03-17T00:00:00"/>
    <n v="29"/>
    <n v="2103856.0092000002"/>
    <n v="21047.4"/>
    <n v="2082808.6092000003"/>
    <n v="0.98999579823525885"/>
    <s v="Feb-2025"/>
    <s v="Q1-2025"/>
    <s v="Europe → Germany → Munich"/>
    <x v="0"/>
    <s v="High"/>
    <s v="GERMANY"/>
    <d v="2023-01-22T00:00:00"/>
    <s v="Jan-2023"/>
    <d v="2025-02-28T00:00:00"/>
    <n v="0"/>
  </r>
  <r>
    <s v="ORD-2025-332931"/>
    <d v="2025-02-15T00:00:00"/>
    <d v="2025-03-01T00:00:00"/>
    <s v="Africa"/>
    <x v="0"/>
    <s v="Mombasa"/>
    <s v="Education"/>
    <s v="Direct"/>
    <s v="L. Okafor"/>
    <x v="6"/>
    <s v="ACC-5144"/>
    <n v="1162.8599999999999"/>
    <n v="1447.68"/>
    <n v="8.6999999999999994E-2"/>
    <n v="12"/>
    <s v="Valid"/>
    <n v="1447.68"/>
    <b v="0"/>
    <n v="8.6999999999999994E-2"/>
    <n v="14"/>
    <d v="2025-03-01T00:00:00"/>
    <n v="14"/>
    <n v="1735704.6220799999"/>
    <n v="17372.16"/>
    <n v="1718332.46208"/>
    <n v="0.98999129242440931"/>
    <s v="Feb-2025"/>
    <s v="Q1-2025"/>
    <s v="Africa → Kenya → Mombasa"/>
    <x v="0"/>
    <s v="High"/>
    <s v="KENYA"/>
    <d v="2023-01-20T00:00:00"/>
    <s v="Jan-2023"/>
    <d v="2025-02-28T00:00:00"/>
    <n v="0"/>
  </r>
  <r>
    <s v="ORD-2024-536442"/>
    <d v="2024-08-31T00:00:00"/>
    <d v="2024-09-26T00:00:00"/>
    <s v="Asia"/>
    <x v="6"/>
    <s v="Tokyo"/>
    <s v="Education"/>
    <s v="Online"/>
    <s v="I. Johnson"/>
    <x v="3"/>
    <s v="PHN-6111"/>
    <n v="1189.03"/>
    <n v="2949.62"/>
    <n v="0.125"/>
    <n v="13"/>
    <s v="Valid"/>
    <n v="2949.62"/>
    <b v="0"/>
    <n v="0.125"/>
    <n v="26"/>
    <d v="2024-09-26T00:00:00"/>
    <n v="26"/>
    <n v="3829712.8674999997"/>
    <n v="38345.06"/>
    <n v="3791367.8074999996"/>
    <n v="0.98998748435544426"/>
    <s v="Aug-2024"/>
    <s v="Q3-2024"/>
    <s v="Asia → Japan → Tokyo"/>
    <x v="2"/>
    <s v="Medium"/>
    <s v="JAPAN"/>
    <d v="2023-03-03T00:00:00"/>
    <s v="Mar-2023"/>
    <d v="2024-08-31T00:00:00"/>
    <n v="0"/>
  </r>
  <r>
    <s v="ORD-2023-957692"/>
    <d v="2023-05-07T00:00:00"/>
    <d v="2023-05-20T00:00:00"/>
    <s v="Asia"/>
    <x v="3"/>
    <s v="Mumbai"/>
    <s v="Enterprise"/>
    <s v="Retail"/>
    <s v="D. Smith"/>
    <x v="6"/>
    <s v="ACC-9283"/>
    <n v="1443.28"/>
    <n v="2580.5700000000002"/>
    <n v="0"/>
    <n v="18"/>
    <s v="Valid"/>
    <n v="2580.5700000000002"/>
    <b v="0"/>
    <n v="0"/>
    <n v="13"/>
    <d v="2023-05-20T00:00:00"/>
    <n v="13"/>
    <n v="4645026"/>
    <n v="46450.26"/>
    <n v="4598575.74"/>
    <n v="0.9900000000000001"/>
    <s v="May-2023"/>
    <s v="Q2-2023"/>
    <s v="Asia → India → Mumbai"/>
    <x v="0"/>
    <s v="Low"/>
    <s v="INDIA"/>
    <d v="2023-01-29T00:00:00"/>
    <s v="Jan-2023"/>
    <d v="2023-05-31T00:00:00"/>
    <n v="0"/>
  </r>
  <r>
    <s v="ORD-2025-874124"/>
    <d v="2025-05-14T00:00:00"/>
    <d v="2025-05-12T00:00:00"/>
    <s v="Americas"/>
    <x v="2"/>
    <s v="Vancouver"/>
    <s v="Non-Profit"/>
    <s v="Distributor"/>
    <s v="F. Müller"/>
    <x v="1"/>
    <s v="PRN-2407"/>
    <n v="883.5"/>
    <n v="1978.91"/>
    <n v="5.3999999999999999E-2"/>
    <n v="27"/>
    <s v="Valid"/>
    <n v="1978.91"/>
    <b v="0"/>
    <n v="5.3999999999999999E-2"/>
    <n v="-2"/>
    <d v="2025-05-21T00:00:00"/>
    <n v="7"/>
    <n v="5340171.7492199996"/>
    <n v="53430.57"/>
    <n v="5286741.1792199994"/>
    <n v="0.98999459708242443"/>
    <s v="May-2025"/>
    <s v="Q2-2025"/>
    <s v="Americas → Canada → Vancouver"/>
    <x v="1"/>
    <s v="High"/>
    <s v="CANADA"/>
    <d v="2023-01-02T00:00:00"/>
    <s v="Jan-2023"/>
    <d v="2025-05-31T00:00:00"/>
    <n v="1"/>
  </r>
  <r>
    <s v="ORD-2024-687073"/>
    <d v="2024-03-11T00:00:00"/>
    <d v="2024-03-29T00:00:00"/>
    <s v="Americas"/>
    <x v="10"/>
    <s v="New York"/>
    <s v="Corporate"/>
    <s v="Retail"/>
    <s v="M. Rossi"/>
    <x v="5"/>
    <s v="MON-7099"/>
    <n v="710.98"/>
    <n v="1481.45"/>
    <n v="0.21099999999999999"/>
    <n v="9"/>
    <s v="Valid"/>
    <n v="1481.45"/>
    <b v="0"/>
    <n v="0.21099999999999999"/>
    <n v="18"/>
    <d v="2024-03-29T00:00:00"/>
    <n v="18"/>
    <n v="1330491.7264500002"/>
    <n v="13333.050000000001"/>
    <n v="1317158.6764500001"/>
    <n v="0.98997885538486208"/>
    <s v="Mar-2024"/>
    <s v="Q1-2024"/>
    <s v="Americas → USA → New York"/>
    <x v="1"/>
    <s v="Medium"/>
    <s v="USA"/>
    <d v="2023-01-13T00:00:00"/>
    <s v="Jan-2023"/>
    <d v="2024-03-31T00:00:00"/>
    <n v="0"/>
  </r>
  <r>
    <s v="ORD-2024-555229"/>
    <d v="2024-05-18T00:00:00"/>
    <d v="2024-05-22T00:00:00"/>
    <s v="Africa"/>
    <x v="0"/>
    <s v="Nairobi"/>
    <s v="Corporate"/>
    <s v="Direct"/>
    <s v="H. Kim"/>
    <x v="6"/>
    <s v="ACC-7354"/>
    <n v="857.42"/>
    <n v="1658.92"/>
    <n v="0.122"/>
    <n v="9"/>
    <s v="Valid"/>
    <n v="1658.92"/>
    <b v="0"/>
    <n v="0.122"/>
    <n v="4"/>
    <d v="2024-05-22T00:00:00"/>
    <n v="4"/>
    <n v="1491206.50584"/>
    <n v="14930.28"/>
    <n v="1476276.22584"/>
    <n v="0.98998778509781937"/>
    <s v="May-2024"/>
    <s v="Q2-2024"/>
    <s v="Africa → Kenya → Nairobi"/>
    <x v="0"/>
    <s v="Medium"/>
    <s v="KENYA"/>
    <d v="2023-01-20T00:00:00"/>
    <s v="Jan-2023"/>
    <d v="2024-05-31T00:00:00"/>
    <n v="1"/>
  </r>
  <r>
    <s v="ORD-2024-872291"/>
    <d v="2024-01-08T00:00:00"/>
    <d v="2024-01-12T00:00:00"/>
    <s v="Asia"/>
    <x v="3"/>
    <s v="Bengaluru"/>
    <s v="Corporate"/>
    <s v="Direct"/>
    <s v="E. Garcia"/>
    <x v="1"/>
    <s v="PRN-6585"/>
    <n v="802.32"/>
    <n v="602.34"/>
    <n v="0.12"/>
    <n v="25"/>
    <s v="Valid"/>
    <n v="602.34"/>
    <b v="0"/>
    <n v="0.12"/>
    <n v="4"/>
    <d v="2024-01-12T00:00:00"/>
    <n v="4"/>
    <n v="1504042.98"/>
    <n v="15058.5"/>
    <n v="1488984.48"/>
    <n v="0.98998798558269929"/>
    <s v="Jan-2024"/>
    <s v="Q1-2024"/>
    <s v="Asia → India → Bengaluru"/>
    <x v="1"/>
    <s v="Medium"/>
    <s v="INDIA"/>
    <d v="2023-01-29T00:00:00"/>
    <s v="Jan-2023"/>
    <d v="2024-01-31T00:00:00"/>
    <n v="1"/>
  </r>
  <r>
    <s v="ORD-2024-250862"/>
    <d v="2024-10-25T00:00:00"/>
    <d v="2024-11-05T00:00:00"/>
    <s v="Americas"/>
    <x v="10"/>
    <s v="New York"/>
    <s v="Corporate"/>
    <s v="Distributor"/>
    <s v="N. Brown"/>
    <x v="0"/>
    <s v="CMP-9498"/>
    <n v="446.66"/>
    <n v="527.64"/>
    <n v="0.14499999999999999"/>
    <n v="15"/>
    <s v="Valid"/>
    <n v="527.64"/>
    <b v="0"/>
    <n v="0.14499999999999999"/>
    <n v="11"/>
    <d v="2024-11-05T00:00:00"/>
    <n v="11"/>
    <n v="790312.38300000003"/>
    <n v="7914.5999999999995"/>
    <n v="782397.78300000005"/>
    <n v="0.98998547894446953"/>
    <s v="Oct-2024"/>
    <s v="Q4-2024"/>
    <s v="Americas → USA → New York"/>
    <x v="0"/>
    <s v="High"/>
    <s v="USA"/>
    <d v="2023-01-13T00:00:00"/>
    <s v="Jan-2023"/>
    <d v="2024-10-31T00:00:00"/>
    <n v="0"/>
  </r>
  <r>
    <s v="ORD-2024-331226"/>
    <d v="2024-11-30T00:00:00"/>
    <d v="2024-12-19T00:00:00"/>
    <s v="Africa"/>
    <x v="0"/>
    <s v="Kisumu"/>
    <s v="Corporate"/>
    <s v="Online"/>
    <s v="L. Okafor"/>
    <x v="3"/>
    <s v="PHN-1919"/>
    <n v="1195.98"/>
    <n v="1841.9"/>
    <n v="5.5E-2"/>
    <n v="19"/>
    <s v="Valid"/>
    <n v="1841.9"/>
    <b v="0"/>
    <n v="5.5E-2"/>
    <n v="19"/>
    <d v="2024-12-19T00:00:00"/>
    <n v="19"/>
    <n v="3497685.2144999998"/>
    <n v="34996.1"/>
    <n v="3462689.1144999997"/>
    <n v="0.9899944969733353"/>
    <s v="Nov-2024"/>
    <s v="Q4-2024"/>
    <s v="Africa → Kenya → Kisumu"/>
    <x v="2"/>
    <s v="High"/>
    <s v="KENYA"/>
    <d v="2023-01-20T00:00:00"/>
    <s v="Jan-2023"/>
    <d v="2024-11-30T00:00:00"/>
    <n v="0"/>
  </r>
  <r>
    <s v="ORD-2023-356427"/>
    <d v="2023-04-13T00:00:00"/>
    <d v="2023-05-02T00:00:00"/>
    <s v="Americas"/>
    <x v="2"/>
    <s v="Montreal"/>
    <s v="Consumer"/>
    <s v="Distributor"/>
    <s v="E. Garcia"/>
    <x v="5"/>
    <s v="MON-6053"/>
    <n v="671.05"/>
    <n v="1645.48"/>
    <n v="0.13700000000000001"/>
    <n v="6"/>
    <s v="Valid"/>
    <n v="1645.48"/>
    <b v="0"/>
    <n v="0.13700000000000001"/>
    <n v="19"/>
    <d v="2023-05-02T00:00:00"/>
    <n v="19"/>
    <n v="985935.41544000013"/>
    <n v="9872.880000000001"/>
    <n v="976062.53544000012"/>
    <n v="0.98998628120525123"/>
    <s v="Apr-2023"/>
    <s v="Q2-2023"/>
    <s v="Americas → Canada → Montreal"/>
    <x v="1"/>
    <s v="Low"/>
    <s v="CANADA"/>
    <d v="2023-01-02T00:00:00"/>
    <s v="Jan-2023"/>
    <d v="2023-04-30T00:00:00"/>
    <n v="0"/>
  </r>
  <r>
    <s v="ORD-2025-659650"/>
    <d v="2025-02-04T00:00:00"/>
    <d v="2025-02-08T00:00:00"/>
    <s v="Europe"/>
    <x v="8"/>
    <s v="Manchester"/>
    <s v="Enterprise"/>
    <s v="Marketplace"/>
    <s v="L. Okafor"/>
    <x v="2"/>
    <s v="NET-2502"/>
    <n v="586.21"/>
    <n v="727.22"/>
    <n v="6.8000000000000005E-2"/>
    <n v="15"/>
    <s v="Valid"/>
    <n v="727.22"/>
    <b v="0"/>
    <n v="6.8000000000000005E-2"/>
    <n v="4"/>
    <d v="2025-02-08T00:00:00"/>
    <n v="4"/>
    <n v="1090088.2356000002"/>
    <n v="10908.300000000001"/>
    <n v="1079179.9356000002"/>
    <n v="0.98999319537285346"/>
    <s v="Feb-2025"/>
    <s v="Q1-2025"/>
    <s v="Europe → United Kingdom → Manchester"/>
    <x v="0"/>
    <s v="High"/>
    <s v="UNITED KINGDOM"/>
    <d v="2023-01-19T00:00:00"/>
    <s v="Jan-2023"/>
    <d v="2025-02-28T00:00:00"/>
    <n v="1"/>
  </r>
  <r>
    <s v="ORD-2024-207669"/>
    <d v="2024-01-24T00:00:00"/>
    <d v="2024-02-04T00:00:00"/>
    <s v="Europe"/>
    <x v="8"/>
    <s v="Manchester"/>
    <s v="Consumer"/>
    <s v="Retail"/>
    <s v="B. Chen"/>
    <x v="4"/>
    <s v="LAP-5689"/>
    <n v="525.34"/>
    <n v="1233.79"/>
    <n v="0.14299999999999999"/>
    <n v="4"/>
    <s v="Valid"/>
    <n v="1233.79"/>
    <b v="0"/>
    <n v="0.14299999999999999"/>
    <n v="11"/>
    <d v="2024-02-04T00:00:00"/>
    <n v="11"/>
    <n v="492810.27211999998"/>
    <n v="4935.16"/>
    <n v="487875.11212000001"/>
    <n v="0.98998567952171612"/>
    <s v="Jan-2024"/>
    <s v="Q1-2024"/>
    <s v="Europe → United Kingdom → Manchester"/>
    <x v="2"/>
    <s v="Medium"/>
    <s v="UNITED KINGDOM"/>
    <d v="2023-01-19T00:00:00"/>
    <s v="Jan-2023"/>
    <d v="2024-01-31T00:00:00"/>
    <n v="0"/>
  </r>
  <r>
    <s v="ORD-2024-979401"/>
    <d v="2024-02-08T00:00:00"/>
    <d v="2024-02-09T00:00:00"/>
    <s v="Africa"/>
    <x v="0"/>
    <s v="Mombasa"/>
    <s v="Corporate"/>
    <s v="Direct"/>
    <s v="F. Müller"/>
    <x v="0"/>
    <s v="CMP-5911"/>
    <n v="1233.52"/>
    <n v="1543.76"/>
    <n v="0.126"/>
    <n v="13"/>
    <s v="Valid"/>
    <n v="1543.76"/>
    <b v="0"/>
    <n v="0.126"/>
    <n v="1"/>
    <d v="2024-02-09T00:00:00"/>
    <n v="1"/>
    <n v="2004359.32112"/>
    <n v="20068.88"/>
    <n v="1984290.4411200001"/>
    <n v="0.98998738410397102"/>
    <s v="Feb-2024"/>
    <s v="Q1-2024"/>
    <s v="Africa → Kenya → Mombasa"/>
    <x v="0"/>
    <s v="Medium"/>
    <s v="KENYA"/>
    <d v="2023-01-20T00:00:00"/>
    <s v="Jan-2023"/>
    <d v="2024-02-29T00:00:00"/>
    <n v="1"/>
  </r>
  <r>
    <s v="ORD-2025-929414"/>
    <d v="2025-06-26T00:00:00"/>
    <d v="2025-07-11T00:00:00"/>
    <s v="Africa"/>
    <x v="1"/>
    <s v="Port Harcourt"/>
    <s v="Small Business"/>
    <s v="Online"/>
    <s v="A. Patel"/>
    <x v="4"/>
    <s v="LAP-7523"/>
    <n v="1170.1500000000001"/>
    <n v="2115.19"/>
    <n v="9.1999999999999998E-2"/>
    <n v="23"/>
    <s v="Valid"/>
    <n v="2115.19"/>
    <b v="0"/>
    <n v="9.1999999999999998E-2"/>
    <n v="15"/>
    <d v="2025-07-11T00:00:00"/>
    <n v="15"/>
    <n v="4860461.2579600001"/>
    <n v="48649.37"/>
    <n v="4811811.88796"/>
    <n v="0.9899907915282059"/>
    <s v="Jun-2025"/>
    <s v="Q2-2025"/>
    <s v="Africa → Nigeria → Port Harcourt"/>
    <x v="2"/>
    <s v="High"/>
    <s v="NIGERIA"/>
    <d v="2023-01-15T00:00:00"/>
    <s v="Jan-2023"/>
    <d v="2025-06-30T00:00:00"/>
    <n v="0"/>
  </r>
  <r>
    <s v="ORD-2024-766980"/>
    <d v="2024-11-04T00:00:00"/>
    <d v="2024-11-07T00:00:00"/>
    <s v="Europe"/>
    <x v="7"/>
    <s v="Lyon"/>
    <s v="Corporate"/>
    <s v="Online"/>
    <s v="O. Wang"/>
    <x v="5"/>
    <s v="MON-1118"/>
    <n v="740.68"/>
    <n v="1837.19"/>
    <n v="0.19700000000000001"/>
    <n v="17"/>
    <s v="Valid"/>
    <n v="1837.19"/>
    <b v="0"/>
    <n v="0.19700000000000001"/>
    <n v="3"/>
    <d v="2024-11-07T00:00:00"/>
    <n v="3"/>
    <n v="3117070.2506899997"/>
    <n v="31232.23"/>
    <n v="3085838.0206899997"/>
    <n v="0.98998026111439541"/>
    <s v="Nov-2024"/>
    <s v="Q4-2024"/>
    <s v="Europe → France → Lyon"/>
    <x v="1"/>
    <s v="High"/>
    <s v="FRANCE"/>
    <d v="2023-01-10T00:00:00"/>
    <s v="Jan-2023"/>
    <d v="2024-11-30T00:00:00"/>
    <n v="1"/>
  </r>
  <r>
    <s v="ORD-2024-437164"/>
    <d v="2024-02-20T00:00:00"/>
    <d v="2024-02-20T00:00:00"/>
    <s v="Americas"/>
    <x v="10"/>
    <s v="New York"/>
    <s v="Enterprise"/>
    <s v="Online"/>
    <s v="C. Otieno"/>
    <x v="2"/>
    <s v="NET-9177"/>
    <n v="1407.05"/>
    <n v="2858.93"/>
    <n v="0"/>
    <n v="12"/>
    <s v="Valid"/>
    <n v="2858.93"/>
    <b v="0"/>
    <n v="0"/>
    <n v="0"/>
    <d v="2024-02-20T00:00:00"/>
    <n v="0"/>
    <n v="3430715.9999999995"/>
    <n v="34307.159999999996"/>
    <n v="3396408.8399999994"/>
    <n v="0.99"/>
    <s v="Feb-2024"/>
    <s v="Q1-2024"/>
    <s v="Americas → USA → New York"/>
    <x v="0"/>
    <s v="Medium"/>
    <s v="USA"/>
    <d v="2023-01-13T00:00:00"/>
    <s v="Jan-2023"/>
    <d v="2024-02-29T00:00:00"/>
    <n v="1"/>
  </r>
  <r>
    <s v="ORD-2025-169093"/>
    <d v="2025-04-13T00:00:00"/>
    <d v="2025-04-14T00:00:00"/>
    <s v="Asia"/>
    <x v="6"/>
    <s v="Osaka"/>
    <s v="Enterprise"/>
    <s v="Online"/>
    <s v="G. Dubois"/>
    <x v="0"/>
    <s v="CMP-6495"/>
    <n v="138.9"/>
    <n v="289.92"/>
    <n v="2.9000000000000001E-2"/>
    <n v="12"/>
    <s v="Valid"/>
    <n v="289.92"/>
    <b v="0"/>
    <n v="2.9000000000000001E-2"/>
    <n v="1"/>
    <d v="2025-04-14T00:00:00"/>
    <n v="1"/>
    <n v="347803.10784000001"/>
    <n v="3479.04"/>
    <n v="344324.06784000003"/>
    <n v="0.98999709915875611"/>
    <s v="Apr-2025"/>
    <s v="Q2-2025"/>
    <s v="Asia → Japan → Osaka"/>
    <x v="0"/>
    <s v="High"/>
    <s v="JAPAN"/>
    <d v="2023-03-03T00:00:00"/>
    <s v="Mar-2023"/>
    <d v="2025-04-30T00:00:00"/>
    <n v="1"/>
  </r>
  <r>
    <s v="ORD-2023-868460"/>
    <d v="2023-06-01T00:00:00"/>
    <d v="2023-06-01T00:00:00"/>
    <s v="Asia"/>
    <x v="3"/>
    <s v="Bengaluru"/>
    <s v="Corporate"/>
    <s v="Retail"/>
    <s v="E. Garcia"/>
    <x v="6"/>
    <s v="ACC-4587"/>
    <n v="669.37"/>
    <n v="997.2"/>
    <n v="8.2000000000000003E-2"/>
    <n v="5"/>
    <s v="Valid"/>
    <n v="997.2"/>
    <b v="0"/>
    <n v="8.2000000000000003E-2"/>
    <n v="0"/>
    <d v="2023-06-01T00:00:00"/>
    <n v="0"/>
    <n v="498191.14800000004"/>
    <n v="4986"/>
    <n v="493205.14800000004"/>
    <n v="0.98999179327048181"/>
    <s v="Jun-2023"/>
    <s v="Q2-2023"/>
    <s v="Asia → India → Bengaluru"/>
    <x v="0"/>
    <s v="Low"/>
    <s v="INDIA"/>
    <d v="2023-01-29T00:00:00"/>
    <s v="Jan-2023"/>
    <d v="2023-06-30T00:00:00"/>
    <n v="1"/>
  </r>
  <r>
    <s v="ORD-2025-177994"/>
    <d v="2025-03-24T00:00:00"/>
    <d v="2025-04-04T00:00:00"/>
    <s v="Asia"/>
    <x v="3"/>
    <s v="Mumbai"/>
    <s v="Education"/>
    <s v="Marketplace"/>
    <s v="J. Njeri"/>
    <x v="3"/>
    <s v="PHN-4395"/>
    <n v="23.83"/>
    <n v="47.29"/>
    <n v="6.4000000000000001E-2"/>
    <n v="19"/>
    <s v="Valid"/>
    <n v="47.29"/>
    <b v="0"/>
    <n v="6.4000000000000001E-2"/>
    <n v="11"/>
    <d v="2025-04-04T00:00:00"/>
    <n v="11"/>
    <n v="89793.495360000001"/>
    <n v="898.51"/>
    <n v="88894.985360000006"/>
    <n v="0.98999359590137692"/>
    <s v="Mar-2025"/>
    <s v="Q1-2025"/>
    <s v="Asia → India → Mumbai"/>
    <x v="2"/>
    <s v="High"/>
    <s v="INDIA"/>
    <d v="2023-01-29T00:00:00"/>
    <s v="Jan-2023"/>
    <d v="2025-03-31T00:00:00"/>
    <n v="0"/>
  </r>
  <r>
    <s v="ORD-2024-355095"/>
    <d v="2024-01-02T00:00:00"/>
    <d v="2024-01-02T00:00:00"/>
    <s v="Americas"/>
    <x v="2"/>
    <s v="Vancouver"/>
    <s v="Education"/>
    <s v="Direct"/>
    <s v="A. Patel"/>
    <x v="4"/>
    <s v="LAP-3581"/>
    <n v="444.41"/>
    <n v="754.24"/>
    <n v="0.20699999999999999"/>
    <n v="32"/>
    <s v="Valid"/>
    <n v="754.24"/>
    <b v="0"/>
    <n v="0.20699999999999999"/>
    <n v="0"/>
    <d v="2024-01-02T00:00:00"/>
    <n v="0"/>
    <n v="2408571.9142400003"/>
    <n v="24135.68"/>
    <n v="2384436.2342400001"/>
    <n v="0.98997925706211853"/>
    <s v="Jan-2024"/>
    <s v="Q1-2024"/>
    <s v="Americas → Canada → Vancouver"/>
    <x v="2"/>
    <s v="Medium"/>
    <s v="CANADA"/>
    <d v="2023-01-02T00:00:00"/>
    <s v="Jan-2023"/>
    <d v="2024-01-31T00:00:00"/>
    <n v="1"/>
  </r>
  <r>
    <s v="ORD-2023-126505"/>
    <d v="2023-12-19T00:00:00"/>
    <d v="2024-01-01T00:00:00"/>
    <s v="Americas"/>
    <x v="2"/>
    <s v="Toronto"/>
    <s v="Enterprise"/>
    <s v="Retail"/>
    <s v="K. Singh"/>
    <x v="5"/>
    <s v="MON-6065"/>
    <n v="856.1"/>
    <n v="901.48"/>
    <n v="5.6000000000000001E-2"/>
    <n v="17"/>
    <s v="Valid"/>
    <n v="901.48"/>
    <b v="0"/>
    <n v="5.6000000000000001E-2"/>
    <n v="13"/>
    <d v="2024-01-01T00:00:00"/>
    <n v="13"/>
    <n v="1531657.79104"/>
    <n v="15325.16"/>
    <n v="1516332.6310400001"/>
    <n v="0.98999439686224289"/>
    <s v="Dec-2023"/>
    <s v="Q4-2023"/>
    <s v="Americas → Canada → Toronto"/>
    <x v="1"/>
    <s v="Medium"/>
    <s v="CANADA"/>
    <d v="2023-01-02T00:00:00"/>
    <s v="Jan-2023"/>
    <d v="2023-12-31T00:00:00"/>
    <n v="0"/>
  </r>
  <r>
    <s v="ORD-2023-340056"/>
    <d v="2023-04-26T00:00:00"/>
    <d v="2023-04-26T00:00:00"/>
    <s v="Europe"/>
    <x v="7"/>
    <s v="Marseille"/>
    <s v="Consumer"/>
    <s v="Direct"/>
    <s v="M. Rossi"/>
    <x v="0"/>
    <s v="CMP-4945"/>
    <n v="81.489999999999995"/>
    <n v="113.08"/>
    <n v="0.121"/>
    <n v="5"/>
    <s v="Valid"/>
    <n v="113.08"/>
    <b v="0"/>
    <n v="0.121"/>
    <n v="0"/>
    <d v="2023-04-26T00:00:00"/>
    <n v="0"/>
    <n v="56471.586600000002"/>
    <n v="565.4"/>
    <n v="55906.186600000001"/>
    <n v="0.98998788534126292"/>
    <s v="Apr-2023"/>
    <s v="Q2-2023"/>
    <s v="Europe → France → Marseille"/>
    <x v="0"/>
    <s v="Low"/>
    <s v="FRANCE"/>
    <d v="2023-01-10T00:00:00"/>
    <s v="Jan-2023"/>
    <d v="2023-04-30T00:00:00"/>
    <n v="1"/>
  </r>
  <r>
    <s v="ORD-2025-281413"/>
    <d v="2025-08-03T00:00:00"/>
    <d v="2025-08-16T00:00:00"/>
    <s v="Americas"/>
    <x v="2"/>
    <s v="Montreal"/>
    <s v="Enterprise"/>
    <s v="Distributor"/>
    <s v="O. Wang"/>
    <x v="2"/>
    <s v="NET-3785"/>
    <n v="698.66"/>
    <n v="868.62"/>
    <n v="7.1999999999999995E-2"/>
    <n v="15"/>
    <s v="Valid"/>
    <n v="868.62"/>
    <b v="0"/>
    <n v="7.1999999999999995E-2"/>
    <n v="13"/>
    <d v="2025-08-16T00:00:00"/>
    <n v="13"/>
    <n v="1301991.8903999999"/>
    <n v="13029.3"/>
    <n v="1288962.5903999999"/>
    <n v="0.98999279481226476"/>
    <s v="Aug-2025"/>
    <s v="Q3-2025"/>
    <s v="Americas → Canada → Montreal"/>
    <x v="0"/>
    <s v="High"/>
    <s v="CANADA"/>
    <d v="2023-01-02T00:00:00"/>
    <s v="Jan-2023"/>
    <d v="2025-08-31T00:00:00"/>
    <n v="0"/>
  </r>
  <r>
    <s v="ORD-2023-713614"/>
    <d v="2023-08-02T00:00:00"/>
    <d v="2023-08-19T00:00:00"/>
    <s v="Americas"/>
    <x v="2"/>
    <s v="Vancouver"/>
    <s v="Corporate"/>
    <s v="Online"/>
    <s v="F. Müller"/>
    <x v="2"/>
    <s v="NET-3689"/>
    <n v="175.38"/>
    <n v="347.9"/>
    <n v="7.1999999999999995E-2"/>
    <n v="43"/>
    <s v="Valid"/>
    <n v="347.9"/>
    <b v="0"/>
    <n v="7.1999999999999995E-2"/>
    <n v="17"/>
    <d v="2023-08-19T00:00:00"/>
    <n v="17"/>
    <n v="1494892.9015999998"/>
    <n v="14959.699999999999"/>
    <n v="1479933.2015999998"/>
    <n v="0.98999279481226488"/>
    <s v="Aug-2023"/>
    <s v="Q3-2023"/>
    <s v="Americas → Canada → Vancouver"/>
    <x v="0"/>
    <s v="Low"/>
    <s v="CANADA"/>
    <d v="2023-01-02T00:00:00"/>
    <s v="Jan-2023"/>
    <d v="2023-08-31T00:00:00"/>
    <n v="0"/>
  </r>
  <r>
    <s v="ORD-2023-173313"/>
    <d v="2023-06-15T00:00:00"/>
    <d v="2023-07-12T00:00:00"/>
    <s v="Europe"/>
    <x v="8"/>
    <s v="Manchester"/>
    <s v="Consumer"/>
    <s v="Direct"/>
    <s v="I. Johnson"/>
    <x v="6"/>
    <s v="ACC-3833"/>
    <n v="751.28"/>
    <n v="1111.8800000000001"/>
    <n v="0.13500000000000001"/>
    <n v="7"/>
    <s v="Valid"/>
    <n v="1111.8800000000001"/>
    <b v="0"/>
    <n v="0.13500000000000001"/>
    <n v="27"/>
    <d v="2023-07-12T00:00:00"/>
    <n v="27"/>
    <n v="777265.27340000006"/>
    <n v="7783.1600000000008"/>
    <n v="769482.11340000003"/>
    <n v="0.98998648175036297"/>
    <s v="Jun-2023"/>
    <s v="Q2-2023"/>
    <s v="Europe → United Kingdom → Manchester"/>
    <x v="0"/>
    <s v="Low"/>
    <s v="UNITED KINGDOM"/>
    <d v="2023-01-19T00:00:00"/>
    <s v="Jan-2023"/>
    <d v="2023-06-30T00:00:00"/>
    <n v="0"/>
  </r>
  <r>
    <s v="ORD-2024-496601"/>
    <d v="2024-11-11T00:00:00"/>
    <d v="2024-11-24T00:00:00"/>
    <s v="Europe"/>
    <x v="8"/>
    <s v="London"/>
    <s v="Corporate"/>
    <s v="Retail"/>
    <s v="E. Garcia"/>
    <x v="2"/>
    <s v="NET-2932"/>
    <n v="164.53"/>
    <n v="327.72"/>
    <n v="6.7000000000000004E-2"/>
    <n v="14"/>
    <s v="Valid"/>
    <n v="327.72"/>
    <b v="0"/>
    <n v="6.7000000000000004E-2"/>
    <n v="13"/>
    <d v="2024-11-24T00:00:00"/>
    <n v="13"/>
    <n v="458500.59864000004"/>
    <n v="4588.08"/>
    <n v="453912.51864000002"/>
    <n v="0.98999329550799031"/>
    <s v="Nov-2024"/>
    <s v="Q4-2024"/>
    <s v="Europe → United Kingdom → London"/>
    <x v="0"/>
    <s v="High"/>
    <s v="UNITED KINGDOM"/>
    <d v="2023-01-19T00:00:00"/>
    <s v="Jan-2023"/>
    <d v="2024-11-30T00:00:00"/>
    <n v="0"/>
  </r>
  <r>
    <s v="ORD-2025-155182"/>
    <d v="2025-07-11T00:00:00"/>
    <d v="2025-08-03T00:00:00"/>
    <s v="Africa"/>
    <x v="0"/>
    <s v="Nakuru"/>
    <s v="Small Business"/>
    <s v="Retail"/>
    <s v="C. Otieno"/>
    <x v="3"/>
    <s v="PHN-7636"/>
    <n v="389.93"/>
    <n v="486.13"/>
    <n v="0.13200000000000001"/>
    <n v="17"/>
    <s v="Valid"/>
    <n v="486.13"/>
    <b v="0"/>
    <n v="0.13200000000000001"/>
    <n v="23"/>
    <d v="2025-08-03T00:00:00"/>
    <n v="23"/>
    <n v="825330.12427999987"/>
    <n v="8264.2099999999991"/>
    <n v="817065.91427999991"/>
    <n v="0.98998678255297001"/>
    <s v="Jul-2025"/>
    <s v="Q3-2025"/>
    <s v="Africa → Kenya → Nakuru"/>
    <x v="2"/>
    <s v="High"/>
    <s v="KENYA"/>
    <d v="2023-01-20T00:00:00"/>
    <s v="Jan-2023"/>
    <d v="2025-07-31T00:00:00"/>
    <n v="0"/>
  </r>
  <r>
    <s v="ORD-2023-244375"/>
    <d v="2023-06-03T00:00:00"/>
    <d v="2023-07-01T00:00:00"/>
    <s v="Americas"/>
    <x v="4"/>
    <s v="Brasília"/>
    <s v="Small Business"/>
    <s v="Marketplace"/>
    <s v="A. Patel"/>
    <x v="0"/>
    <s v="CMP-1223"/>
    <n v="860.4"/>
    <n v="2066.6"/>
    <n v="0.01"/>
    <n v="3"/>
    <s v="Valid"/>
    <n v="2066.6"/>
    <b v="0"/>
    <n v="0.01"/>
    <n v="28"/>
    <d v="2023-07-01T00:00:00"/>
    <n v="28"/>
    <n v="619918.00199999986"/>
    <n v="6199.7999999999993"/>
    <n v="613718.20199999982"/>
    <n v="0.98999899989998996"/>
    <s v="Jun-2023"/>
    <s v="Q2-2023"/>
    <s v="Americas → Brazil → Brasília"/>
    <x v="0"/>
    <s v="Low"/>
    <s v="BRAZIL"/>
    <d v="2023-01-29T00:00:00"/>
    <s v="Jan-2023"/>
    <d v="2023-06-30T00:00:00"/>
    <n v="0"/>
  </r>
  <r>
    <s v="ORD-2023-856322"/>
    <d v="2023-01-29T00:00:00"/>
    <d v="2023-02-06T00:00:00"/>
    <s v="Americas"/>
    <x v="4"/>
    <s v="Brasília"/>
    <s v="Corporate"/>
    <s v="Marketplace"/>
    <s v="D. Smith"/>
    <x v="5"/>
    <s v="MON-7207"/>
    <n v="41.84"/>
    <n v="86.2"/>
    <n v="0.22600000000000001"/>
    <n v="27"/>
    <s v="Valid"/>
    <n v="86.2"/>
    <b v="0"/>
    <n v="0.22600000000000001"/>
    <n v="8"/>
    <d v="2023-02-06T00:00:00"/>
    <n v="8"/>
    <n v="232214.00760000001"/>
    <n v="2327.4"/>
    <n v="229886.60760000002"/>
    <n v="0.98997734880830679"/>
    <s v="Jan-2023"/>
    <s v="Q1-2023"/>
    <s v="Americas → Brazil → Brasília"/>
    <x v="1"/>
    <s v="Low"/>
    <s v="BRAZIL"/>
    <d v="2023-01-29T00:00:00"/>
    <s v="Jan-2023"/>
    <d v="2023-01-31T00:00:00"/>
    <n v="0"/>
  </r>
  <r>
    <s v="ORD-2024-594527"/>
    <d v="2024-09-06T00:00:00"/>
    <d v="2024-09-04T00:00:00"/>
    <s v="Asia"/>
    <x v="6"/>
    <s v="Osaka"/>
    <s v="Corporate"/>
    <s v="Direct"/>
    <s v="A. Patel"/>
    <x v="4"/>
    <s v="LAP-4483"/>
    <n v="1368.17"/>
    <n v="2307.75"/>
    <n v="0.16300000000000001"/>
    <n v="21"/>
    <s v="Valid"/>
    <n v="2307.75"/>
    <b v="0"/>
    <n v="0.16300000000000001"/>
    <n v="-2"/>
    <d v="2024-09-13T00:00:00"/>
    <n v="7"/>
    <n v="4838375.5717500001"/>
    <n v="48462.75"/>
    <n v="4789912.8217500001"/>
    <n v="0.98998367338762183"/>
    <s v="Sep-2024"/>
    <s v="Q3-2024"/>
    <s v="Asia → Japan → Osaka"/>
    <x v="2"/>
    <s v="Medium"/>
    <s v="JAPAN"/>
    <d v="2023-03-03T00:00:00"/>
    <s v="Mar-2023"/>
    <d v="2024-09-30T00:00:00"/>
    <n v="1"/>
  </r>
  <r>
    <s v="ORD-2024-689872"/>
    <d v="2024-08-03T00:00:00"/>
    <d v="2024-08-09T00:00:00"/>
    <s v="Africa"/>
    <x v="0"/>
    <s v="Mombasa"/>
    <s v="Consumer"/>
    <s v="Marketplace"/>
    <s v="H. Kim"/>
    <x v="4"/>
    <s v="LAP-1969"/>
    <n v="643.21"/>
    <n v="1112.81"/>
    <n v="0.14099999999999999"/>
    <n v="4"/>
    <s v="Valid"/>
    <n v="1112.81"/>
    <b v="0"/>
    <n v="0.14099999999999999"/>
    <n v="6"/>
    <d v="2024-08-09T00:00:00"/>
    <n v="6"/>
    <n v="444496.37515999994"/>
    <n v="4451.24"/>
    <n v="440045.13515999995"/>
    <n v="0.98998588009092825"/>
    <s v="Aug-2024"/>
    <s v="Q3-2024"/>
    <s v="Africa → Kenya → Mombasa"/>
    <x v="2"/>
    <s v="Medium"/>
    <s v="KENYA"/>
    <d v="2023-01-20T00:00:00"/>
    <s v="Jan-2023"/>
    <d v="2024-08-31T00:00:00"/>
    <n v="1"/>
  </r>
  <r>
    <s v="ORD-2025-246692"/>
    <d v="2025-04-17T00:00:00"/>
    <d v="2025-04-17T00:00:00"/>
    <s v="Americas"/>
    <x v="4"/>
    <s v="São Paulo"/>
    <s v="Corporate"/>
    <s v="Distributor"/>
    <s v="L. Okafor"/>
    <x v="3"/>
    <s v="PHN-4566"/>
    <n v="719.41"/>
    <n v="1125.99"/>
    <n v="4.1000000000000002E-2"/>
    <n v="21"/>
    <s v="Valid"/>
    <n v="1125.99"/>
    <b v="0"/>
    <n v="4.1000000000000002E-2"/>
    <n v="0"/>
    <d v="2025-04-17T00:00:00"/>
    <n v="0"/>
    <n v="2363609.5226100003"/>
    <n v="23645.79"/>
    <n v="2339963.7326100003"/>
    <n v="0.98999589831831047"/>
    <s v="Apr-2025"/>
    <s v="Q2-2025"/>
    <s v="Americas → Brazil → São Paulo"/>
    <x v="2"/>
    <s v="High"/>
    <s v="BRAZIL"/>
    <d v="2023-01-29T00:00:00"/>
    <s v="Jan-2023"/>
    <d v="2025-04-30T00:00:00"/>
    <n v="1"/>
  </r>
  <r>
    <s v="ORD-2023-378676"/>
    <d v="2023-05-03T00:00:00"/>
    <d v="2023-05-16T00:00:00"/>
    <s v="Americas"/>
    <x v="10"/>
    <s v="New York"/>
    <s v="Corporate"/>
    <s v="Marketplace"/>
    <s v="L. Okafor"/>
    <x v="3"/>
    <s v="PHN-5366"/>
    <n v="64.5"/>
    <n v="123.62"/>
    <n v="0"/>
    <n v="3"/>
    <s v="Valid"/>
    <n v="123.62"/>
    <b v="0"/>
    <n v="0"/>
    <n v="13"/>
    <d v="2023-05-16T00:00:00"/>
    <n v="13"/>
    <n v="37086"/>
    <n v="370.86"/>
    <n v="36715.14"/>
    <n v="0.99"/>
    <s v="May-2023"/>
    <s v="Q2-2023"/>
    <s v="Americas → USA → New York"/>
    <x v="2"/>
    <s v="Low"/>
    <s v="USA"/>
    <d v="2023-01-13T00:00:00"/>
    <s v="Jan-2023"/>
    <d v="2023-05-31T00:00:00"/>
    <n v="0"/>
  </r>
  <r>
    <s v="ORD-2024-243988"/>
    <d v="2024-03-13T00:00:00"/>
    <d v="2024-04-06T00:00:00"/>
    <s v="Africa"/>
    <x v="1"/>
    <s v="Abuja"/>
    <s v="Consumer"/>
    <s v="Distributor"/>
    <s v="L. Okafor"/>
    <x v="0"/>
    <s v="CMP-9001"/>
    <n v="1232.78"/>
    <n v="1731.75"/>
    <n v="9.2999999999999999E-2"/>
    <n v="16"/>
    <s v="Valid"/>
    <n v="1731.75"/>
    <b v="0"/>
    <n v="9.2999999999999999E-2"/>
    <n v="24"/>
    <d v="2024-04-06T00:00:00"/>
    <n v="24"/>
    <n v="2768223.156"/>
    <n v="27708"/>
    <n v="2740515.156"/>
    <n v="0.98999069134294893"/>
    <s v="Mar-2024"/>
    <s v="Q1-2024"/>
    <s v="Africa → Nigeria → Abuja"/>
    <x v="0"/>
    <s v="Medium"/>
    <s v="NIGERIA"/>
    <d v="2023-01-15T00:00:00"/>
    <s v="Jan-2023"/>
    <d v="2024-03-31T00:00:00"/>
    <n v="0"/>
  </r>
  <r>
    <s v="ORD-2024-572312"/>
    <d v="2024-06-16T00:00:00"/>
    <d v="2024-06-21T00:00:00"/>
    <s v="Asia"/>
    <x v="6"/>
    <s v="Tokyo"/>
    <s v="Small Business"/>
    <s v="Distributor"/>
    <s v="F. Müller"/>
    <x v="3"/>
    <s v="PHN-9677"/>
    <n v="1367.13"/>
    <n v="3062.01"/>
    <n v="0.10299999999999999"/>
    <n v="25"/>
    <s v="Valid"/>
    <n v="3062.01"/>
    <b v="0"/>
    <n v="0.10299999999999999"/>
    <n v="5"/>
    <d v="2024-06-21T00:00:00"/>
    <n v="5"/>
    <n v="7647140.3242500005"/>
    <n v="76550.25"/>
    <n v="7570590.0742500005"/>
    <n v="0.98998968938006149"/>
    <s v="Jun-2024"/>
    <s v="Q2-2024"/>
    <s v="Asia → Japan → Tokyo"/>
    <x v="2"/>
    <s v="Medium"/>
    <s v="JAPAN"/>
    <d v="2023-03-03T00:00:00"/>
    <s v="Mar-2023"/>
    <d v="2024-06-30T00:00:00"/>
    <n v="1"/>
  </r>
  <r>
    <s v="ORD-2025-281062"/>
    <d v="2025-02-15T00:00:00"/>
    <d v="2025-02-27T00:00:00"/>
    <s v="Europe"/>
    <x v="7"/>
    <s v="Lyon"/>
    <s v="Non-Profit"/>
    <s v="Direct"/>
    <s v="K. Singh"/>
    <x v="6"/>
    <s v="ACC-1604"/>
    <n v="1027.26"/>
    <n v="2200.41"/>
    <n v="8.7999999999999995E-2"/>
    <n v="6"/>
    <s v="Valid"/>
    <n v="2200.41"/>
    <b v="0"/>
    <n v="8.7999999999999995E-2"/>
    <n v="12"/>
    <d v="2025-02-27T00:00:00"/>
    <n v="12"/>
    <n v="1319084.18352"/>
    <n v="13202.46"/>
    <n v="1305881.72352"/>
    <n v="0.98999119224917931"/>
    <s v="Feb-2025"/>
    <s v="Q1-2025"/>
    <s v="Europe → France → Lyon"/>
    <x v="0"/>
    <s v="High"/>
    <s v="FRANCE"/>
    <d v="2023-01-10T00:00:00"/>
    <s v="Jan-2023"/>
    <d v="2025-02-28T00:00:00"/>
    <n v="0"/>
  </r>
  <r>
    <s v="ORD-2023-727290"/>
    <d v="2023-04-03T00:00:00"/>
    <d v="2023-04-16T00:00:00"/>
    <s v="Europe"/>
    <x v="7"/>
    <s v="Marseille"/>
    <s v="Non-Profit"/>
    <s v="Marketplace"/>
    <s v="M. Rossi"/>
    <x v="6"/>
    <s v="ACC-4815"/>
    <n v="790.54"/>
    <n v="601.49"/>
    <n v="0"/>
    <n v="15"/>
    <s v="Valid"/>
    <n v="601.49"/>
    <b v="0"/>
    <n v="0"/>
    <n v="13"/>
    <d v="2023-04-16T00:00:00"/>
    <n v="13"/>
    <n v="902235"/>
    <n v="9022.35"/>
    <n v="893212.65"/>
    <n v="0.99"/>
    <s v="Apr-2023"/>
    <s v="Q2-2023"/>
    <s v="Europe → France → Marseille"/>
    <x v="0"/>
    <s v="Low"/>
    <s v="FRANCE"/>
    <d v="2023-01-10T00:00:00"/>
    <s v="Jan-2023"/>
    <d v="2023-04-30T00:00:00"/>
    <n v="0"/>
  </r>
  <r>
    <s v="ORD-2025-993993"/>
    <d v="2025-08-30T00:00:00"/>
    <d v="2025-09-22T00:00:00"/>
    <s v="Europe"/>
    <x v="7"/>
    <s v="Marseille"/>
    <s v="Corporate"/>
    <s v="Direct"/>
    <s v="E. Garcia"/>
    <x v="0"/>
    <s v="CMP-5311"/>
    <n v="663.9"/>
    <n v="947.77"/>
    <n v="0.17399999999999999"/>
    <n v="15"/>
    <s v="Valid"/>
    <n v="947.77"/>
    <b v="0"/>
    <n v="0.17399999999999999"/>
    <n v="23"/>
    <d v="2025-09-22T00:00:00"/>
    <n v="23"/>
    <n v="1419181.3202999998"/>
    <n v="14216.55"/>
    <n v="1404964.7702999997"/>
    <n v="0.98998256967122789"/>
    <s v="Aug-2025"/>
    <s v="Q3-2025"/>
    <s v="Europe → France → Marseille"/>
    <x v="0"/>
    <s v="High"/>
    <s v="FRANCE"/>
    <d v="2023-01-10T00:00:00"/>
    <s v="Jan-2023"/>
    <d v="2025-08-31T00:00:00"/>
    <n v="0"/>
  </r>
  <r>
    <s v="ORD-2023-619493"/>
    <d v="2023-02-27T00:00:00"/>
    <d v="2023-02-26T00:00:00"/>
    <s v="Americas"/>
    <x v="10"/>
    <s v="San Francisco"/>
    <s v="Non-Profit"/>
    <s v="Online"/>
    <s v="L. Okafor"/>
    <x v="2"/>
    <s v="NET-1282"/>
    <n v="1015.91"/>
    <n v="2331.48"/>
    <n v="0.14599999999999999"/>
    <n v="26"/>
    <s v="Valid"/>
    <n v="2331.48"/>
    <b v="0"/>
    <n v="0.14599999999999999"/>
    <n v="-1"/>
    <d v="2023-03-06T00:00:00"/>
    <n v="7"/>
    <n v="6052997.7019199999"/>
    <n v="60618.48"/>
    <n v="5992379.2219199995"/>
    <n v="0.98998537865283309"/>
    <s v="Feb-2023"/>
    <s v="Q1-2023"/>
    <s v="Americas → USA → San Francisco"/>
    <x v="0"/>
    <s v="Low"/>
    <s v="USA"/>
    <d v="2023-01-13T00:00:00"/>
    <s v="Jan-2023"/>
    <d v="2023-02-28T00:00:00"/>
    <n v="1"/>
  </r>
  <r>
    <s v="ORD-2024-947056"/>
    <d v="2024-07-31T00:00:00"/>
    <d v="2024-08-15T00:00:00"/>
    <s v="Asia"/>
    <x v="6"/>
    <s v="Tokyo"/>
    <s v="Corporate"/>
    <s v="Marketplace"/>
    <s v="F. Müller"/>
    <x v="5"/>
    <s v="MON-1564"/>
    <n v="1252.52"/>
    <n v="1417.24"/>
    <n v="0.192"/>
    <n v="5"/>
    <s v="Valid"/>
    <n v="1417.24"/>
    <b v="0"/>
    <n v="0.192"/>
    <n v="15"/>
    <d v="2024-08-15T00:00:00"/>
    <n v="15"/>
    <n v="707259.44960000005"/>
    <n v="7086.2"/>
    <n v="700173.2496000001"/>
    <n v="0.98998076306508498"/>
    <s v="Jul-2024"/>
    <s v="Q3-2024"/>
    <s v="Asia → Japan → Tokyo"/>
    <x v="1"/>
    <s v="Medium"/>
    <s v="JAPAN"/>
    <d v="2023-03-03T00:00:00"/>
    <s v="Mar-2023"/>
    <d v="2024-07-31T00:00:00"/>
    <n v="0"/>
  </r>
  <r>
    <s v="ORD-2025-856556"/>
    <d v="2025-06-15T00:00:00"/>
    <d v="2025-07-12T00:00:00"/>
    <s v="Europe"/>
    <x v="7"/>
    <s v="Marseille"/>
    <s v="Consumer"/>
    <s v="Direct"/>
    <s v="C. Otieno"/>
    <x v="6"/>
    <s v="ACC-7906"/>
    <n v="318.83"/>
    <n v="699.5"/>
    <n v="0.08"/>
    <n v="13"/>
    <s v="Valid"/>
    <n v="699.5"/>
    <b v="0"/>
    <n v="0.08"/>
    <n v="27"/>
    <d v="2025-07-12T00:00:00"/>
    <n v="27"/>
    <n v="908622.52"/>
    <n v="9093.5"/>
    <n v="899529.02"/>
    <n v="0.98999199359487589"/>
    <s v="Jun-2025"/>
    <s v="Q2-2025"/>
    <s v="Europe → France → Marseille"/>
    <x v="0"/>
    <s v="High"/>
    <s v="FRANCE"/>
    <d v="2023-01-10T00:00:00"/>
    <s v="Jan-2023"/>
    <d v="2025-06-30T00:00:00"/>
    <n v="0"/>
  </r>
  <r>
    <s v="ORD-2024-442776"/>
    <d v="2024-06-30T00:00:00"/>
    <d v="2024-07-21T00:00:00"/>
    <s v="Africa"/>
    <x v="0"/>
    <s v="Kisumu"/>
    <s v="Small Business"/>
    <s v="Retail"/>
    <s v="K. Singh"/>
    <x v="4"/>
    <s v="LAP-6577"/>
    <n v="753.43"/>
    <n v="1787.2"/>
    <n v="7.2999999999999995E-2"/>
    <n v="9"/>
    <s v="Valid"/>
    <n v="1787.2"/>
    <b v="0"/>
    <n v="7.2999999999999995E-2"/>
    <n v="21"/>
    <d v="2024-07-21T00:00:00"/>
    <n v="21"/>
    <n v="1607305.8096000003"/>
    <n v="16084.800000000001"/>
    <n v="1591221.0096000002"/>
    <n v="0.98999269466710693"/>
    <s v="Jun-2024"/>
    <s v="Q2-2024"/>
    <s v="Africa → Kenya → Kisumu"/>
    <x v="2"/>
    <s v="Medium"/>
    <s v="KENYA"/>
    <d v="2023-01-20T00:00:00"/>
    <s v="Jan-2023"/>
    <d v="2024-06-30T00:00:00"/>
    <n v="0"/>
  </r>
  <r>
    <s v="ORD-2025-705398"/>
    <d v="2025-02-17T00:00:00"/>
    <d v="2025-02-15T00:00:00"/>
    <s v="Americas"/>
    <x v="2"/>
    <s v="Toronto"/>
    <s v="Small Business"/>
    <s v="Retail"/>
    <s v="D. Smith"/>
    <x v="0"/>
    <s v="CMP-5065"/>
    <n v="1133.47"/>
    <n v="1698.75"/>
    <n v="4.2999999999999997E-2"/>
    <n v="5"/>
    <s v="Valid"/>
    <n v="1698.75"/>
    <b v="0"/>
    <n v="4.2999999999999997E-2"/>
    <n v="-2"/>
    <d v="2025-02-24T00:00:00"/>
    <n v="7"/>
    <n v="849009.76874999993"/>
    <n v="8493.75"/>
    <n v="840516.01874999993"/>
    <n v="0.98999569815020461"/>
    <s v="Feb-2025"/>
    <s v="Q1-2025"/>
    <s v="Americas → Canada → Toronto"/>
    <x v="0"/>
    <s v="High"/>
    <s v="CANADA"/>
    <d v="2023-01-02T00:00:00"/>
    <s v="Jan-2023"/>
    <d v="2025-02-28T00:00:00"/>
    <n v="1"/>
  </r>
  <r>
    <s v="ORD-2023-689428"/>
    <d v="2023-01-07T00:00:00"/>
    <d v="2023-01-30T00:00:00"/>
    <s v="Africa"/>
    <x v="11"/>
    <s v="Cape Town"/>
    <s v="Consumer"/>
    <s v="Online"/>
    <s v="A. Patel"/>
    <x v="1"/>
    <s v="PRN-4787"/>
    <n v="299.02"/>
    <n v="724.7"/>
    <n v="0.14000000000000001"/>
    <n v="5"/>
    <s v="Valid"/>
    <n v="724.7"/>
    <b v="0"/>
    <n v="0.14000000000000001"/>
    <n v="23"/>
    <d v="2023-01-30T00:00:00"/>
    <n v="23"/>
    <n v="361842.71"/>
    <n v="3623.5"/>
    <n v="358219.21"/>
    <n v="0.9899859803725215"/>
    <s v="Jan-2023"/>
    <s v="Q1-2023"/>
    <s v="Africa → South Africa → Cape Town"/>
    <x v="1"/>
    <s v="Low"/>
    <s v="SOUTH AFRICA"/>
    <d v="2023-01-07T00:00:00"/>
    <s v="Jan-2023"/>
    <d v="2023-01-31T00:00:00"/>
    <n v="0"/>
  </r>
  <r>
    <s v="ORD-2025-683247"/>
    <d v="2025-03-10T00:00:00"/>
    <d v="2025-04-04T00:00:00"/>
    <s v="Asia"/>
    <x v="6"/>
    <s v="Osaka"/>
    <s v="Corporate"/>
    <s v="Direct"/>
    <s v="H. Kim"/>
    <x v="1"/>
    <s v="PRN-9867"/>
    <n v="783.72"/>
    <n v="1355.94"/>
    <n v="0.187"/>
    <n v="4"/>
    <s v="Valid"/>
    <n v="1355.94"/>
    <b v="0"/>
    <n v="0.187"/>
    <n v="25"/>
    <d v="2025-04-04T00:00:00"/>
    <n v="25"/>
    <n v="541361.75688"/>
    <n v="5423.76"/>
    <n v="535937.99687999999"/>
    <n v="0.98998126496548544"/>
    <s v="Mar-2025"/>
    <s v="Q1-2025"/>
    <s v="Asia → Japan → Osaka"/>
    <x v="1"/>
    <s v="High"/>
    <s v="JAPAN"/>
    <d v="2023-03-03T00:00:00"/>
    <s v="Mar-2023"/>
    <d v="2025-03-31T00:00:00"/>
    <n v="0"/>
  </r>
  <r>
    <s v="ORD-2024-585443"/>
    <d v="2024-08-17T00:00:00"/>
    <d v="2024-08-15T00:00:00"/>
    <s v="Americas"/>
    <x v="4"/>
    <s v="Rio de Janeiro"/>
    <s v="Consumer"/>
    <s v="Direct"/>
    <s v="M. Rossi"/>
    <x v="5"/>
    <s v="MON-2849"/>
    <n v="165.3"/>
    <n v="275.07"/>
    <n v="0.13300000000000001"/>
    <n v="25"/>
    <s v="Valid"/>
    <n v="275.07"/>
    <b v="0"/>
    <n v="0.13300000000000001"/>
    <n v="-2"/>
    <d v="2024-08-24T00:00:00"/>
    <n v="7"/>
    <n v="686760.39225000003"/>
    <n v="6876.75"/>
    <n v="679883.64225000003"/>
    <n v="0.98998668228744224"/>
    <s v="Aug-2024"/>
    <s v="Q3-2024"/>
    <s v="Americas → Brazil → Rio de Janeiro"/>
    <x v="1"/>
    <s v="Medium"/>
    <s v="BRAZIL"/>
    <d v="2023-01-29T00:00:00"/>
    <s v="Jan-2023"/>
    <d v="2024-08-31T00:00:00"/>
    <n v="1"/>
  </r>
  <r>
    <s v="ORD-2024-907733"/>
    <d v="2024-03-09T00:00:00"/>
    <d v="2024-03-22T00:00:00"/>
    <s v="Europe"/>
    <x v="8"/>
    <s v="Manchester"/>
    <s v="Consumer"/>
    <s v="Online"/>
    <s v="E. Garcia"/>
    <x v="4"/>
    <s v="LAP-8633"/>
    <n v="985.45"/>
    <n v="1802.44"/>
    <n v="8.9999999999999993E-3"/>
    <n v="19"/>
    <s v="Valid"/>
    <n v="1802.44"/>
    <b v="0"/>
    <n v="8.9999999999999993E-3"/>
    <n v="13"/>
    <d v="2024-03-22T00:00:00"/>
    <n v="13"/>
    <n v="3424327.7827599999"/>
    <n v="34246.36"/>
    <n v="3390081.42276"/>
    <n v="0.98999909991899271"/>
    <s v="Mar-2024"/>
    <s v="Q1-2024"/>
    <s v="Europe → United Kingdom → Manchester"/>
    <x v="2"/>
    <s v="Medium"/>
    <s v="UNITED KINGDOM"/>
    <d v="2023-01-19T00:00:00"/>
    <s v="Jan-2023"/>
    <d v="2024-03-31T00:00:00"/>
    <n v="0"/>
  </r>
  <r>
    <s v="ORD-2024-550400"/>
    <d v="2024-08-19T00:00:00"/>
    <d v="2024-09-02T00:00:00"/>
    <s v="Americas"/>
    <x v="2"/>
    <s v="Toronto"/>
    <s v="Consumer"/>
    <s v="Distributor"/>
    <s v="C. Otieno"/>
    <x v="1"/>
    <s v="PRN-9793"/>
    <n v="1337.01"/>
    <n v="1269.78"/>
    <n v="0.16"/>
    <n v="7"/>
    <s v="Valid"/>
    <n v="1269.78"/>
    <b v="0"/>
    <n v="0.16"/>
    <n v="14"/>
    <d v="2024-09-02T00:00:00"/>
    <n v="14"/>
    <n v="887423.84639999992"/>
    <n v="8888.4599999999991"/>
    <n v="878535.38639999996"/>
    <n v="0.98998397435897445"/>
    <s v="Aug-2024"/>
    <s v="Q3-2024"/>
    <s v="Americas → Canada → Toronto"/>
    <x v="1"/>
    <s v="Medium"/>
    <s v="CANADA"/>
    <d v="2023-01-02T00:00:00"/>
    <s v="Jan-2023"/>
    <d v="2024-08-31T00:00:00"/>
    <n v="0"/>
  </r>
  <r>
    <s v="ORD-2025-189846"/>
    <d v="2025-08-11T00:00:00"/>
    <d v="2025-08-28T00:00:00"/>
    <s v="Europe"/>
    <x v="7"/>
    <s v="Paris"/>
    <s v="Education"/>
    <s v="Online"/>
    <s v="F. Müller"/>
    <x v="2"/>
    <s v="NET-6218"/>
    <n v="416.16"/>
    <n v="571.9"/>
    <n v="7.0999999999999994E-2"/>
    <n v="2"/>
    <s v="Valid"/>
    <n v="571.9"/>
    <b v="0"/>
    <n v="7.0999999999999994E-2"/>
    <n v="17"/>
    <d v="2025-08-28T00:00:00"/>
    <n v="17"/>
    <n v="114298.7902"/>
    <n v="1143.8"/>
    <n v="113154.9902"/>
    <n v="0.98999289495541831"/>
    <s v="Aug-2025"/>
    <s v="Q3-2025"/>
    <s v="Europe → France → Paris"/>
    <x v="0"/>
    <s v="High"/>
    <s v="FRANCE"/>
    <d v="2023-01-10T00:00:00"/>
    <s v="Jan-2023"/>
    <d v="2025-08-31T00:00:00"/>
    <n v="0"/>
  </r>
  <r>
    <s v="ORD-2025-752192"/>
    <d v="2025-05-16T00:00:00"/>
    <d v="2025-05-18T00:00:00"/>
    <s v="Asia"/>
    <x v="6"/>
    <s v="Tokyo"/>
    <s v="Enterprise"/>
    <s v="Retail"/>
    <s v="J. Njeri"/>
    <x v="1"/>
    <s v="PRN-6131"/>
    <n v="1144.3800000000001"/>
    <n v="2755.04"/>
    <n v="0.15"/>
    <n v="17"/>
    <s v="Valid"/>
    <n v="2755.04"/>
    <b v="0"/>
    <n v="0.15"/>
    <n v="2"/>
    <d v="2025-05-18T00:00:00"/>
    <n v="2"/>
    <n v="4676542.648"/>
    <n v="46835.68"/>
    <n v="4629706.9680000003"/>
    <n v="0.9899849774661994"/>
    <s v="May-2025"/>
    <s v="Q2-2025"/>
    <s v="Asia → Japan → Tokyo"/>
    <x v="1"/>
    <s v="High"/>
    <s v="JAPAN"/>
    <d v="2023-03-03T00:00:00"/>
    <s v="Mar-2023"/>
    <d v="2025-05-31T00:00:00"/>
    <n v="1"/>
  </r>
  <r>
    <s v="ORD-2023-294716"/>
    <d v="2023-04-10T00:00:00"/>
    <d v="2023-04-25T00:00:00"/>
    <s v="Europe"/>
    <x v="8"/>
    <s v="London"/>
    <s v="Small Business"/>
    <s v="Retail"/>
    <s v="D. Smith"/>
    <x v="1"/>
    <s v="PRN-5067"/>
    <n v="405.66"/>
    <n v="962.51"/>
    <n v="0.19"/>
    <n v="7"/>
    <s v="Valid"/>
    <n v="962.51"/>
    <b v="0"/>
    <n v="0.19"/>
    <n v="15"/>
    <d v="2023-04-25T00:00:00"/>
    <n v="15"/>
    <n v="672476.86170000001"/>
    <n v="6737.57"/>
    <n v="665739.29170000006"/>
    <n v="0.98998096383127954"/>
    <s v="Apr-2023"/>
    <s v="Q2-2023"/>
    <s v="Europe → United Kingdom → London"/>
    <x v="1"/>
    <s v="Low"/>
    <s v="UNITED KINGDOM"/>
    <d v="2023-01-19T00:00:00"/>
    <s v="Jan-2023"/>
    <d v="2023-04-30T00:00:00"/>
    <n v="0"/>
  </r>
  <r>
    <s v="ORD-2023-552115"/>
    <d v="2023-09-17T00:00:00"/>
    <d v="2023-10-02T00:00:00"/>
    <s v="Americas"/>
    <x v="4"/>
    <s v="Rio de Janeiro"/>
    <s v="Small Business"/>
    <s v="Retail"/>
    <s v="B. Chen"/>
    <x v="4"/>
    <s v="LAP-4932"/>
    <n v="689.33"/>
    <n v="668.27"/>
    <n v="0.186"/>
    <n v="13"/>
    <s v="Valid"/>
    <n v="668.27"/>
    <b v="0"/>
    <n v="0.186"/>
    <n v="15"/>
    <d v="2023-10-02T00:00:00"/>
    <n v="15"/>
    <n v="867135.12313999992"/>
    <n v="8687.51"/>
    <n v="858447.61313999991"/>
    <n v="0.98998136533953152"/>
    <s v="Sep-2023"/>
    <s v="Q3-2023"/>
    <s v="Americas → Brazil → Rio de Janeiro"/>
    <x v="2"/>
    <s v="Low"/>
    <s v="BRAZIL"/>
    <d v="2023-01-29T00:00:00"/>
    <s v="Jan-2023"/>
    <d v="2023-09-30T00:00:00"/>
    <n v="0"/>
  </r>
  <r>
    <s v="ORD-2023-107265"/>
    <d v="2023-04-22T00:00:00"/>
    <d v="2023-05-14T00:00:00"/>
    <s v="Asia"/>
    <x v="6"/>
    <s v="Nagoya"/>
    <s v="Enterprise"/>
    <s v="Retail"/>
    <s v="A. Patel"/>
    <x v="6"/>
    <s v="ACC-7713"/>
    <n v="1209.22"/>
    <n v="1404.33"/>
    <n v="0.10299999999999999"/>
    <n v="11"/>
    <s v="Valid"/>
    <n v="1404.33"/>
    <b v="0"/>
    <n v="0.10299999999999999"/>
    <n v="22"/>
    <d v="2023-05-14T00:00:00"/>
    <n v="22"/>
    <n v="1543171.89411"/>
    <n v="15447.63"/>
    <n v="1527724.2641100001"/>
    <n v="0.98998968938006149"/>
    <s v="Apr-2023"/>
    <s v="Q2-2023"/>
    <s v="Asia → Japan → Nagoya"/>
    <x v="0"/>
    <s v="Low"/>
    <s v="JAPAN"/>
    <d v="2023-03-03T00:00:00"/>
    <s v="Mar-2023"/>
    <d v="2023-04-30T00:00:00"/>
    <n v="0"/>
  </r>
  <r>
    <s v="ORD-2025-262434"/>
    <d v="2025-06-19T00:00:00"/>
    <d v="2025-06-21T00:00:00"/>
    <s v="Africa"/>
    <x v="11"/>
    <s v="Johannesburg"/>
    <s v="Small Business"/>
    <s v="Unknown Channel "/>
    <s v="H. Kim"/>
    <x v="3"/>
    <s v="PHN-7379"/>
    <n v="1466.27"/>
    <n v="3589.89"/>
    <n v="9.7000000000000003E-2"/>
    <n v="9"/>
    <s v="Valid"/>
    <n v="3589.89"/>
    <b v="0"/>
    <n v="9.7000000000000003E-2"/>
    <n v="2"/>
    <d v="2025-06-21T00:00:00"/>
    <n v="2"/>
    <n v="3227767.0260299998"/>
    <n v="32309.01"/>
    <n v="3195458.0160300001"/>
    <n v="0.9899902905818645"/>
    <s v="Jun-2025"/>
    <s v="Q2-2025"/>
    <s v="Africa → South Africa → Johannesburg"/>
    <x v="2"/>
    <s v="High"/>
    <s v="SOUTH AFRICA"/>
    <d v="2023-01-07T00:00:00"/>
    <s v="Jan-2023"/>
    <d v="2025-06-30T00:00:00"/>
    <n v="1"/>
  </r>
  <r>
    <s v="ORD-2024-266562"/>
    <d v="2024-11-27T00:00:00"/>
    <d v="2024-12-24T00:00:00"/>
    <s v="Africa"/>
    <x v="0"/>
    <s v="Mombasa"/>
    <s v="Corporate"/>
    <s v="Distributor"/>
    <s v="B. Chen"/>
    <x v="1"/>
    <s v="PRN-5569"/>
    <n v="143.33000000000001"/>
    <n v="233.51"/>
    <n v="0.16300000000000001"/>
    <n v="14"/>
    <s v="Valid"/>
    <n v="233.51"/>
    <b v="0"/>
    <n v="0.16300000000000001"/>
    <n v="27"/>
    <d v="2024-12-24T00:00:00"/>
    <n v="27"/>
    <n v="326381.13017999998"/>
    <n v="3269.14"/>
    <n v="323111.99017999996"/>
    <n v="0.98998367338762183"/>
    <s v="Nov-2024"/>
    <s v="Q4-2024"/>
    <s v="Africa → Kenya → Mombasa"/>
    <x v="1"/>
    <s v="High"/>
    <s v="KENYA"/>
    <d v="2023-01-20T00:00:00"/>
    <s v="Jan-2023"/>
    <d v="2024-11-30T00:00:00"/>
    <n v="0"/>
  </r>
  <r>
    <s v="ORD-2024-838925"/>
    <d v="2024-01-28T00:00:00"/>
    <d v="2024-01-27T00:00:00"/>
    <s v="Africa"/>
    <x v="11"/>
    <s v="Cape Town"/>
    <s v="Enterprise"/>
    <s v="Direct"/>
    <s v="O. Wang"/>
    <x v="0"/>
    <s v="CMP-1470"/>
    <n v="109.75"/>
    <n v="124.25"/>
    <n v="0.12"/>
    <n v="19"/>
    <s v="Valid"/>
    <n v="124.25"/>
    <b v="0"/>
    <n v="0.12"/>
    <n v="-1"/>
    <d v="2024-02-04T00:00:00"/>
    <n v="7"/>
    <n v="235791.71"/>
    <n v="2360.75"/>
    <n v="233430.96"/>
    <n v="0.98998798558269929"/>
    <s v="Jan-2024"/>
    <s v="Q1-2024"/>
    <s v="Africa → South Africa → Cape Town"/>
    <x v="0"/>
    <s v="Medium"/>
    <s v="SOUTH AFRICA"/>
    <d v="2023-01-07T00:00:00"/>
    <s v="Jan-2023"/>
    <d v="2024-01-31T00:00:00"/>
    <n v="1"/>
  </r>
  <r>
    <s v="ORD-2023-664790"/>
    <d v="2023-04-16T00:00:00"/>
    <d v="2023-04-23T00:00:00"/>
    <s v="Americas"/>
    <x v="10"/>
    <s v="Austin"/>
    <s v="Corporate"/>
    <s v="Distributor"/>
    <s v="O. Wang"/>
    <x v="1"/>
    <s v="PRN-9249"/>
    <n v="1099.1500000000001"/>
    <n v="1431.37"/>
    <n v="0.104"/>
    <n v="8"/>
    <s v="Valid"/>
    <n v="1431.37"/>
    <b v="0"/>
    <n v="0.104"/>
    <n v="7"/>
    <d v="2023-04-23T00:00:00"/>
    <n v="7"/>
    <n v="1143905.1001599999"/>
    <n v="11450.96"/>
    <n v="1132454.14016"/>
    <n v="0.98998958917273971"/>
    <s v="Apr-2023"/>
    <s v="Q2-2023"/>
    <s v="Americas → USA → Austin"/>
    <x v="1"/>
    <s v="Low"/>
    <s v="USA"/>
    <d v="2023-01-13T00:00:00"/>
    <s v="Jan-2023"/>
    <d v="2023-04-30T00:00:00"/>
    <n v="1"/>
  </r>
  <r>
    <s v="ORD-2024-331408"/>
    <d v="2024-02-01T00:00:00"/>
    <d v="2024-02-01T00:00:00"/>
    <s v="Americas"/>
    <x v="10"/>
    <s v="Austin"/>
    <s v="Consumer"/>
    <s v="Distributor"/>
    <s v="H. Kim"/>
    <x v="1"/>
    <s v="PRN-4906"/>
    <n v="714.43"/>
    <n v="1595.52"/>
    <n v="0.19400000000000001"/>
    <n v="14"/>
    <s v="Valid"/>
    <n v="1595.52"/>
    <b v="0"/>
    <n v="0.19400000000000001"/>
    <n v="0"/>
    <d v="2024-02-01T00:00:00"/>
    <n v="0"/>
    <n v="2229394.5676799999"/>
    <n v="22337.279999999999"/>
    <n v="2207057.2876800001"/>
    <n v="0.9899805622908443"/>
    <s v="Feb-2024"/>
    <s v="Q1-2024"/>
    <s v="Americas → USA → Austin"/>
    <x v="1"/>
    <s v="Medium"/>
    <s v="USA"/>
    <d v="2023-01-13T00:00:00"/>
    <s v="Jan-2023"/>
    <d v="2024-02-29T00:00:00"/>
    <n v="1"/>
  </r>
  <r>
    <s v="ORD-2024-741404"/>
    <d v="2024-10-19T00:00:00"/>
    <d v="2024-11-06T00:00:00"/>
    <s v="Americas"/>
    <x v="10"/>
    <s v="Chicago"/>
    <s v="Education"/>
    <s v="Unknown Channel "/>
    <s v="C. Otieno"/>
    <x v="5"/>
    <s v="MON-8129"/>
    <n v="942.02"/>
    <n v="1028.46"/>
    <n v="0"/>
    <n v="9"/>
    <s v="Valid"/>
    <n v="1028.46"/>
    <b v="0"/>
    <n v="0"/>
    <n v="18"/>
    <d v="2024-11-06T00:00:00"/>
    <n v="18"/>
    <n v="925614"/>
    <n v="9256.14"/>
    <n v="916357.86"/>
    <n v="0.99"/>
    <s v="Oct-2024"/>
    <s v="Q4-2024"/>
    <s v="Americas → USA → Chicago"/>
    <x v="1"/>
    <s v="Medium"/>
    <s v="USA"/>
    <d v="2023-01-13T00:00:00"/>
    <s v="Jan-2023"/>
    <d v="2024-10-31T00:00:00"/>
    <n v="0"/>
  </r>
  <r>
    <s v="ORD-2024-341535"/>
    <d v="2024-06-25T00:00:00"/>
    <d v="2024-06-30T00:00:00"/>
    <s v="Africa"/>
    <x v="0"/>
    <s v="Kisumu"/>
    <s v="Education"/>
    <s v="Direct"/>
    <s v="M. Rossi"/>
    <x v="2"/>
    <s v="NET-5987"/>
    <n v="1323.55"/>
    <n v="3230.35"/>
    <n v="2.1999999999999999E-2"/>
    <n v="26"/>
    <s v="Valid"/>
    <n v="3230.35"/>
    <b v="0"/>
    <n v="2.1999999999999999E-2"/>
    <n v="5"/>
    <d v="2024-06-30T00:00:00"/>
    <n v="5"/>
    <n v="8397062.2397999987"/>
    <n v="83989.099999999991"/>
    <n v="8313073.1397999991"/>
    <n v="0.98999779951589351"/>
    <s v="Jun-2024"/>
    <s v="Q2-2024"/>
    <s v="Africa → Kenya → Kisumu"/>
    <x v="0"/>
    <s v="Medium"/>
    <s v="KENYA"/>
    <d v="2023-01-20T00:00:00"/>
    <s v="Jan-2023"/>
    <d v="2024-06-30T00:00:00"/>
    <n v="1"/>
  </r>
  <r>
    <s v="ORD-2023-451931"/>
    <d v="2023-07-30T00:00:00"/>
    <d v="2023-08-19T00:00:00"/>
    <s v="Europe"/>
    <x v="7"/>
    <s v="Paris"/>
    <s v="Enterprise"/>
    <s v="Marketplace"/>
    <s v="G. Dubois"/>
    <x v="2"/>
    <s v="NET-5423"/>
    <n v="1418.51"/>
    <n v="2789.61"/>
    <n v="0.17100000000000001"/>
    <n v="8"/>
    <s v="Valid"/>
    <n v="2789.61"/>
    <b v="0"/>
    <n v="0.17100000000000001"/>
    <n v="20"/>
    <d v="2023-08-19T00:00:00"/>
    <n v="20"/>
    <n v="2227871.8135199999"/>
    <n v="22316.880000000001"/>
    <n v="2205554.93352"/>
    <n v="0.98998287070891233"/>
    <s v="Jul-2023"/>
    <s v="Q3-2023"/>
    <s v="Europe → France → Paris"/>
    <x v="0"/>
    <s v="Low"/>
    <s v="FRANCE"/>
    <d v="2023-01-10T00:00:00"/>
    <s v="Jan-2023"/>
    <d v="2023-07-31T00:00:00"/>
    <n v="0"/>
  </r>
  <r>
    <s v="ORD-2025-532859"/>
    <d v="2025-03-11T00:00:00"/>
    <d v="2025-03-27T00:00:00"/>
    <s v="Asia"/>
    <x v="6"/>
    <s v="Tokyo"/>
    <s v="Enterprise"/>
    <s v="Distributor"/>
    <s v="B. Chen"/>
    <x v="1"/>
    <s v="PRN-5264"/>
    <n v="1317.58"/>
    <n v="1897.74"/>
    <n v="8.1000000000000003E-2"/>
    <n v="6"/>
    <s v="Valid"/>
    <n v="1897.74"/>
    <b v="0"/>
    <n v="8.1000000000000003E-2"/>
    <n v="16"/>
    <d v="2025-03-27T00:00:00"/>
    <n v="16"/>
    <n v="1137721.69836"/>
    <n v="11386.44"/>
    <n v="1126335.2583600001"/>
    <n v="0.98999189343368132"/>
    <s v="Mar-2025"/>
    <s v="Q1-2025"/>
    <s v="Asia → Japan → Tokyo"/>
    <x v="1"/>
    <s v="High"/>
    <s v="JAPAN"/>
    <d v="2023-03-03T00:00:00"/>
    <s v="Mar-2023"/>
    <d v="2025-03-31T00:00:00"/>
    <n v="0"/>
  </r>
  <r>
    <s v="ORD-2023-502205"/>
    <d v="2023-10-09T00:00:00"/>
    <d v="2023-10-11T00:00:00"/>
    <s v="Africa"/>
    <x v="1"/>
    <s v="Port Harcourt"/>
    <s v="Education"/>
    <s v="Marketplace"/>
    <s v="K. Singh"/>
    <x v="2"/>
    <s v="NET-8856"/>
    <n v="391.16"/>
    <n v="902.47"/>
    <n v="4.0000000000000001E-3"/>
    <n v="12"/>
    <s v="Valid"/>
    <n v="902.47"/>
    <b v="0"/>
    <n v="4.0000000000000001E-3"/>
    <n v="2"/>
    <d v="2023-10-11T00:00:00"/>
    <n v="2"/>
    <n v="1082920.68144"/>
    <n v="10829.64"/>
    <n v="1072091.0414400001"/>
    <n v="0.98999959998399945"/>
    <s v="Oct-2023"/>
    <s v="Q4-2023"/>
    <s v="Africa → Nigeria → Port Harcourt"/>
    <x v="0"/>
    <s v="Low"/>
    <s v="NIGERIA"/>
    <d v="2023-01-15T00:00:00"/>
    <s v="Jan-2023"/>
    <d v="2023-10-31T00:00:00"/>
    <n v="1"/>
  </r>
  <r>
    <s v="ORD-2024-930679"/>
    <d v="2024-12-17T00:00:00"/>
    <d v="2025-01-16T00:00:00"/>
    <s v="Europe"/>
    <x v="8"/>
    <s v="Manchester"/>
    <s v="Corporate"/>
    <s v="Retail"/>
    <s v="D. Smith"/>
    <x v="5"/>
    <s v="MON-4215"/>
    <n v="722.87"/>
    <n v="-33.659999999999997"/>
    <n v="0.10199999999999999"/>
    <n v="28"/>
    <b v="0"/>
    <n v="33.659999999999997"/>
    <b v="0"/>
    <n v="0.10199999999999999"/>
    <n v="30"/>
    <d v="2025-01-16T00:00:00"/>
    <n v="30"/>
    <n v="94151.867039999983"/>
    <n v="942.4799999999999"/>
    <n v="93209.387039999987"/>
    <n v="0.98998978958537709"/>
    <s v="Dec-2024"/>
    <s v="Q4-2024"/>
    <s v="Europe → United Kingdom → Manchester"/>
    <x v="1"/>
    <s v="High"/>
    <s v="UNITED KINGDOM"/>
    <d v="2023-01-19T00:00:00"/>
    <s v="Jan-2023"/>
    <d v="2024-12-31T00:00:00"/>
    <n v="0"/>
  </r>
  <r>
    <s v="ORD-2025-150713"/>
    <d v="2025-07-11T00:00:00"/>
    <d v="2025-07-16T00:00:00"/>
    <s v="Europe"/>
    <x v="8"/>
    <s v="London"/>
    <s v="Enterprise"/>
    <s v="Online"/>
    <s v="K. Singh"/>
    <x v="1"/>
    <s v="PRN-5753"/>
    <n v="930.03"/>
    <n v="1086.68"/>
    <n v="0.109"/>
    <n v="26"/>
    <s v="Valid"/>
    <n v="1086.68"/>
    <b v="0"/>
    <n v="0.109"/>
    <n v="5"/>
    <d v="2025-07-16T00:00:00"/>
    <n v="5"/>
    <n v="2822288.3488800004"/>
    <n v="28253.68"/>
    <n v="2794034.6688800002"/>
    <n v="0.98998908810603548"/>
    <s v="Jul-2025"/>
    <s v="Q3-2025"/>
    <s v="Europe → United Kingdom → London"/>
    <x v="1"/>
    <s v="High"/>
    <s v="UNITED KINGDOM"/>
    <d v="2023-01-19T00:00:00"/>
    <s v="Jan-2023"/>
    <d v="2025-07-31T00:00:00"/>
    <n v="1"/>
  </r>
  <r>
    <s v="ORD-2024-756884"/>
    <d v="2024-10-13T00:00:00"/>
    <d v="2024-10-24T00:00:00"/>
    <s v="Europe"/>
    <x v="7"/>
    <s v="Paris"/>
    <s v="Education"/>
    <s v="Distributor"/>
    <s v="F. Müller"/>
    <x v="0"/>
    <s v="CMP-5006"/>
    <n v="816.7"/>
    <n v="1010.75"/>
    <n v="4.7E-2"/>
    <n v="43"/>
    <s v="Valid"/>
    <n v="1010.75"/>
    <b v="0"/>
    <n v="4.7E-2"/>
    <n v="11"/>
    <d v="2024-10-24T00:00:00"/>
    <n v="11"/>
    <n v="4344182.2742499998"/>
    <n v="43462.25"/>
    <n v="4300720.0242499998"/>
    <n v="0.98999529778996131"/>
    <s v="Oct-2024"/>
    <s v="Q4-2024"/>
    <s v="Europe → France → Paris"/>
    <x v="0"/>
    <s v="Medium"/>
    <s v="FRANCE"/>
    <d v="2023-01-10T00:00:00"/>
    <s v="Jan-2023"/>
    <d v="2024-10-31T00:00:00"/>
    <n v="0"/>
  </r>
  <r>
    <s v="ORD-2023-755337"/>
    <d v="2023-09-08T00:00:00"/>
    <d v="2023-09-14T00:00:00"/>
    <s v="Africa"/>
    <x v="0"/>
    <s v="Nakuru"/>
    <s v="Education"/>
    <s v="Direct"/>
    <s v="I. Johnson"/>
    <x v="6"/>
    <s v="ACC-4766"/>
    <n v="251.03"/>
    <n v="411.48"/>
    <n v="0.16500000000000001"/>
    <n v="3"/>
    <s v="Valid"/>
    <n v="411.48"/>
    <b v="0"/>
    <n v="0.16500000000000001"/>
    <n v="6"/>
    <d v="2023-09-14T00:00:00"/>
    <n v="6"/>
    <n v="123240.3174"/>
    <n v="1234.44"/>
    <n v="122005.8774"/>
    <n v="0.98998347273000453"/>
    <s v="Sep-2023"/>
    <s v="Q3-2023"/>
    <s v="Africa → Kenya → Nakuru"/>
    <x v="0"/>
    <s v="Low"/>
    <s v="KENYA"/>
    <d v="2023-01-20T00:00:00"/>
    <s v="Jan-2023"/>
    <d v="2023-09-30T00:00:00"/>
    <n v="1"/>
  </r>
  <r>
    <s v="ORD-2025-907040"/>
    <d v="2025-04-17T00:00:00"/>
    <d v="2025-05-03T00:00:00"/>
    <s v="Americas"/>
    <x v="4"/>
    <s v="Rio de Janeiro"/>
    <s v="Consumer"/>
    <s v="Marketplace"/>
    <s v="J. Njeri"/>
    <x v="2"/>
    <s v="NET-8610"/>
    <n v="168.68"/>
    <n v="413.34"/>
    <n v="0.186"/>
    <n v="7"/>
    <s v="Valid"/>
    <n v="413.34"/>
    <b v="0"/>
    <n v="0.186"/>
    <n v="16"/>
    <d v="2025-05-03T00:00:00"/>
    <n v="16"/>
    <n v="288799.83131999994"/>
    <n v="2893.3799999999997"/>
    <n v="285906.45131999993"/>
    <n v="0.98998136533953152"/>
    <s v="Apr-2025"/>
    <s v="Q2-2025"/>
    <s v="Americas → Brazil → Rio de Janeiro"/>
    <x v="0"/>
    <s v="High"/>
    <s v="BRAZIL"/>
    <d v="2023-01-29T00:00:00"/>
    <s v="Jan-2023"/>
    <d v="2025-04-30T00:00:00"/>
    <n v="0"/>
  </r>
  <r>
    <s v="ORD-2024-817997"/>
    <d v="2024-07-28T00:00:00"/>
    <d v="2024-08-23T00:00:00"/>
    <s v="Asia"/>
    <x v="3"/>
    <s v="Hyderabad"/>
    <s v="Corporate"/>
    <s v="Retail"/>
    <s v="J. Njeri"/>
    <x v="2"/>
    <s v="NET-4675"/>
    <n v="1339.24"/>
    <n v="1558.89"/>
    <n v="0.192"/>
    <n v="24"/>
    <s v="Valid"/>
    <n v="1558.89"/>
    <b v="0"/>
    <n v="0.192"/>
    <n v="26"/>
    <d v="2024-08-23T00:00:00"/>
    <n v="26"/>
    <n v="3734152.6348800003"/>
    <n v="37413.360000000001"/>
    <n v="3696739.2748800004"/>
    <n v="0.98998076306508498"/>
    <s v="Jul-2024"/>
    <s v="Q3-2024"/>
    <s v="Asia → India → Hyderabad"/>
    <x v="0"/>
    <s v="Medium"/>
    <s v="INDIA"/>
    <d v="2023-01-29T00:00:00"/>
    <s v="Jan-2023"/>
    <d v="2024-07-31T00:00:00"/>
    <n v="0"/>
  </r>
  <r>
    <s v="ORD-2025-649633"/>
    <d v="2025-07-19T00:00:00"/>
    <d v="2025-07-31T00:00:00"/>
    <s v="Africa"/>
    <x v="0"/>
    <s v="Nairobi"/>
    <s v="Small Business"/>
    <s v="Marketplace"/>
    <s v="O. Wang"/>
    <x v="6"/>
    <s v="ACC-1028"/>
    <n v="619.64"/>
    <n v="861.16"/>
    <n v="0.113"/>
    <n v="14"/>
    <s v="Valid"/>
    <n v="861.16"/>
    <b v="0"/>
    <n v="0.113"/>
    <n v="12"/>
    <d v="2025-07-31T00:00:00"/>
    <n v="12"/>
    <n v="1204261.64488"/>
    <n v="12056.24"/>
    <n v="1192205.40488"/>
    <n v="0.98998868721655475"/>
    <s v="Jul-2025"/>
    <s v="Q3-2025"/>
    <s v="Africa → Kenya → Nairobi"/>
    <x v="0"/>
    <s v="High"/>
    <s v="KENYA"/>
    <d v="2023-01-20T00:00:00"/>
    <s v="Jan-2023"/>
    <d v="2025-07-31T00:00:00"/>
    <n v="0"/>
  </r>
  <r>
    <s v="ORD-2023-885216"/>
    <d v="2023-08-03T00:00:00"/>
    <d v="2023-08-02T00:00:00"/>
    <s v="Asia"/>
    <x v="9"/>
    <s v="Shanghai"/>
    <s v="Non-Profit"/>
    <s v="Direct"/>
    <s v="J. Njeri"/>
    <x v="2"/>
    <s v="NET-4735"/>
    <n v="1021.97"/>
    <n v="2296.25"/>
    <n v="0.161"/>
    <n v="26"/>
    <s v="Valid"/>
    <n v="2296.25"/>
    <b v="0"/>
    <n v="0.161"/>
    <n v="-1"/>
    <d v="2023-08-10T00:00:00"/>
    <n v="7"/>
    <n v="5960637.8975"/>
    <n v="59702.5"/>
    <n v="5900935.3975"/>
    <n v="0.9899838740371999"/>
    <s v="Aug-2023"/>
    <s v="Q3-2023"/>
    <s v="Asia → China → Shanghai"/>
    <x v="0"/>
    <s v="Low"/>
    <s v="CHINA"/>
    <d v="2023-01-12T00:00:00"/>
    <s v="Jan-2023"/>
    <d v="2023-08-31T00:00:00"/>
    <n v="1"/>
  </r>
  <r>
    <s v="ORD-2023-561823"/>
    <d v="2023-11-19T00:00:00"/>
    <d v="2023-12-12T00:00:00"/>
    <s v="Asia"/>
    <x v="3"/>
    <s v="Delhi"/>
    <s v="Small Business"/>
    <s v="Direct"/>
    <s v="C. Otieno"/>
    <x v="2"/>
    <s v="NET-2460"/>
    <n v="1349.04"/>
    <n v="2636.6"/>
    <n v="0.114"/>
    <n v="14"/>
    <s v="Valid"/>
    <n v="2636.6"/>
    <b v="0"/>
    <n v="0.114"/>
    <n v="23"/>
    <d v="2023-12-12T00:00:00"/>
    <n v="23"/>
    <n v="3687031.9863999998"/>
    <n v="36912.400000000001"/>
    <n v="3650119.5863999999"/>
    <n v="0.9899885869891677"/>
    <s v="Nov-2023"/>
    <s v="Q4-2023"/>
    <s v="Asia → India → Delhi"/>
    <x v="0"/>
    <s v="Low"/>
    <s v="INDIA"/>
    <d v="2023-01-29T00:00:00"/>
    <s v="Jan-2023"/>
    <d v="2023-11-30T00:00:00"/>
    <n v="0"/>
  </r>
  <r>
    <s v="ORD-2023-249805"/>
    <d v="2023-12-22T00:00:00"/>
    <d v="2024-01-16T00:00:00"/>
    <s v="Asia"/>
    <x v="3"/>
    <s v="Hyderabad"/>
    <s v="Small Business"/>
    <s v="Retail"/>
    <s v="A. Patel"/>
    <x v="0"/>
    <s v="CMP-1555"/>
    <n v="1346.81"/>
    <n v="978.09"/>
    <n v="0.159"/>
    <n v="17"/>
    <s v="Valid"/>
    <n v="978.09"/>
    <b v="0"/>
    <n v="0.159"/>
    <n v="25"/>
    <d v="2024-01-16T00:00:00"/>
    <n v="25"/>
    <n v="1660109.2227299998"/>
    <n v="16627.53"/>
    <n v="1643481.6927299998"/>
    <n v="0.98998407467873917"/>
    <s v="Dec-2023"/>
    <s v="Q4-2023"/>
    <s v="Asia → India → Hyderabad"/>
    <x v="0"/>
    <s v="Medium"/>
    <s v="INDIA"/>
    <d v="2023-01-29T00:00:00"/>
    <s v="Jan-2023"/>
    <d v="2023-12-31T00:00:00"/>
    <n v="0"/>
  </r>
  <r>
    <s v="ORD-2023-548934"/>
    <d v="2023-08-03T00:00:00"/>
    <d v="2023-08-30T00:00:00"/>
    <s v="Asia"/>
    <x v="9"/>
    <s v="Shanghai"/>
    <s v="Consumer"/>
    <s v="Distributor"/>
    <s v="N. Brown"/>
    <x v="5"/>
    <s v="MON-3773"/>
    <n v="226.04"/>
    <n v="545.72"/>
    <n v="0.151"/>
    <n v="11"/>
    <s v="Valid"/>
    <n v="545.72"/>
    <b v="0"/>
    <n v="0.151"/>
    <n v="27"/>
    <d v="2023-08-30T00:00:00"/>
    <n v="27"/>
    <n v="599385.55908000004"/>
    <n v="6002.92"/>
    <n v="593382.63907999999"/>
    <n v="0.98998487716451833"/>
    <s v="Aug-2023"/>
    <s v="Q3-2023"/>
    <s v="Asia → China → Shanghai"/>
    <x v="1"/>
    <s v="Low"/>
    <s v="CHINA"/>
    <d v="2023-01-12T00:00:00"/>
    <s v="Jan-2023"/>
    <d v="2023-08-31T00:00:00"/>
    <n v="0"/>
  </r>
  <r>
    <s v="ORD-2023-921939"/>
    <d v="2023-06-23T00:00:00"/>
    <d v="2023-07-18T00:00:00"/>
    <s v="Americas"/>
    <x v="2"/>
    <s v="Vancouver"/>
    <s v="Enterprise"/>
    <s v="Online"/>
    <s v="N. Brown"/>
    <x v="3"/>
    <s v="PHN-4677"/>
    <n v="807.02"/>
    <n v="1435.54"/>
    <n v="0"/>
    <n v="23"/>
    <s v="Valid"/>
    <n v="1435.54"/>
    <b v="0"/>
    <n v="0"/>
    <n v="25"/>
    <d v="2023-07-18T00:00:00"/>
    <n v="25"/>
    <n v="3301742"/>
    <n v="33017.42"/>
    <n v="3268724.58"/>
    <n v="0.99"/>
    <s v="Jun-2023"/>
    <s v="Q2-2023"/>
    <s v="Americas → Canada → Vancouver"/>
    <x v="2"/>
    <s v="Low"/>
    <s v="CANADA"/>
    <d v="2023-01-02T00:00:00"/>
    <s v="Jan-2023"/>
    <d v="2023-06-30T00:00:00"/>
    <n v="0"/>
  </r>
  <r>
    <s v="ORD-2023-961864"/>
    <d v="2023-12-07T00:00:00"/>
    <d v="2024-01-02T00:00:00"/>
    <s v="Europe"/>
    <x v="5"/>
    <s v="Frankfurt"/>
    <s v="Enterprise"/>
    <s v="Distributor"/>
    <s v="E. Garcia"/>
    <x v="0"/>
    <s v="CMP-1940"/>
    <n v="1071.99"/>
    <n v="2397.3000000000002"/>
    <n v="6.2E-2"/>
    <n v="18"/>
    <s v="Valid"/>
    <n v="2397.3000000000002"/>
    <b v="0"/>
    <n v="6.2E-2"/>
    <n v="26"/>
    <d v="2024-01-02T00:00:00"/>
    <n v="26"/>
    <n v="4312464.6132000005"/>
    <n v="43151.4"/>
    <n v="4269313.2132000001"/>
    <n v="0.98999379615361516"/>
    <s v="Dec-2023"/>
    <s v="Q4-2023"/>
    <s v="Europe → Germany → Frankfurt"/>
    <x v="0"/>
    <s v="Medium"/>
    <s v="GERMANY"/>
    <d v="2023-01-22T00:00:00"/>
    <s v="Jan-2023"/>
    <d v="2023-12-31T00:00:00"/>
    <n v="0"/>
  </r>
  <r>
    <s v="ORD-2023-455933"/>
    <d v="2023-11-19T00:00:00"/>
    <d v="2023-12-19T00:00:00"/>
    <s v="Asia"/>
    <x v="6"/>
    <s v="Nagoya"/>
    <s v="Consumer"/>
    <s v="Retail"/>
    <s v="Unidentified sales person "/>
    <x v="3"/>
    <s v="PHN-9184"/>
    <n v="807.11"/>
    <n v="1853.86"/>
    <n v="0.13900000000000001"/>
    <n v="8"/>
    <s v="Valid"/>
    <n v="1853.86"/>
    <b v="0"/>
    <n v="0.13900000000000001"/>
    <n v="30"/>
    <d v="2023-12-19T00:00:00"/>
    <n v="30"/>
    <n v="1481026.50768"/>
    <n v="14830.88"/>
    <n v="1466195.6276800002"/>
    <n v="0.98998608065210647"/>
    <s v="Nov-2023"/>
    <s v="Q4-2023"/>
    <s v="Asia → Japan → Nagoya"/>
    <x v="2"/>
    <s v="Low"/>
    <s v="JAPAN"/>
    <d v="2023-03-03T00:00:00"/>
    <s v="Mar-2023"/>
    <d v="2023-11-30T00:00:00"/>
    <n v="0"/>
  </r>
  <r>
    <s v="ORD-2025-728935"/>
    <d v="2025-02-28T00:00:00"/>
    <d v="2025-03-10T00:00:00"/>
    <s v="Asia"/>
    <x v="6"/>
    <s v="Osaka"/>
    <s v="Education"/>
    <s v="Distributor"/>
    <s v="N. Brown"/>
    <x v="4"/>
    <s v="LAP-3017"/>
    <n v="51.86"/>
    <n v="45.98"/>
    <n v="0.17299999999999999"/>
    <n v="7"/>
    <s v="Valid"/>
    <n v="45.98"/>
    <b v="0"/>
    <n v="0.17299999999999999"/>
    <n v="10"/>
    <d v="2025-03-10T00:00:00"/>
    <n v="10"/>
    <n v="32130.318219999994"/>
    <n v="321.85999999999996"/>
    <n v="31808.458219999993"/>
    <n v="0.98998267001913309"/>
    <s v="Feb-2025"/>
    <s v="Q1-2025"/>
    <s v="Asia → Japan → Osaka"/>
    <x v="2"/>
    <s v="High"/>
    <s v="JAPAN"/>
    <d v="2023-03-03T00:00:00"/>
    <s v="Mar-2023"/>
    <d v="2025-02-28T00:00:0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">
  <r>
    <s v="ORD-2024-275203"/>
    <d v="2024-03-11T00:00:00"/>
    <d v="2024-04-06T00:00:00"/>
    <x v="0"/>
    <s v="Kenya"/>
    <s v="Kisumu"/>
    <s v="Corporate"/>
    <s v="Retail"/>
    <x v="0"/>
    <s v="Components"/>
    <s v="CMP-8270"/>
    <n v="279.24"/>
    <n v="608.9"/>
    <n v="0.112"/>
    <n v="9"/>
    <s v="Valid"/>
    <n v="608.9"/>
    <b v="0"/>
    <n v="0.112"/>
    <n v="26"/>
    <d v="2024-04-06T00:00:00"/>
    <n v="26"/>
    <n v="547396.22879999992"/>
    <n v="5480.0999999999995"/>
    <n v="541916.12879999995"/>
    <n v="0.98998878744193497"/>
    <s v="Mar-2024"/>
    <s v="Q1-2024"/>
    <s v="Africa → Kenya → Kisumu"/>
    <s v="Support"/>
    <s v="Medium"/>
    <s v="KENYA"/>
    <d v="2023-01-20T00:00:00"/>
    <s v="Jan-2023"/>
    <d v="2024-03-31T00:00:00"/>
    <n v="0"/>
    <n v="0"/>
  </r>
  <r>
    <s v="ORD-2024-358795"/>
    <d v="2024-10-23T00:00:00"/>
    <d v="2024-10-22T00:00:00"/>
    <x v="0"/>
    <s v="Nigeria"/>
    <s v="Port Harcourt"/>
    <s v="Education"/>
    <s v="Online"/>
    <x v="1"/>
    <s v="Printers"/>
    <s v="PRN-9322"/>
    <n v="1084.3900000000001"/>
    <n v="759.33"/>
    <n v="0.23699999999999999"/>
    <n v="31"/>
    <s v="Valid"/>
    <n v="759.33"/>
    <b v="0"/>
    <n v="0.23699999999999999"/>
    <n v="-1"/>
    <d v="2024-10-30T00:00:00"/>
    <n v="7"/>
    <n v="2348344.2024900001"/>
    <n v="23539.23"/>
    <n v="2324804.9724900001"/>
    <n v="0.98997624369756321"/>
    <s v="Oct-2024"/>
    <s v="Q4-2024"/>
    <s v="Africa → Nigeria → Port Harcourt"/>
    <s v="Peripherals"/>
    <s v="Medium"/>
    <s v="NIGERIA"/>
    <d v="2023-01-15T00:00:00"/>
    <s v="Jan-2023"/>
    <d v="2024-10-31T00:00:00"/>
    <n v="1"/>
    <n v="1"/>
  </r>
  <r>
    <s v="ORD-2023-373538"/>
    <d v="2023-02-28T00:00:00"/>
    <d v="2023-03-25T00:00:00"/>
    <x v="0"/>
    <s v="Kenya"/>
    <s v="Nairobi"/>
    <s v="Corporate"/>
    <s v="Retail"/>
    <x v="2"/>
    <s v="Networking"/>
    <s v="NET-9666"/>
    <n v="1460.76"/>
    <n v="-30.66"/>
    <n v="0.13100000000000001"/>
    <n v="12"/>
    <b v="0"/>
    <n v="30.66"/>
    <b v="0"/>
    <n v="0.13100000000000001"/>
    <n v="25"/>
    <d v="2023-03-25T00:00:00"/>
    <n v="25"/>
    <n v="36743.802479999998"/>
    <n v="367.92"/>
    <n v="36375.88248"/>
    <n v="0.98998688281648961"/>
    <s v="Feb-2023"/>
    <s v="Q1-2023"/>
    <s v="Africa → Kenya → Nairobi"/>
    <s v="Support"/>
    <s v="Low"/>
    <s v="KENYA"/>
    <d v="2023-01-20T00:00:00"/>
    <s v="Jan-2023"/>
    <d v="2023-02-28T00:00:00"/>
    <n v="0"/>
    <n v="0"/>
  </r>
  <r>
    <s v="ORD-2025-168148"/>
    <d v="2025-03-29T00:00:00"/>
    <d v="2025-04-02T00:00:00"/>
    <x v="0"/>
    <s v="Nigeria"/>
    <s v="Lagos"/>
    <s v="Non-Profit"/>
    <s v="Marketplace"/>
    <x v="3"/>
    <s v="Phones"/>
    <s v="PHN-4556"/>
    <n v="259.93"/>
    <n v="255.94"/>
    <n v="7.1999999999999995E-2"/>
    <n v="22"/>
    <s v="Valid"/>
    <n v="255.94"/>
    <b v="0"/>
    <n v="7.1999999999999995E-2"/>
    <n v="4"/>
    <d v="2025-04-02T00:00:00"/>
    <n v="4"/>
    <n v="562662.59103999997"/>
    <n v="5630.68"/>
    <n v="557031.91103999992"/>
    <n v="0.98999279481226476"/>
    <s v="Mar-2025"/>
    <s v="Q1-2025"/>
    <s v="Africa → Nigeria → Lagos"/>
    <s v="Devices"/>
    <s v="High"/>
    <s v="NIGERIA"/>
    <d v="2023-01-15T00:00:00"/>
    <s v="Jan-2023"/>
    <d v="2025-03-31T00:00:00"/>
    <n v="1"/>
    <n v="0"/>
  </r>
  <r>
    <s v="ORD-2023-723587"/>
    <d v="2023-01-02T00:00:00"/>
    <d v="2023-01-05T00:00:00"/>
    <x v="1"/>
    <s v="Canada"/>
    <s v="Toronto"/>
    <s v="Corporate"/>
    <s v="Distributor"/>
    <x v="4"/>
    <s v="Laptops"/>
    <s v="LAP-8555"/>
    <n v="315.87"/>
    <n v="591.67999999999995"/>
    <n v="0"/>
    <n v="7"/>
    <s v="Valid"/>
    <n v="591.67999999999995"/>
    <b v="0"/>
    <n v="0"/>
    <n v="3"/>
    <d v="2023-01-05T00:00:00"/>
    <n v="3"/>
    <n v="414175.99999999994"/>
    <n v="4141.7599999999993"/>
    <n v="410034.23999999993"/>
    <n v="0.99"/>
    <s v="Jan-2023"/>
    <s v="Q1-2023"/>
    <s v="Americas → Canada → Toronto"/>
    <s v="Devices"/>
    <s v="Low"/>
    <s v="CANADA"/>
    <d v="2023-01-02T00:00:00"/>
    <s v="Jan-2023"/>
    <d v="2023-01-31T00:00:00"/>
    <n v="1"/>
    <n v="0"/>
  </r>
  <r>
    <s v="ORD-2024-336584"/>
    <d v="2024-12-27T00:00:00"/>
    <d v="2025-01-14T00:00:00"/>
    <x v="2"/>
    <s v="India"/>
    <s v="Bengaluru"/>
    <s v="Small Business"/>
    <s v="Marketplace"/>
    <x v="5"/>
    <s v="Monitors"/>
    <s v="MON-8629"/>
    <n v="586.07000000000005"/>
    <n v="845.97"/>
    <n v="0.14699999999999999"/>
    <n v="4"/>
    <s v="Valid"/>
    <n v="845.97"/>
    <b v="0"/>
    <n v="0.14699999999999999"/>
    <n v="18"/>
    <d v="2025-01-14T00:00:00"/>
    <n v="18"/>
    <n v="337890.56964"/>
    <n v="3383.88"/>
    <n v="334506.68964"/>
    <n v="0.98998527835918804"/>
    <s v="Dec-2024"/>
    <s v="Q4-2024"/>
    <s v="Asia → India → Bengaluru"/>
    <s v="Peripherals"/>
    <s v="High"/>
    <s v="INDIA"/>
    <d v="2023-01-29T00:00:00"/>
    <s v="Jan-2023"/>
    <d v="2024-12-31T00:00:00"/>
    <n v="0"/>
    <n v="0"/>
  </r>
  <r>
    <s v="ORD-2023-112666"/>
    <d v="2023-01-15T00:00:00"/>
    <d v="2023-01-13T00:00:00"/>
    <x v="0"/>
    <s v="Nigeria"/>
    <s v="Abuja"/>
    <s v="Education"/>
    <s v="Online"/>
    <x v="6"/>
    <s v="Printers"/>
    <s v="PRN-6276"/>
    <n v="28.38"/>
    <n v="47.22"/>
    <n v="0.19400000000000001"/>
    <n v="18"/>
    <s v="Valid"/>
    <n v="47.22"/>
    <b v="0"/>
    <n v="0.19400000000000001"/>
    <n v="-2"/>
    <d v="2023-01-22T00:00:00"/>
    <n v="7"/>
    <n v="84831.107759999999"/>
    <n v="849.96"/>
    <n v="83981.147759999993"/>
    <n v="0.98998056229084419"/>
    <s v="Jan-2023"/>
    <s v="Q1-2023"/>
    <s v="Africa → Nigeria → Abuja"/>
    <s v="Peripherals"/>
    <s v="Low"/>
    <s v="NIGERIA"/>
    <d v="2023-01-15T00:00:00"/>
    <s v="Jan-2023"/>
    <d v="2023-01-31T00:00:00"/>
    <n v="1"/>
    <n v="0"/>
  </r>
  <r>
    <s v="ORD-2024-589570"/>
    <d v="2024-05-04T00:00:00"/>
    <d v="2024-05-29T00:00:00"/>
    <x v="0"/>
    <s v="Nigeria"/>
    <s v="Abuja"/>
    <s v="Non-Profit"/>
    <s v="Marketplace"/>
    <x v="6"/>
    <s v="Monitors"/>
    <s v="MON-6892"/>
    <n v="1295.3399999999999"/>
    <n v="2530.81"/>
    <n v="3.1E-2"/>
    <n v="6"/>
    <s v="Valid"/>
    <n v="2530.81"/>
    <b v="0"/>
    <n v="3.1E-2"/>
    <n v="25"/>
    <d v="2024-05-29T00:00:00"/>
    <n v="25"/>
    <n v="1518015.2693399999"/>
    <n v="15184.86"/>
    <n v="1502830.4093399998"/>
    <n v="0.98999689903870192"/>
    <s v="May-2024"/>
    <s v="Q2-2024"/>
    <s v="Africa → Nigeria → Abuja"/>
    <s v="Peripherals"/>
    <s v="Medium"/>
    <s v="NIGERIA"/>
    <d v="2023-01-15T00:00:00"/>
    <s v="Jan-2023"/>
    <d v="2024-05-31T00:00:00"/>
    <n v="0"/>
    <n v="0"/>
  </r>
  <r>
    <s v="ORD-2025-997421"/>
    <d v="2025-05-21T00:00:00"/>
    <d v="2025-06-09T00:00:00"/>
    <x v="1"/>
    <s v="Brazil"/>
    <s v="São Paulo"/>
    <s v="Non-Profit"/>
    <s v="Online"/>
    <x v="7"/>
    <s v="Components"/>
    <s v="CMP-3731"/>
    <n v="1331.38"/>
    <n v="2309.56"/>
    <n v="0.14899999999999999"/>
    <n v="31"/>
    <s v="Valid"/>
    <n v="2309.56"/>
    <b v="0"/>
    <n v="0.14899999999999999"/>
    <n v="19"/>
    <d v="2025-06-09T00:00:00"/>
    <n v="19"/>
    <n v="7148968.1423599999"/>
    <n v="71596.36"/>
    <n v="7077371.7823599996"/>
    <n v="0.98998507776587108"/>
    <s v="May-2025"/>
    <s v="Q2-2025"/>
    <s v="Americas → Brazil → São Paulo"/>
    <s v="Support"/>
    <s v="High"/>
    <s v="BRAZIL"/>
    <d v="2023-01-29T00:00:00"/>
    <s v="Jan-2023"/>
    <d v="2025-05-31T00:00:00"/>
    <n v="0"/>
    <n v="0"/>
  </r>
  <r>
    <s v="ORD-2024-210687"/>
    <d v="2024-01-28T00:00:00"/>
    <d v="2024-02-09T00:00:00"/>
    <x v="3"/>
    <s v="Germany"/>
    <s v="Berlin"/>
    <s v="Corporate"/>
    <s v="Online"/>
    <x v="3"/>
    <s v="Accessories"/>
    <s v="ACC-7938"/>
    <n v="644.16999999999996"/>
    <n v="700.12"/>
    <n v="6.0000000000000001E-3"/>
    <n v="23"/>
    <s v="Valid"/>
    <n v="700.12"/>
    <b v="0"/>
    <n v="6.0000000000000001E-3"/>
    <n v="12"/>
    <d v="2024-02-09T00:00:00"/>
    <n v="12"/>
    <n v="1610179.38344"/>
    <n v="16102.76"/>
    <n v="1594076.62344"/>
    <n v="0.98999939996399788"/>
    <s v="Jan-2024"/>
    <s v="Q1-2024"/>
    <s v="Europe → Germany → Berlin"/>
    <s v="Support"/>
    <s v="Medium"/>
    <s v="GERMANY"/>
    <d v="2023-01-22T00:00:00"/>
    <s v="Jan-2023"/>
    <d v="2024-01-31T00:00:00"/>
    <n v="0"/>
    <n v="0"/>
  </r>
  <r>
    <s v="ORD-2025-515515"/>
    <d v="2025-01-03T00:00:00"/>
    <d v="2025-01-23T00:00:00"/>
    <x v="2"/>
    <s v="Japan"/>
    <s v="Osaka"/>
    <s v="Corporate"/>
    <s v="Distributor"/>
    <x v="8"/>
    <s v="Phones"/>
    <s v="PHN-7019"/>
    <n v="908.6"/>
    <n v="691.37"/>
    <n v="0.25"/>
    <n v="20"/>
    <s v="Valid"/>
    <n v="691.37"/>
    <b v="0"/>
    <n v="0.25"/>
    <n v="20"/>
    <d v="2025-01-23T00:00:00"/>
    <n v="20"/>
    <n v="1379283.15"/>
    <n v="13827.4"/>
    <n v="1365455.75"/>
    <n v="0.98997493734335851"/>
    <s v="Jan-2025"/>
    <s v="Q1-2025"/>
    <s v="Asia → Japan → Osaka"/>
    <s v="Devices"/>
    <s v="High"/>
    <s v="JAPAN"/>
    <d v="2023-03-03T00:00:00"/>
    <s v="Mar-2023"/>
    <d v="2025-01-31T00:00:00"/>
    <n v="0"/>
    <n v="1"/>
  </r>
  <r>
    <s v="ORD-2025-487261"/>
    <d v="2025-03-06T00:00:00"/>
    <d v="2025-03-31T00:00:00"/>
    <x v="1"/>
    <s v="Brazil"/>
    <s v="Brasília"/>
    <s v="Non-Profit"/>
    <s v="Online"/>
    <x v="1"/>
    <s v="Components"/>
    <s v="CMP-3693"/>
    <n v="331.57"/>
    <n v="548.4"/>
    <n v="9.4E-2"/>
    <n v="10"/>
    <s v="Valid"/>
    <n v="548.4"/>
    <b v="0"/>
    <n v="9.4E-2"/>
    <n v="25"/>
    <d v="2025-03-31T00:00:00"/>
    <n v="25"/>
    <n v="547884.50400000007"/>
    <n v="5484"/>
    <n v="542400.50400000007"/>
    <n v="0.98999059115568633"/>
    <s v="Mar-2025"/>
    <s v="Q1-2025"/>
    <s v="Americas → Brazil → Brasília"/>
    <s v="Support"/>
    <s v="High"/>
    <s v="BRAZIL"/>
    <d v="2023-01-29T00:00:00"/>
    <s v="Jan-2023"/>
    <d v="2025-03-31T00:00:00"/>
    <n v="0"/>
    <n v="0"/>
  </r>
  <r>
    <s v="ORD-2024-890180"/>
    <d v="2024-01-20T00:00:00"/>
    <d v="2024-02-13T00:00:00"/>
    <x v="3"/>
    <s v="France"/>
    <s v="Marseille"/>
    <s v="Corporate"/>
    <s v="Retail"/>
    <x v="9"/>
    <s v="Printers"/>
    <s v="PRN-8392"/>
    <n v="643.53"/>
    <n v="1439.01"/>
    <n v="0"/>
    <n v="15"/>
    <s v="Valid"/>
    <n v="1439.01"/>
    <b v="0"/>
    <n v="0"/>
    <n v="24"/>
    <d v="2024-02-13T00:00:00"/>
    <n v="24"/>
    <n v="2158515"/>
    <n v="21585.15"/>
    <n v="2136929.85"/>
    <n v="0.99"/>
    <s v="Jan-2024"/>
    <s v="Q1-2024"/>
    <s v="Europe → France → Marseille"/>
    <s v="Peripherals"/>
    <s v="Medium"/>
    <s v="FRANCE"/>
    <d v="2023-01-10T00:00:00"/>
    <s v="Jan-2023"/>
    <d v="2024-01-31T00:00:00"/>
    <n v="0"/>
    <n v="0"/>
  </r>
  <r>
    <s v="ORD-2025-840976"/>
    <d v="2025-09-01T00:00:00"/>
    <d v="2025-09-30T00:00:00"/>
    <x v="1"/>
    <s v="Brazil"/>
    <s v="Brasília"/>
    <s v="Education"/>
    <s v="Retail"/>
    <x v="10"/>
    <s v="Accessories"/>
    <s v="ACC-1663"/>
    <n v="780.59"/>
    <n v="631.57000000000005"/>
    <n v="0"/>
    <n v="12"/>
    <s v="Valid"/>
    <n v="631.57000000000005"/>
    <b v="0"/>
    <n v="0"/>
    <n v="29"/>
    <d v="2025-09-30T00:00:00"/>
    <n v="29"/>
    <n v="757884"/>
    <n v="7578.84"/>
    <n v="750305.16"/>
    <n v="0.99"/>
    <s v="Sep-2025"/>
    <s v="Q3-2025"/>
    <s v="Americas → Brazil → Brasília"/>
    <s v="Support"/>
    <s v="High"/>
    <s v="BRAZIL"/>
    <d v="2023-01-29T00:00:00"/>
    <s v="Jan-2023"/>
    <d v="2025-09-30T00:00:00"/>
    <n v="0"/>
    <n v="0"/>
  </r>
  <r>
    <s v="ORD-2023-937291"/>
    <d v="2023-04-23T00:00:00"/>
    <d v="2023-04-22T00:00:00"/>
    <x v="0"/>
    <s v="Kenya"/>
    <s v="Nairobi"/>
    <s v="Small Business"/>
    <s v="Direct"/>
    <x v="5"/>
    <s v="Laptops"/>
    <s v="LAP-1698"/>
    <n v="756.51"/>
    <n v="850.8"/>
    <n v="7.3999999999999996E-2"/>
    <n v="9"/>
    <s v="Valid"/>
    <n v="850.8"/>
    <b v="0"/>
    <n v="7.3999999999999996E-2"/>
    <n v="-1"/>
    <d v="2023-04-30T00:00:00"/>
    <n v="7"/>
    <n v="765153.36719999998"/>
    <n v="7657.2"/>
    <n v="757496.16720000003"/>
    <n v="0.98999259451994481"/>
    <s v="Apr-2023"/>
    <s v="Q2-2023"/>
    <s v="Africa → Kenya → Nairobi"/>
    <s v="Devices"/>
    <s v="Low"/>
    <s v="KENYA"/>
    <d v="2023-01-20T00:00:00"/>
    <s v="Jan-2023"/>
    <d v="2023-04-30T00:00:00"/>
    <n v="1"/>
    <n v="0"/>
  </r>
  <r>
    <s v="ORD-2024-206081"/>
    <d v="2024-12-10T00:00:00"/>
    <d v="2025-01-08T00:00:00"/>
    <x v="3"/>
    <s v="France"/>
    <s v="Marseille"/>
    <s v="Small Business"/>
    <s v="Retail"/>
    <x v="10"/>
    <s v="Printers"/>
    <s v="PRN-6791"/>
    <n v="891.08"/>
    <n v="1040.0999999999999"/>
    <n v="0.109"/>
    <n v="28"/>
    <s v="Valid"/>
    <n v="1040.0999999999999"/>
    <b v="0"/>
    <n v="0.109"/>
    <n v="29"/>
    <d v="2025-01-08T00:00:00"/>
    <n v="29"/>
    <n v="2909105.6147999996"/>
    <n v="29122.799999999996"/>
    <n v="2879982.8147999998"/>
    <n v="0.98998908810603559"/>
    <s v="Dec-2024"/>
    <s v="Q4-2024"/>
    <s v="Europe → France → Marseille"/>
    <s v="Peripherals"/>
    <s v="High"/>
    <s v="FRANCE"/>
    <d v="2023-01-10T00:00:00"/>
    <s v="Jan-2023"/>
    <d v="2024-12-31T00:00:00"/>
    <n v="0"/>
    <n v="0"/>
  </r>
  <r>
    <s v="ORD-2025-233883"/>
    <d v="2025-09-08T00:00:00"/>
    <d v="2025-09-16T00:00:00"/>
    <x v="2"/>
    <s v="Japan"/>
    <s v="Osaka"/>
    <s v="Corporate"/>
    <s v="Distributor"/>
    <x v="0"/>
    <s v="Phones"/>
    <s v="PHN-1197"/>
    <n v="1225.57"/>
    <n v="2705.57"/>
    <n v="0.183"/>
    <n v="16"/>
    <s v="Valid"/>
    <n v="2705.57"/>
    <b v="0"/>
    <n v="0.183"/>
    <n v="8"/>
    <d v="2025-09-16T00:00:00"/>
    <n v="8"/>
    <n v="4320990.0910400003"/>
    <n v="43289.120000000003"/>
    <n v="4277700.9710400002"/>
    <n v="0.98998166644960273"/>
    <s v="Sep-2025"/>
    <s v="Q3-2025"/>
    <s v="Asia → Japan → Osaka"/>
    <s v="Devices"/>
    <s v="High"/>
    <s v="JAPAN"/>
    <d v="2023-03-03T00:00:00"/>
    <s v="Mar-2023"/>
    <d v="2025-09-30T00:00:00"/>
    <n v="0"/>
    <n v="0"/>
  </r>
  <r>
    <s v="ORD-2025-843974"/>
    <d v="2025-07-20T00:00:00"/>
    <d v="2025-08-05T00:00:00"/>
    <x v="1"/>
    <s v="Brazil"/>
    <s v="Brasília"/>
    <s v="Enterprise"/>
    <s v="Marketplace"/>
    <x v="3"/>
    <s v="Accessories"/>
    <s v="ACC-8098"/>
    <n v="1068.17"/>
    <n v="2375.37"/>
    <n v="0.109"/>
    <n v="18"/>
    <s v="Valid"/>
    <n v="2375.37"/>
    <b v="0"/>
    <n v="0.109"/>
    <n v="16"/>
    <d v="2025-08-05T00:00:00"/>
    <n v="16"/>
    <n v="4271005.5240599997"/>
    <n v="42756.659999999996"/>
    <n v="4228248.8640599996"/>
    <n v="0.98998908810603559"/>
    <s v="Jul-2025"/>
    <s v="Q3-2025"/>
    <s v="Americas → Brazil → Brasília"/>
    <s v="Support"/>
    <s v="High"/>
    <s v="BRAZIL"/>
    <d v="2023-01-29T00:00:00"/>
    <s v="Jan-2023"/>
    <d v="2025-07-31T00:00:00"/>
    <n v="0"/>
    <n v="0"/>
  </r>
  <r>
    <s v="ORD-2025-745263"/>
    <d v="2025-05-21T00:00:00"/>
    <d v="2025-05-19T00:00:00"/>
    <x v="3"/>
    <s v="United Kingdom"/>
    <s v="Birmingham"/>
    <s v="Enterprise"/>
    <s v="Online"/>
    <x v="11"/>
    <s v="Laptops"/>
    <s v="LAP-3385"/>
    <n v="1015.16"/>
    <n v="2148.14"/>
    <n v="3.7999999999999999E-2"/>
    <n v="19"/>
    <s v="Valid"/>
    <n v="2148.14"/>
    <b v="0"/>
    <n v="3.7999999999999999E-2"/>
    <n v="-2"/>
    <d v="2025-05-28T00:00:00"/>
    <n v="7"/>
    <n v="4079915.0429199999"/>
    <n v="40814.659999999996"/>
    <n v="4039100.3829199998"/>
    <n v="0.98999619855545107"/>
    <s v="May-2025"/>
    <s v="Q2-2025"/>
    <s v="Europe → United Kingdom → Birmingham"/>
    <s v="Devices"/>
    <s v="High"/>
    <s v="UNITED KINGDOM"/>
    <d v="2023-01-19T00:00:00"/>
    <s v="Jan-2023"/>
    <d v="2025-05-31T00:00:00"/>
    <n v="1"/>
    <n v="0"/>
  </r>
  <r>
    <s v="ORD-2024-798002"/>
    <d v="2024-07-25T00:00:00"/>
    <d v="2024-07-24T00:00:00"/>
    <x v="0"/>
    <s v="Kenya"/>
    <s v="Mombasa"/>
    <s v="Non-Profit"/>
    <s v="Direct"/>
    <x v="1"/>
    <s v="Laptops"/>
    <s v="LAP-9815"/>
    <n v="1494.4"/>
    <n v="3661.07"/>
    <n v="7.1999999999999995E-2"/>
    <n v="7"/>
    <s v="Valid"/>
    <n v="3661.07"/>
    <b v="0"/>
    <n v="7.1999999999999995E-2"/>
    <n v="-1"/>
    <d v="2024-08-01T00:00:00"/>
    <n v="7"/>
    <n v="2560903.8207200002"/>
    <n v="25627.49"/>
    <n v="2535276.33072"/>
    <n v="0.98999279481226476"/>
    <s v="Jul-2024"/>
    <s v="Q3-2024"/>
    <s v="Africa → Kenya → Mombasa"/>
    <s v="Devices"/>
    <s v="Medium"/>
    <s v="KENYA"/>
    <d v="2023-01-20T00:00:00"/>
    <s v="Jan-2023"/>
    <d v="2024-07-31T00:00:00"/>
    <n v="1"/>
    <n v="0"/>
  </r>
  <r>
    <s v="ORD-2023-867836"/>
    <d v="2023-05-11T00:00:00"/>
    <d v="2023-05-28T00:00:00"/>
    <x v="2"/>
    <s v="China"/>
    <s v="Shenzhen"/>
    <s v="Enterprise"/>
    <s v="Marketplace"/>
    <x v="5"/>
    <s v="Networking"/>
    <s v="NET-3255"/>
    <n v="1331.19"/>
    <n v="2903.09"/>
    <n v="0.14299999999999999"/>
    <n v="8"/>
    <s v="Valid"/>
    <n v="2903.09"/>
    <b v="0"/>
    <n v="0.14299999999999999"/>
    <n v="17"/>
    <d v="2023-05-28T00:00:00"/>
    <n v="17"/>
    <n v="2319150.8650400001"/>
    <n v="23224.720000000001"/>
    <n v="2295926.1450399999"/>
    <n v="0.98998567952171601"/>
    <s v="May-2023"/>
    <s v="Q2-2023"/>
    <s v="Asia → China → Shenzhen"/>
    <s v="Support"/>
    <s v="Low"/>
    <s v="CHINA"/>
    <d v="2023-01-12T00:00:00"/>
    <s v="Jan-2023"/>
    <d v="2023-05-31T00:00:00"/>
    <n v="0"/>
    <n v="0"/>
  </r>
  <r>
    <s v="ORD-2025-580047"/>
    <d v="2025-06-14T00:00:00"/>
    <d v="2025-06-29T00:00:00"/>
    <x v="0"/>
    <s v="Nigeria"/>
    <s v="Port Harcourt"/>
    <s v="Consumer"/>
    <s v="Marketplace"/>
    <x v="11"/>
    <s v="Accessories"/>
    <s v="ACC-3961"/>
    <n v="730.99"/>
    <n v="1242.8399999999999"/>
    <n v="0.12"/>
    <n v="10"/>
    <s v="Valid"/>
    <n v="1242.8399999999999"/>
    <b v="0"/>
    <n v="0.12"/>
    <n v="15"/>
    <d v="2025-06-29T00:00:00"/>
    <n v="15"/>
    <n v="1241348.5919999999"/>
    <n v="12428.4"/>
    <n v="1228920.192"/>
    <n v="0.98998798558269929"/>
    <s v="Jun-2025"/>
    <s v="Q2-2025"/>
    <s v="Africa → Nigeria → Port Harcourt"/>
    <s v="Support"/>
    <s v="High"/>
    <s v="NIGERIA"/>
    <d v="2023-01-15T00:00:00"/>
    <s v="Jan-2023"/>
    <d v="2025-06-30T00:00:00"/>
    <n v="0"/>
    <n v="0"/>
  </r>
  <r>
    <s v="ORD-2024-500109"/>
    <d v="2024-05-18T00:00:00"/>
    <d v="2024-05-23T00:00:00"/>
    <x v="1"/>
    <s v="USA"/>
    <s v="Chicago"/>
    <s v="Enterprise"/>
    <s v="Retail"/>
    <x v="9"/>
    <s v="Laptops"/>
    <s v="LAP-4987"/>
    <n v="1274.5899999999999"/>
    <n v="2553.69"/>
    <n v="0.01"/>
    <n v="8"/>
    <s v="Valid"/>
    <n v="2553.69"/>
    <b v="0"/>
    <n v="0.01"/>
    <n v="5"/>
    <d v="2024-05-23T00:00:00"/>
    <n v="5"/>
    <n v="2042747.7047999999"/>
    <n v="20429.52"/>
    <n v="2022318.1847999999"/>
    <n v="0.98999899989998996"/>
    <s v="May-2024"/>
    <s v="Q2-2024"/>
    <s v="Americas → USA → Chicago"/>
    <s v="Devices"/>
    <s v="Medium"/>
    <s v="USA"/>
    <d v="2023-01-13T00:00:00"/>
    <s v="Jan-2023"/>
    <d v="2024-05-31T00:00:00"/>
    <n v="1"/>
    <n v="0"/>
  </r>
  <r>
    <s v="ORD-2023-271836"/>
    <d v="2023-02-07T00:00:00"/>
    <d v="2023-02-12T00:00:00"/>
    <x v="1"/>
    <s v="Brazil"/>
    <s v="São Paulo"/>
    <s v="Education"/>
    <s v="Online"/>
    <x v="12"/>
    <s v="Components"/>
    <s v="CMP-2693"/>
    <n v="948.55"/>
    <n v="2089.16"/>
    <n v="7.0000000000000001E-3"/>
    <n v="12"/>
    <s v="Valid"/>
    <n v="2089.16"/>
    <b v="0"/>
    <n v="7.0000000000000001E-3"/>
    <n v="5"/>
    <d v="2023-02-12T00:00:00"/>
    <n v="5"/>
    <n v="2506816.5105599998"/>
    <n v="25069.919999999998"/>
    <n v="2481746.5905599999"/>
    <n v="0.98999929995099656"/>
    <s v="Feb-2023"/>
    <s v="Q1-2023"/>
    <s v="Americas → Brazil → São Paulo"/>
    <s v="Support"/>
    <s v="Low"/>
    <s v="BRAZIL"/>
    <d v="2023-01-29T00:00:00"/>
    <s v="Jan-2023"/>
    <d v="2023-02-28T00:00:00"/>
    <n v="1"/>
    <n v="0"/>
  </r>
  <r>
    <s v="ORD-2024-215294"/>
    <d v="2024-06-30T00:00:00"/>
    <d v="2024-07-14T00:00:00"/>
    <x v="1"/>
    <s v="Brazil"/>
    <s v="Brasília"/>
    <s v="Education"/>
    <s v="Retail"/>
    <x v="0"/>
    <s v="Accessories"/>
    <s v="ACC-8683"/>
    <n v="1491.85"/>
    <n v="2583.02"/>
    <n v="0.16800000000000001"/>
    <n v="4"/>
    <s v="Valid"/>
    <n v="2583.02"/>
    <b v="0"/>
    <n v="0.16800000000000001"/>
    <n v="14"/>
    <d v="2024-07-14T00:00:00"/>
    <n v="14"/>
    <n v="1031472.2105599999"/>
    <n v="10332.08"/>
    <n v="1021140.13056"/>
    <n v="0.98998317172850392"/>
    <s v="Jun-2024"/>
    <s v="Q2-2024"/>
    <s v="Americas → Brazil → Brasília"/>
    <s v="Support"/>
    <s v="Medium"/>
    <s v="BRAZIL"/>
    <d v="2023-01-29T00:00:00"/>
    <s v="Jan-2023"/>
    <d v="2024-06-30T00:00:00"/>
    <n v="0"/>
    <n v="0"/>
  </r>
  <r>
    <s v="ORD-2024-788105"/>
    <d v="2024-11-30T00:00:00"/>
    <d v="2024-12-30T00:00:00"/>
    <x v="3"/>
    <s v="France"/>
    <s v="Marseille"/>
    <s v="Consumer"/>
    <s v="Marketplace"/>
    <x v="8"/>
    <s v="Printers"/>
    <s v="PRN-4170"/>
    <n v="117.64"/>
    <n v="175.67"/>
    <n v="0"/>
    <n v="10"/>
    <s v="Valid"/>
    <n v="175.67"/>
    <b v="0"/>
    <n v="0"/>
    <n v="30"/>
    <d v="2024-12-30T00:00:00"/>
    <n v="30"/>
    <n v="175669.99999999997"/>
    <n v="1756.6999999999998"/>
    <n v="173913.29999999996"/>
    <n v="0.98999999999999988"/>
    <s v="Nov-2024"/>
    <s v="Q4-2024"/>
    <s v="Europe → France → Marseille"/>
    <s v="Peripherals"/>
    <s v="High"/>
    <s v="FRANCE"/>
    <d v="2023-01-10T00:00:00"/>
    <s v="Jan-2023"/>
    <d v="2024-11-30T00:00:00"/>
    <n v="0"/>
    <n v="0"/>
  </r>
  <r>
    <s v="ORD-2024-855073"/>
    <d v="2024-07-19T00:00:00"/>
    <d v="2024-07-19T00:00:00"/>
    <x v="0"/>
    <s v="Kenya"/>
    <s v="Kisumu"/>
    <s v="Small Business"/>
    <s v="Retail"/>
    <x v="7"/>
    <s v="Phones"/>
    <s v="PHN-6854"/>
    <n v="857.24"/>
    <n v="758.23"/>
    <n v="0.125"/>
    <n v="6"/>
    <s v="Valid"/>
    <n v="758.23"/>
    <b v="0"/>
    <n v="0.125"/>
    <n v="0"/>
    <d v="2024-07-19T00:00:00"/>
    <n v="0"/>
    <n v="454369.32750000001"/>
    <n v="4549.38"/>
    <n v="449819.94750000001"/>
    <n v="0.98998748435544426"/>
    <s v="Jul-2024"/>
    <s v="Q3-2024"/>
    <s v="Africa → Kenya → Kisumu"/>
    <s v="Devices"/>
    <s v="Medium"/>
    <s v="KENYA"/>
    <d v="2023-01-20T00:00:00"/>
    <s v="Jan-2023"/>
    <d v="2024-07-31T00:00:00"/>
    <n v="1"/>
    <n v="0"/>
  </r>
  <r>
    <s v="ORD-2023-897079"/>
    <d v="2023-04-14T00:00:00"/>
    <d v="2023-05-14T00:00:00"/>
    <x v="0"/>
    <s v="Kenya"/>
    <s v="Nakuru"/>
    <s v="Consumer"/>
    <s v="Marketplace"/>
    <x v="11"/>
    <s v="Phones"/>
    <s v="PHN-1784"/>
    <n v="209.25"/>
    <n v="434.8"/>
    <n v="0"/>
    <n v="9"/>
    <s v="Valid"/>
    <n v="434.8"/>
    <b v="0"/>
    <n v="0"/>
    <n v="30"/>
    <d v="2023-05-14T00:00:00"/>
    <n v="30"/>
    <n v="391320"/>
    <n v="3913.2000000000003"/>
    <n v="387406.8"/>
    <n v="0.99"/>
    <s v="Apr-2023"/>
    <s v="Q2-2023"/>
    <s v="Africa → Kenya → Nakuru"/>
    <s v="Devices"/>
    <s v="Low"/>
    <s v="KENYA"/>
    <d v="2023-01-20T00:00:00"/>
    <s v="Jan-2023"/>
    <d v="2023-04-30T00:00:00"/>
    <n v="0"/>
    <n v="0"/>
  </r>
  <r>
    <s v="ORD-2025-548982"/>
    <d v="2025-04-07T00:00:00"/>
    <d v="2025-04-11T00:00:00"/>
    <x v="3"/>
    <s v="France"/>
    <s v="Lyon"/>
    <s v="Education"/>
    <s v="Retail"/>
    <x v="5"/>
    <s v="Networking"/>
    <s v="NET-9716"/>
    <n v="754.77"/>
    <n v="1666.18"/>
    <n v="0.13900000000000001"/>
    <n v="14"/>
    <s v="Valid"/>
    <n v="1666.18"/>
    <b v="0"/>
    <n v="0.13900000000000001"/>
    <n v="4"/>
    <d v="2025-04-11T00:00:00"/>
    <n v="4"/>
    <n v="2329409.6137200003"/>
    <n v="23326.52"/>
    <n v="2306083.0937200002"/>
    <n v="0.98998608065210647"/>
    <s v="Apr-2025"/>
    <s v="Q2-2025"/>
    <s v="Europe → France → Lyon"/>
    <s v="Support"/>
    <s v="High"/>
    <s v="FRANCE"/>
    <d v="2023-01-10T00:00:00"/>
    <s v="Jan-2023"/>
    <d v="2025-04-30T00:00:00"/>
    <n v="1"/>
    <n v="0"/>
  </r>
  <r>
    <s v="ORD-2024-170313"/>
    <d v="2024-12-27T00:00:00"/>
    <d v="2025-01-15T00:00:00"/>
    <x v="2"/>
    <s v="India"/>
    <s v="Delhi"/>
    <s v="Non-Profit"/>
    <s v="Distributor"/>
    <x v="3"/>
    <s v="Components"/>
    <s v="CMP-6919"/>
    <n v="495.59"/>
    <n v="631.78"/>
    <n v="8.6999999999999994E-2"/>
    <n v="17"/>
    <s v="Valid"/>
    <n v="631.78"/>
    <b v="0"/>
    <n v="8.6999999999999994E-2"/>
    <n v="19"/>
    <d v="2025-01-15T00:00:00"/>
    <n v="19"/>
    <n v="1073091.5973799999"/>
    <n v="10740.26"/>
    <n v="1062351.3373799999"/>
    <n v="0.9899912924244092"/>
    <s v="Dec-2024"/>
    <s v="Q4-2024"/>
    <s v="Asia → India → Delhi"/>
    <s v="Support"/>
    <s v="High"/>
    <s v="INDIA"/>
    <d v="2023-01-29T00:00:00"/>
    <s v="Jan-2023"/>
    <d v="2024-12-31T00:00:00"/>
    <n v="0"/>
    <n v="0"/>
  </r>
  <r>
    <s v="ORD-2023-562894"/>
    <d v="2023-02-23T00:00:00"/>
    <d v="2023-03-25T00:00:00"/>
    <x v="1"/>
    <s v="Canada"/>
    <s v="Montreal"/>
    <s v="Enterprise"/>
    <s v="Online"/>
    <x v="13"/>
    <s v="Phones"/>
    <s v="PHN-4854"/>
    <n v="1242.6600000000001"/>
    <n v="1794.07"/>
    <n v="8.8999999999999996E-2"/>
    <n v="16"/>
    <s v="Valid"/>
    <n v="1794.07"/>
    <b v="0"/>
    <n v="8.8999999999999996E-2"/>
    <n v="30"/>
    <d v="2023-03-25T00:00:00"/>
    <n v="30"/>
    <n v="2867957.2443200001"/>
    <n v="28705.119999999999"/>
    <n v="2839252.1243199999"/>
    <n v="0.98999109207194402"/>
    <s v="Feb-2023"/>
    <s v="Q1-2023"/>
    <s v="Americas → Canada → Montreal"/>
    <s v="Devices"/>
    <s v="Low"/>
    <s v="CANADA"/>
    <d v="2023-01-02T00:00:00"/>
    <s v="Jan-2023"/>
    <d v="2023-02-28T00:00:00"/>
    <n v="0"/>
    <n v="0"/>
  </r>
  <r>
    <s v="ORD-2025-474710"/>
    <d v="2025-07-24T00:00:00"/>
    <d v="2025-08-06T00:00:00"/>
    <x v="0"/>
    <s v="South Africa"/>
    <s v="Johannesburg"/>
    <s v="Education"/>
    <s v="Marketplace"/>
    <x v="13"/>
    <s v="Networking"/>
    <s v="NET-7966"/>
    <n v="1463.9"/>
    <n v="2633.02"/>
    <n v="8.4000000000000005E-2"/>
    <n v="4"/>
    <s v="Valid"/>
    <n v="2633.02"/>
    <b v="0"/>
    <n v="8.4000000000000005E-2"/>
    <n v="13"/>
    <d v="2025-08-06T00:00:00"/>
    <n v="13"/>
    <n v="1052323.30528"/>
    <n v="10532.08"/>
    <n v="1041791.22528"/>
    <n v="0.98999159293806804"/>
    <s v="Jul-2025"/>
    <s v="Q3-2025"/>
    <s v="Africa → South Africa → Johannesburg"/>
    <s v="Support"/>
    <s v="High"/>
    <s v="SOUTH AFRICA"/>
    <d v="2023-01-07T00:00:00"/>
    <s v="Jan-2023"/>
    <d v="2025-07-31T00:00:00"/>
    <n v="0"/>
    <n v="0"/>
  </r>
  <r>
    <s v="ORD-2024-629525"/>
    <d v="2024-04-18T00:00:00"/>
    <d v="2024-05-08T00:00:00"/>
    <x v="3"/>
    <s v="United Kingdom"/>
    <s v="London"/>
    <s v="Non-Profit"/>
    <s v="Unknown Channel "/>
    <x v="13"/>
    <s v="Laptops"/>
    <s v="LAP-9932"/>
    <n v="645.33000000000004"/>
    <n v="1321.85"/>
    <n v="0"/>
    <n v="10"/>
    <s v="Valid"/>
    <n v="1321.85"/>
    <b v="0"/>
    <n v="0"/>
    <n v="20"/>
    <d v="2024-05-08T00:00:00"/>
    <n v="20"/>
    <n v="1321850"/>
    <n v="13218.5"/>
    <n v="1308631.5"/>
    <n v="0.99"/>
    <s v="Apr-2024"/>
    <s v="Q2-2024"/>
    <s v="Europe → United Kingdom → London"/>
    <s v="Devices"/>
    <s v="Medium"/>
    <s v="UNITED KINGDOM"/>
    <d v="2023-01-19T00:00:00"/>
    <s v="Jan-2023"/>
    <d v="2024-04-30T00:00:00"/>
    <n v="0"/>
    <n v="0"/>
  </r>
  <r>
    <s v="ORD-2024-167215"/>
    <d v="2024-08-23T00:00:00"/>
    <d v="2024-08-21T00:00:00"/>
    <x v="0"/>
    <s v="South Africa"/>
    <s v="Johannesburg"/>
    <s v="Education"/>
    <s v="Retail"/>
    <x v="5"/>
    <s v="Components"/>
    <s v="CMP-1559"/>
    <n v="1432.52"/>
    <n v="3036.87"/>
    <n v="0"/>
    <n v="9"/>
    <s v="Valid"/>
    <n v="3036.87"/>
    <b v="0"/>
    <n v="0"/>
    <n v="-2"/>
    <d v="2024-08-30T00:00:00"/>
    <n v="7"/>
    <n v="2733183"/>
    <n v="27331.829999999998"/>
    <n v="2705851.17"/>
    <n v="0.99"/>
    <s v="Aug-2024"/>
    <s v="Q3-2024"/>
    <s v="Africa → South Africa → Johannesburg"/>
    <s v="Support"/>
    <s v="Medium"/>
    <s v="SOUTH AFRICA"/>
    <d v="2023-01-07T00:00:00"/>
    <s v="Jan-2023"/>
    <d v="2024-08-31T00:00:00"/>
    <n v="1"/>
    <n v="0"/>
  </r>
  <r>
    <s v="ORD-2023-864121"/>
    <d v="2023-03-27T00:00:00"/>
    <d v="2023-04-22T00:00:00"/>
    <x v="2"/>
    <s v="India"/>
    <s v="Delhi"/>
    <s v="Non-Profit"/>
    <s v="Marketplace"/>
    <x v="1"/>
    <s v="Printers"/>
    <s v="PRN-4506"/>
    <n v="178.53"/>
    <n v="199.37"/>
    <n v="0.10100000000000001"/>
    <n v="37"/>
    <s v="Valid"/>
    <n v="199.37"/>
    <b v="0"/>
    <n v="0.10100000000000001"/>
    <n v="26"/>
    <d v="2023-04-22T00:00:00"/>
    <n v="26"/>
    <n v="736923.95431000006"/>
    <n v="7376.6900000000005"/>
    <n v="729547.26431000012"/>
    <n v="0.98998988978868663"/>
    <s v="Mar-2023"/>
    <s v="Q1-2023"/>
    <s v="Asia → India → Delhi"/>
    <s v="Peripherals"/>
    <s v="Low"/>
    <s v="INDIA"/>
    <d v="2023-01-29T00:00:00"/>
    <s v="Jan-2023"/>
    <d v="2023-03-31T00:00:00"/>
    <n v="0"/>
    <n v="0"/>
  </r>
  <r>
    <s v="ORD-2024-692673"/>
    <d v="2024-03-07T00:00:00"/>
    <d v="2024-03-25T00:00:00"/>
    <x v="3"/>
    <s v="Germany"/>
    <s v="Munich"/>
    <s v="Corporate"/>
    <s v="Online"/>
    <x v="4"/>
    <s v="Components"/>
    <s v="CMP-7617"/>
    <n v="712.84"/>
    <n v="927.51"/>
    <n v="0.24299999999999999"/>
    <n v="27"/>
    <s v="Valid"/>
    <n v="927.51"/>
    <b v="0"/>
    <n v="0.24299999999999999"/>
    <n v="18"/>
    <d v="2024-03-25T00:00:00"/>
    <n v="18"/>
    <n v="2498191.6068899999"/>
    <n v="25042.77"/>
    <n v="2473148.8368899999"/>
    <n v="0.98997564080716138"/>
    <s v="Mar-2024"/>
    <s v="Q1-2024"/>
    <s v="Europe → Germany → Munich"/>
    <s v="Support"/>
    <s v="Medium"/>
    <s v="GERMANY"/>
    <d v="2023-01-22T00:00:00"/>
    <s v="Jan-2023"/>
    <d v="2024-03-31T00:00:00"/>
    <n v="0"/>
    <n v="1"/>
  </r>
  <r>
    <s v="ORD-2025-718992"/>
    <d v="2025-06-24T00:00:00"/>
    <d v="2025-07-10T00:00:00"/>
    <x v="2"/>
    <s v="China"/>
    <s v="Shanghai"/>
    <s v="Enterprise"/>
    <s v="Direct"/>
    <x v="12"/>
    <s v="Components"/>
    <s v="CMP-8390"/>
    <n v="757.19"/>
    <n v="1735.41"/>
    <n v="0.13600000000000001"/>
    <n v="8"/>
    <s v="Valid"/>
    <n v="1735.41"/>
    <b v="0"/>
    <n v="0.13600000000000001"/>
    <n v="16"/>
    <d v="2025-07-10T00:00:00"/>
    <n v="16"/>
    <n v="1386439.8739200002"/>
    <n v="13883.28"/>
    <n v="1372556.5939200001"/>
    <n v="0.98998638147881113"/>
    <s v="Jun-2025"/>
    <s v="Q2-2025"/>
    <s v="Asia → China → Shanghai"/>
    <s v="Support"/>
    <s v="High"/>
    <s v="CHINA"/>
    <d v="2023-01-12T00:00:00"/>
    <s v="Jan-2023"/>
    <d v="2025-06-30T00:00:00"/>
    <n v="0"/>
    <n v="0"/>
  </r>
  <r>
    <s v="ORD-2024-599522"/>
    <d v="2024-04-19T00:00:00"/>
    <d v="2024-05-06T00:00:00"/>
    <x v="0"/>
    <s v="Nigeria"/>
    <s v="Port Harcourt"/>
    <s v="Non-Profit"/>
    <s v="Online"/>
    <x v="7"/>
    <s v="Printers"/>
    <s v="PRN-7303"/>
    <n v="865.33"/>
    <n v="1395.64"/>
    <n v="0.17499999999999999"/>
    <n v="13"/>
    <s v="Valid"/>
    <n v="1395.64"/>
    <b v="0"/>
    <n v="0.17499999999999999"/>
    <n v="17"/>
    <d v="2024-05-06T00:00:00"/>
    <n v="17"/>
    <n v="1811156.919"/>
    <n v="18143.32"/>
    <n v="1793013.5989999999"/>
    <n v="0.98998246932131229"/>
    <s v="Apr-2024"/>
    <s v="Q2-2024"/>
    <s v="Africa → Nigeria → Port Harcourt"/>
    <s v="Peripherals"/>
    <s v="Medium"/>
    <s v="NIGERIA"/>
    <d v="2023-01-15T00:00:00"/>
    <s v="Jan-2023"/>
    <d v="2024-04-30T00:00:00"/>
    <n v="0"/>
    <n v="0"/>
  </r>
  <r>
    <s v="ORD-2023-651638"/>
    <d v="2023-06-17T00:00:00"/>
    <d v="2023-06-24T00:00:00"/>
    <x v="1"/>
    <s v="USA"/>
    <s v="San Francisco"/>
    <s v="Corporate"/>
    <s v="Retail"/>
    <x v="2"/>
    <s v="Printers"/>
    <s v="PRN-6536"/>
    <n v="313.99"/>
    <n v="454.42"/>
    <n v="0.129"/>
    <n v="9"/>
    <s v="Valid"/>
    <n v="454.42"/>
    <b v="0"/>
    <n v="0.129"/>
    <n v="7"/>
    <d v="2023-06-24T00:00:00"/>
    <n v="7"/>
    <n v="408450.41837999999"/>
    <n v="4089.78"/>
    <n v="404360.63837999996"/>
    <n v="0.98998708333750529"/>
    <s v="Jun-2023"/>
    <s v="Q2-2023"/>
    <s v="Americas → USA → San Francisco"/>
    <s v="Peripherals"/>
    <s v="Low"/>
    <s v="USA"/>
    <d v="2023-01-13T00:00:00"/>
    <s v="Jan-2023"/>
    <d v="2023-06-30T00:00:00"/>
    <n v="1"/>
    <n v="0"/>
  </r>
  <r>
    <s v="ORD-2024-635626"/>
    <d v="2024-08-27T00:00:00"/>
    <d v="2024-09-19T00:00:00"/>
    <x v="3"/>
    <s v="Germany"/>
    <s v="Berlin"/>
    <s v="Small Business"/>
    <s v="Direct"/>
    <x v="13"/>
    <s v="Monitors"/>
    <s v="MON-9967"/>
    <n v="1024.01"/>
    <n v="1580.97"/>
    <n v="3.6999999999999998E-2"/>
    <n v="27"/>
    <s v="Valid"/>
    <n v="1580.97"/>
    <b v="0"/>
    <n v="3.6999999999999998E-2"/>
    <n v="23"/>
    <d v="2024-09-19T00:00:00"/>
    <n v="23"/>
    <n v="4267039.6109699998"/>
    <n v="42686.19"/>
    <n v="4224353.4209699994"/>
    <n v="0.98999629863049321"/>
    <s v="Aug-2024"/>
    <s v="Q3-2024"/>
    <s v="Europe → Germany → Berlin"/>
    <s v="Peripherals"/>
    <s v="Medium"/>
    <s v="GERMANY"/>
    <d v="2023-01-22T00:00:00"/>
    <s v="Jan-2023"/>
    <d v="2024-08-31T00:00:00"/>
    <n v="0"/>
    <n v="0"/>
  </r>
  <r>
    <s v="ORD-2024-296582"/>
    <d v="2024-01-11T00:00:00"/>
    <d v="2024-02-02T00:00:00"/>
    <x v="0"/>
    <s v="South Africa"/>
    <s v="Durban"/>
    <s v="Consumer"/>
    <s v="Online"/>
    <x v="10"/>
    <s v="Networking"/>
    <s v="NET-1412"/>
    <n v="1206.2"/>
    <n v="1759.79"/>
    <n v="0"/>
    <n v="6"/>
    <s v="Valid"/>
    <n v="1759.79"/>
    <b v="0"/>
    <n v="0"/>
    <n v="22"/>
    <d v="2024-02-02T00:00:00"/>
    <n v="22"/>
    <n v="1055874"/>
    <n v="10558.74"/>
    <n v="1045315.26"/>
    <n v="0.99"/>
    <s v="Jan-2024"/>
    <s v="Q1-2024"/>
    <s v="Africa → South Africa → Durban"/>
    <s v="Support"/>
    <s v="Medium"/>
    <s v="SOUTH AFRICA"/>
    <d v="2023-01-07T00:00:00"/>
    <s v="Jan-2023"/>
    <d v="2024-01-31T00:00:00"/>
    <n v="0"/>
    <n v="0"/>
  </r>
  <r>
    <s v="ORD-2024-998320"/>
    <d v="2024-10-25T00:00:00"/>
    <d v="2024-11-14T00:00:00"/>
    <x v="0"/>
    <s v="Kenya"/>
    <s v="Mombasa"/>
    <s v="Corporate"/>
    <s v="Direct"/>
    <x v="9"/>
    <s v="Printers"/>
    <s v="PRN-3143"/>
    <n v="1396.48"/>
    <n v="3204.5"/>
    <n v="0.318"/>
    <n v="14"/>
    <s v="Valid"/>
    <n v="3204.5"/>
    <s v="Excess"/>
    <n v="0.3"/>
    <n v="20"/>
    <d v="2024-11-14T00:00:00"/>
    <n v="20"/>
    <n v="4472841.1000000006"/>
    <n v="44863"/>
    <n v="4427978.1000000006"/>
    <n v="0.98996990972918752"/>
    <s v="Oct-2024"/>
    <s v="Q4-2024"/>
    <s v="Africa → Kenya → Mombasa"/>
    <s v="Peripherals"/>
    <s v="High"/>
    <s v="KENYA"/>
    <d v="2023-01-20T00:00:00"/>
    <s v="Jan-2023"/>
    <d v="2024-10-31T00:00:00"/>
    <n v="0"/>
    <n v="1"/>
  </r>
  <r>
    <s v="ORD-2025-820255"/>
    <d v="2025-05-29T00:00:00"/>
    <d v="2025-06-20T00:00:00"/>
    <x v="3"/>
    <s v="Germany"/>
    <s v="Berlin"/>
    <s v="Corporate"/>
    <s v="Direct"/>
    <x v="7"/>
    <s v="Printers"/>
    <s v="PRN-9787"/>
    <n v="483.47"/>
    <n v="1135.43"/>
    <n v="0.14599999999999999"/>
    <n v="11"/>
    <s v="Valid"/>
    <n v="1135.43"/>
    <b v="0"/>
    <n v="0.14599999999999999"/>
    <n v="22"/>
    <d v="2025-06-20T00:00:00"/>
    <n v="22"/>
    <n v="1247149.4994200002"/>
    <n v="12489.730000000001"/>
    <n v="1234659.7694200003"/>
    <n v="0.9899853786528332"/>
    <s v="May-2025"/>
    <s v="Q2-2025"/>
    <s v="Europe → Germany → Berlin"/>
    <s v="Peripherals"/>
    <s v="High"/>
    <s v="GERMANY"/>
    <d v="2023-01-22T00:00:00"/>
    <s v="Jan-2023"/>
    <d v="2025-05-31T00:00:00"/>
    <n v="0"/>
    <n v="0"/>
  </r>
  <r>
    <s v="ORD-2024-389336"/>
    <d v="2024-05-20T00:00:00"/>
    <d v="2024-06-02T00:00:00"/>
    <x v="1"/>
    <s v="Canada"/>
    <s v="Vancouver"/>
    <s v="Enterprise"/>
    <s v="Marketplace"/>
    <x v="10"/>
    <s v="Components"/>
    <s v="CMP-5946"/>
    <n v="675.43"/>
    <n v="996.36"/>
    <n v="0.182"/>
    <n v="22"/>
    <s v="Valid"/>
    <n v="996.36"/>
    <b v="0"/>
    <n v="0.182"/>
    <n v="13"/>
    <d v="2024-06-02T00:00:00"/>
    <n v="13"/>
    <n v="2188002.5745600001"/>
    <n v="21919.920000000002"/>
    <n v="2166082.6545600002"/>
    <n v="0.98998176681560446"/>
    <s v="May-2024"/>
    <s v="Q2-2024"/>
    <s v="Americas → Canada → Vancouver"/>
    <s v="Support"/>
    <s v="Medium"/>
    <s v="CANADA"/>
    <d v="2023-01-02T00:00:00"/>
    <s v="Jan-2023"/>
    <d v="2024-05-31T00:00:00"/>
    <n v="0"/>
    <n v="0"/>
  </r>
  <r>
    <s v="ORD-2023-308124"/>
    <d v="2023-04-19T00:00:00"/>
    <d v="2023-04-30T00:00:00"/>
    <x v="2"/>
    <s v="India"/>
    <s v="Delhi"/>
    <s v="Small Business"/>
    <s v="Retail"/>
    <x v="7"/>
    <s v="Networking"/>
    <s v="NET-2062"/>
    <n v="826.55"/>
    <n v="1397.05"/>
    <n v="0.16900000000000001"/>
    <n v="28"/>
    <s v="Valid"/>
    <n v="1397.05"/>
    <b v="0"/>
    <n v="0.16900000000000001"/>
    <n v="11"/>
    <d v="2023-04-30T00:00:00"/>
    <n v="11"/>
    <n v="3905129.1594000002"/>
    <n v="39117.4"/>
    <n v="3866011.7594000003"/>
    <n v="0.98998307139065023"/>
    <s v="Apr-2023"/>
    <s v="Q2-2023"/>
    <s v="Asia → India → Delhi"/>
    <s v="Support"/>
    <s v="Low"/>
    <s v="INDIA"/>
    <d v="2023-01-29T00:00:00"/>
    <s v="Jan-2023"/>
    <d v="2023-04-30T00:00:00"/>
    <n v="0"/>
    <n v="0"/>
  </r>
  <r>
    <s v="ORD-2023-128295"/>
    <d v="2023-06-23T00:00:00"/>
    <d v="2023-07-03T00:00:00"/>
    <x v="0"/>
    <s v="Nigeria"/>
    <s v="Abuja"/>
    <s v="Consumer"/>
    <s v="Online"/>
    <x v="1"/>
    <s v="Printers"/>
    <s v="PRN-2542"/>
    <n v="337.75"/>
    <n v="548.89"/>
    <n v="0"/>
    <n v="13"/>
    <s v="Valid"/>
    <n v="548.89"/>
    <b v="0"/>
    <n v="0"/>
    <n v="10"/>
    <d v="2023-07-03T00:00:00"/>
    <n v="10"/>
    <n v="713557"/>
    <n v="7135.57"/>
    <n v="706421.43"/>
    <n v="0.9900000000000001"/>
    <s v="Jun-2023"/>
    <s v="Q2-2023"/>
    <s v="Africa → Nigeria → Abuja"/>
    <s v="Peripherals"/>
    <s v="Low"/>
    <s v="NIGERIA"/>
    <d v="2023-01-15T00:00:00"/>
    <s v="Jan-2023"/>
    <d v="2023-06-30T00:00:00"/>
    <n v="0"/>
    <n v="0"/>
  </r>
  <r>
    <s v="ORD-2024-548345"/>
    <d v="2024-05-14T00:00:00"/>
    <d v="2024-05-28T00:00:00"/>
    <x v="3"/>
    <s v="United Kingdom"/>
    <s v="Birmingham"/>
    <s v="Consumer"/>
    <s v="Retail"/>
    <x v="4"/>
    <s v="Networking"/>
    <s v="NET-2365"/>
    <n v="1421.14"/>
    <n v="3524"/>
    <n v="0"/>
    <n v="31"/>
    <s v="Valid"/>
    <n v="3524"/>
    <b v="0"/>
    <n v="0"/>
    <n v="14"/>
    <d v="2024-05-28T00:00:00"/>
    <n v="14"/>
    <n v="10924400"/>
    <n v="109244"/>
    <n v="10815156"/>
    <n v="0.99"/>
    <s v="May-2024"/>
    <s v="Q2-2024"/>
    <s v="Europe → United Kingdom → Birmingham"/>
    <s v="Support"/>
    <s v="Medium"/>
    <s v="UNITED KINGDOM"/>
    <d v="2023-01-19T00:00:00"/>
    <s v="Jan-2023"/>
    <d v="2024-05-31T00:00:00"/>
    <n v="0"/>
    <n v="0"/>
  </r>
  <r>
    <s v="ORD-2024-966651"/>
    <d v="2024-10-14T00:00:00"/>
    <d v="2024-11-08T00:00:00"/>
    <x v="0"/>
    <s v="Nigeria"/>
    <s v="Lagos"/>
    <s v="Enterprise"/>
    <s v="Online"/>
    <x v="6"/>
    <s v="Networking"/>
    <s v="NET-5268"/>
    <n v="859.35"/>
    <n v="1825.61"/>
    <n v="0.187"/>
    <n v="24"/>
    <s v="Valid"/>
    <n v="1825.61"/>
    <b v="0"/>
    <n v="0.187"/>
    <n v="25"/>
    <d v="2024-11-08T00:00:00"/>
    <n v="25"/>
    <n v="4373270.6623200001"/>
    <n v="43814.64"/>
    <n v="4329456.0223200005"/>
    <n v="0.98998126496548555"/>
    <s v="Oct-2024"/>
    <s v="Q4-2024"/>
    <s v="Africa → Nigeria → Lagos"/>
    <s v="Support"/>
    <s v="Medium"/>
    <s v="NIGERIA"/>
    <d v="2023-01-15T00:00:00"/>
    <s v="Jan-2023"/>
    <d v="2024-10-31T00:00:00"/>
    <n v="0"/>
    <n v="0"/>
  </r>
  <r>
    <s v="ORD-2023-292714"/>
    <d v="2023-07-10T00:00:00"/>
    <d v="2023-08-01T00:00:00"/>
    <x v="3"/>
    <s v="France"/>
    <s v="Marseille"/>
    <s v="Consumer"/>
    <s v="Marketplace"/>
    <x v="4"/>
    <s v="Printers"/>
    <s v="PRN-1504"/>
    <n v="1303.56"/>
    <n v="1791.37"/>
    <n v="0.126"/>
    <n v="22"/>
    <s v="Valid"/>
    <n v="1791.37"/>
    <b v="0"/>
    <n v="0.126"/>
    <n v="22"/>
    <d v="2023-08-01T00:00:00"/>
    <n v="22"/>
    <n v="3936048.3223599996"/>
    <n v="39410.14"/>
    <n v="3896638.1823599995"/>
    <n v="0.98998738410397102"/>
    <s v="Jul-2023"/>
    <s v="Q3-2023"/>
    <s v="Europe → France → Marseille"/>
    <s v="Peripherals"/>
    <s v="Low"/>
    <s v="FRANCE"/>
    <d v="2023-01-10T00:00:00"/>
    <s v="Jan-2023"/>
    <d v="2023-07-31T00:00:00"/>
    <n v="0"/>
    <n v="0"/>
  </r>
  <r>
    <s v="ORD-2024-468501"/>
    <d v="2024-11-06T00:00:00"/>
    <d v="2024-11-22T00:00:00"/>
    <x v="1"/>
    <s v="Canada"/>
    <s v="Toronto"/>
    <s v="Non-Profit"/>
    <s v="Distributor"/>
    <x v="13"/>
    <s v="Accessories"/>
    <s v="ACC-6348"/>
    <n v="1454.11"/>
    <n v="2629.75"/>
    <n v="0.29199999999999998"/>
    <n v="8"/>
    <s v="Valid"/>
    <n v="2629.75"/>
    <b v="0"/>
    <n v="0.29199999999999998"/>
    <n v="16"/>
    <d v="2024-11-22T00:00:00"/>
    <n v="16"/>
    <n v="2097656.9040000001"/>
    <n v="21038"/>
    <n v="2076618.9040000001"/>
    <n v="0.98997071448630003"/>
    <s v="Nov-2024"/>
    <s v="Q4-2024"/>
    <s v="Americas → Canada → Toronto"/>
    <s v="Support"/>
    <s v="High"/>
    <s v="CANADA"/>
    <d v="2023-01-02T00:00:00"/>
    <s v="Jan-2023"/>
    <d v="2024-11-30T00:00:00"/>
    <n v="0"/>
    <n v="1"/>
  </r>
  <r>
    <s v="ORD-2024-260775"/>
    <d v="2024-10-17T00:00:00"/>
    <d v="2024-11-06T00:00:00"/>
    <x v="2"/>
    <s v="India"/>
    <s v="Bengaluru"/>
    <s v="Enterprise"/>
    <s v="Distributor"/>
    <x v="6"/>
    <s v="Monitors"/>
    <s v="MON-4330"/>
    <n v="72.94"/>
    <n v="106.3"/>
    <n v="0.29499999999999998"/>
    <n v="8"/>
    <s v="Valid"/>
    <n v="106.3"/>
    <b v="0"/>
    <n v="0.29499999999999998"/>
    <n v="20"/>
    <d v="2024-11-06T00:00:00"/>
    <n v="20"/>
    <n v="84789.131999999998"/>
    <n v="850.4"/>
    <n v="83938.732000000004"/>
    <n v="0.98997041271751673"/>
    <s v="Oct-2024"/>
    <s v="Q4-2024"/>
    <s v="Asia → India → Bengaluru"/>
    <s v="Peripherals"/>
    <s v="Medium"/>
    <s v="INDIA"/>
    <d v="2023-01-29T00:00:00"/>
    <s v="Jan-2023"/>
    <d v="2024-10-31T00:00:00"/>
    <n v="0"/>
    <n v="1"/>
  </r>
  <r>
    <s v="ORD-2023-419187"/>
    <d v="2023-03-31T00:00:00"/>
    <d v="2023-04-05T00:00:00"/>
    <x v="0"/>
    <s v="Kenya"/>
    <s v="Nakuru"/>
    <s v="Education"/>
    <s v="Marketplace"/>
    <x v="4"/>
    <s v="Laptops"/>
    <s v="LAP-7819"/>
    <n v="533.26"/>
    <n v="385.72"/>
    <n v="0"/>
    <n v="15"/>
    <s v="Valid"/>
    <n v="385.72"/>
    <b v="0"/>
    <n v="0"/>
    <n v="5"/>
    <d v="2023-04-05T00:00:00"/>
    <n v="5"/>
    <n v="578580"/>
    <n v="5785.8"/>
    <n v="572794.19999999995"/>
    <n v="0.98999999999999988"/>
    <s v="Mar-2023"/>
    <s v="Q1-2023"/>
    <s v="Africa → Kenya → Nakuru"/>
    <s v="Devices"/>
    <s v="Low"/>
    <s v="KENYA"/>
    <d v="2023-01-20T00:00:00"/>
    <s v="Jan-2023"/>
    <d v="2023-03-31T00:00:00"/>
    <n v="1"/>
    <n v="0"/>
  </r>
  <r>
    <s v="ORD-2025-578007"/>
    <d v="2025-01-21T00:00:00"/>
    <d v="2025-02-16T00:00:00"/>
    <x v="3"/>
    <s v="France"/>
    <s v="Lyon"/>
    <s v="Corporate"/>
    <s v="Distributor"/>
    <x v="6"/>
    <s v="Laptops"/>
    <s v="LAP-3779"/>
    <n v="204.11"/>
    <n v="236.87"/>
    <n v="0.182"/>
    <n v="13"/>
    <s v="Valid"/>
    <n v="236.87"/>
    <b v="0"/>
    <n v="0.182"/>
    <n v="26"/>
    <d v="2025-02-16T00:00:00"/>
    <n v="26"/>
    <n v="307370.56557999999"/>
    <n v="3079.31"/>
    <n v="304291.25558"/>
    <n v="0.98998176681560446"/>
    <s v="Jan-2025"/>
    <s v="Q1-2025"/>
    <s v="Europe → France → Lyon"/>
    <s v="Devices"/>
    <s v="High"/>
    <s v="FRANCE"/>
    <d v="2023-01-10T00:00:00"/>
    <s v="Jan-2023"/>
    <d v="2025-01-31T00:00:00"/>
    <n v="0"/>
    <n v="0"/>
  </r>
  <r>
    <s v="ORD-2023-235230"/>
    <d v="2023-08-30T00:00:00"/>
    <d v="2023-09-01T00:00:00"/>
    <x v="3"/>
    <s v="Germany"/>
    <s v="Munich"/>
    <s v="Corporate"/>
    <s v="Direct"/>
    <x v="12"/>
    <s v="Networking"/>
    <s v="NET-9989"/>
    <n v="44.42"/>
    <n v="41.9"/>
    <n v="0.14399999999999999"/>
    <n v="6"/>
    <s v="Valid"/>
    <n v="41.9"/>
    <b v="0"/>
    <n v="0.14399999999999999"/>
    <n v="2"/>
    <d v="2023-09-01T00:00:00"/>
    <n v="2"/>
    <n v="25103.798399999996"/>
    <n v="251.39999999999998"/>
    <n v="24852.398399999995"/>
    <n v="0.98998557923409702"/>
    <s v="Aug-2023"/>
    <s v="Q3-2023"/>
    <s v="Europe → Germany → Munich"/>
    <s v="Support"/>
    <s v="Low"/>
    <s v="GERMANY"/>
    <d v="2023-01-22T00:00:00"/>
    <s v="Jan-2023"/>
    <d v="2023-08-31T00:00:00"/>
    <n v="1"/>
    <n v="0"/>
  </r>
  <r>
    <s v="ORD-2025-765220"/>
    <d v="2025-04-06T00:00:00"/>
    <d v="2025-04-30T00:00:00"/>
    <x v="1"/>
    <s v="Brazil"/>
    <s v="Brasília"/>
    <s v="Education"/>
    <s v="Online"/>
    <x v="10"/>
    <s v="Monitors"/>
    <s v="MON-4925"/>
    <n v="855.78"/>
    <n v="977.38"/>
    <n v="0.14699999999999999"/>
    <n v="38"/>
    <s v="Valid"/>
    <n v="977.38"/>
    <b v="0"/>
    <n v="0.14699999999999999"/>
    <n v="24"/>
    <d v="2025-04-30T00:00:00"/>
    <n v="24"/>
    <n v="3708584.3553200001"/>
    <n v="37140.44"/>
    <n v="3671443.9153200001"/>
    <n v="0.98998527835918804"/>
    <s v="Apr-2025"/>
    <s v="Q2-2025"/>
    <s v="Americas → Brazil → Brasília"/>
    <s v="Peripherals"/>
    <s v="High"/>
    <s v="BRAZIL"/>
    <d v="2023-01-29T00:00:00"/>
    <s v="Jan-2023"/>
    <d v="2025-04-30T00:00:00"/>
    <n v="0"/>
    <n v="0"/>
  </r>
  <r>
    <s v="ORD-2025-931538"/>
    <d v="2025-02-09T00:00:00"/>
    <d v="2025-03-01T00:00:00"/>
    <x v="1"/>
    <s v="Brazil"/>
    <s v="São Paulo"/>
    <s v="Corporate"/>
    <s v="Distributor"/>
    <x v="4"/>
    <s v="Laptops"/>
    <s v="LAP-6989"/>
    <n v="1154.6400000000001"/>
    <n v="2794.13"/>
    <n v="3.5000000000000003E-2"/>
    <n v="11"/>
    <s v="Valid"/>
    <n v="2794.13"/>
    <b v="0"/>
    <n v="3.5000000000000003E-2"/>
    <n v="20"/>
    <d v="2025-03-01T00:00:00"/>
    <n v="20"/>
    <n v="3072467.2599500003"/>
    <n v="30735.43"/>
    <n v="3041731.8299500002"/>
    <n v="0.98999649877457108"/>
    <s v="Feb-2025"/>
    <s v="Q1-2025"/>
    <s v="Americas → Brazil → São Paulo"/>
    <s v="Devices"/>
    <s v="High"/>
    <s v="BRAZIL"/>
    <d v="2023-01-29T00:00:00"/>
    <s v="Jan-2023"/>
    <d v="2025-02-28T00:00:00"/>
    <n v="0"/>
    <n v="0"/>
  </r>
  <r>
    <s v="ORD-2024-289089"/>
    <d v="2024-12-17T00:00:00"/>
    <d v="2024-12-18T00:00:00"/>
    <x v="3"/>
    <s v="Germany"/>
    <s v="Munich"/>
    <s v="Education"/>
    <s v="Retail"/>
    <x v="14"/>
    <s v="Accessories"/>
    <s v="ACC-5780"/>
    <n v="346.82"/>
    <n v="701.95"/>
    <n v="0.14699999999999999"/>
    <n v="8"/>
    <s v="Valid"/>
    <n v="701.95"/>
    <b v="0"/>
    <n v="0.14699999999999999"/>
    <n v="1"/>
    <d v="2024-12-18T00:00:00"/>
    <n v="1"/>
    <n v="560734.50679999997"/>
    <n v="5615.6"/>
    <n v="555118.9068"/>
    <n v="0.98998527835918804"/>
    <s v="Dec-2024"/>
    <s v="Q4-2024"/>
    <s v="Europe → Germany → Munich"/>
    <s v="Support"/>
    <s v="High"/>
    <s v="GERMANY"/>
    <d v="2023-01-22T00:00:00"/>
    <s v="Jan-2023"/>
    <d v="2024-12-31T00:00:00"/>
    <n v="1"/>
    <n v="0"/>
  </r>
  <r>
    <s v="ORD-2025-639542"/>
    <d v="2025-06-09T00:00:00"/>
    <d v="2025-06-18T00:00:00"/>
    <x v="3"/>
    <s v="France"/>
    <s v="Marseille"/>
    <s v="Small Business"/>
    <s v="Marketplace"/>
    <x v="9"/>
    <s v="Accessories"/>
    <s v="ACC-1770"/>
    <n v="1225.5"/>
    <n v="-5.27"/>
    <n v="7.4999999999999997E-2"/>
    <n v="56"/>
    <b v="0"/>
    <n v="5.27"/>
    <b v="0"/>
    <n v="7.4999999999999997E-2"/>
    <n v="9"/>
    <d v="2025-06-18T00:00:00"/>
    <n v="9"/>
    <n v="29489.865999999998"/>
    <n v="295.12"/>
    <n v="29194.745999999999"/>
    <n v="0.98999249437077808"/>
    <s v="Jun-2025"/>
    <s v="Q2-2025"/>
    <s v="Europe → France → Marseille"/>
    <s v="Support"/>
    <s v="High"/>
    <s v="FRANCE"/>
    <d v="2023-01-10T00:00:00"/>
    <s v="Jan-2023"/>
    <d v="2025-06-30T00:00:00"/>
    <n v="0"/>
    <n v="0"/>
  </r>
  <r>
    <s v="ORD-2025-762301"/>
    <d v="2025-05-02T00:00:00"/>
    <d v="2025-05-13T00:00:00"/>
    <x v="0"/>
    <s v="Kenya"/>
    <s v="Nakuru"/>
    <s v="Small Business"/>
    <s v="Online"/>
    <x v="7"/>
    <s v="Accessories"/>
    <s v="ACC-2252"/>
    <n v="1057.5999999999999"/>
    <n v="1437.06"/>
    <n v="0.20499999999999999"/>
    <n v="4"/>
    <s v="Valid"/>
    <n v="1437.06"/>
    <b v="0"/>
    <n v="0.20499999999999999"/>
    <n v="11"/>
    <d v="2025-05-13T00:00:00"/>
    <n v="11"/>
    <n v="573645.61080000002"/>
    <n v="5748.24"/>
    <n v="567897.37080000003"/>
    <n v="0.98997945788867181"/>
    <s v="May-2025"/>
    <s v="Q2-2025"/>
    <s v="Africa → Kenya → Nakuru"/>
    <s v="Support"/>
    <s v="High"/>
    <s v="KENYA"/>
    <d v="2023-01-20T00:00:00"/>
    <s v="Jan-2023"/>
    <d v="2025-05-31T00:00:00"/>
    <n v="0"/>
    <n v="1"/>
  </r>
  <r>
    <s v="ORD-2024-906395"/>
    <d v="2024-03-10T00:00:00"/>
    <d v="2024-04-09T00:00:00"/>
    <x v="3"/>
    <s v="France"/>
    <s v="Lyon"/>
    <s v="Corporate"/>
    <s v="Direct"/>
    <x v="2"/>
    <s v="Components"/>
    <s v="CMP-8002"/>
    <n v="1176.56"/>
    <n v="1911.89"/>
    <n v="0.11899999999999999"/>
    <n v="20"/>
    <s v="Valid"/>
    <n v="1911.89"/>
    <b v="0"/>
    <n v="0.11899999999999999"/>
    <n v="30"/>
    <d v="2024-04-09T00:00:00"/>
    <n v="30"/>
    <n v="3819229.7018000004"/>
    <n v="38237.800000000003"/>
    <n v="3780991.9018000006"/>
    <n v="0.98998808582212838"/>
    <s v="Mar-2024"/>
    <s v="Q1-2024"/>
    <s v="Europe → France → Lyon"/>
    <s v="Support"/>
    <s v="Medium"/>
    <s v="FRANCE"/>
    <d v="2023-01-10T00:00:00"/>
    <s v="Jan-2023"/>
    <d v="2024-03-31T00:00:00"/>
    <n v="0"/>
    <n v="0"/>
  </r>
  <r>
    <s v="ORD-2025-779574"/>
    <d v="2025-09-10T00:00:00"/>
    <d v="2025-09-12T00:00:00"/>
    <x v="2"/>
    <s v="Japan"/>
    <s v="Tokyo"/>
    <s v="Consumer"/>
    <s v="Online"/>
    <x v="6"/>
    <s v="Components"/>
    <s v="CMP-6971"/>
    <n v="1470.15"/>
    <n v="2593.7800000000002"/>
    <n v="0.11"/>
    <n v="12"/>
    <s v="Valid"/>
    <n v="2593.7800000000002"/>
    <b v="0"/>
    <n v="0.11"/>
    <n v="2"/>
    <d v="2025-09-12T00:00:00"/>
    <n v="2"/>
    <n v="3109112.2104000002"/>
    <n v="31125.360000000001"/>
    <n v="3077986.8504000003"/>
    <n v="0.98998898788667533"/>
    <s v="Sep-2025"/>
    <s v="Q3-2025"/>
    <s v="Asia → Japan → Tokyo"/>
    <s v="Support"/>
    <s v="High"/>
    <s v="JAPAN"/>
    <d v="2023-03-03T00:00:00"/>
    <s v="Mar-2023"/>
    <d v="2025-09-30T00:00:00"/>
    <n v="1"/>
    <n v="0"/>
  </r>
  <r>
    <s v="ORD-2025-526650"/>
    <d v="2025-04-27T00:00:00"/>
    <d v="2025-05-25T00:00:00"/>
    <x v="3"/>
    <s v="France"/>
    <s v="Paris"/>
    <s v="Small Business"/>
    <s v="Marketplace"/>
    <x v="2"/>
    <s v="Phones"/>
    <s v="PHN-8350"/>
    <n v="603.45000000000005"/>
    <n v="1244.08"/>
    <n v="0.2"/>
    <n v="11"/>
    <s v="Valid"/>
    <n v="1244.08"/>
    <b v="0"/>
    <n v="0.2"/>
    <n v="28"/>
    <d v="2025-05-25T00:00:00"/>
    <n v="28"/>
    <n v="1365751.024"/>
    <n v="13684.88"/>
    <n v="1352066.1440000001"/>
    <n v="0.98997995991983978"/>
    <s v="Apr-2025"/>
    <s v="Q2-2025"/>
    <s v="Europe → France → Paris"/>
    <s v="Devices"/>
    <s v="High"/>
    <s v="FRANCE"/>
    <d v="2023-01-10T00:00:00"/>
    <s v="Jan-2023"/>
    <d v="2025-04-30T00:00:00"/>
    <n v="0"/>
    <n v="0"/>
  </r>
  <r>
    <s v="ORD-2024-247979"/>
    <d v="2024-11-02T00:00:00"/>
    <d v="2024-11-18T00:00:00"/>
    <x v="2"/>
    <s v="India"/>
    <s v="Mumbai"/>
    <s v="Small Business"/>
    <s v="Distributor"/>
    <x v="6"/>
    <s v="Monitors"/>
    <s v="MON-5188"/>
    <n v="1233.58"/>
    <n v="1912.51"/>
    <n v="0.255"/>
    <n v="51"/>
    <s v="Valid"/>
    <n v="1912.51"/>
    <b v="0"/>
    <n v="0.255"/>
    <n v="16"/>
    <d v="2024-11-18T00:00:00"/>
    <n v="16"/>
    <n v="9728928.8074500002"/>
    <n v="97538.01"/>
    <n v="9631390.7974500004"/>
    <n v="0.98997443480876235"/>
    <s v="Nov-2024"/>
    <s v="Q4-2024"/>
    <s v="Asia → India → Mumbai"/>
    <s v="Peripherals"/>
    <s v="High"/>
    <s v="INDIA"/>
    <d v="2023-01-29T00:00:00"/>
    <s v="Jan-2023"/>
    <d v="2024-11-30T00:00:00"/>
    <n v="0"/>
    <n v="1"/>
  </r>
  <r>
    <s v="ORD-2023-480975"/>
    <d v="2023-02-15T00:00:00"/>
    <d v="2023-02-26T00:00:00"/>
    <x v="0"/>
    <s v="South Africa"/>
    <s v="Johannesburg"/>
    <s v="Non-Profit"/>
    <s v="Retail"/>
    <x v="10"/>
    <s v="Laptops"/>
    <s v="LAP-3393"/>
    <n v="498.5"/>
    <n v="755.87"/>
    <n v="0.13"/>
    <n v="40"/>
    <s v="Valid"/>
    <n v="755.87"/>
    <b v="0"/>
    <n v="0.13"/>
    <n v="11"/>
    <d v="2023-02-26T00:00:00"/>
    <n v="11"/>
    <n v="3019549.4760000003"/>
    <n v="30234.799999999999"/>
    <n v="2989314.6760000004"/>
    <n v="0.98998698307800148"/>
    <s v="Feb-2023"/>
    <s v="Q1-2023"/>
    <s v="Africa → South Africa → Johannesburg"/>
    <s v="Devices"/>
    <s v="Low"/>
    <s v="SOUTH AFRICA"/>
    <d v="2023-01-07T00:00:00"/>
    <s v="Jan-2023"/>
    <d v="2023-02-28T00:00:00"/>
    <n v="0"/>
    <n v="0"/>
  </r>
  <r>
    <s v="ORD-2023-239789"/>
    <d v="2023-12-03T00:00:00"/>
    <d v="2023-12-26T00:00:00"/>
    <x v="1"/>
    <s v="Brazil"/>
    <s v="Rio de Janeiro"/>
    <s v="Education"/>
    <s v="Retail"/>
    <x v="6"/>
    <s v="Phones"/>
    <s v="PHN-4644"/>
    <n v="1303.1099999999999"/>
    <n v="1145.67"/>
    <n v="0.184"/>
    <n v="13"/>
    <s v="Valid"/>
    <n v="1145.67"/>
    <b v="0"/>
    <n v="0.184"/>
    <n v="23"/>
    <d v="2023-12-26T00:00:00"/>
    <n v="23"/>
    <n v="1486630.5573600002"/>
    <n v="14893.710000000001"/>
    <n v="1471736.8473600002"/>
    <n v="0.98998156608159016"/>
    <s v="Dec-2023"/>
    <s v="Q4-2023"/>
    <s v="Americas → Brazil → Rio de Janeiro"/>
    <s v="Devices"/>
    <s v="Low"/>
    <s v="BRAZIL"/>
    <d v="2023-01-29T00:00:00"/>
    <s v="Jan-2023"/>
    <d v="2023-12-31T00:00:00"/>
    <n v="0"/>
    <n v="0"/>
  </r>
  <r>
    <s v="ORD-2023-548874"/>
    <d v="2023-03-19T00:00:00"/>
    <d v="2023-04-09T00:00:00"/>
    <x v="3"/>
    <s v="United Kingdom"/>
    <s v="Manchester"/>
    <s v="Consumer"/>
    <s v="Retail"/>
    <x v="14"/>
    <s v="Accessories"/>
    <s v="ACC-9150"/>
    <n v="1082.17"/>
    <n v="1234.0999999999999"/>
    <n v="0.189"/>
    <n v="16"/>
    <s v="Valid"/>
    <n v="1234.0999999999999"/>
    <b v="0"/>
    <n v="0.189"/>
    <n v="21"/>
    <d v="2023-04-09T00:00:00"/>
    <n v="21"/>
    <n v="1970828.0815999999"/>
    <n v="19745.599999999999"/>
    <n v="1951082.4815999998"/>
    <n v="0.98998106421135945"/>
    <s v="Mar-2023"/>
    <s v="Q1-2023"/>
    <s v="Europe → United Kingdom → Manchester"/>
    <s v="Support"/>
    <s v="Low"/>
    <s v="UNITED KINGDOM"/>
    <d v="2023-01-19T00:00:00"/>
    <s v="Jan-2023"/>
    <d v="2023-03-31T00:00:00"/>
    <n v="0"/>
    <n v="0"/>
  </r>
  <r>
    <s v="ORD-2024-347736"/>
    <d v="2024-05-22T00:00:00"/>
    <d v="2024-06-06T00:00:00"/>
    <x v="2"/>
    <s v="Japan"/>
    <s v="Nagoya"/>
    <s v="Corporate"/>
    <s v="Distributor"/>
    <x v="0"/>
    <s v="Monitors"/>
    <s v="MON-6870"/>
    <n v="673.88"/>
    <n v="1228.01"/>
    <n v="0.105"/>
    <n v="13"/>
    <s v="Valid"/>
    <n v="1228.01"/>
    <b v="0"/>
    <n v="0.105"/>
    <n v="15"/>
    <d v="2024-06-06T00:00:00"/>
    <n v="15"/>
    <n v="1594736.7663499999"/>
    <n v="15964.13"/>
    <n v="1578772.63635"/>
    <n v="0.98998948896341166"/>
    <s v="May-2024"/>
    <s v="Q2-2024"/>
    <s v="Asia → Japan → Nagoya"/>
    <s v="Peripherals"/>
    <s v="Medium"/>
    <s v="JAPAN"/>
    <d v="2023-03-03T00:00:00"/>
    <s v="Mar-2023"/>
    <d v="2024-05-31T00:00:00"/>
    <n v="0"/>
    <n v="0"/>
  </r>
  <r>
    <s v="ORD-2023-749324"/>
    <d v="2023-08-19T00:00:00"/>
    <d v="2023-09-07T00:00:00"/>
    <x v="0"/>
    <s v="South Africa"/>
    <s v="Johannesburg"/>
    <s v="Enterprise"/>
    <s v="Retail"/>
    <x v="13"/>
    <s v="Monitors"/>
    <s v="MON-2296"/>
    <n v="494.61"/>
    <n v="605.23"/>
    <n v="0.20399999999999999"/>
    <n v="18"/>
    <s v="Valid"/>
    <n v="605.23"/>
    <b v="0"/>
    <n v="0.20399999999999999"/>
    <n v="19"/>
    <d v="2023-09-07T00:00:00"/>
    <n v="19"/>
    <n v="1087191.5954400001"/>
    <n v="10894.14"/>
    <n v="1076297.4554400002"/>
    <n v="0.98997955829892992"/>
    <s v="Aug-2023"/>
    <s v="Q3-2023"/>
    <s v="Africa → South Africa → Johannesburg"/>
    <s v="Peripherals"/>
    <s v="Low"/>
    <s v="SOUTH AFRICA"/>
    <d v="2023-01-07T00:00:00"/>
    <s v="Jan-2023"/>
    <d v="2023-08-31T00:00:00"/>
    <n v="0"/>
    <n v="1"/>
  </r>
  <r>
    <s v="ORD-2023-809913"/>
    <d v="2023-04-21T00:00:00"/>
    <d v="2023-05-10T00:00:00"/>
    <x v="2"/>
    <s v="China"/>
    <s v="Shanghai"/>
    <s v="Corporate"/>
    <s v="Retail"/>
    <x v="7"/>
    <s v="Components"/>
    <s v="CMP-7371"/>
    <n v="882.33"/>
    <n v="1880.15"/>
    <n v="0.05"/>
    <n v="5"/>
    <s v="Valid"/>
    <n v="1880.15"/>
    <b v="0"/>
    <n v="0.05"/>
    <n v="19"/>
    <d v="2023-05-10T00:00:00"/>
    <n v="19"/>
    <n v="939604.96250000002"/>
    <n v="9400.75"/>
    <n v="930204.21250000002"/>
    <n v="0.98999499749874942"/>
    <s v="Apr-2023"/>
    <s v="Q2-2023"/>
    <s v="Asia → China → Shanghai"/>
    <s v="Support"/>
    <s v="Low"/>
    <s v="CHINA"/>
    <d v="2023-01-12T00:00:00"/>
    <s v="Jan-2023"/>
    <d v="2023-04-30T00:00:00"/>
    <n v="0"/>
    <n v="0"/>
  </r>
  <r>
    <s v="ORD-2024-287210"/>
    <d v="2024-03-18T00:00:00"/>
    <d v="2024-03-21T00:00:00"/>
    <x v="3"/>
    <s v="Germany"/>
    <s v="Munich"/>
    <s v="Small Business"/>
    <s v="Online"/>
    <x v="11"/>
    <s v="Accessories"/>
    <s v="ACC-2761"/>
    <n v="910.63"/>
    <n v="1269.4000000000001"/>
    <n v="6.8000000000000005E-2"/>
    <n v="9"/>
    <s v="Valid"/>
    <n v="1269.4000000000001"/>
    <b v="0"/>
    <n v="6.8000000000000005E-2"/>
    <n v="3"/>
    <d v="2024-03-21T00:00:00"/>
    <n v="3"/>
    <n v="1141683.1272"/>
    <n v="11424.6"/>
    <n v="1130258.5271999999"/>
    <n v="0.98999319537285346"/>
    <s v="Mar-2024"/>
    <s v="Q1-2024"/>
    <s v="Europe → Germany → Munich"/>
    <s v="Support"/>
    <s v="Medium"/>
    <s v="GERMANY"/>
    <d v="2023-01-22T00:00:00"/>
    <s v="Jan-2023"/>
    <d v="2024-03-31T00:00:00"/>
    <n v="1"/>
    <n v="0"/>
  </r>
  <r>
    <s v="ORD-2025-640677"/>
    <d v="2025-04-09T00:00:00"/>
    <d v="2025-05-06T00:00:00"/>
    <x v="1"/>
    <s v="Brazil"/>
    <s v="Brasília"/>
    <s v="Enterprise"/>
    <s v="Marketplace"/>
    <x v="8"/>
    <s v="Laptops"/>
    <s v="LAP-4517"/>
    <n v="264.19"/>
    <n v="620.92999999999995"/>
    <n v="0.14199999999999999"/>
    <n v="12"/>
    <s v="Valid"/>
    <n v="620.92999999999995"/>
    <b v="0"/>
    <n v="0.14199999999999999"/>
    <n v="27"/>
    <d v="2025-05-06T00:00:00"/>
    <n v="27"/>
    <n v="744057.93527999998"/>
    <n v="7451.16"/>
    <n v="736606.77527999994"/>
    <n v="0.98998577980732638"/>
    <s v="Apr-2025"/>
    <s v="Q2-2025"/>
    <s v="Americas → Brazil → Brasília"/>
    <s v="Devices"/>
    <s v="High"/>
    <s v="BRAZIL"/>
    <d v="2023-01-29T00:00:00"/>
    <s v="Jan-2023"/>
    <d v="2025-04-30T00:00:00"/>
    <n v="0"/>
    <n v="0"/>
  </r>
  <r>
    <s v="ORD-2024-939873"/>
    <d v="2024-04-12T00:00:00"/>
    <d v="2024-05-07T00:00:00"/>
    <x v="0"/>
    <s v="South Africa"/>
    <s v="Johannesburg"/>
    <s v="Education"/>
    <s v="Distributor"/>
    <x v="7"/>
    <s v="Laptops"/>
    <s v="LAP-8489"/>
    <n v="1376.51"/>
    <n v="1455.91"/>
    <n v="0.185"/>
    <n v="17"/>
    <s v="Valid"/>
    <n v="1455.91"/>
    <b v="0"/>
    <n v="0.185"/>
    <n v="25"/>
    <d v="2024-05-07T00:00:00"/>
    <n v="25"/>
    <n v="2470468.1630500001"/>
    <n v="24750.47"/>
    <n v="2445717.6930499999"/>
    <n v="0.98998146571156631"/>
    <s v="Apr-2024"/>
    <s v="Q2-2024"/>
    <s v="Africa → South Africa → Johannesburg"/>
    <s v="Devices"/>
    <s v="Medium"/>
    <s v="SOUTH AFRICA"/>
    <d v="2023-01-07T00:00:00"/>
    <s v="Jan-2023"/>
    <d v="2024-04-30T00:00:00"/>
    <n v="0"/>
    <n v="0"/>
  </r>
  <r>
    <s v="ORD-2024-800947"/>
    <d v="2024-12-15T00:00:00"/>
    <d v="2024-12-20T00:00:00"/>
    <x v="2"/>
    <s v="China"/>
    <s v="Shenzhen"/>
    <s v="Small Business"/>
    <s v="Direct"/>
    <x v="1"/>
    <s v="Networking"/>
    <s v="NET-1846"/>
    <n v="717.55"/>
    <n v="546.42999999999995"/>
    <n v="4.7E-2"/>
    <n v="18"/>
    <s v="Valid"/>
    <n v="546.42999999999995"/>
    <b v="0"/>
    <n v="4.7E-2"/>
    <n v="5"/>
    <d v="2024-12-20T00:00:00"/>
    <n v="5"/>
    <n v="983111.72022000002"/>
    <n v="9835.74"/>
    <n v="973275.98022000003"/>
    <n v="0.98999529778996131"/>
    <s v="Dec-2024"/>
    <s v="Q4-2024"/>
    <s v="Asia → China → Shenzhen"/>
    <s v="Support"/>
    <s v="High"/>
    <s v="CHINA"/>
    <d v="2023-01-12T00:00:00"/>
    <s v="Jan-2023"/>
    <d v="2024-12-31T00:00:00"/>
    <n v="1"/>
    <n v="0"/>
  </r>
  <r>
    <s v="ORD-2023-382272"/>
    <d v="2023-05-20T00:00:00"/>
    <d v="2023-05-18T00:00:00"/>
    <x v="0"/>
    <s v="South Africa"/>
    <s v="Durban"/>
    <s v="Corporate"/>
    <s v="Distributor"/>
    <x v="7"/>
    <s v="Components"/>
    <s v="CMP-5208"/>
    <n v="917.88"/>
    <n v="1347.92"/>
    <n v="0.34300000000000003"/>
    <n v="5"/>
    <s v="Valid"/>
    <n v="1347.92"/>
    <s v="Excess"/>
    <n v="0.3"/>
    <n v="-2"/>
    <d v="2023-05-27T00:00:00"/>
    <n v="7"/>
    <n v="671938.12000000011"/>
    <n v="6739.6"/>
    <n v="665198.52000000014"/>
    <n v="0.98996990972918764"/>
    <s v="May-2023"/>
    <s v="Q2-2023"/>
    <s v="Africa → South Africa → Durban"/>
    <s v="Support"/>
    <s v="Low"/>
    <s v="SOUTH AFRICA"/>
    <d v="2023-01-07T00:00:00"/>
    <s v="Jan-2023"/>
    <d v="2023-05-31T00:00:00"/>
    <n v="1"/>
    <n v="1"/>
  </r>
  <r>
    <s v="ORD-2023-722117"/>
    <d v="2023-09-18T00:00:00"/>
    <d v="2023-10-08T00:00:00"/>
    <x v="2"/>
    <s v="India"/>
    <s v="Delhi"/>
    <s v="Small Business"/>
    <s v="Direct"/>
    <x v="4"/>
    <s v="Components"/>
    <s v="CMP-1009"/>
    <n v="825.64"/>
    <n v="1108.43"/>
    <n v="0.114"/>
    <n v="7"/>
    <s v="Valid"/>
    <n v="1108.43"/>
    <b v="0"/>
    <n v="0.114"/>
    <n v="20"/>
    <d v="2023-10-08T00:00:00"/>
    <n v="20"/>
    <n v="775016.47285999998"/>
    <n v="7759.01"/>
    <n v="767257.46285999997"/>
    <n v="0.98998858698916758"/>
    <s v="Sep-2023"/>
    <s v="Q3-2023"/>
    <s v="Asia → India → Delhi"/>
    <s v="Support"/>
    <s v="Low"/>
    <s v="INDIA"/>
    <d v="2023-01-29T00:00:00"/>
    <s v="Jan-2023"/>
    <d v="2023-09-30T00:00:00"/>
    <n v="0"/>
    <n v="0"/>
  </r>
  <r>
    <s v="ORD-2024-446699"/>
    <d v="2024-08-28T00:00:00"/>
    <d v="2024-09-25T00:00:00"/>
    <x v="1"/>
    <s v="Brazil"/>
    <s v="Rio de Janeiro"/>
    <s v="Non-Profit"/>
    <s v="Online"/>
    <x v="15"/>
    <s v="Accessories"/>
    <s v="ACC-4490"/>
    <n v="1394.65"/>
    <n v="3144.1"/>
    <n v="0.13400000000000001"/>
    <n v="13"/>
    <s v="Valid"/>
    <n v="3144.1"/>
    <b v="0"/>
    <n v="0.13400000000000001"/>
    <n v="28"/>
    <d v="2024-09-25T00:00:00"/>
    <n v="28"/>
    <n v="4081852.9777999995"/>
    <n v="40873.299999999996"/>
    <n v="4040979.6777999997"/>
    <n v="0.98998658201990675"/>
    <s v="Aug-2024"/>
    <s v="Q3-2024"/>
    <s v="Americas → Brazil → Rio de Janeiro"/>
    <s v="Support"/>
    <s v="Medium"/>
    <s v="BRAZIL"/>
    <d v="2023-01-29T00:00:00"/>
    <s v="Jan-2023"/>
    <d v="2024-08-31T00:00:00"/>
    <n v="0"/>
    <n v="0"/>
  </r>
  <r>
    <s v="ORD-2024-451005"/>
    <d v="2024-06-30T00:00:00"/>
    <d v="2024-06-28T00:00:00"/>
    <x v="1"/>
    <s v="Brazil"/>
    <s v="Rio de Janeiro"/>
    <s v="Small Business"/>
    <s v="Direct"/>
    <x v="14"/>
    <s v="Accessories"/>
    <s v="ACC-9162"/>
    <n v="1112.98"/>
    <n v="2095.73"/>
    <n v="7.1999999999999995E-2"/>
    <n v="17"/>
    <s v="Valid"/>
    <n v="2095.73"/>
    <b v="0"/>
    <n v="7.1999999999999995E-2"/>
    <n v="-2"/>
    <d v="2024-07-07T00:00:00"/>
    <n v="7"/>
    <n v="3560175.8264800003"/>
    <n v="35627.410000000003"/>
    <n v="3524548.4164800001"/>
    <n v="0.98999279481226476"/>
    <s v="Jun-2024"/>
    <s v="Q2-2024"/>
    <s v="Americas → Brazil → Rio de Janeiro"/>
    <s v="Support"/>
    <s v="Medium"/>
    <s v="BRAZIL"/>
    <d v="2023-01-29T00:00:00"/>
    <s v="Jan-2023"/>
    <d v="2024-06-30T00:00:00"/>
    <n v="1"/>
    <n v="0"/>
  </r>
  <r>
    <s v="ORD-2023-290279"/>
    <d v="2023-06-14T00:00:00"/>
    <d v="2023-06-16T00:00:00"/>
    <x v="3"/>
    <s v="United Kingdom"/>
    <s v="Manchester"/>
    <s v="Non-Profit"/>
    <s v="Direct"/>
    <x v="10"/>
    <s v="Components"/>
    <s v="CMP-5820"/>
    <n v="357.36"/>
    <n v="703.62"/>
    <n v="0.25700000000000001"/>
    <n v="20"/>
    <s v="Valid"/>
    <n v="703.62"/>
    <b v="0"/>
    <n v="0.25700000000000001"/>
    <n v="2"/>
    <d v="2023-06-16T00:00:00"/>
    <n v="2"/>
    <n v="1403623.3931999998"/>
    <n v="14072.4"/>
    <n v="1389550.9931999999"/>
    <n v="0.98997423378081673"/>
    <s v="Jun-2023"/>
    <s v="Q2-2023"/>
    <s v="Europe → United Kingdom → Manchester"/>
    <s v="Support"/>
    <s v="Low"/>
    <s v="UNITED KINGDOM"/>
    <d v="2023-01-19T00:00:00"/>
    <s v="Jan-2023"/>
    <d v="2023-06-30T00:00:00"/>
    <n v="1"/>
    <n v="1"/>
  </r>
  <r>
    <s v="ORD-2024-192263"/>
    <d v="2024-11-21T00:00:00"/>
    <d v="2024-12-21T00:00:00"/>
    <x v="3"/>
    <s v="France"/>
    <s v="Marseille"/>
    <s v="Small Business"/>
    <s v="Direct"/>
    <x v="2"/>
    <s v="Monitors"/>
    <s v="MON-7943"/>
    <n v="1122.68"/>
    <n v="1997.19"/>
    <n v="0.186"/>
    <n v="3"/>
    <s v="Valid"/>
    <n v="1997.19"/>
    <b v="0"/>
    <n v="0.186"/>
    <n v="30"/>
    <d v="2024-12-21T00:00:00"/>
    <n v="30"/>
    <n v="598042.56797999993"/>
    <n v="5991.57"/>
    <n v="592050.99797999999"/>
    <n v="0.98998136533953163"/>
    <s v="Nov-2024"/>
    <s v="Q4-2024"/>
    <s v="Europe → France → Marseille"/>
    <s v="Peripherals"/>
    <s v="High"/>
    <s v="FRANCE"/>
    <d v="2023-01-10T00:00:00"/>
    <s v="Jan-2023"/>
    <d v="2024-11-30T00:00:00"/>
    <n v="0"/>
    <n v="0"/>
  </r>
  <r>
    <s v="ORD-2023-159379"/>
    <d v="2023-02-08T00:00:00"/>
    <d v="2023-02-11T00:00:00"/>
    <x v="0"/>
    <s v="South Africa"/>
    <s v="Cape Town"/>
    <s v="Corporate"/>
    <s v="Direct"/>
    <x v="11"/>
    <s v="Networking"/>
    <s v="NET-5018"/>
    <n v="1410.05"/>
    <n v="2763.95"/>
    <n v="0.161"/>
    <n v="26"/>
    <s v="Valid"/>
    <n v="2763.95"/>
    <b v="0"/>
    <n v="0.161"/>
    <n v="3"/>
    <d v="2023-02-11T00:00:00"/>
    <n v="3"/>
    <n v="7174700.1052999999"/>
    <n v="71862.7"/>
    <n v="7102837.4052999998"/>
    <n v="0.9899838740371999"/>
    <s v="Feb-2023"/>
    <s v="Q1-2023"/>
    <s v="Africa → South Africa → Cape Town"/>
    <s v="Support"/>
    <s v="Low"/>
    <s v="SOUTH AFRICA"/>
    <d v="2023-01-07T00:00:00"/>
    <s v="Jan-2023"/>
    <d v="2023-02-28T00:00:00"/>
    <n v="1"/>
    <n v="0"/>
  </r>
  <r>
    <s v="ORD-2023-343322"/>
    <d v="2023-08-19T00:00:00"/>
    <d v="2023-09-12T00:00:00"/>
    <x v="1"/>
    <s v="Canada"/>
    <s v="Vancouver"/>
    <s v="Enterprise"/>
    <s v="Retail"/>
    <x v="2"/>
    <s v="Printers"/>
    <s v="PRN-9669"/>
    <n v="1183.95"/>
    <n v="1503.53"/>
    <n v="0.24099999999999999"/>
    <n v="16"/>
    <s v="Valid"/>
    <n v="1503.53"/>
    <b v="0"/>
    <n v="0.24099999999999999"/>
    <n v="24"/>
    <d v="2023-09-12T00:00:00"/>
    <n v="24"/>
    <n v="2399850.3883199999"/>
    <n v="24056.48"/>
    <n v="2375793.9083199999"/>
    <n v="0.98997584177868669"/>
    <s v="Aug-2023"/>
    <s v="Q3-2023"/>
    <s v="Americas → Canada → Vancouver"/>
    <s v="Peripherals"/>
    <s v="Low"/>
    <s v="CANADA"/>
    <d v="2023-01-02T00:00:00"/>
    <s v="Jan-2023"/>
    <d v="2023-08-31T00:00:00"/>
    <n v="0"/>
    <n v="1"/>
  </r>
  <r>
    <s v="ORD-2025-114382"/>
    <d v="2025-05-14T00:00:00"/>
    <d v="2025-05-24T00:00:00"/>
    <x v="3"/>
    <s v="France"/>
    <s v="Paris"/>
    <s v="Small Business"/>
    <s v="Marketplace"/>
    <x v="10"/>
    <s v="Components"/>
    <s v="CMP-2865"/>
    <n v="170.39"/>
    <n v="388.04"/>
    <n v="8.4000000000000005E-2"/>
    <n v="15"/>
    <s v="Valid"/>
    <n v="388.04"/>
    <b v="0"/>
    <n v="8.4000000000000005E-2"/>
    <n v="10"/>
    <d v="2025-05-24T00:00:00"/>
    <n v="10"/>
    <n v="581571.06960000005"/>
    <n v="5820.6"/>
    <n v="575750.46960000007"/>
    <n v="0.98999159293806804"/>
    <s v="May-2025"/>
    <s v="Q2-2025"/>
    <s v="Europe → France → Paris"/>
    <s v="Support"/>
    <s v="High"/>
    <s v="FRANCE"/>
    <d v="2023-01-10T00:00:00"/>
    <s v="Jan-2023"/>
    <d v="2025-05-31T00:00:00"/>
    <n v="0"/>
    <n v="0"/>
  </r>
  <r>
    <s v="ORD-2025-488349"/>
    <d v="2025-04-23T00:00:00"/>
    <d v="2025-04-22T00:00:00"/>
    <x v="1"/>
    <s v="USA"/>
    <s v="San Francisco"/>
    <s v="Non-Profit"/>
    <s v="Distributor"/>
    <x v="13"/>
    <s v="Monitors"/>
    <s v="MON-3371"/>
    <n v="23.24"/>
    <n v="44.57"/>
    <n v="0.215"/>
    <n v="15"/>
    <s v="Valid"/>
    <n v="44.57"/>
    <b v="0"/>
    <n v="0.215"/>
    <n v="-1"/>
    <d v="2025-04-30T00:00:00"/>
    <n v="7"/>
    <n v="66711.261749999991"/>
    <n v="668.55"/>
    <n v="66042.711749999988"/>
    <n v="0.98997845367540205"/>
    <s v="Apr-2025"/>
    <s v="Q2-2025"/>
    <s v="Americas → USA → San Francisco"/>
    <s v="Peripherals"/>
    <s v="High"/>
    <s v="USA"/>
    <d v="2023-01-13T00:00:00"/>
    <s v="Jan-2023"/>
    <d v="2025-04-30T00:00:00"/>
    <n v="1"/>
    <n v="1"/>
  </r>
  <r>
    <s v="ORD-2025-330203"/>
    <d v="2025-03-25T00:00:00"/>
    <d v="2025-04-17T00:00:00"/>
    <x v="3"/>
    <s v="United Kingdom"/>
    <s v="London"/>
    <s v="Consumer"/>
    <s v="Retail"/>
    <x v="9"/>
    <s v="Networking"/>
    <s v="NET-7166"/>
    <n v="1421.19"/>
    <n v="1808.26"/>
    <n v="0.104"/>
    <n v="13"/>
    <s v="Valid"/>
    <n v="1808.26"/>
    <b v="0"/>
    <n v="0.104"/>
    <n v="23"/>
    <d v="2025-04-17T00:00:00"/>
    <n v="23"/>
    <n v="2348293.2324800002"/>
    <n v="23507.38"/>
    <n v="2324785.8524800004"/>
    <n v="0.98998958917273971"/>
    <s v="Mar-2025"/>
    <s v="Q1-2025"/>
    <s v="Europe → United Kingdom → London"/>
    <s v="Support"/>
    <s v="High"/>
    <s v="UNITED KINGDOM"/>
    <d v="2023-01-19T00:00:00"/>
    <s v="Jan-2023"/>
    <d v="2025-03-31T00:00:00"/>
    <n v="0"/>
    <n v="0"/>
  </r>
  <r>
    <s v="ORD-2023-841426"/>
    <d v="2023-12-22T00:00:00"/>
    <d v="2023-12-23T00:00:00"/>
    <x v="0"/>
    <s v="South Africa"/>
    <s v="Cape Town"/>
    <s v="Non-Profit"/>
    <s v="Marketplace"/>
    <x v="13"/>
    <s v="Components"/>
    <s v="CMP-4531"/>
    <n v="1186.18"/>
    <n v="1285.0899999999999"/>
    <n v="7.0000000000000007E-2"/>
    <n v="11"/>
    <s v="Valid"/>
    <n v="1285.0899999999999"/>
    <b v="0"/>
    <n v="7.0000000000000007E-2"/>
    <n v="1"/>
    <d v="2023-12-23T00:00:00"/>
    <n v="1"/>
    <n v="1412609.4807000002"/>
    <n v="14135.99"/>
    <n v="1398473.4907000002"/>
    <n v="0.98999299509656757"/>
    <s v="Dec-2023"/>
    <s v="Q4-2023"/>
    <s v="Africa → South Africa → Cape Town"/>
    <s v="Support"/>
    <s v="Medium"/>
    <s v="SOUTH AFRICA"/>
    <d v="2023-01-07T00:00:00"/>
    <s v="Jan-2023"/>
    <d v="2023-12-31T00:00:00"/>
    <n v="1"/>
    <n v="0"/>
  </r>
  <r>
    <s v="ORD-2024-594592"/>
    <d v="2024-04-06T00:00:00"/>
    <d v="2024-04-25T00:00:00"/>
    <x v="2"/>
    <s v="China"/>
    <s v="Shanghai"/>
    <s v="Corporate"/>
    <s v="Retail"/>
    <x v="10"/>
    <s v="Components"/>
    <s v="CMP-8196"/>
    <n v="1366.48"/>
    <n v="1678.14"/>
    <n v="0.154"/>
    <n v="10"/>
    <s v="Valid"/>
    <n v="1678.14"/>
    <b v="0"/>
    <n v="0.154"/>
    <n v="19"/>
    <d v="2024-04-25T00:00:00"/>
    <n v="19"/>
    <n v="1675555.6644000001"/>
    <n v="16781.400000000001"/>
    <n v="1658774.2644000002"/>
    <n v="0.98998457624742109"/>
    <s v="Apr-2024"/>
    <s v="Q2-2024"/>
    <s v="Asia → China → Shanghai"/>
    <s v="Support"/>
    <s v="Medium"/>
    <s v="CHINA"/>
    <d v="2023-01-12T00:00:00"/>
    <s v="Jan-2023"/>
    <d v="2024-04-30T00:00:00"/>
    <n v="0"/>
    <n v="0"/>
  </r>
  <r>
    <s v="ORD-2025-863978"/>
    <d v="2025-08-07T00:00:00"/>
    <d v="2025-08-19T00:00:00"/>
    <x v="0"/>
    <s v="Kenya"/>
    <s v="Nakuru"/>
    <s v="Corporate"/>
    <s v="Unknown Channel "/>
    <x v="11"/>
    <s v="Components"/>
    <s v="CMP-2854"/>
    <n v="601.51"/>
    <n v="679.35"/>
    <n v="0.188"/>
    <n v="3"/>
    <s v="Valid"/>
    <n v="679.35"/>
    <b v="0"/>
    <n v="0.188"/>
    <n v="12"/>
    <d v="2025-08-19T00:00:00"/>
    <n v="12"/>
    <n v="203421.84660000002"/>
    <n v="2038.0500000000002"/>
    <n v="201383.79660000003"/>
    <n v="0.9899811645894282"/>
    <s v="Aug-2025"/>
    <s v="Q3-2025"/>
    <s v="Africa → Kenya → Nakuru"/>
    <s v="Support"/>
    <s v="High"/>
    <s v="KENYA"/>
    <d v="2023-01-20T00:00:00"/>
    <s v="Jan-2023"/>
    <d v="2025-08-31T00:00:00"/>
    <n v="0"/>
    <n v="0"/>
  </r>
  <r>
    <s v="ORD-2024-604471"/>
    <d v="2024-01-21T00:00:00"/>
    <d v="2024-01-25T00:00:00"/>
    <x v="2"/>
    <s v="India"/>
    <s v="Delhi"/>
    <s v="Consumer"/>
    <s v="Direct"/>
    <x v="0"/>
    <s v="Monitors"/>
    <s v="MON-8973"/>
    <n v="523.70000000000005"/>
    <n v="1109.92"/>
    <n v="0.03"/>
    <n v="11"/>
    <s v="Valid"/>
    <n v="1109.92"/>
    <b v="0"/>
    <n v="0.03"/>
    <n v="4"/>
    <d v="2024-01-25T00:00:00"/>
    <n v="4"/>
    <n v="1220545.7264"/>
    <n v="12209.12"/>
    <n v="1208336.6063999999"/>
    <n v="0.98999699909972982"/>
    <s v="Jan-2024"/>
    <s v="Q1-2024"/>
    <s v="Asia → India → Delhi"/>
    <s v="Peripherals"/>
    <s v="Medium"/>
    <s v="INDIA"/>
    <d v="2023-01-29T00:00:00"/>
    <s v="Jan-2023"/>
    <d v="2024-01-31T00:00:00"/>
    <n v="1"/>
    <n v="0"/>
  </r>
  <r>
    <s v="ORD-2023-258768"/>
    <d v="2023-06-29T00:00:00"/>
    <d v="2023-07-02T00:00:00"/>
    <x v="2"/>
    <s v="Japan"/>
    <s v="Nagoya"/>
    <s v="Education"/>
    <s v="Marketplace"/>
    <x v="8"/>
    <s v="Monitors"/>
    <s v="MON-2990"/>
    <n v="55.65"/>
    <n v="83.57"/>
    <n v="6.6000000000000003E-2"/>
    <n v="8"/>
    <s v="Valid"/>
    <n v="83.57"/>
    <b v="0"/>
    <n v="6.6000000000000003E-2"/>
    <n v="3"/>
    <d v="2023-07-02T00:00:00"/>
    <n v="3"/>
    <n v="66811.875039999999"/>
    <n v="668.56"/>
    <n v="66143.315040000001"/>
    <n v="0.98999339564112321"/>
    <s v="Jun-2023"/>
    <s v="Q2-2023"/>
    <s v="Asia → Japan → Nagoya"/>
    <s v="Peripherals"/>
    <s v="Low"/>
    <s v="JAPAN"/>
    <d v="2023-03-03T00:00:00"/>
    <s v="Mar-2023"/>
    <d v="2023-06-30T00:00:00"/>
    <n v="1"/>
    <n v="0"/>
  </r>
  <r>
    <s v="ORD-2025-626047"/>
    <d v="2025-04-28T00:00:00"/>
    <d v="2025-05-15T00:00:00"/>
    <x v="2"/>
    <s v="Japan"/>
    <s v="Nagoya"/>
    <s v="Education"/>
    <s v="Direct"/>
    <x v="12"/>
    <s v="Networking"/>
    <s v="NET-1966"/>
    <n v="691.19"/>
    <n v="1284.3"/>
    <n v="7.3999999999999996E-2"/>
    <n v="7"/>
    <s v="Valid"/>
    <n v="1284.3"/>
    <b v="0"/>
    <n v="7.3999999999999996E-2"/>
    <n v="17"/>
    <d v="2025-05-15T00:00:00"/>
    <n v="17"/>
    <n v="898344.7326000001"/>
    <n v="8990.1"/>
    <n v="889354.63260000013"/>
    <n v="0.98999259451994481"/>
    <s v="Apr-2025"/>
    <s v="Q2-2025"/>
    <s v="Asia → Japan → Nagoya"/>
    <s v="Support"/>
    <s v="High"/>
    <s v="JAPAN"/>
    <d v="2023-03-03T00:00:00"/>
    <s v="Mar-2023"/>
    <d v="2025-04-30T00:00:00"/>
    <n v="0"/>
    <n v="0"/>
  </r>
  <r>
    <s v="ORD-2025-526752"/>
    <d v="2025-06-09T00:00:00"/>
    <d v="2025-06-25T00:00:00"/>
    <x v="2"/>
    <s v="India"/>
    <s v="Hyderabad"/>
    <s v="Enterprise"/>
    <s v="Distributor"/>
    <x v="11"/>
    <s v="Phones"/>
    <s v="PHN-3482"/>
    <n v="527.33000000000004"/>
    <n v="911.72"/>
    <n v="0.14399999999999999"/>
    <n v="25"/>
    <s v="Valid"/>
    <n v="911.72"/>
    <b v="0"/>
    <n v="0.14399999999999999"/>
    <n v="16"/>
    <d v="2025-06-25T00:00:00"/>
    <n v="16"/>
    <n v="2276017.8079999997"/>
    <n v="22793"/>
    <n v="2253224.8079999997"/>
    <n v="0.98998557923409713"/>
    <s v="Jun-2025"/>
    <s v="Q2-2025"/>
    <s v="Asia → India → Hyderabad"/>
    <s v="Devices"/>
    <s v="High"/>
    <s v="INDIA"/>
    <d v="2023-01-29T00:00:00"/>
    <s v="Jan-2023"/>
    <d v="2025-06-30T00:00:00"/>
    <n v="0"/>
    <n v="0"/>
  </r>
  <r>
    <s v="ORD-2023-374486"/>
    <d v="2023-06-24T00:00:00"/>
    <d v="2023-06-23T00:00:00"/>
    <x v="1"/>
    <s v="Brazil"/>
    <s v="Rio de Janeiro"/>
    <s v="Non-Profit"/>
    <s v="Retail"/>
    <x v="5"/>
    <s v="Printers"/>
    <s v="PRN-6490"/>
    <n v="804.01"/>
    <n v="1405.07"/>
    <n v="9.6000000000000002E-2"/>
    <n v="8"/>
    <s v="Valid"/>
    <n v="1405.07"/>
    <b v="0"/>
    <n v="9.6000000000000002E-2"/>
    <n v="-1"/>
    <d v="2023-07-01T00:00:00"/>
    <n v="7"/>
    <n v="1122976.9062399999"/>
    <n v="11240.56"/>
    <n v="1111736.3462399999"/>
    <n v="0.98999039077514406"/>
    <s v="Jun-2023"/>
    <s v="Q2-2023"/>
    <s v="Americas → Brazil → Rio de Janeiro"/>
    <s v="Peripherals"/>
    <s v="Low"/>
    <s v="BRAZIL"/>
    <d v="2023-01-29T00:00:00"/>
    <s v="Jan-2023"/>
    <d v="2023-06-30T00:00:00"/>
    <n v="1"/>
    <n v="0"/>
  </r>
  <r>
    <s v="ORD-2024-997336"/>
    <d v="2024-10-04T00:00:00"/>
    <d v="2024-11-02T00:00:00"/>
    <x v="0"/>
    <s v="Nigeria"/>
    <s v="Abuja"/>
    <s v="Corporate"/>
    <s v="Distributor"/>
    <x v="8"/>
    <s v="Accessories"/>
    <s v="ACC-9038"/>
    <n v="412.09"/>
    <n v="968.94"/>
    <n v="9.9000000000000005E-2"/>
    <n v="23"/>
    <s v="Valid"/>
    <n v="968.94"/>
    <b v="0"/>
    <n v="9.9000000000000005E-2"/>
    <n v="29"/>
    <d v="2024-11-02T00:00:00"/>
    <n v="29"/>
    <n v="2226355.7236200003"/>
    <n v="22285.620000000003"/>
    <n v="2204070.1036200002"/>
    <n v="0.9899900901892873"/>
    <s v="Oct-2024"/>
    <s v="Q4-2024"/>
    <s v="Africa → Nigeria → Abuja"/>
    <s v="Support"/>
    <s v="Medium"/>
    <s v="NIGERIA"/>
    <d v="2023-01-15T00:00:00"/>
    <s v="Jan-2023"/>
    <d v="2024-10-31T00:00:00"/>
    <n v="0"/>
    <n v="0"/>
  </r>
  <r>
    <s v="ORD-2025-725646"/>
    <d v="2025-09-10T00:00:00"/>
    <d v="2025-09-30T00:00:00"/>
    <x v="0"/>
    <s v="Kenya"/>
    <s v="Mombasa"/>
    <s v="Corporate"/>
    <s v="Direct"/>
    <x v="14"/>
    <s v="Phones"/>
    <s v="PHN-6954"/>
    <n v="1009.48"/>
    <n v="1088.81"/>
    <n v="0.16"/>
    <n v="6"/>
    <s v="Valid"/>
    <n v="1088.81"/>
    <b v="0"/>
    <n v="0.16"/>
    <n v="20"/>
    <d v="2025-09-30T00:00:00"/>
    <n v="20"/>
    <n v="652240.74239999999"/>
    <n v="6532.86"/>
    <n v="645707.8824"/>
    <n v="0.98998397435897434"/>
    <s v="Sep-2025"/>
    <s v="Q3-2025"/>
    <s v="Africa → Kenya → Mombasa"/>
    <s v="Devices"/>
    <s v="High"/>
    <s v="KENYA"/>
    <d v="2023-01-20T00:00:00"/>
    <s v="Jan-2023"/>
    <d v="2025-09-30T00:00:00"/>
    <n v="0"/>
    <n v="0"/>
  </r>
  <r>
    <s v="ORD-2023-868734"/>
    <d v="2023-04-06T00:00:00"/>
    <d v="2023-04-27T00:00:00"/>
    <x v="3"/>
    <s v="United Kingdom"/>
    <s v="Manchester"/>
    <s v="Enterprise"/>
    <s v="Distributor"/>
    <x v="2"/>
    <s v="Printers"/>
    <s v="PRN-8970"/>
    <n v="1084.79"/>
    <n v="2484.9899999999998"/>
    <n v="3.4000000000000002E-2"/>
    <n v="18"/>
    <s v="Valid"/>
    <n v="2484.9899999999998"/>
    <b v="0"/>
    <n v="3.4000000000000002E-2"/>
    <n v="21"/>
    <d v="2023-04-27T00:00:00"/>
    <n v="21"/>
    <n v="4471461.1861199988"/>
    <n v="44729.819999999992"/>
    <n v="4426731.3661199985"/>
    <n v="0.9899965988436068"/>
    <s v="Apr-2023"/>
    <s v="Q2-2023"/>
    <s v="Europe → United Kingdom → Manchester"/>
    <s v="Peripherals"/>
    <s v="Low"/>
    <s v="UNITED KINGDOM"/>
    <d v="2023-01-19T00:00:00"/>
    <s v="Jan-2023"/>
    <d v="2023-04-30T00:00:00"/>
    <n v="0"/>
    <n v="0"/>
  </r>
  <r>
    <s v="ORD-2025-262491"/>
    <d v="2025-08-01T00:00:00"/>
    <d v="2025-08-16T00:00:00"/>
    <x v="2"/>
    <s v="India"/>
    <s v="Unknown City "/>
    <s v="Enterprise"/>
    <s v="Direct"/>
    <x v="6"/>
    <s v="Monitors"/>
    <s v="MON-1822"/>
    <n v="24.44"/>
    <n v="28.69"/>
    <n v="0.14599999999999999"/>
    <n v="6"/>
    <s v="Valid"/>
    <n v="28.69"/>
    <b v="0"/>
    <n v="0.14599999999999999"/>
    <n v="15"/>
    <d v="2025-08-16T00:00:00"/>
    <n v="15"/>
    <n v="17188.867560000002"/>
    <n v="172.14000000000001"/>
    <n v="17016.727560000003"/>
    <n v="0.9899853786528332"/>
    <s v="Aug-2025"/>
    <s v="Q3-2025"/>
    <s v="Asia → India → Unknown City "/>
    <s v="Peripherals"/>
    <s v="High"/>
    <s v="INDIA"/>
    <d v="2023-01-29T00:00:00"/>
    <s v="Jan-2023"/>
    <d v="2025-08-31T00:00:00"/>
    <n v="0"/>
    <n v="0"/>
  </r>
  <r>
    <s v="ORD-2024-638884"/>
    <d v="2024-05-28T00:00:00"/>
    <d v="2024-05-26T00:00:00"/>
    <x v="0"/>
    <s v="Nigeria"/>
    <s v="Abuja"/>
    <s v="Enterprise"/>
    <s v="Online"/>
    <x v="8"/>
    <s v="Accessories"/>
    <s v="ACC-5177"/>
    <n v="1227.08"/>
    <n v="1896.62"/>
    <n v="0"/>
    <n v="18"/>
    <s v="Valid"/>
    <n v="1896.62"/>
    <b v="0"/>
    <n v="0"/>
    <n v="-2"/>
    <d v="2024-06-04T00:00:00"/>
    <n v="7"/>
    <n v="3413915.9999999995"/>
    <n v="34139.159999999996"/>
    <n v="3379776.8399999994"/>
    <n v="0.99"/>
    <s v="May-2024"/>
    <s v="Q2-2024"/>
    <s v="Africa → Nigeria → Abuja"/>
    <s v="Support"/>
    <s v="Medium"/>
    <s v="NIGERIA"/>
    <d v="2023-01-15T00:00:00"/>
    <s v="Jan-2023"/>
    <d v="2024-05-31T00:00:00"/>
    <n v="1"/>
    <n v="0"/>
  </r>
  <r>
    <s v="ORD-2025-541501"/>
    <d v="2025-07-22T00:00:00"/>
    <d v="2025-08-18T00:00:00"/>
    <x v="2"/>
    <s v="China"/>
    <s v="Shenzhen"/>
    <s v="Non-Profit"/>
    <s v="Marketplace"/>
    <x v="11"/>
    <s v="Networking"/>
    <s v="NET-1804"/>
    <n v="547.32000000000005"/>
    <n v="419.17"/>
    <n v="9.1999999999999998E-2"/>
    <n v="14"/>
    <s v="Valid"/>
    <n v="419.17"/>
    <b v="0"/>
    <n v="9.1999999999999998E-2"/>
    <n v="27"/>
    <d v="2025-08-18T00:00:00"/>
    <n v="27"/>
    <n v="586298.10904000001"/>
    <n v="5868.38"/>
    <n v="580429.72904000001"/>
    <n v="0.9899907915282059"/>
    <s v="Jul-2025"/>
    <s v="Q3-2025"/>
    <s v="Asia → China → Shenzhen"/>
    <s v="Support"/>
    <s v="High"/>
    <s v="CHINA"/>
    <d v="2023-01-12T00:00:00"/>
    <s v="Jan-2023"/>
    <d v="2025-07-31T00:00:00"/>
    <n v="0"/>
    <n v="0"/>
  </r>
  <r>
    <s v="ORD-2023-422918"/>
    <d v="2023-02-28T00:00:00"/>
    <d v="2023-03-20T00:00:00"/>
    <x v="3"/>
    <s v="Germany"/>
    <s v="Berlin"/>
    <s v="Small Business"/>
    <s v="Direct"/>
    <x v="9"/>
    <s v="Laptops"/>
    <s v="LAP-3679"/>
    <n v="1200.78"/>
    <n v="2001.17"/>
    <n v="0.29199999999999998"/>
    <n v="18"/>
    <s v="Valid"/>
    <n v="2001.17"/>
    <b v="0"/>
    <n v="0.29199999999999998"/>
    <n v="20"/>
    <d v="2023-03-20T00:00:00"/>
    <n v="20"/>
    <n v="3591587.8504799996"/>
    <n v="36021.06"/>
    <n v="3555566.7904799995"/>
    <n v="0.98997071448630003"/>
    <s v="Feb-2023"/>
    <s v="Q1-2023"/>
    <s v="Europe → Germany → Berlin"/>
    <s v="Devices"/>
    <s v="Low"/>
    <s v="GERMANY"/>
    <d v="2023-01-22T00:00:00"/>
    <s v="Jan-2023"/>
    <d v="2023-02-28T00:00:00"/>
    <n v="0"/>
    <n v="1"/>
  </r>
  <r>
    <s v="ORD-2025-328504"/>
    <d v="2025-01-27T00:00:00"/>
    <d v="2025-02-15T00:00:00"/>
    <x v="2"/>
    <s v="China"/>
    <s v="Shenzhen"/>
    <s v="Non-Profit"/>
    <s v="Direct"/>
    <x v="14"/>
    <s v="Phones"/>
    <s v="PHN-8368"/>
    <n v="1253.22"/>
    <n v="3104.71"/>
    <n v="0"/>
    <n v="17"/>
    <s v="Valid"/>
    <n v="3104.71"/>
    <b v="0"/>
    <n v="0"/>
    <n v="19"/>
    <d v="2025-02-15T00:00:00"/>
    <n v="19"/>
    <n v="5278007"/>
    <n v="52780.07"/>
    <n v="5225226.93"/>
    <n v="0.99"/>
    <s v="Jan-2025"/>
    <s v="Q1-2025"/>
    <s v="Asia → China → Shenzhen"/>
    <s v="Devices"/>
    <s v="High"/>
    <s v="CHINA"/>
    <d v="2023-01-12T00:00:00"/>
    <s v="Jan-2023"/>
    <d v="2025-01-31T00:00:00"/>
    <n v="0"/>
    <n v="0"/>
  </r>
  <r>
    <s v="ORD-2024-851883"/>
    <d v="2024-01-13T00:00:00"/>
    <d v="2024-01-22T00:00:00"/>
    <x v="2"/>
    <s v="India"/>
    <s v="Mumbai"/>
    <s v="Enterprise"/>
    <s v="Marketplace"/>
    <x v="1"/>
    <s v="Components"/>
    <s v="CMP-8141"/>
    <n v="313.60000000000002"/>
    <n v="334.28"/>
    <n v="0.14000000000000001"/>
    <n v="22"/>
    <s v="Valid"/>
    <n v="334.28"/>
    <b v="0"/>
    <n v="0.14000000000000001"/>
    <n v="9"/>
    <d v="2024-01-22T00:00:00"/>
    <n v="9"/>
    <n v="734386.41759999993"/>
    <n v="7354.16"/>
    <n v="727032.2575999999"/>
    <n v="0.9899859803725215"/>
    <s v="Jan-2024"/>
    <s v="Q1-2024"/>
    <s v="Asia → India → Mumbai"/>
    <s v="Support"/>
    <s v="Medium"/>
    <s v="INDIA"/>
    <d v="2023-01-29T00:00:00"/>
    <s v="Jan-2023"/>
    <d v="2024-01-31T00:00:00"/>
    <n v="0"/>
    <n v="0"/>
  </r>
  <r>
    <s v="ORD-2025-662997"/>
    <d v="2025-03-31T00:00:00"/>
    <d v="2025-04-04T00:00:00"/>
    <x v="0"/>
    <s v="Kenya"/>
    <s v="Nakuru"/>
    <s v="Corporate"/>
    <s v="Direct"/>
    <x v="0"/>
    <s v="Laptops"/>
    <s v="LAP-7136"/>
    <n v="862.08"/>
    <n v="1952.83"/>
    <n v="0"/>
    <n v="7"/>
    <s v="Valid"/>
    <n v="1952.83"/>
    <b v="0"/>
    <n v="0"/>
    <n v="4"/>
    <d v="2025-04-04T00:00:00"/>
    <n v="4"/>
    <n v="1366981"/>
    <n v="13669.81"/>
    <n v="1353311.19"/>
    <n v="0.99"/>
    <s v="Mar-2025"/>
    <s v="Q1-2025"/>
    <s v="Africa → Kenya → Nakuru"/>
    <s v="Devices"/>
    <s v="High"/>
    <s v="KENYA"/>
    <d v="2023-01-20T00:00:00"/>
    <s v="Jan-2023"/>
    <d v="2025-03-31T00:00:00"/>
    <n v="1"/>
    <n v="0"/>
  </r>
  <r>
    <s v="ORD-2024-478165"/>
    <d v="2024-12-05T00:00:00"/>
    <d v="2024-12-28T00:00:00"/>
    <x v="1"/>
    <s v="Canada"/>
    <s v="Vancouver"/>
    <s v="Corporate"/>
    <s v="Direct"/>
    <x v="8"/>
    <s v="Accessories"/>
    <s v="ACC-2386"/>
    <n v="107.03"/>
    <n v="242.29"/>
    <n v="0.18"/>
    <n v="30"/>
    <s v="Valid"/>
    <n v="242.29"/>
    <b v="0"/>
    <n v="0.18"/>
    <n v="23"/>
    <d v="2024-12-28T00:00:00"/>
    <n v="23"/>
    <n v="725561.63399999996"/>
    <n v="7268.7"/>
    <n v="718292.93400000001"/>
    <n v="0.98998196754157486"/>
    <s v="Dec-2024"/>
    <s v="Q4-2024"/>
    <s v="Americas → Canada → Vancouver"/>
    <s v="Support"/>
    <s v="High"/>
    <s v="CANADA"/>
    <d v="2023-01-02T00:00:00"/>
    <s v="Jan-2023"/>
    <d v="2024-12-31T00:00:00"/>
    <n v="0"/>
    <n v="0"/>
  </r>
  <r>
    <s v="ORD-2024-771210"/>
    <d v="2024-09-14T00:00:00"/>
    <d v="2024-10-05T00:00:00"/>
    <x v="2"/>
    <s v="China"/>
    <s v="Shanghai"/>
    <s v="Small Business"/>
    <s v="Online"/>
    <x v="9"/>
    <s v="Laptops"/>
    <s v="LAP-5150"/>
    <n v="1405.56"/>
    <n v="2968.87"/>
    <n v="0.16900000000000001"/>
    <n v="5"/>
    <s v="Valid"/>
    <n v="2968.87"/>
    <b v="0"/>
    <n v="0.16900000000000001"/>
    <n v="21"/>
    <d v="2024-10-05T00:00:00"/>
    <n v="21"/>
    <n v="1481926.30485"/>
    <n v="14844.349999999999"/>
    <n v="1467081.9548499999"/>
    <n v="0.98998307139065012"/>
    <s v="Sep-2024"/>
    <s v="Q3-2024"/>
    <s v="Asia → China → Shanghai"/>
    <s v="Devices"/>
    <s v="Medium"/>
    <s v="CHINA"/>
    <d v="2023-01-12T00:00:00"/>
    <s v="Jan-2023"/>
    <d v="2024-09-30T00:00:00"/>
    <n v="0"/>
    <n v="0"/>
  </r>
  <r>
    <s v="ORD-2024-155337"/>
    <d v="2024-05-21T00:00:00"/>
    <d v="2024-05-27T00:00:00"/>
    <x v="0"/>
    <s v="South Africa"/>
    <s v="Johannesburg"/>
    <s v="Non-Profit"/>
    <s v="Online"/>
    <x v="11"/>
    <s v="Components"/>
    <s v="CMP-8101"/>
    <n v="1157.51"/>
    <n v="1394.3"/>
    <n v="0.27800000000000002"/>
    <n v="12"/>
    <s v="Valid"/>
    <n v="1394.3"/>
    <b v="0"/>
    <n v="0.27800000000000002"/>
    <n v="6"/>
    <d v="2024-05-27T00:00:00"/>
    <n v="6"/>
    <n v="1668508.6151999997"/>
    <n v="16731.599999999999"/>
    <n v="1651777.0151999996"/>
    <n v="0.98997212250055144"/>
    <s v="May-2024"/>
    <s v="Q2-2024"/>
    <s v="Africa → South Africa → Johannesburg"/>
    <s v="Support"/>
    <s v="Medium"/>
    <s v="SOUTH AFRICA"/>
    <d v="2023-01-07T00:00:00"/>
    <s v="Jan-2023"/>
    <d v="2024-05-31T00:00:00"/>
    <n v="1"/>
    <n v="1"/>
  </r>
  <r>
    <s v="ORD-2023-251563"/>
    <d v="2023-05-11T00:00:00"/>
    <d v="2023-06-07T00:00:00"/>
    <x v="0"/>
    <s v="Kenya"/>
    <s v="Mombasa"/>
    <s v="Corporate"/>
    <s v="Online"/>
    <x v="1"/>
    <s v="Phones"/>
    <s v="PHN-8970"/>
    <n v="12.85"/>
    <n v="15.41"/>
    <n v="0.13700000000000001"/>
    <n v="39"/>
    <s v="Valid"/>
    <n v="15.41"/>
    <b v="0"/>
    <n v="0.13700000000000001"/>
    <n v="27"/>
    <d v="2023-06-07T00:00:00"/>
    <n v="27"/>
    <n v="60016.664369999999"/>
    <n v="600.99"/>
    <n v="59415.674370000001"/>
    <n v="0.98998628120525123"/>
    <s v="May-2023"/>
    <s v="Q2-2023"/>
    <s v="Africa → Kenya → Mombasa"/>
    <s v="Devices"/>
    <s v="Low"/>
    <s v="KENYA"/>
    <d v="2023-01-20T00:00:00"/>
    <s v="Jan-2023"/>
    <d v="2023-05-31T00:00:00"/>
    <n v="0"/>
    <n v="0"/>
  </r>
  <r>
    <s v="ORD-2024-286833"/>
    <d v="2024-08-14T00:00:00"/>
    <d v="2024-09-04T00:00:00"/>
    <x v="3"/>
    <s v="United Kingdom"/>
    <s v="Manchester"/>
    <s v="Non-Profit"/>
    <s v="Online"/>
    <x v="1"/>
    <s v="Phones"/>
    <s v="PHN-2341"/>
    <n v="1138.8"/>
    <n v="2250.81"/>
    <n v="0.123"/>
    <n v="12"/>
    <s v="Valid"/>
    <n v="2250.81"/>
    <b v="0"/>
    <n v="0.123"/>
    <n v="21"/>
    <d v="2024-09-04T00:00:00"/>
    <n v="21"/>
    <n v="2697649.8044400001"/>
    <n v="27009.72"/>
    <n v="2670640.0844399999"/>
    <n v="0.98998768485236832"/>
    <s v="Aug-2024"/>
    <s v="Q3-2024"/>
    <s v="Europe → United Kingdom → Manchester"/>
    <s v="Devices"/>
    <s v="Medium"/>
    <s v="UNITED KINGDOM"/>
    <d v="2023-01-19T00:00:00"/>
    <s v="Jan-2023"/>
    <d v="2024-08-31T00:00:00"/>
    <n v="0"/>
    <n v="0"/>
  </r>
  <r>
    <s v="ORD-2024-792558"/>
    <d v="2024-10-16T00:00:00"/>
    <d v="2024-11-08T00:00:00"/>
    <x v="2"/>
    <s v="Japan"/>
    <s v="Osaka"/>
    <s v="Small Business"/>
    <s v="Retail"/>
    <x v="1"/>
    <s v="Networking"/>
    <s v="NET-6387"/>
    <n v="82.14"/>
    <n v="166.04"/>
    <n v="0"/>
    <n v="10"/>
    <s v="Valid"/>
    <n v="166.04"/>
    <b v="0"/>
    <n v="0"/>
    <n v="23"/>
    <d v="2024-11-08T00:00:00"/>
    <n v="23"/>
    <n v="166040"/>
    <n v="1660.3999999999999"/>
    <n v="164379.6"/>
    <n v="0.99"/>
    <s v="Oct-2024"/>
    <s v="Q4-2024"/>
    <s v="Asia → Japan → Osaka"/>
    <s v="Support"/>
    <s v="Medium"/>
    <s v="JAPAN"/>
    <d v="2023-03-03T00:00:00"/>
    <s v="Mar-2023"/>
    <d v="2024-10-31T00:00:00"/>
    <n v="0"/>
    <n v="0"/>
  </r>
  <r>
    <s v="ORD-2024-166150"/>
    <d v="2024-06-02T00:00:00"/>
    <d v="2024-06-08T00:00:00"/>
    <x v="0"/>
    <s v="Kenya"/>
    <s v="Kisumu"/>
    <s v="Consumer"/>
    <s v="Marketplace"/>
    <x v="7"/>
    <s v="Accessories"/>
    <s v="ACC-9820"/>
    <n v="292.94"/>
    <n v="356.55"/>
    <n v="0.22900000000000001"/>
    <n v="2"/>
    <s v="Valid"/>
    <n v="356.55"/>
    <b v="0"/>
    <n v="0.22900000000000001"/>
    <n v="6"/>
    <d v="2024-06-08T00:00:00"/>
    <n v="6"/>
    <n v="71146.700100000002"/>
    <n v="713.1"/>
    <n v="70433.600099999996"/>
    <n v="0.98997704743863435"/>
    <s v="Jun-2024"/>
    <s v="Q2-2024"/>
    <s v="Africa → Kenya → Kisumu"/>
    <s v="Support"/>
    <s v="Medium"/>
    <s v="KENYA"/>
    <d v="2023-01-20T00:00:00"/>
    <s v="Jan-2023"/>
    <d v="2024-06-30T00:00:00"/>
    <n v="1"/>
    <n v="1"/>
  </r>
  <r>
    <s v="ORD-2024-909942"/>
    <d v="2024-06-09T00:00:00"/>
    <d v="2024-07-07T00:00:00"/>
    <x v="2"/>
    <s v="China"/>
    <s v="Shenzhen"/>
    <s v="Corporate"/>
    <s v="Online"/>
    <x v="1"/>
    <s v="Components"/>
    <s v="CMP-6392"/>
    <n v="550.22"/>
    <n v="1025.05"/>
    <n v="0"/>
    <n v="27"/>
    <s v="Valid"/>
    <n v="1025.05"/>
    <b v="0"/>
    <n v="0"/>
    <n v="28"/>
    <d v="2024-07-07T00:00:00"/>
    <n v="28"/>
    <n v="2767635"/>
    <n v="27676.35"/>
    <n v="2739958.65"/>
    <n v="0.99"/>
    <s v="Jun-2024"/>
    <s v="Q2-2024"/>
    <s v="Asia → China → Shenzhen"/>
    <s v="Support"/>
    <s v="Medium"/>
    <s v="CHINA"/>
    <d v="2023-01-12T00:00:00"/>
    <s v="Jan-2023"/>
    <d v="2024-06-30T00:00:00"/>
    <n v="0"/>
    <n v="0"/>
  </r>
  <r>
    <s v="ORD-2024-223618"/>
    <d v="2024-06-10T00:00:00"/>
    <d v="2024-06-11T00:00:00"/>
    <x v="3"/>
    <s v="United Kingdom"/>
    <s v="Birmingham"/>
    <s v="Small Business"/>
    <s v="Marketplace"/>
    <x v="11"/>
    <s v="Laptops"/>
    <s v="LAP-9230"/>
    <n v="1187.1300000000001"/>
    <n v="1795.17"/>
    <n v="1.2E-2"/>
    <n v="17"/>
    <s v="Valid"/>
    <n v="1795.17"/>
    <b v="0"/>
    <n v="1.2E-2"/>
    <n v="1"/>
    <d v="2024-06-11T00:00:00"/>
    <n v="1"/>
    <n v="3051422.7853199998"/>
    <n v="30517.89"/>
    <n v="3020904.8953199997"/>
    <n v="0.98999879985598271"/>
    <s v="Jun-2024"/>
    <s v="Q2-2024"/>
    <s v="Europe → United Kingdom → Birmingham"/>
    <s v="Devices"/>
    <s v="Medium"/>
    <s v="UNITED KINGDOM"/>
    <d v="2023-01-19T00:00:00"/>
    <s v="Jan-2023"/>
    <d v="2024-06-30T00:00:00"/>
    <n v="1"/>
    <n v="0"/>
  </r>
  <r>
    <s v="ORD-2024-919471"/>
    <d v="2024-06-29T00:00:00"/>
    <d v="2024-07-26T00:00:00"/>
    <x v="0"/>
    <s v="South Africa"/>
    <s v="Durban"/>
    <s v="Enterprise"/>
    <s v="Distributor"/>
    <x v="4"/>
    <s v="Networking"/>
    <s v="NET-4241"/>
    <n v="5.36"/>
    <n v="4.37"/>
    <n v="0.11799999999999999"/>
    <n v="9"/>
    <s v="Valid"/>
    <n v="4.37"/>
    <b v="0"/>
    <n v="0.11799999999999999"/>
    <n v="27"/>
    <d v="2024-07-26T00:00:00"/>
    <n v="27"/>
    <n v="3928.3590600000002"/>
    <n v="39.33"/>
    <n v="3889.0290600000003"/>
    <n v="0.9899881860595503"/>
    <s v="Jun-2024"/>
    <s v="Q2-2024"/>
    <s v="Africa → South Africa → Durban"/>
    <s v="Support"/>
    <s v="Medium"/>
    <s v="SOUTH AFRICA"/>
    <d v="2023-01-07T00:00:00"/>
    <s v="Jan-2023"/>
    <d v="2024-06-30T00:00:00"/>
    <n v="0"/>
    <n v="0"/>
  </r>
  <r>
    <s v="ORD-2025-649239"/>
    <d v="2025-01-17T00:00:00"/>
    <d v="2025-01-24T00:00:00"/>
    <x v="1"/>
    <s v="USA"/>
    <s v="Austin"/>
    <s v="Enterprise"/>
    <s v="Online"/>
    <x v="3"/>
    <s v="Accessories"/>
    <s v="ACC-4511"/>
    <n v="142.09"/>
    <n v="218.5"/>
    <n v="0.11899999999999999"/>
    <n v="11"/>
    <s v="Valid"/>
    <n v="218.5"/>
    <b v="0"/>
    <n v="0.11899999999999999"/>
    <n v="7"/>
    <d v="2025-01-24T00:00:00"/>
    <n v="7"/>
    <n v="240063.9835"/>
    <n v="2403.5"/>
    <n v="237660.4835"/>
    <n v="0.98998808582212838"/>
    <s v="Jan-2025"/>
    <s v="Q1-2025"/>
    <s v="Americas → USA → Austin"/>
    <s v="Support"/>
    <s v="High"/>
    <s v="USA"/>
    <d v="2023-01-13T00:00:00"/>
    <s v="Jan-2023"/>
    <d v="2025-01-31T00:00:00"/>
    <n v="1"/>
    <n v="0"/>
  </r>
  <r>
    <s v="ORD-2023-975863"/>
    <d v="2023-11-20T00:00:00"/>
    <d v="2023-12-05T00:00:00"/>
    <x v="2"/>
    <s v="Japan"/>
    <s v="Tokyo"/>
    <s v="Enterprise"/>
    <s v="Retail"/>
    <x v="14"/>
    <s v="Networking"/>
    <s v="NET-3033"/>
    <n v="354.24"/>
    <n v="249.87"/>
    <n v="0"/>
    <n v="6"/>
    <s v="Valid"/>
    <n v="249.87"/>
    <b v="0"/>
    <n v="0"/>
    <n v="15"/>
    <d v="2023-12-05T00:00:00"/>
    <n v="15"/>
    <n v="149922"/>
    <n v="1499.22"/>
    <n v="148422.78"/>
    <n v="0.99"/>
    <s v="Nov-2023"/>
    <s v="Q4-2023"/>
    <s v="Asia → Japan → Tokyo"/>
    <s v="Support"/>
    <s v="Low"/>
    <s v="JAPAN"/>
    <d v="2023-03-03T00:00:00"/>
    <s v="Mar-2023"/>
    <d v="2023-11-30T00:00:00"/>
    <n v="0"/>
    <n v="0"/>
  </r>
  <r>
    <s v="ORD-2023-869884"/>
    <d v="2023-03-02T00:00:00"/>
    <d v="2023-03-05T00:00:00"/>
    <x v="1"/>
    <s v="Brazil"/>
    <s v="Brasília"/>
    <s v="Enterprise"/>
    <s v="Direct"/>
    <x v="3"/>
    <s v="Monitors"/>
    <s v="MON-2828"/>
    <n v="1473.58"/>
    <n v="3436.52"/>
    <n v="0.108"/>
    <n v="8"/>
    <s v="Valid"/>
    <n v="3436.52"/>
    <b v="0"/>
    <n v="0.108"/>
    <n v="3"/>
    <d v="2023-03-05T00:00:00"/>
    <n v="3"/>
    <n v="2746246.8467199998"/>
    <n v="27492.16"/>
    <n v="2718754.6867199996"/>
    <n v="0.98998918832338922"/>
    <s v="Mar-2023"/>
    <s v="Q1-2023"/>
    <s v="Americas → Brazil → Brasília"/>
    <s v="Peripherals"/>
    <s v="Low"/>
    <s v="BRAZIL"/>
    <d v="2023-01-29T00:00:00"/>
    <s v="Jan-2023"/>
    <d v="2023-03-31T00:00:00"/>
    <n v="1"/>
    <n v="0"/>
  </r>
  <r>
    <s v="ORD-2025-698069"/>
    <d v="2025-06-03T00:00:00"/>
    <d v="2025-06-10T00:00:00"/>
    <x v="1"/>
    <s v="Canada"/>
    <s v="Toronto"/>
    <s v="Consumer"/>
    <s v="Distributor"/>
    <x v="6"/>
    <s v="Printers"/>
    <s v="PRN-6429"/>
    <n v="75.180000000000007"/>
    <n v="53.45"/>
    <n v="0.157"/>
    <n v="17"/>
    <s v="Valid"/>
    <n v="53.45"/>
    <b v="0"/>
    <n v="0.157"/>
    <n v="7"/>
    <d v="2025-06-10T00:00:00"/>
    <n v="7"/>
    <n v="90722.341950000016"/>
    <n v="908.65000000000009"/>
    <n v="89813.691950000022"/>
    <n v="0.98998427531224031"/>
    <s v="Jun-2025"/>
    <s v="Q2-2025"/>
    <s v="Americas → Canada → Toronto"/>
    <s v="Peripherals"/>
    <s v="High"/>
    <s v="CANADA"/>
    <d v="2023-01-02T00:00:00"/>
    <s v="Jan-2023"/>
    <d v="2025-06-30T00:00:00"/>
    <n v="1"/>
    <n v="0"/>
  </r>
  <r>
    <s v="ORD-2024-474999"/>
    <d v="2024-12-27T00:00:00"/>
    <d v="2025-01-02T00:00:00"/>
    <x v="3"/>
    <s v="Germany"/>
    <s v="Frankfurt"/>
    <s v="Education"/>
    <s v="Direct"/>
    <x v="8"/>
    <s v="Laptops"/>
    <s v="LAP-8214"/>
    <n v="1391.99"/>
    <n v="3469.7"/>
    <n v="0.184"/>
    <n v="23"/>
    <s v="Valid"/>
    <n v="3469.7"/>
    <b v="0"/>
    <n v="0.184"/>
    <n v="6"/>
    <d v="2025-01-02T00:00:00"/>
    <n v="6"/>
    <n v="7965626.2295999993"/>
    <n v="79803.099999999991"/>
    <n v="7885823.1295999996"/>
    <n v="0.98998156608159016"/>
    <s v="Dec-2024"/>
    <s v="Q4-2024"/>
    <s v="Europe → Germany → Frankfurt"/>
    <s v="Devices"/>
    <s v="High"/>
    <s v="GERMANY"/>
    <d v="2023-01-22T00:00:00"/>
    <s v="Jan-2023"/>
    <d v="2024-12-31T00:00:00"/>
    <n v="1"/>
    <n v="0"/>
  </r>
  <r>
    <s v="ORD-2023-427304"/>
    <d v="2023-06-09T00:00:00"/>
    <d v="2023-06-19T00:00:00"/>
    <x v="2"/>
    <s v="China"/>
    <s v="Beijing"/>
    <s v="Enterprise"/>
    <s v="Retail"/>
    <x v="8"/>
    <s v="Monitors"/>
    <s v="MON-9194"/>
    <n v="339.61"/>
    <n v="621.02"/>
    <n v="7.0999999999999994E-2"/>
    <n v="10"/>
    <s v="Valid"/>
    <n v="621.02"/>
    <b v="0"/>
    <n v="7.0999999999999994E-2"/>
    <n v="10"/>
    <d v="2023-06-19T00:00:00"/>
    <n v="10"/>
    <n v="620579.07579999999"/>
    <n v="6210.2"/>
    <n v="614368.87580000004"/>
    <n v="0.98999289495541842"/>
    <s v="Jun-2023"/>
    <s v="Q2-2023"/>
    <s v="Asia → China → Beijing"/>
    <s v="Peripherals"/>
    <s v="Low"/>
    <s v="CHINA"/>
    <d v="2023-01-12T00:00:00"/>
    <s v="Jan-2023"/>
    <d v="2023-06-30T00:00:00"/>
    <n v="0"/>
    <n v="0"/>
  </r>
  <r>
    <s v="ORD-2025-956101"/>
    <d v="2025-07-09T00:00:00"/>
    <d v="2025-07-18T00:00:00"/>
    <x v="1"/>
    <s v="Canada"/>
    <s v="Vancouver"/>
    <s v="Education"/>
    <s v="Distributor"/>
    <x v="2"/>
    <s v="Laptops"/>
    <s v="LAP-2218"/>
    <n v="57.96"/>
    <n v="88.51"/>
    <n v="4.2999999999999997E-2"/>
    <n v="7"/>
    <s v="Valid"/>
    <n v="88.51"/>
    <b v="0"/>
    <n v="4.2999999999999997E-2"/>
    <n v="9"/>
    <d v="2025-07-18T00:00:00"/>
    <n v="9"/>
    <n v="61930.358489999999"/>
    <n v="619.57000000000005"/>
    <n v="61310.788489999999"/>
    <n v="0.98999569815020461"/>
    <s v="Jul-2025"/>
    <s v="Q3-2025"/>
    <s v="Americas → Canada → Vancouver"/>
    <s v="Devices"/>
    <s v="High"/>
    <s v="CANADA"/>
    <d v="2023-01-02T00:00:00"/>
    <s v="Jan-2023"/>
    <d v="2025-07-31T00:00:00"/>
    <n v="0"/>
    <n v="0"/>
  </r>
  <r>
    <s v="ORD-2025-184082"/>
    <d v="2025-06-19T00:00:00"/>
    <d v="2025-07-12T00:00:00"/>
    <x v="3"/>
    <s v="United Kingdom"/>
    <s v="Unknown City "/>
    <s v="Non-Profit"/>
    <s v="Direct"/>
    <x v="15"/>
    <s v="Networking"/>
    <s v="NET-6370"/>
    <n v="801.24"/>
    <n v="1959.09"/>
    <n v="0.123"/>
    <n v="23"/>
    <s v="Valid"/>
    <n v="1959.09"/>
    <b v="0"/>
    <n v="0.123"/>
    <n v="23"/>
    <d v="2025-07-12T00:00:00"/>
    <n v="23"/>
    <n v="4500364.7343899999"/>
    <n v="45059.07"/>
    <n v="4455305.6643899996"/>
    <n v="0.98998768485236832"/>
    <s v="Jun-2025"/>
    <s v="Q2-2025"/>
    <s v="Europe → United Kingdom → Unknown City "/>
    <s v="Support"/>
    <s v="High"/>
    <s v="UNITED KINGDOM"/>
    <d v="2023-01-19T00:00:00"/>
    <s v="Jan-2023"/>
    <d v="2025-06-30T00:00:00"/>
    <n v="0"/>
    <n v="0"/>
  </r>
  <r>
    <s v="ORD-2023-576840"/>
    <d v="2023-11-19T00:00:00"/>
    <d v="2023-12-13T00:00:00"/>
    <x v="3"/>
    <s v="France"/>
    <s v="Lyon"/>
    <s v="Non-Profit"/>
    <s v="Direct"/>
    <x v="9"/>
    <s v="Monitors"/>
    <s v="MON-3745"/>
    <n v="1297.42"/>
    <n v="2742.97"/>
    <n v="6.9000000000000006E-2"/>
    <n v="9"/>
    <s v="Valid"/>
    <n v="2742.97"/>
    <b v="0"/>
    <n v="6.9000000000000006E-2"/>
    <n v="24"/>
    <d v="2023-12-13T00:00:00"/>
    <n v="24"/>
    <n v="2466969.6156299999"/>
    <n v="24686.73"/>
    <n v="2442282.8856299999"/>
    <n v="0.98999309523571266"/>
    <s v="Nov-2023"/>
    <s v="Q4-2023"/>
    <s v="Europe → France → Lyon"/>
    <s v="Peripherals"/>
    <s v="Low"/>
    <s v="FRANCE"/>
    <d v="2023-01-10T00:00:00"/>
    <s v="Jan-2023"/>
    <d v="2023-11-30T00:00:00"/>
    <n v="0"/>
    <n v="0"/>
  </r>
  <r>
    <s v="ORD-2023-178249"/>
    <d v="2023-12-29T00:00:00"/>
    <d v="2024-01-20T00:00:00"/>
    <x v="0"/>
    <s v="Kenya"/>
    <s v="Kisumu"/>
    <s v="Corporate"/>
    <s v="Direct"/>
    <x v="14"/>
    <s v="Phones"/>
    <s v="PHN-7924"/>
    <n v="1395.49"/>
    <n v="1679.42"/>
    <n v="0.20300000000000001"/>
    <n v="12"/>
    <s v="Valid"/>
    <n v="1679.42"/>
    <b v="0"/>
    <n v="0.20300000000000001"/>
    <n v="22"/>
    <d v="2024-01-20T00:00:00"/>
    <n v="22"/>
    <n v="2011212.93288"/>
    <n v="20153.04"/>
    <n v="1991059.8928799999"/>
    <n v="0.98997965870717552"/>
    <s v="Dec-2023"/>
    <s v="Q4-2023"/>
    <s v="Africa → Kenya → Kisumu"/>
    <s v="Devices"/>
    <s v="Medium"/>
    <s v="KENYA"/>
    <d v="2023-01-20T00:00:00"/>
    <s v="Jan-2023"/>
    <d v="2023-12-31T00:00:00"/>
    <n v="0"/>
    <n v="1"/>
  </r>
  <r>
    <s v="ORD-2024-588972"/>
    <d v="2024-11-02T00:00:00"/>
    <d v="2024-11-29T00:00:00"/>
    <x v="1"/>
    <s v="Brazil"/>
    <s v="Brasília"/>
    <s v="Small Business"/>
    <s v="Direct"/>
    <x v="2"/>
    <s v="Networking"/>
    <s v="NET-8561"/>
    <n v="1363.51"/>
    <n v="1433.9"/>
    <n v="5.7000000000000002E-2"/>
    <n v="8"/>
    <s v="Valid"/>
    <n v="1433.9"/>
    <b v="0"/>
    <n v="5.7000000000000002E-2"/>
    <n v="27"/>
    <d v="2024-11-29T00:00:00"/>
    <n v="27"/>
    <n v="1146466.1416"/>
    <n v="11471.2"/>
    <n v="1134994.9416"/>
    <n v="0.98999429674914707"/>
    <s v="Nov-2024"/>
    <s v="Q4-2024"/>
    <s v="Americas → Brazil → Brasília"/>
    <s v="Support"/>
    <s v="High"/>
    <s v="BRAZIL"/>
    <d v="2023-01-29T00:00:00"/>
    <s v="Jan-2023"/>
    <d v="2024-11-30T00:00:00"/>
    <n v="0"/>
    <n v="0"/>
  </r>
  <r>
    <s v="ORD-2023-603238"/>
    <d v="2023-08-21T00:00:00"/>
    <d v="2023-09-04T00:00:00"/>
    <x v="1"/>
    <s v="Canada"/>
    <s v="Montreal"/>
    <s v="Education"/>
    <s v="Distributor"/>
    <x v="8"/>
    <s v="Components"/>
    <s v="CMP-2136"/>
    <n v="178.19"/>
    <n v="284.43"/>
    <n v="8.8999999999999996E-2"/>
    <n v="8"/>
    <s v="Valid"/>
    <n v="284.43"/>
    <b v="0"/>
    <n v="8.8999999999999996E-2"/>
    <n v="14"/>
    <d v="2023-09-04T00:00:00"/>
    <n v="14"/>
    <n v="227341.48584000001"/>
    <n v="2275.44"/>
    <n v="225066.04584000001"/>
    <n v="0.98999109207194402"/>
    <s v="Aug-2023"/>
    <s v="Q3-2023"/>
    <s v="Americas → Canada → Montreal"/>
    <s v="Support"/>
    <s v="Low"/>
    <s v="CANADA"/>
    <d v="2023-01-02T00:00:00"/>
    <s v="Jan-2023"/>
    <d v="2023-08-31T00:00:00"/>
    <n v="0"/>
    <n v="0"/>
  </r>
  <r>
    <s v="ORD-2023-883066"/>
    <d v="2023-08-12T00:00:00"/>
    <d v="2023-09-06T00:00:00"/>
    <x v="2"/>
    <s v="China"/>
    <s v="Shanghai"/>
    <s v="Small Business"/>
    <s v="Retail"/>
    <x v="4"/>
    <s v="Components"/>
    <s v="CMP-6352"/>
    <n v="950.77"/>
    <n v="694.78"/>
    <n v="8.4000000000000005E-2"/>
    <n v="14"/>
    <s v="Valid"/>
    <n v="694.78"/>
    <b v="0"/>
    <n v="8.4000000000000005E-2"/>
    <n v="25"/>
    <d v="2023-09-06T00:00:00"/>
    <n v="25"/>
    <n v="971874.93871999998"/>
    <n v="9726.92"/>
    <n v="962148.01871999993"/>
    <n v="0.98999159293806793"/>
    <s v="Aug-2023"/>
    <s v="Q3-2023"/>
    <s v="Asia → China → Shanghai"/>
    <s v="Support"/>
    <s v="Low"/>
    <s v="CHINA"/>
    <d v="2023-01-12T00:00:00"/>
    <s v="Jan-2023"/>
    <d v="2023-08-31T00:00:00"/>
    <n v="0"/>
    <n v="0"/>
  </r>
  <r>
    <s v="ORD-2024-584090"/>
    <d v="2024-06-07T00:00:00"/>
    <d v="2024-06-26T00:00:00"/>
    <x v="3"/>
    <s v="Germany"/>
    <s v="Berlin"/>
    <s v="Non-Profit"/>
    <s v="Marketplace"/>
    <x v="11"/>
    <s v="Components"/>
    <s v="CMP-2040"/>
    <n v="1064.32"/>
    <n v="1848.39"/>
    <n v="7.2999999999999995E-2"/>
    <n v="38"/>
    <s v="Valid"/>
    <n v="1848.39"/>
    <b v="0"/>
    <n v="7.2999999999999995E-2"/>
    <n v="19"/>
    <d v="2024-06-26T00:00:00"/>
    <n v="19"/>
    <n v="7018754.5661400007"/>
    <n v="70238.820000000007"/>
    <n v="6948515.7461400004"/>
    <n v="0.98999269466710693"/>
    <s v="Jun-2024"/>
    <s v="Q2-2024"/>
    <s v="Europe → Germany → Berlin"/>
    <s v="Support"/>
    <s v="Medium"/>
    <s v="GERMANY"/>
    <d v="2023-01-22T00:00:00"/>
    <s v="Jan-2023"/>
    <d v="2024-06-30T00:00:00"/>
    <n v="0"/>
    <n v="0"/>
  </r>
  <r>
    <s v="ORD-2025-537785"/>
    <d v="2025-08-05T00:00:00"/>
    <d v="2025-08-14T00:00:00"/>
    <x v="3"/>
    <s v="United Kingdom"/>
    <s v="London"/>
    <s v="Non-Profit"/>
    <s v="Direct"/>
    <x v="5"/>
    <s v="Components"/>
    <s v="CMP-6346"/>
    <n v="41.76"/>
    <n v="45.19"/>
    <n v="0.17899999999999999"/>
    <n v="23"/>
    <s v="Valid"/>
    <n v="45.19"/>
    <b v="0"/>
    <n v="0.17899999999999999"/>
    <n v="9"/>
    <d v="2025-08-14T00:00:00"/>
    <n v="9"/>
    <n v="103750.95276999999"/>
    <n v="1039.3699999999999"/>
    <n v="102711.58276999999"/>
    <n v="0.98998206790154386"/>
    <s v="Aug-2025"/>
    <s v="Q3-2025"/>
    <s v="Europe → United Kingdom → London"/>
    <s v="Support"/>
    <s v="High"/>
    <s v="UNITED KINGDOM"/>
    <d v="2023-01-19T00:00:00"/>
    <s v="Jan-2023"/>
    <d v="2025-08-31T00:00:00"/>
    <n v="0"/>
    <n v="0"/>
  </r>
  <r>
    <s v="ORD-2024-605518"/>
    <d v="2024-05-30T00:00:00"/>
    <d v="2024-06-13T00:00:00"/>
    <x v="1"/>
    <s v="USA"/>
    <s v="San Francisco"/>
    <s v="Small Business"/>
    <s v="Retail"/>
    <x v="8"/>
    <s v="Phones"/>
    <s v="PHN-4356"/>
    <n v="157.78"/>
    <n v="361.1"/>
    <n v="0.187"/>
    <n v="9"/>
    <s v="Valid"/>
    <n v="361.1"/>
    <b v="0"/>
    <n v="0.187"/>
    <n v="14"/>
    <d v="2024-06-13T00:00:00"/>
    <n v="14"/>
    <n v="324382.26870000002"/>
    <n v="3249.9"/>
    <n v="321132.36869999999"/>
    <n v="0.98998126496548544"/>
    <s v="May-2024"/>
    <s v="Q2-2024"/>
    <s v="Americas → USA → San Francisco"/>
    <s v="Devices"/>
    <s v="Medium"/>
    <s v="USA"/>
    <d v="2023-01-13T00:00:00"/>
    <s v="Jan-2023"/>
    <d v="2024-05-31T00:00:00"/>
    <n v="0"/>
    <n v="0"/>
  </r>
  <r>
    <s v="ORD-2023-521818"/>
    <d v="2023-01-22T00:00:00"/>
    <d v="2023-01-30T00:00:00"/>
    <x v="1"/>
    <s v="USA"/>
    <s v="San Francisco"/>
    <s v="Small Business"/>
    <s v="Online"/>
    <x v="7"/>
    <s v="Networking"/>
    <s v="NET-4155"/>
    <n v="413.52"/>
    <n v="1004.34"/>
    <n v="0.111"/>
    <n v="18"/>
    <s v="Valid"/>
    <n v="1004.34"/>
    <b v="0"/>
    <n v="0.111"/>
    <n v="8"/>
    <d v="2023-01-30T00:00:00"/>
    <n v="8"/>
    <n v="1805805.3286799998"/>
    <n v="18078.12"/>
    <n v="1787727.2086799997"/>
    <n v="0.98998888766530846"/>
    <s v="Jan-2023"/>
    <s v="Q1-2023"/>
    <s v="Americas → USA → San Francisco"/>
    <s v="Support"/>
    <s v="Low"/>
    <s v="USA"/>
    <d v="2023-01-13T00:00:00"/>
    <s v="Jan-2023"/>
    <d v="2023-01-31T00:00:00"/>
    <n v="0"/>
    <n v="0"/>
  </r>
  <r>
    <s v="ORD-2025-650719"/>
    <d v="2025-02-12T00:00:00"/>
    <d v="2025-02-28T00:00:00"/>
    <x v="1"/>
    <s v="Brazil"/>
    <s v="São Paulo"/>
    <s v="Non-Profit"/>
    <s v="Direct"/>
    <x v="4"/>
    <s v="Monitors"/>
    <s v="MON-5179"/>
    <n v="414.95"/>
    <n v="1027.73"/>
    <n v="6.3E-2"/>
    <n v="8"/>
    <s v="Valid"/>
    <n v="1027.73"/>
    <b v="0"/>
    <n v="6.3E-2"/>
    <n v="16"/>
    <d v="2025-02-28T00:00:00"/>
    <n v="16"/>
    <n v="821666.02408"/>
    <n v="8221.84"/>
    <n v="813444.18408000004"/>
    <n v="0.98999369602849796"/>
    <s v="Feb-2025"/>
    <s v="Q1-2025"/>
    <s v="Americas → Brazil → São Paulo"/>
    <s v="Peripherals"/>
    <s v="High"/>
    <s v="BRAZIL"/>
    <d v="2023-01-29T00:00:00"/>
    <s v="Jan-2023"/>
    <d v="2025-02-28T00:00:00"/>
    <n v="0"/>
    <n v="0"/>
  </r>
  <r>
    <s v="ORD-2025-501927"/>
    <d v="2025-03-03T00:00:00"/>
    <d v="2025-03-24T00:00:00"/>
    <x v="0"/>
    <s v="Nigeria"/>
    <s v="Abuja"/>
    <s v="Enterprise"/>
    <s v="Direct"/>
    <x v="9"/>
    <s v="Accessories"/>
    <s v="ACC-4056"/>
    <n v="555.95000000000005"/>
    <n v="468.09"/>
    <n v="0.14199999999999999"/>
    <n v="11"/>
    <s v="Valid"/>
    <n v="468.09"/>
    <b v="0"/>
    <n v="0.14199999999999999"/>
    <n v="21"/>
    <d v="2025-03-24T00:00:00"/>
    <n v="21"/>
    <n v="514167.84341999999"/>
    <n v="5148.99"/>
    <n v="509018.85342"/>
    <n v="0.98998577980732638"/>
    <s v="Mar-2025"/>
    <s v="Q1-2025"/>
    <s v="Africa → Nigeria → Abuja"/>
    <s v="Support"/>
    <s v="High"/>
    <s v="NIGERIA"/>
    <d v="2023-01-15T00:00:00"/>
    <s v="Jan-2023"/>
    <d v="2025-03-31T00:00:00"/>
    <n v="0"/>
    <n v="0"/>
  </r>
  <r>
    <s v="ORD-2023-430904"/>
    <d v="2023-01-27T00:00:00"/>
    <d v="2023-01-31T00:00:00"/>
    <x v="3"/>
    <s v="United Kingdom"/>
    <s v="Manchester"/>
    <s v="Enterprise"/>
    <s v="Online"/>
    <x v="12"/>
    <s v="Laptops"/>
    <s v="LAP-9782"/>
    <n v="941.2"/>
    <n v="668.02"/>
    <n v="0.22"/>
    <n v="16"/>
    <s v="Valid"/>
    <n v="668.02"/>
    <b v="0"/>
    <n v="0.22"/>
    <n v="4"/>
    <d v="2023-01-31T00:00:00"/>
    <n v="4"/>
    <n v="1066480.5696"/>
    <n v="10688.32"/>
    <n v="1055792.2496"/>
    <n v="0.98997795149328516"/>
    <s v="Jan-2023"/>
    <s v="Q1-2023"/>
    <s v="Europe → United Kingdom → Manchester"/>
    <s v="Devices"/>
    <s v="Low"/>
    <s v="UNITED KINGDOM"/>
    <d v="2023-01-19T00:00:00"/>
    <s v="Jan-2023"/>
    <d v="2023-01-31T00:00:00"/>
    <n v="1"/>
    <n v="1"/>
  </r>
  <r>
    <s v="ORD-2025-354346"/>
    <d v="2025-01-09T00:00:00"/>
    <d v="2025-01-15T00:00:00"/>
    <x v="2"/>
    <s v="China"/>
    <s v="Beijing"/>
    <s v="Education"/>
    <s v="Online"/>
    <x v="0"/>
    <s v="Phones"/>
    <s v="PHN-2875"/>
    <n v="304.77999999999997"/>
    <n v="537.27"/>
    <n v="0.187"/>
    <n v="8"/>
    <s v="Valid"/>
    <n v="537.27"/>
    <b v="0"/>
    <n v="0.187"/>
    <n v="6"/>
    <d v="2025-01-15T00:00:00"/>
    <n v="6"/>
    <n v="429012.24407999997"/>
    <n v="4298.16"/>
    <n v="424714.08408"/>
    <n v="0.98998126496548555"/>
    <s v="Jan-2025"/>
    <s v="Q1-2025"/>
    <s v="Asia → China → Beijing"/>
    <s v="Devices"/>
    <s v="High"/>
    <s v="CHINA"/>
    <d v="2023-01-12T00:00:00"/>
    <s v="Jan-2023"/>
    <d v="2025-01-31T00:00:00"/>
    <n v="1"/>
    <n v="0"/>
  </r>
  <r>
    <s v="ORD-2024-164288"/>
    <d v="2024-12-21T00:00:00"/>
    <d v="2024-12-26T00:00:00"/>
    <x v="1"/>
    <s v="USA"/>
    <s v="San Francisco"/>
    <s v="Consumer"/>
    <s v="Marketplace"/>
    <x v="11"/>
    <s v="Printers"/>
    <s v="PRN-4788"/>
    <n v="699.57"/>
    <n v="572.71"/>
    <n v="0.192"/>
    <n v="26"/>
    <s v="Valid"/>
    <n v="572.71"/>
    <b v="0"/>
    <n v="0.192"/>
    <n v="5"/>
    <d v="2024-12-26T00:00:00"/>
    <n v="5"/>
    <n v="1486187.0316800002"/>
    <n v="14890.460000000001"/>
    <n v="1471296.5716800003"/>
    <n v="0.98998076306508498"/>
    <s v="Dec-2024"/>
    <s v="Q4-2024"/>
    <s v="Americas → USA → San Francisco"/>
    <s v="Peripherals"/>
    <s v="High"/>
    <s v="USA"/>
    <d v="2023-01-13T00:00:00"/>
    <s v="Jan-2023"/>
    <d v="2024-12-31T00:00:00"/>
    <n v="1"/>
    <n v="0"/>
  </r>
  <r>
    <s v="ORD-2023-867285"/>
    <d v="2023-04-12T00:00:00"/>
    <d v="2023-04-17T00:00:00"/>
    <x v="3"/>
    <s v="France"/>
    <s v="Lyon"/>
    <s v="Enterprise"/>
    <s v="Direct"/>
    <x v="5"/>
    <s v="Monitors"/>
    <s v="MON-3043"/>
    <n v="1087.81"/>
    <n v="2323.87"/>
    <n v="9.4E-2"/>
    <n v="13"/>
    <s v="Valid"/>
    <n v="2323.87"/>
    <b v="0"/>
    <n v="9.4E-2"/>
    <n v="5"/>
    <d v="2023-04-17T00:00:00"/>
    <n v="5"/>
    <n v="3018191.23086"/>
    <n v="30210.309999999998"/>
    <n v="2987980.92086"/>
    <n v="0.98999059115568633"/>
    <s v="Apr-2023"/>
    <s v="Q2-2023"/>
    <s v="Europe → France → Lyon"/>
    <s v="Peripherals"/>
    <s v="Low"/>
    <s v="FRANCE"/>
    <d v="2023-01-10T00:00:00"/>
    <s v="Jan-2023"/>
    <d v="2023-04-30T00:00:00"/>
    <n v="1"/>
    <n v="0"/>
  </r>
  <r>
    <s v="ORD-2024-836421"/>
    <d v="2024-12-14T00:00:00"/>
    <d v="2025-01-12T00:00:00"/>
    <x v="2"/>
    <s v="China"/>
    <s v="Shenzhen"/>
    <s v="Education"/>
    <s v="Online"/>
    <x v="1"/>
    <s v="Components"/>
    <s v="CMP-3720"/>
    <n v="1412.15"/>
    <n v="1631.04"/>
    <n v="8.9999999999999993E-3"/>
    <n v="6"/>
    <s v="Valid"/>
    <n v="1631.04"/>
    <b v="0"/>
    <n v="8.9999999999999993E-3"/>
    <n v="29"/>
    <d v="2025-01-12T00:00:00"/>
    <n v="29"/>
    <n v="978535.92383999994"/>
    <n v="9786.24"/>
    <n v="968749.68383999995"/>
    <n v="0.98999909991899271"/>
    <s v="Dec-2024"/>
    <s v="Q4-2024"/>
    <s v="Asia → China → Shenzhen"/>
    <s v="Support"/>
    <s v="High"/>
    <s v="CHINA"/>
    <d v="2023-01-12T00:00:00"/>
    <s v="Jan-2023"/>
    <d v="2024-12-31T00:00:00"/>
    <n v="0"/>
    <n v="0"/>
  </r>
  <r>
    <s v="ORD-2023-613287"/>
    <d v="2023-03-31T00:00:00"/>
    <d v="2023-04-12T00:00:00"/>
    <x v="0"/>
    <s v="Kenya"/>
    <s v="Mombasa"/>
    <s v="Small Business"/>
    <s v="Online"/>
    <x v="0"/>
    <s v="Phones"/>
    <s v="PHN-8014"/>
    <n v="304.22000000000003"/>
    <n v="393.31"/>
    <n v="0.26500000000000001"/>
    <n v="15"/>
    <s v="Valid"/>
    <n v="393.31"/>
    <b v="0"/>
    <n v="0.26500000000000001"/>
    <n v="12"/>
    <d v="2023-04-12T00:00:00"/>
    <n v="12"/>
    <n v="588401.59274999995"/>
    <n v="5899.65"/>
    <n v="582501.94274999993"/>
    <n v="0.98997342958840928"/>
    <s v="Mar-2023"/>
    <s v="Q1-2023"/>
    <s v="Africa → Kenya → Mombasa"/>
    <s v="Devices"/>
    <s v="Low"/>
    <s v="KENYA"/>
    <d v="2023-01-20T00:00:00"/>
    <s v="Jan-2023"/>
    <d v="2023-03-31T00:00:00"/>
    <n v="0"/>
    <n v="1"/>
  </r>
  <r>
    <s v="ORD-2024-783321"/>
    <d v="2024-11-20T00:00:00"/>
    <d v="2024-12-15T00:00:00"/>
    <x v="3"/>
    <s v="France"/>
    <s v="Paris"/>
    <s v="Corporate"/>
    <s v="Online"/>
    <x v="3"/>
    <s v="Printers"/>
    <s v="PRN-4911"/>
    <n v="1203.58"/>
    <n v="1856.16"/>
    <n v="0.129"/>
    <n v="22"/>
    <s v="Valid"/>
    <n v="1856.16"/>
    <b v="0"/>
    <n v="0.129"/>
    <n v="25"/>
    <d v="2024-12-15T00:00:00"/>
    <n v="25"/>
    <n v="4078284.2179200002"/>
    <n v="40835.520000000004"/>
    <n v="4037448.6979200002"/>
    <n v="0.9899870833375054"/>
    <s v="Nov-2024"/>
    <s v="Q4-2024"/>
    <s v="Europe → France → Paris"/>
    <s v="Peripherals"/>
    <s v="High"/>
    <s v="FRANCE"/>
    <d v="2023-01-10T00:00:00"/>
    <s v="Jan-2023"/>
    <d v="2024-11-30T00:00:00"/>
    <n v="0"/>
    <n v="0"/>
  </r>
  <r>
    <s v="ORD-2024-232632"/>
    <d v="2024-02-14T00:00:00"/>
    <d v="2024-02-14T00:00:00"/>
    <x v="2"/>
    <s v="China"/>
    <s v="Beijing"/>
    <s v="Corporate"/>
    <s v="Distributor"/>
    <x v="14"/>
    <s v="Accessories"/>
    <s v="ACC-1021"/>
    <n v="65.930000000000007"/>
    <n v="84.9"/>
    <n v="0.25900000000000001"/>
    <n v="23"/>
    <s v="Valid"/>
    <n v="84.9"/>
    <b v="0"/>
    <n v="0.25900000000000001"/>
    <n v="0"/>
    <d v="2024-02-14T00:00:00"/>
    <n v="0"/>
    <n v="194764.2507"/>
    <n v="1952.7"/>
    <n v="192811.55069999999"/>
    <n v="0.989974032744809"/>
    <s v="Feb-2024"/>
    <s v="Q1-2024"/>
    <s v="Asia → China → Beijing"/>
    <s v="Support"/>
    <s v="Medium"/>
    <s v="CHINA"/>
    <d v="2023-01-12T00:00:00"/>
    <s v="Jan-2023"/>
    <d v="2024-02-29T00:00:00"/>
    <n v="1"/>
    <n v="1"/>
  </r>
  <r>
    <s v="ORD-2023-906481"/>
    <d v="2023-05-02T00:00:00"/>
    <d v="2023-05-18T00:00:00"/>
    <x v="2"/>
    <s v="India"/>
    <s v="Delhi"/>
    <s v="Small Business"/>
    <s v="Marketplace"/>
    <x v="10"/>
    <s v="Monitors"/>
    <s v="MON-2266"/>
    <n v="1463.92"/>
    <n v="2252.2399999999998"/>
    <n v="0.11799999999999999"/>
    <n v="44"/>
    <s v="Valid"/>
    <n v="2252.2399999999998"/>
    <b v="0"/>
    <n v="0.11799999999999999"/>
    <n v="16"/>
    <d v="2023-05-18T00:00:00"/>
    <n v="16"/>
    <n v="9898162.3699200004"/>
    <n v="99098.559999999998"/>
    <n v="9799063.8099199999"/>
    <n v="0.98998818605955019"/>
    <s v="May-2023"/>
    <s v="Q2-2023"/>
    <s v="Asia → India → Delhi"/>
    <s v="Peripherals"/>
    <s v="Low"/>
    <s v="INDIA"/>
    <d v="2023-01-29T00:00:00"/>
    <s v="Jan-2023"/>
    <d v="2023-05-31T00:00:00"/>
    <n v="0"/>
    <n v="0"/>
  </r>
  <r>
    <s v="ORD-2024-902741"/>
    <d v="2024-12-23T00:00:00"/>
    <d v="2025-01-11T00:00:00"/>
    <x v="3"/>
    <s v="Germany"/>
    <s v="Berlin"/>
    <s v="Education"/>
    <s v="Retail"/>
    <x v="10"/>
    <s v="Phones"/>
    <s v="PHN-8057"/>
    <n v="501.81"/>
    <n v="921.62"/>
    <n v="0.01"/>
    <n v="9"/>
    <s v="Valid"/>
    <n v="921.62"/>
    <b v="0"/>
    <n v="0.01"/>
    <n v="19"/>
    <d v="2025-01-11T00:00:00"/>
    <n v="19"/>
    <n v="829375.0541999999"/>
    <n v="8294.58"/>
    <n v="821080.47419999994"/>
    <n v="0.98999899989999007"/>
    <s v="Dec-2024"/>
    <s v="Q4-2024"/>
    <s v="Europe → Germany → Berlin"/>
    <s v="Devices"/>
    <s v="High"/>
    <s v="GERMANY"/>
    <d v="2023-01-22T00:00:00"/>
    <s v="Jan-2023"/>
    <d v="2024-12-31T00:00:00"/>
    <n v="0"/>
    <n v="0"/>
  </r>
  <r>
    <s v="ORD-2023-912395"/>
    <d v="2023-07-26T00:00:00"/>
    <d v="2023-08-25T00:00:00"/>
    <x v="1"/>
    <s v="USA"/>
    <s v="New York"/>
    <s v="Consumer"/>
    <s v="Retail"/>
    <x v="11"/>
    <s v="Accessories"/>
    <s v="ACC-7078"/>
    <n v="1261.48"/>
    <n v="1643.18"/>
    <n v="0.151"/>
    <n v="23"/>
    <s v="Valid"/>
    <n v="1643.18"/>
    <b v="0"/>
    <n v="0.151"/>
    <n v="30"/>
    <d v="2023-08-25T00:00:00"/>
    <n v="30"/>
    <n v="3773607.2358599999"/>
    <n v="37793.14"/>
    <n v="3735814.0958599998"/>
    <n v="0.98998487716451844"/>
    <s v="Jul-2023"/>
    <s v="Q3-2023"/>
    <s v="Americas → USA → New York"/>
    <s v="Support"/>
    <s v="Low"/>
    <s v="USA"/>
    <d v="2023-01-13T00:00:00"/>
    <s v="Jan-2023"/>
    <d v="2023-07-31T00:00:00"/>
    <n v="0"/>
    <n v="0"/>
  </r>
  <r>
    <s v="ORD-2024-389102"/>
    <d v="2024-06-15T00:00:00"/>
    <d v="2024-07-06T00:00:00"/>
    <x v="1"/>
    <s v="Canada"/>
    <s v="Toronto"/>
    <s v="Enterprise"/>
    <s v="Distributor"/>
    <x v="14"/>
    <s v="Printers"/>
    <s v="PRN-4453"/>
    <n v="817.23"/>
    <n v="1467.17"/>
    <n v="0.245"/>
    <n v="9"/>
    <s v="Valid"/>
    <n v="1467.17"/>
    <b v="0"/>
    <n v="0.245"/>
    <n v="21"/>
    <d v="2024-07-06T00:00:00"/>
    <n v="21"/>
    <n v="1317217.8901500001"/>
    <n v="13204.53"/>
    <n v="1304013.3601500001"/>
    <n v="0.98997543982757752"/>
    <s v="Jun-2024"/>
    <s v="Q2-2024"/>
    <s v="Americas → Canada → Toronto"/>
    <s v="Peripherals"/>
    <s v="Medium"/>
    <s v="CANADA"/>
    <d v="2023-01-02T00:00:00"/>
    <s v="Jan-2023"/>
    <d v="2024-06-30T00:00:00"/>
    <n v="0"/>
    <n v="1"/>
  </r>
  <r>
    <s v="ORD-2023-309373"/>
    <d v="2023-07-05T00:00:00"/>
    <d v="2023-07-14T00:00:00"/>
    <x v="1"/>
    <s v="Brazil"/>
    <s v="Brasília"/>
    <s v="Enterprise"/>
    <s v="Direct"/>
    <x v="4"/>
    <s v="Networking"/>
    <s v="NET-2394"/>
    <n v="578.85"/>
    <n v="998.76"/>
    <n v="8.2000000000000003E-2"/>
    <n v="28"/>
    <s v="Valid"/>
    <n v="998.76"/>
    <b v="0"/>
    <n v="8.2000000000000003E-2"/>
    <n v="9"/>
    <d v="2023-07-14T00:00:00"/>
    <n v="9"/>
    <n v="2794234.8470399999"/>
    <n v="27965.279999999999"/>
    <n v="2766269.5670400001"/>
    <n v="0.98999179327048192"/>
    <s v="Jul-2023"/>
    <s v="Q3-2023"/>
    <s v="Americas → Brazil → Brasília"/>
    <s v="Support"/>
    <s v="Low"/>
    <s v="BRAZIL"/>
    <d v="2023-01-29T00:00:00"/>
    <s v="Jan-2023"/>
    <d v="2023-07-31T00:00:00"/>
    <n v="0"/>
    <n v="0"/>
  </r>
  <r>
    <s v="ORD-2023-825495"/>
    <d v="2023-11-30T00:00:00"/>
    <d v="2023-11-29T00:00:00"/>
    <x v="0"/>
    <s v="South Africa"/>
    <s v="Durban"/>
    <s v="Small Business"/>
    <s v="Marketplace"/>
    <x v="5"/>
    <s v="Laptops"/>
    <s v="LAP-1525"/>
    <n v="275.56"/>
    <n v="630.72"/>
    <n v="0.107"/>
    <n v="23"/>
    <s v="Valid"/>
    <n v="630.72"/>
    <b v="0"/>
    <n v="0.107"/>
    <n v="-1"/>
    <d v="2023-12-07T00:00:00"/>
    <n v="7"/>
    <n v="1449103.7980800001"/>
    <n v="14506.560000000001"/>
    <n v="1434597.23808"/>
    <n v="0.98998928853873636"/>
    <s v="Nov-2023"/>
    <s v="Q4-2023"/>
    <s v="Africa → South Africa → Durban"/>
    <s v="Devices"/>
    <s v="Low"/>
    <s v="SOUTH AFRICA"/>
    <d v="2023-01-07T00:00:00"/>
    <s v="Jan-2023"/>
    <d v="2023-11-30T00:00:00"/>
    <n v="1"/>
    <n v="0"/>
  </r>
  <r>
    <s v="ORD-2025-244832"/>
    <d v="2025-09-11T00:00:00"/>
    <d v="2025-09-28T00:00:00"/>
    <x v="0"/>
    <s v="Kenya"/>
    <s v="Nairobi"/>
    <s v="Non-Profit"/>
    <s v="Distributor"/>
    <x v="1"/>
    <s v="Laptops"/>
    <s v="LAP-3278"/>
    <n v="891.46"/>
    <n v="728.61"/>
    <n v="0.185"/>
    <n v="6"/>
    <s v="Valid"/>
    <n v="728.61"/>
    <b v="0"/>
    <n v="0.185"/>
    <n v="17"/>
    <d v="2025-09-28T00:00:00"/>
    <n v="17"/>
    <n v="436357.24289999995"/>
    <n v="4371.66"/>
    <n v="431985.58289999998"/>
    <n v="0.98998146571156642"/>
    <s v="Sep-2025"/>
    <s v="Q3-2025"/>
    <s v="Africa → Kenya → Nairobi"/>
    <s v="Devices"/>
    <s v="High"/>
    <s v="KENYA"/>
    <d v="2023-01-20T00:00:00"/>
    <s v="Jan-2023"/>
    <d v="2025-09-30T00:00:00"/>
    <n v="0"/>
    <n v="0"/>
  </r>
  <r>
    <s v="ORD-2024-211453"/>
    <d v="2024-04-04T00:00:00"/>
    <d v="2024-04-24T00:00:00"/>
    <x v="3"/>
    <s v="Germany"/>
    <s v="Frankfurt"/>
    <s v="Non-Profit"/>
    <s v="Direct"/>
    <x v="6"/>
    <s v="Accessories"/>
    <s v="ACC-6543"/>
    <n v="683.42"/>
    <n v="951.51"/>
    <n v="0"/>
    <n v="14"/>
    <s v="Valid"/>
    <n v="951.51"/>
    <b v="0"/>
    <n v="0"/>
    <n v="20"/>
    <d v="2024-04-24T00:00:00"/>
    <n v="20"/>
    <n v="1332114"/>
    <n v="13321.14"/>
    <n v="1318792.8600000001"/>
    <n v="0.9900000000000001"/>
    <s v="Apr-2024"/>
    <s v="Q2-2024"/>
    <s v="Europe → Germany → Frankfurt"/>
    <s v="Support"/>
    <s v="Medium"/>
    <s v="GERMANY"/>
    <d v="2023-01-22T00:00:00"/>
    <s v="Jan-2023"/>
    <d v="2024-04-30T00:00:00"/>
    <n v="0"/>
    <n v="0"/>
  </r>
  <r>
    <s v="ORD-2023-192324"/>
    <d v="2023-09-14T00:00:00"/>
    <d v="2023-09-16T00:00:00"/>
    <x v="3"/>
    <s v="France"/>
    <s v="Lyon"/>
    <s v="Non-Profit"/>
    <s v="Direct"/>
    <x v="4"/>
    <s v="Printers"/>
    <s v="PRN-4432"/>
    <n v="376.83"/>
    <n v="732.88"/>
    <n v="0.188"/>
    <n v="25"/>
    <s v="Valid"/>
    <n v="732.88"/>
    <b v="0"/>
    <n v="0.188"/>
    <n v="2"/>
    <d v="2023-09-16T00:00:00"/>
    <n v="2"/>
    <n v="1828755.4639999999"/>
    <n v="18322"/>
    <n v="1810433.4639999999"/>
    <n v="0.98998116458942809"/>
    <s v="Sep-2023"/>
    <s v="Q3-2023"/>
    <s v="Europe → France → Lyon"/>
    <s v="Peripherals"/>
    <s v="Low"/>
    <s v="FRANCE"/>
    <d v="2023-01-10T00:00:00"/>
    <s v="Jan-2023"/>
    <d v="2023-09-30T00:00:00"/>
    <n v="1"/>
    <n v="0"/>
  </r>
  <r>
    <s v="ORD-2024-438404"/>
    <d v="2024-09-23T00:00:00"/>
    <d v="2024-10-18T00:00:00"/>
    <x v="1"/>
    <s v="Canada"/>
    <s v="Vancouver"/>
    <s v="Small Business"/>
    <s v="Online"/>
    <x v="12"/>
    <s v="Phones"/>
    <s v="PHN-4568"/>
    <n v="1297"/>
    <n v="2411.52"/>
    <n v="2.1000000000000001E-2"/>
    <n v="18"/>
    <s v="Valid"/>
    <n v="2411.52"/>
    <b v="0"/>
    <n v="2.1000000000000001E-2"/>
    <n v="25"/>
    <d v="2024-10-18T00:00:00"/>
    <n v="25"/>
    <n v="4339824.4454399999"/>
    <n v="43407.360000000001"/>
    <n v="4296417.0854399996"/>
    <n v="0.98999789955890727"/>
    <s v="Sep-2024"/>
    <s v="Q3-2024"/>
    <s v="Americas → Canada → Vancouver"/>
    <s v="Devices"/>
    <s v="Medium"/>
    <s v="CANADA"/>
    <d v="2023-01-02T00:00:00"/>
    <s v="Jan-2023"/>
    <d v="2024-09-30T00:00:00"/>
    <n v="0"/>
    <n v="0"/>
  </r>
  <r>
    <s v="ORD-2025-246470"/>
    <d v="2025-04-16T00:00:00"/>
    <d v="2025-05-16T00:00:00"/>
    <x v="1"/>
    <s v="Canada"/>
    <s v="Montreal"/>
    <s v="Enterprise"/>
    <s v="Distributor"/>
    <x v="10"/>
    <s v="Printers"/>
    <s v="PRN-6178"/>
    <n v="763.32"/>
    <n v="568.29"/>
    <n v="0.13100000000000001"/>
    <n v="16"/>
    <s v="Valid"/>
    <n v="568.29"/>
    <b v="0"/>
    <n v="0.13100000000000001"/>
    <n v="30"/>
    <d v="2025-05-16T00:00:00"/>
    <n v="30"/>
    <n v="908072.86416"/>
    <n v="9092.64"/>
    <n v="898980.22415999998"/>
    <n v="0.98998688281648961"/>
    <s v="Apr-2025"/>
    <s v="Q2-2025"/>
    <s v="Americas → Canada → Montreal"/>
    <s v="Peripherals"/>
    <s v="High"/>
    <s v="CANADA"/>
    <d v="2023-01-02T00:00:00"/>
    <s v="Jan-2023"/>
    <d v="2025-04-30T00:00:00"/>
    <n v="0"/>
    <n v="0"/>
  </r>
  <r>
    <s v="ORD-2023-497686"/>
    <d v="2023-07-03T00:00:00"/>
    <d v="2023-07-23T00:00:00"/>
    <x v="0"/>
    <s v="South Africa"/>
    <s v="Johannesburg"/>
    <s v="Small Business"/>
    <s v="Distributor"/>
    <x v="8"/>
    <s v="Laptops"/>
    <s v="LAP-6342"/>
    <n v="1001.96"/>
    <n v="1254.95"/>
    <n v="4.4999999999999998E-2"/>
    <n v="18"/>
    <s v="Valid"/>
    <n v="1254.95"/>
    <b v="0"/>
    <n v="4.4999999999999998E-2"/>
    <n v="20"/>
    <d v="2023-07-23T00:00:00"/>
    <n v="20"/>
    <n v="2257893.4905000003"/>
    <n v="22589.100000000002"/>
    <n v="2235304.3905000002"/>
    <n v="0.98999549797408826"/>
    <s v="Jul-2023"/>
    <s v="Q3-2023"/>
    <s v="Africa → South Africa → Johannesburg"/>
    <s v="Devices"/>
    <s v="Low"/>
    <s v="SOUTH AFRICA"/>
    <d v="2023-01-07T00:00:00"/>
    <s v="Jan-2023"/>
    <d v="2023-07-31T00:00:00"/>
    <n v="0"/>
    <n v="0"/>
  </r>
  <r>
    <s v="ORD-2023-596758"/>
    <d v="2023-12-07T00:00:00"/>
    <d v="2023-12-05T00:00:00"/>
    <x v="2"/>
    <s v="Japan"/>
    <s v="Tokyo"/>
    <s v="Non-Profit"/>
    <s v="Marketplace"/>
    <x v="9"/>
    <s v="Printers"/>
    <s v="PRN-8175"/>
    <n v="1097.5899999999999"/>
    <n v="845.55"/>
    <n v="0.184"/>
    <n v="6"/>
    <s v="Valid"/>
    <n v="845.55"/>
    <b v="0"/>
    <n v="0.184"/>
    <n v="-2"/>
    <d v="2023-12-14T00:00:00"/>
    <n v="7"/>
    <n v="506396.51279999997"/>
    <n v="5073.2999999999993"/>
    <n v="501323.21279999998"/>
    <n v="0.98998156608159016"/>
    <s v="Dec-2023"/>
    <s v="Q4-2023"/>
    <s v="Asia → Japan → Tokyo"/>
    <s v="Peripherals"/>
    <s v="Medium"/>
    <s v="JAPAN"/>
    <d v="2023-03-03T00:00:00"/>
    <s v="Mar-2023"/>
    <d v="2023-12-31T00:00:00"/>
    <n v="1"/>
    <n v="0"/>
  </r>
  <r>
    <s v="ORD-2024-201376"/>
    <d v="2024-02-18T00:00:00"/>
    <d v="2024-03-04T00:00:00"/>
    <x v="0"/>
    <s v="Kenya"/>
    <s v="Kisumu"/>
    <s v="Education"/>
    <s v="Direct"/>
    <x v="10"/>
    <s v="Printers"/>
    <s v="PRN-7089"/>
    <n v="928.68"/>
    <n v="2145.17"/>
    <n v="0.13600000000000001"/>
    <n v="16"/>
    <s v="Valid"/>
    <n v="2145.17"/>
    <b v="0"/>
    <n v="0.13600000000000001"/>
    <n v="15"/>
    <d v="2024-03-04T00:00:00"/>
    <n v="15"/>
    <n v="3427604.1100800005"/>
    <n v="34322.720000000001"/>
    <n v="3393281.3900800003"/>
    <n v="0.98998638147881113"/>
    <s v="Feb-2024"/>
    <s v="Q1-2024"/>
    <s v="Africa → Kenya → Kisumu"/>
    <s v="Peripherals"/>
    <s v="Medium"/>
    <s v="KENYA"/>
    <d v="2023-01-20T00:00:00"/>
    <s v="Jan-2023"/>
    <d v="2024-02-29T00:00:00"/>
    <n v="0"/>
    <n v="0"/>
  </r>
  <r>
    <s v="ORD-2023-842488"/>
    <d v="2023-10-31T00:00:00"/>
    <d v="2023-11-02T00:00:00"/>
    <x v="0"/>
    <s v="Kenya"/>
    <s v="Kisumu"/>
    <s v="Education"/>
    <s v="Retail"/>
    <x v="6"/>
    <s v="Accessories"/>
    <s v="ACC-4124"/>
    <n v="867.89"/>
    <n v="1349.94"/>
    <n v="0.184"/>
    <n v="10"/>
    <s v="Valid"/>
    <n v="1349.94"/>
    <b v="0"/>
    <n v="0.184"/>
    <n v="2"/>
    <d v="2023-11-02T00:00:00"/>
    <n v="2"/>
    <n v="1347456.1104000001"/>
    <n v="13499.400000000001"/>
    <n v="1333956.7104000002"/>
    <n v="0.98998156608159016"/>
    <s v="Oct-2023"/>
    <s v="Q4-2023"/>
    <s v="Africa → Kenya → Kisumu"/>
    <s v="Support"/>
    <s v="Low"/>
    <s v="KENYA"/>
    <d v="2023-01-20T00:00:00"/>
    <s v="Jan-2023"/>
    <d v="2023-10-31T00:00:00"/>
    <n v="1"/>
    <n v="0"/>
  </r>
  <r>
    <s v="ORD-2024-136321"/>
    <d v="2024-08-07T00:00:00"/>
    <d v="2024-08-17T00:00:00"/>
    <x v="2"/>
    <s v="Japan"/>
    <s v="Osaka"/>
    <s v="Consumer"/>
    <s v="Online"/>
    <x v="10"/>
    <s v="Networking"/>
    <s v="NET-7924"/>
    <n v="436.58"/>
    <n v="527.48"/>
    <n v="0.111"/>
    <n v="19"/>
    <s v="Valid"/>
    <n v="527.48"/>
    <b v="0"/>
    <n v="0.111"/>
    <n v="10"/>
    <d v="2024-08-17T00:00:00"/>
    <n v="10"/>
    <n v="1001099.54468"/>
    <n v="10022.120000000001"/>
    <n v="991077.42468000005"/>
    <n v="0.98998888766530846"/>
    <s v="Aug-2024"/>
    <s v="Q3-2024"/>
    <s v="Asia → Japan → Osaka"/>
    <s v="Support"/>
    <s v="Medium"/>
    <s v="JAPAN"/>
    <d v="2023-03-03T00:00:00"/>
    <s v="Mar-2023"/>
    <d v="2024-08-31T00:00:00"/>
    <n v="0"/>
    <n v="0"/>
  </r>
  <r>
    <s v="ORD-2024-764468"/>
    <d v="2024-02-01T00:00:00"/>
    <d v="2024-02-21T00:00:00"/>
    <x v="3"/>
    <s v="France"/>
    <s v="Paris"/>
    <s v="Small Business"/>
    <s v="Marketplace"/>
    <x v="7"/>
    <s v="Networking"/>
    <s v="NET-8761"/>
    <n v="656.2"/>
    <n v="1467.17"/>
    <n v="1.7999999999999999E-2"/>
    <n v="5"/>
    <s v="Valid"/>
    <n v="1467.17"/>
    <b v="0"/>
    <n v="1.7999999999999999E-2"/>
    <n v="20"/>
    <d v="2024-02-21T00:00:00"/>
    <n v="20"/>
    <n v="733452.9547"/>
    <n v="7335.85"/>
    <n v="726117.10470000003"/>
    <n v="0.98999819967594171"/>
    <s v="Feb-2024"/>
    <s v="Q1-2024"/>
    <s v="Europe → France → Paris"/>
    <s v="Support"/>
    <s v="Medium"/>
    <s v="FRANCE"/>
    <d v="2023-01-10T00:00:00"/>
    <s v="Jan-2023"/>
    <d v="2024-02-29T00:00:00"/>
    <n v="0"/>
    <n v="0"/>
  </r>
  <r>
    <s v="ORD-2024-553449"/>
    <d v="2024-08-27T00:00:00"/>
    <d v="2024-09-18T00:00:00"/>
    <x v="2"/>
    <s v="India"/>
    <s v="Delhi"/>
    <s v="Consumer"/>
    <s v="Direct"/>
    <x v="4"/>
    <s v="Components"/>
    <s v="CMP-3875"/>
    <n v="896.75"/>
    <n v="1651.14"/>
    <n v="2.5000000000000001E-2"/>
    <n v="15"/>
    <s v="Valid"/>
    <n v="1651.14"/>
    <b v="0"/>
    <n v="2.5000000000000001E-2"/>
    <n v="22"/>
    <d v="2024-09-18T00:00:00"/>
    <n v="22"/>
    <n v="2476090.8225000002"/>
    <n v="24767.100000000002"/>
    <n v="2451323.7225000001"/>
    <n v="0.98999749937484371"/>
    <s v="Aug-2024"/>
    <s v="Q3-2024"/>
    <s v="Asia → India → Delhi"/>
    <s v="Support"/>
    <s v="Medium"/>
    <s v="INDIA"/>
    <d v="2023-01-29T00:00:00"/>
    <s v="Jan-2023"/>
    <d v="2024-08-31T00:00:00"/>
    <n v="0"/>
    <n v="0"/>
  </r>
  <r>
    <s v="ORD-2025-766923"/>
    <d v="2025-02-15T00:00:00"/>
    <d v="2025-02-15T00:00:00"/>
    <x v="3"/>
    <s v="Germany"/>
    <s v="Frankfurt"/>
    <s v="Small Business"/>
    <s v="Marketplace"/>
    <x v="14"/>
    <s v="Accessories"/>
    <s v="ACC-3989"/>
    <n v="815.83"/>
    <n v="1982.18"/>
    <n v="0.127"/>
    <n v="6"/>
    <s v="Valid"/>
    <n v="1982.18"/>
    <b v="0"/>
    <n v="0.127"/>
    <n v="0"/>
    <d v="2025-02-15T00:00:00"/>
    <n v="0"/>
    <n v="1187797.5788400001"/>
    <n v="11893.08"/>
    <n v="1175904.49884"/>
    <n v="0.98998728385049006"/>
    <s v="Feb-2025"/>
    <s v="Q1-2025"/>
    <s v="Europe → Germany → Frankfurt"/>
    <s v="Support"/>
    <s v="High"/>
    <s v="GERMANY"/>
    <d v="2023-01-22T00:00:00"/>
    <s v="Jan-2023"/>
    <d v="2025-02-28T00:00:00"/>
    <n v="1"/>
    <n v="0"/>
  </r>
  <r>
    <s v="ORD-2025-418232"/>
    <d v="2025-08-01T00:00:00"/>
    <d v="2025-08-21T00:00:00"/>
    <x v="2"/>
    <s v="China"/>
    <s v="Shanghai"/>
    <s v="Corporate"/>
    <s v="Direct"/>
    <x v="2"/>
    <s v="Phones"/>
    <s v="PHN-9234"/>
    <n v="1220.4100000000001"/>
    <n v="2552.2199999999998"/>
    <n v="0.18099999999999999"/>
    <n v="14"/>
    <s v="Valid"/>
    <n v="2552.2199999999998"/>
    <b v="0"/>
    <n v="0.18099999999999999"/>
    <n v="20"/>
    <d v="2025-08-21T00:00:00"/>
    <n v="20"/>
    <n v="3566640.6745199994"/>
    <n v="35731.079999999994"/>
    <n v="3530909.5945199993"/>
    <n v="0.98998186717959502"/>
    <s v="Aug-2025"/>
    <s v="Q3-2025"/>
    <s v="Asia → China → Shanghai"/>
    <s v="Devices"/>
    <s v="High"/>
    <s v="CHINA"/>
    <d v="2023-01-12T00:00:00"/>
    <s v="Jan-2023"/>
    <d v="2025-08-31T00:00:00"/>
    <n v="0"/>
    <n v="0"/>
  </r>
  <r>
    <s v="ORD-2023-848013"/>
    <d v="2023-02-20T00:00:00"/>
    <d v="2023-03-04T00:00:00"/>
    <x v="2"/>
    <s v="India"/>
    <s v="Delhi"/>
    <s v="Consumer"/>
    <s v="Distributor"/>
    <x v="11"/>
    <s v="Monitors"/>
    <s v="MON-9906"/>
    <n v="299.75"/>
    <n v="523.01"/>
    <n v="0.157"/>
    <n v="50"/>
    <s v="Valid"/>
    <n v="523.01"/>
    <b v="0"/>
    <n v="0.157"/>
    <n v="12"/>
    <d v="2023-03-04T00:00:00"/>
    <n v="12"/>
    <n v="2610944.3714999999"/>
    <n v="26150.5"/>
    <n v="2584793.8714999999"/>
    <n v="0.9899842753122402"/>
    <s v="Feb-2023"/>
    <s v="Q1-2023"/>
    <s v="Asia → India → Delhi"/>
    <s v="Peripherals"/>
    <s v="Low"/>
    <s v="INDIA"/>
    <d v="2023-01-29T00:00:00"/>
    <s v="Jan-2023"/>
    <d v="2023-02-28T00:00:00"/>
    <n v="0"/>
    <n v="0"/>
  </r>
  <r>
    <s v="ORD-2024-357368"/>
    <d v="2024-10-30T00:00:00"/>
    <d v="2024-11-24T00:00:00"/>
    <x v="2"/>
    <s v="China"/>
    <s v="Shenzhen"/>
    <s v="Small Business"/>
    <s v="Online"/>
    <x v="5"/>
    <s v="Components"/>
    <s v="CMP-4610"/>
    <n v="811.05"/>
    <n v="1217.71"/>
    <n v="7.1999999999999995E-2"/>
    <n v="5"/>
    <s v="Valid"/>
    <n v="1217.71"/>
    <b v="0"/>
    <n v="7.1999999999999995E-2"/>
    <n v="25"/>
    <d v="2024-11-24T00:00:00"/>
    <n v="25"/>
    <n v="608416.62439999997"/>
    <n v="6088.55"/>
    <n v="602328.07439999992"/>
    <n v="0.98999279481226476"/>
    <s v="Oct-2024"/>
    <s v="Q4-2024"/>
    <s v="Asia → China → Shenzhen"/>
    <s v="Support"/>
    <s v="High"/>
    <s v="CHINA"/>
    <d v="2023-01-12T00:00:00"/>
    <s v="Jan-2023"/>
    <d v="2024-10-31T00:00:00"/>
    <n v="0"/>
    <n v="0"/>
  </r>
  <r>
    <s v="ORD-2024-219735"/>
    <d v="2024-04-03T00:00:00"/>
    <d v="2024-04-07T00:00:00"/>
    <x v="1"/>
    <s v="Brazil"/>
    <s v="Brasília"/>
    <s v="Non-Profit"/>
    <s v="Direct"/>
    <x v="12"/>
    <s v="Phones"/>
    <s v="PHN-5445"/>
    <n v="1023.27"/>
    <n v="1343.64"/>
    <n v="0.13300000000000001"/>
    <n v="7"/>
    <s v="Valid"/>
    <n v="1343.64"/>
    <b v="0"/>
    <n v="0.13300000000000001"/>
    <n v="4"/>
    <d v="2024-04-07T00:00:00"/>
    <n v="4"/>
    <n v="939297.07116000017"/>
    <n v="9405.4800000000014"/>
    <n v="929891.59116000019"/>
    <n v="0.98998668228744235"/>
    <s v="Apr-2024"/>
    <s v="Q2-2024"/>
    <s v="Americas → Brazil → Brasília"/>
    <s v="Devices"/>
    <s v="Medium"/>
    <s v="BRAZIL"/>
    <d v="2023-01-29T00:00:00"/>
    <s v="Jan-2023"/>
    <d v="2024-04-30T00:00:00"/>
    <n v="1"/>
    <n v="0"/>
  </r>
  <r>
    <s v="ORD-2023-240507"/>
    <d v="2023-03-25T00:00:00"/>
    <d v="2023-03-26T00:00:00"/>
    <x v="2"/>
    <s v="Japan"/>
    <s v="Osaka"/>
    <s v="Small Business"/>
    <s v="Distributor"/>
    <x v="2"/>
    <s v="Monitors"/>
    <s v="MON-9227"/>
    <n v="135.12"/>
    <n v="301.7"/>
    <n v="0.14000000000000001"/>
    <n v="47"/>
    <s v="Valid"/>
    <n v="301.7"/>
    <b v="0"/>
    <n v="0.14000000000000001"/>
    <n v="1"/>
    <d v="2023-03-26T00:00:00"/>
    <n v="1"/>
    <n v="1416004.814"/>
    <n v="14179.9"/>
    <n v="1401824.9140000001"/>
    <n v="0.98998598037252161"/>
    <s v="Mar-2023"/>
    <s v="Q1-2023"/>
    <s v="Asia → Japan → Osaka"/>
    <s v="Peripherals"/>
    <s v="Low"/>
    <s v="JAPAN"/>
    <d v="2023-03-03T00:00:00"/>
    <s v="Mar-2023"/>
    <d v="2023-03-31T00:00:00"/>
    <n v="1"/>
    <n v="0"/>
  </r>
  <r>
    <s v="ORD-2024-134084"/>
    <d v="2024-06-04T00:00:00"/>
    <d v="2024-06-16T00:00:00"/>
    <x v="2"/>
    <s v="China"/>
    <s v="Shanghai"/>
    <s v="Corporate"/>
    <s v="Retail"/>
    <x v="1"/>
    <s v="Printers"/>
    <s v="PRN-4097"/>
    <n v="918.42"/>
    <n v="1511.71"/>
    <n v="0.02"/>
    <n v="8"/>
    <s v="Valid"/>
    <n v="1511.71"/>
    <b v="0"/>
    <n v="0.02"/>
    <n v="12"/>
    <d v="2024-06-16T00:00:00"/>
    <n v="12"/>
    <n v="1209126.1264000002"/>
    <n v="12093.68"/>
    <n v="1197032.4464000002"/>
    <n v="0.98999799959992008"/>
    <s v="Jun-2024"/>
    <s v="Q2-2024"/>
    <s v="Asia → China → Shanghai"/>
    <s v="Peripherals"/>
    <s v="Medium"/>
    <s v="CHINA"/>
    <d v="2023-01-12T00:00:00"/>
    <s v="Jan-2023"/>
    <d v="2024-06-30T00:00:00"/>
    <n v="0"/>
    <n v="0"/>
  </r>
  <r>
    <s v="ORD-2023-884625"/>
    <d v="2023-02-19T00:00:00"/>
    <d v="2023-03-12T00:00:00"/>
    <x v="3"/>
    <s v="Germany"/>
    <s v="Berlin"/>
    <s v="Small Business"/>
    <s v="Direct"/>
    <x v="14"/>
    <s v="Monitors"/>
    <s v="MON-6699"/>
    <n v="1234.81"/>
    <n v="2055.2399999999998"/>
    <n v="5.2999999999999999E-2"/>
    <n v="44"/>
    <s v="Valid"/>
    <n v="2055.2399999999998"/>
    <b v="0"/>
    <n v="5.2999999999999999E-2"/>
    <n v="21"/>
    <d v="2023-03-12T00:00:00"/>
    <n v="21"/>
    <n v="9038263.1803200003"/>
    <n v="90430.56"/>
    <n v="8947832.6203199998"/>
    <n v="0.98999469718951039"/>
    <s v="Feb-2023"/>
    <s v="Q1-2023"/>
    <s v="Europe → Germany → Berlin"/>
    <s v="Peripherals"/>
    <s v="Low"/>
    <s v="GERMANY"/>
    <d v="2023-01-22T00:00:00"/>
    <s v="Jan-2023"/>
    <d v="2023-02-28T00:00:00"/>
    <n v="0"/>
    <n v="0"/>
  </r>
  <r>
    <s v="ORD-2023-157993"/>
    <d v="2023-04-18T00:00:00"/>
    <d v="2023-05-18T00:00:00"/>
    <x v="2"/>
    <s v="China"/>
    <s v="Shenzhen"/>
    <s v="Non-Profit"/>
    <s v="Retail"/>
    <x v="9"/>
    <s v="Laptops"/>
    <s v="LAP-1482"/>
    <n v="329.03"/>
    <n v="391.15"/>
    <n v="0.19700000000000001"/>
    <n v="46"/>
    <s v="Valid"/>
    <n v="391.15"/>
    <b v="0"/>
    <n v="0.19700000000000001"/>
    <n v="30"/>
    <d v="2023-05-18T00:00:00"/>
    <n v="30"/>
    <n v="1795745.3986999998"/>
    <n v="17992.899999999998"/>
    <n v="1777752.4986999999"/>
    <n v="0.98998026111439541"/>
    <s v="Apr-2023"/>
    <s v="Q2-2023"/>
    <s v="Asia → China → Shenzhen"/>
    <s v="Devices"/>
    <s v="Low"/>
    <s v="CHINA"/>
    <d v="2023-01-12T00:00:00"/>
    <s v="Jan-2023"/>
    <d v="2023-04-30T00:00:00"/>
    <n v="0"/>
    <n v="0"/>
  </r>
  <r>
    <s v="ORD-2024-329104"/>
    <d v="2024-05-23T00:00:00"/>
    <d v="2024-06-14T00:00:00"/>
    <x v="3"/>
    <s v="France"/>
    <s v="Marseille"/>
    <s v="Small Business"/>
    <s v="Online"/>
    <x v="12"/>
    <s v="Monitors"/>
    <s v="MON-2100"/>
    <n v="1481.74"/>
    <n v="1848.97"/>
    <n v="0.254"/>
    <n v="9"/>
    <s v="Valid"/>
    <n v="1848.97"/>
    <b v="0"/>
    <n v="0.254"/>
    <n v="22"/>
    <d v="2024-06-14T00:00:00"/>
    <n v="22"/>
    <n v="1659846.2545799999"/>
    <n v="16640.73"/>
    <n v="1643205.52458"/>
    <n v="0.98997453531971213"/>
    <s v="May-2024"/>
    <s v="Q2-2024"/>
    <s v="Europe → France → Marseille"/>
    <s v="Peripherals"/>
    <s v="Medium"/>
    <s v="FRANCE"/>
    <d v="2023-01-10T00:00:00"/>
    <s v="Jan-2023"/>
    <d v="2024-05-31T00:00:00"/>
    <n v="0"/>
    <n v="1"/>
  </r>
  <r>
    <s v="ORD-2023-304451"/>
    <d v="2023-10-07T00:00:00"/>
    <d v="2023-10-23T00:00:00"/>
    <x v="2"/>
    <s v="India"/>
    <s v="Hyderabad"/>
    <s v="Consumer"/>
    <s v="Retail"/>
    <x v="3"/>
    <s v="Monitors"/>
    <s v="MON-7602"/>
    <n v="906.81"/>
    <n v="1395.56"/>
    <n v="0.185"/>
    <n v="6"/>
    <s v="Valid"/>
    <n v="1395.56"/>
    <b v="0"/>
    <n v="0.185"/>
    <n v="16"/>
    <d v="2023-10-23T00:00:00"/>
    <n v="16"/>
    <n v="835786.92840000009"/>
    <n v="8373.36"/>
    <n v="827413.56840000011"/>
    <n v="0.98998146571156642"/>
    <s v="Oct-2023"/>
    <s v="Q4-2023"/>
    <s v="Asia → India → Hyderabad"/>
    <s v="Peripherals"/>
    <s v="Low"/>
    <s v="INDIA"/>
    <d v="2023-01-29T00:00:00"/>
    <s v="Jan-2023"/>
    <d v="2023-10-31T00:00:00"/>
    <n v="0"/>
    <n v="0"/>
  </r>
  <r>
    <s v="ORD-2024-942981"/>
    <d v="2024-10-09T00:00:00"/>
    <d v="2024-11-08T00:00:00"/>
    <x v="3"/>
    <s v="United Kingdom"/>
    <s v="Manchester"/>
    <s v="Small Business"/>
    <s v="Distributor"/>
    <x v="1"/>
    <s v="Components"/>
    <s v="CMP-1072"/>
    <n v="343.85"/>
    <n v="538.04"/>
    <n v="0.13900000000000001"/>
    <n v="5"/>
    <s v="Valid"/>
    <n v="538.04"/>
    <b v="0"/>
    <n v="0.13900000000000001"/>
    <n v="30"/>
    <d v="2024-11-08T00:00:00"/>
    <n v="30"/>
    <n v="268646.06219999999"/>
    <n v="2690.2"/>
    <n v="265955.86219999997"/>
    <n v="0.98998608065210636"/>
    <s v="Oct-2024"/>
    <s v="Q4-2024"/>
    <s v="Europe → United Kingdom → Manchester"/>
    <s v="Support"/>
    <s v="Medium"/>
    <s v="UNITED KINGDOM"/>
    <d v="2023-01-19T00:00:00"/>
    <s v="Jan-2023"/>
    <d v="2024-10-31T00:00:00"/>
    <n v="0"/>
    <n v="0"/>
  </r>
  <r>
    <s v="ORD-2024-605629"/>
    <d v="2024-07-15T00:00:00"/>
    <d v="2024-07-15T00:00:00"/>
    <x v="2"/>
    <s v="Japan"/>
    <s v="Tokyo"/>
    <s v="Small Business"/>
    <s v="Marketplace"/>
    <x v="3"/>
    <s v="Accessories"/>
    <s v="ACC-2735"/>
    <n v="801.77"/>
    <n v="1218.92"/>
    <n v="0.254"/>
    <n v="16"/>
    <s v="Valid"/>
    <n v="1218.92"/>
    <b v="0"/>
    <n v="0.254"/>
    <n v="0"/>
    <d v="2024-07-15T00:00:00"/>
    <n v="0"/>
    <n v="1945318.3091200001"/>
    <n v="19502.72"/>
    <n v="1925815.5891200001"/>
    <n v="0.98997453531971213"/>
    <s v="Jul-2024"/>
    <s v="Q3-2024"/>
    <s v="Asia → Japan → Tokyo"/>
    <s v="Support"/>
    <s v="Medium"/>
    <s v="JAPAN"/>
    <d v="2023-03-03T00:00:00"/>
    <s v="Mar-2023"/>
    <d v="2024-07-31T00:00:00"/>
    <n v="1"/>
    <n v="1"/>
  </r>
  <r>
    <s v="ORD-2023-450877"/>
    <d v="2023-09-21T00:00:00"/>
    <d v="2023-10-10T00:00:00"/>
    <x v="2"/>
    <s v="Japan"/>
    <s v="Tokyo"/>
    <s v="Education"/>
    <s v="Online"/>
    <x v="13"/>
    <s v="Components"/>
    <s v="CMP-5211"/>
    <n v="845.63"/>
    <n v="2062.12"/>
    <n v="0.13400000000000001"/>
    <n v="5"/>
    <s v="Valid"/>
    <n v="2062.12"/>
    <b v="0"/>
    <n v="0.13400000000000001"/>
    <n v="19"/>
    <d v="2023-10-10T00:00:00"/>
    <n v="19"/>
    <n v="1029678.3795999999"/>
    <n v="10310.599999999999"/>
    <n v="1019367.7795999999"/>
    <n v="0.98998658201990675"/>
    <s v="Sep-2023"/>
    <s v="Q3-2023"/>
    <s v="Asia → Japan → Tokyo"/>
    <s v="Support"/>
    <s v="Low"/>
    <s v="JAPAN"/>
    <d v="2023-03-03T00:00:00"/>
    <s v="Mar-2023"/>
    <d v="2023-09-30T00:00:00"/>
    <n v="0"/>
    <n v="0"/>
  </r>
  <r>
    <s v="ORD-2023-286994"/>
    <d v="2023-02-24T00:00:00"/>
    <d v="2023-03-09T00:00:00"/>
    <x v="1"/>
    <s v="USA"/>
    <s v="New York"/>
    <s v="Enterprise"/>
    <s v="Online"/>
    <x v="11"/>
    <s v="Components"/>
    <s v="CMP-1632"/>
    <n v="6.85"/>
    <n v="10.18"/>
    <n v="4.7E-2"/>
    <n v="10"/>
    <s v="Valid"/>
    <n v="10.18"/>
    <b v="0"/>
    <n v="4.7E-2"/>
    <n v="13"/>
    <d v="2023-03-09T00:00:00"/>
    <n v="13"/>
    <n v="10175.215399999999"/>
    <n v="101.8"/>
    <n v="10073.4154"/>
    <n v="0.98999529778996131"/>
    <s v="Feb-2023"/>
    <s v="Q1-2023"/>
    <s v="Americas → USA → New York"/>
    <s v="Support"/>
    <s v="Low"/>
    <s v="USA"/>
    <d v="2023-01-13T00:00:00"/>
    <s v="Jan-2023"/>
    <d v="2023-02-28T00:00:00"/>
    <n v="0"/>
    <n v="0"/>
  </r>
  <r>
    <s v="ORD-2025-700847"/>
    <d v="2025-05-21T00:00:00"/>
    <d v="2025-05-19T00:00:00"/>
    <x v="0"/>
    <s v="South Africa"/>
    <s v="Johannesburg"/>
    <s v="Non-Profit"/>
    <s v="Distributor"/>
    <x v="6"/>
    <s v="Laptops"/>
    <s v="LAP-7099"/>
    <n v="1263.8399999999999"/>
    <n v="2281.7199999999998"/>
    <n v="7.8E-2"/>
    <n v="15"/>
    <s v="Valid"/>
    <n v="2281.7199999999998"/>
    <b v="0"/>
    <n v="7.8E-2"/>
    <n v="-2"/>
    <d v="2025-05-28T00:00:00"/>
    <n v="7"/>
    <n v="3419910.3875999996"/>
    <n v="34225.799999999996"/>
    <n v="3385684.5875999997"/>
    <n v="0.98999219391125082"/>
    <s v="May-2025"/>
    <s v="Q2-2025"/>
    <s v="Africa → South Africa → Johannesburg"/>
    <s v="Devices"/>
    <s v="High"/>
    <s v="SOUTH AFRICA"/>
    <d v="2023-01-07T00:00:00"/>
    <s v="Jan-2023"/>
    <d v="2025-05-31T00:00:00"/>
    <n v="1"/>
    <n v="0"/>
  </r>
  <r>
    <s v="ORD-2024-970848"/>
    <d v="2024-05-23T00:00:00"/>
    <d v="2024-06-03T00:00:00"/>
    <x v="0"/>
    <s v="South Africa"/>
    <s v="Johannesburg"/>
    <s v="Small Business"/>
    <s v="Distributor"/>
    <x v="8"/>
    <s v="Printers"/>
    <s v="PRN-3785"/>
    <n v="180.89"/>
    <n v="249.57"/>
    <n v="2.1999999999999999E-2"/>
    <n v="8"/>
    <s v="Valid"/>
    <n v="249.57"/>
    <b v="0"/>
    <n v="2.1999999999999999E-2"/>
    <n v="11"/>
    <d v="2024-06-03T00:00:00"/>
    <n v="11"/>
    <n v="199612.07567999998"/>
    <n v="1996.56"/>
    <n v="197615.51567999998"/>
    <n v="0.98999779951589351"/>
    <s v="May-2024"/>
    <s v="Q2-2024"/>
    <s v="Africa → South Africa → Johannesburg"/>
    <s v="Peripherals"/>
    <s v="Medium"/>
    <s v="SOUTH AFRICA"/>
    <d v="2023-01-07T00:00:00"/>
    <s v="Jan-2023"/>
    <d v="2024-05-31T00:00:00"/>
    <n v="0"/>
    <n v="0"/>
  </r>
  <r>
    <s v="ORD-2025-845715"/>
    <d v="2025-04-14T00:00:00"/>
    <d v="2025-05-04T00:00:00"/>
    <x v="3"/>
    <s v="United Kingdom"/>
    <s v="Birmingham"/>
    <s v="Enterprise"/>
    <s v="Marketplace"/>
    <x v="10"/>
    <s v="Monitors"/>
    <s v="MON-6962"/>
    <n v="1413.87"/>
    <n v="3275"/>
    <n v="0.255"/>
    <n v="38"/>
    <s v="Valid"/>
    <n v="3275"/>
    <b v="0"/>
    <n v="0.255"/>
    <n v="20"/>
    <d v="2025-05-04T00:00:00"/>
    <n v="20"/>
    <n v="12413265.25"/>
    <n v="124450"/>
    <n v="12288815.25"/>
    <n v="0.98997443480876235"/>
    <s v="Apr-2025"/>
    <s v="Q2-2025"/>
    <s v="Europe → United Kingdom → Birmingham"/>
    <s v="Peripherals"/>
    <s v="High"/>
    <s v="UNITED KINGDOM"/>
    <d v="2023-01-19T00:00:00"/>
    <s v="Jan-2023"/>
    <d v="2025-04-30T00:00:00"/>
    <n v="0"/>
    <n v="1"/>
  </r>
  <r>
    <s v="ORD-2023-664749"/>
    <d v="2023-08-27T00:00:00"/>
    <d v="2023-09-11T00:00:00"/>
    <x v="3"/>
    <s v="United Kingdom"/>
    <s v="London"/>
    <s v="Consumer"/>
    <s v="Marketplace"/>
    <x v="12"/>
    <s v="Printers"/>
    <s v="PRN-5107"/>
    <n v="943.79"/>
    <n v="1913.76"/>
    <n v="9.0999999999999998E-2"/>
    <n v="9"/>
    <s v="Valid"/>
    <n v="1913.76"/>
    <b v="0"/>
    <n v="9.0999999999999998E-2"/>
    <n v="15"/>
    <d v="2023-09-11T00:00:00"/>
    <n v="15"/>
    <n v="1720816.6305600002"/>
    <n v="17223.84"/>
    <n v="1703592.7905600001"/>
    <n v="0.98999089171145738"/>
    <s v="Aug-2023"/>
    <s v="Q3-2023"/>
    <s v="Europe → United Kingdom → London"/>
    <s v="Peripherals"/>
    <s v="Low"/>
    <s v="UNITED KINGDOM"/>
    <d v="2023-01-19T00:00:00"/>
    <s v="Jan-2023"/>
    <d v="2023-08-31T00:00:00"/>
    <n v="0"/>
    <n v="0"/>
  </r>
  <r>
    <s v="ORD-2024-960952"/>
    <d v="2024-02-03T00:00:00"/>
    <d v="2024-02-21T00:00:00"/>
    <x v="3"/>
    <s v="Germany"/>
    <s v="Frankfurt"/>
    <s v="Corporate"/>
    <s v="Retail"/>
    <x v="9"/>
    <s v="Components"/>
    <s v="CMP-9264"/>
    <n v="39.229999999999997"/>
    <n v="30.09"/>
    <n v="0.17699999999999999"/>
    <n v="13"/>
    <s v="Valid"/>
    <n v="30.09"/>
    <b v="0"/>
    <n v="0.17699999999999999"/>
    <n v="18"/>
    <d v="2024-02-21T00:00:00"/>
    <n v="18"/>
    <n v="39047.762909999998"/>
    <n v="391.17"/>
    <n v="38656.592909999999"/>
    <n v="0.98998226861544936"/>
    <s v="Feb-2024"/>
    <s v="Q1-2024"/>
    <s v="Europe → Germany → Frankfurt"/>
    <s v="Support"/>
    <s v="Medium"/>
    <s v="GERMANY"/>
    <d v="2023-01-22T00:00:00"/>
    <s v="Jan-2023"/>
    <d v="2024-02-29T00:00:00"/>
    <n v="0"/>
    <n v="0"/>
  </r>
  <r>
    <s v="ORD-2023-987700"/>
    <d v="2023-04-05T00:00:00"/>
    <d v="2023-04-16T00:00:00"/>
    <x v="1"/>
    <s v="Canada"/>
    <s v="Vancouver"/>
    <s v="Non-Profit"/>
    <s v="Online"/>
    <x v="6"/>
    <s v="Monitors"/>
    <s v="MON-5259"/>
    <n v="213.1"/>
    <n v="501.31"/>
    <n v="5.6000000000000001E-2"/>
    <n v="15"/>
    <s v="Valid"/>
    <n v="501.31"/>
    <b v="0"/>
    <n v="5.6000000000000001E-2"/>
    <n v="11"/>
    <d v="2023-04-16T00:00:00"/>
    <n v="11"/>
    <n v="751543.8996"/>
    <n v="7519.65"/>
    <n v="744024.24959999998"/>
    <n v="0.98999439686224278"/>
    <s v="Apr-2023"/>
    <s v="Q2-2023"/>
    <s v="Americas → Canada → Vancouver"/>
    <s v="Peripherals"/>
    <s v="Low"/>
    <s v="CANADA"/>
    <d v="2023-01-02T00:00:00"/>
    <s v="Jan-2023"/>
    <d v="2023-04-30T00:00:00"/>
    <n v="0"/>
    <n v="0"/>
  </r>
  <r>
    <s v="ORD-2025-652467"/>
    <d v="2025-08-21T00:00:00"/>
    <d v="2025-09-12T00:00:00"/>
    <x v="2"/>
    <s v="China"/>
    <s v="Shenzhen"/>
    <s v="Education"/>
    <s v="Retail"/>
    <x v="4"/>
    <s v="Printers"/>
    <s v="PRN-8137"/>
    <n v="352.66"/>
    <n v="411.18"/>
    <n v="0.17299999999999999"/>
    <n v="13"/>
    <s v="Valid"/>
    <n v="411.18"/>
    <b v="0"/>
    <n v="0.17299999999999999"/>
    <n v="22"/>
    <d v="2025-09-12T00:00:00"/>
    <n v="22"/>
    <n v="533609.25618000003"/>
    <n v="5345.34"/>
    <n v="528263.91618000006"/>
    <n v="0.9899826700191332"/>
    <s v="Aug-2025"/>
    <s v="Q3-2025"/>
    <s v="Asia → China → Shenzhen"/>
    <s v="Peripherals"/>
    <s v="High"/>
    <s v="CHINA"/>
    <d v="2023-01-12T00:00:00"/>
    <s v="Jan-2023"/>
    <d v="2025-08-31T00:00:00"/>
    <n v="0"/>
    <n v="0"/>
  </r>
  <r>
    <s v="ORD-2025-667201"/>
    <d v="2025-09-15T00:00:00"/>
    <d v="2025-09-18T00:00:00"/>
    <x v="1"/>
    <s v="Brazil"/>
    <s v="Rio de Janeiro"/>
    <s v="Non-Profit"/>
    <s v="Direct"/>
    <x v="14"/>
    <s v="Accessories"/>
    <s v="ACC-6777"/>
    <n v="5.5"/>
    <n v="5.92"/>
    <n v="0.21199999999999999"/>
    <n v="4"/>
    <s v="Valid"/>
    <n v="5.92"/>
    <b v="0"/>
    <n v="0.21199999999999999"/>
    <n v="3"/>
    <d v="2025-09-18T00:00:00"/>
    <n v="3"/>
    <n v="2362.97984"/>
    <n v="23.68"/>
    <n v="2339.2998400000001"/>
    <n v="0.98997875496051635"/>
    <s v="Sep-2025"/>
    <s v="Q3-2025"/>
    <s v="Americas → Brazil → Rio de Janeiro"/>
    <s v="Support"/>
    <s v="High"/>
    <s v="BRAZIL"/>
    <d v="2023-01-29T00:00:00"/>
    <s v="Jan-2023"/>
    <d v="2025-09-30T00:00:00"/>
    <n v="1"/>
    <n v="1"/>
  </r>
  <r>
    <s v="ORD-2024-237478"/>
    <d v="2024-10-03T00:00:00"/>
    <d v="2024-10-11T00:00:00"/>
    <x v="2"/>
    <s v="China"/>
    <s v="Beijing"/>
    <s v="Enterprise"/>
    <s v="Direct"/>
    <x v="4"/>
    <s v="Phones"/>
    <s v="PHN-7488"/>
    <n v="1132.6099999999999"/>
    <n v="2206.63"/>
    <n v="6.3E-2"/>
    <n v="20"/>
    <s v="Valid"/>
    <n v="2206.63"/>
    <b v="0"/>
    <n v="6.3E-2"/>
    <n v="8"/>
    <d v="2024-10-11T00:00:00"/>
    <n v="8"/>
    <n v="4410479.6462000003"/>
    <n v="44132.600000000006"/>
    <n v="4366347.0462000007"/>
    <n v="0.98999369602849807"/>
    <s v="Oct-2024"/>
    <s v="Q4-2024"/>
    <s v="Asia → China → Beijing"/>
    <s v="Devices"/>
    <s v="Medium"/>
    <s v="CHINA"/>
    <d v="2023-01-12T00:00:00"/>
    <s v="Jan-2023"/>
    <d v="2024-10-31T00:00:00"/>
    <n v="0"/>
    <n v="0"/>
  </r>
  <r>
    <s v="ORD-2025-898843"/>
    <d v="2025-02-02T00:00:00"/>
    <d v="2025-03-04T00:00:00"/>
    <x v="2"/>
    <s v="Japan"/>
    <s v="Osaka"/>
    <s v="Education"/>
    <s v="Distributor"/>
    <x v="14"/>
    <s v="Accessories"/>
    <s v="ACC-9591"/>
    <n v="766.59"/>
    <n v="1912.8"/>
    <n v="0.19600000000000001"/>
    <n v="5"/>
    <s v="Valid"/>
    <n v="1912.8"/>
    <b v="0"/>
    <n v="0.19600000000000001"/>
    <n v="30"/>
    <d v="2025-03-04T00:00:00"/>
    <n v="30"/>
    <n v="954525.45600000001"/>
    <n v="9564"/>
    <n v="944961.45600000001"/>
    <n v="0.98998036150855673"/>
    <s v="Feb-2025"/>
    <s v="Q1-2025"/>
    <s v="Asia → Japan → Osaka"/>
    <s v="Support"/>
    <s v="High"/>
    <s v="JAPAN"/>
    <d v="2023-03-03T00:00:00"/>
    <s v="Mar-2023"/>
    <d v="2025-02-28T00:00:00"/>
    <n v="0"/>
    <n v="0"/>
  </r>
  <r>
    <s v="ORD-2023-334213"/>
    <d v="2023-08-19T00:00:00"/>
    <d v="2023-08-23T00:00:00"/>
    <x v="0"/>
    <s v="Nigeria"/>
    <s v="Abuja"/>
    <s v="Small Business"/>
    <s v="Online"/>
    <x v="1"/>
    <s v="Monitors"/>
    <s v="MON-5517"/>
    <n v="790.63"/>
    <n v="1382.31"/>
    <n v="0.10100000000000001"/>
    <n v="7"/>
    <s v="Valid"/>
    <n v="1382.31"/>
    <b v="0"/>
    <n v="0.10100000000000001"/>
    <n v="4"/>
    <d v="2023-08-23T00:00:00"/>
    <n v="4"/>
    <n v="966639.70683000004"/>
    <n v="9676.17"/>
    <n v="956963.53683"/>
    <n v="0.98998988978868652"/>
    <s v="Aug-2023"/>
    <s v="Q3-2023"/>
    <s v="Africa → Nigeria → Abuja"/>
    <s v="Peripherals"/>
    <s v="Low"/>
    <s v="NIGERIA"/>
    <d v="2023-01-15T00:00:00"/>
    <s v="Jan-2023"/>
    <d v="2023-08-31T00:00:00"/>
    <n v="1"/>
    <n v="0"/>
  </r>
  <r>
    <s v="ORD-2024-640340"/>
    <d v="2024-10-22T00:00:00"/>
    <d v="2024-10-29T00:00:00"/>
    <x v="0"/>
    <s v="Nigeria"/>
    <s v="Port Harcourt"/>
    <s v="Enterprise"/>
    <s v="Distributor"/>
    <x v="11"/>
    <s v="Monitors"/>
    <s v="MON-8758"/>
    <n v="1023.06"/>
    <n v="1355.61"/>
    <n v="0.153"/>
    <n v="23"/>
    <s v="Valid"/>
    <n v="1355.61"/>
    <b v="0"/>
    <n v="0.153"/>
    <n v="7"/>
    <d v="2024-10-29T00:00:00"/>
    <n v="7"/>
    <n v="3113132.6084099999"/>
    <n v="31179.03"/>
    <n v="3081953.5784100001"/>
    <n v="0.98998467655512945"/>
    <s v="Oct-2024"/>
    <s v="Q4-2024"/>
    <s v="Africa → Nigeria → Port Harcourt"/>
    <s v="Peripherals"/>
    <s v="Medium"/>
    <s v="NIGERIA"/>
    <d v="2023-01-15T00:00:00"/>
    <s v="Jan-2023"/>
    <d v="2024-10-31T00:00:00"/>
    <n v="1"/>
    <n v="0"/>
  </r>
  <r>
    <s v="ORD-2023-399631"/>
    <d v="2023-06-22T00:00:00"/>
    <d v="2023-07-21T00:00:00"/>
    <x v="3"/>
    <s v="France"/>
    <s v="Lyon"/>
    <s v="Corporate"/>
    <s v="Retail"/>
    <x v="1"/>
    <s v="Accessories"/>
    <s v="ACC-3385"/>
    <n v="734.34"/>
    <n v="887.9"/>
    <n v="2.5000000000000001E-2"/>
    <n v="12"/>
    <s v="Valid"/>
    <n v="887.9"/>
    <b v="0"/>
    <n v="2.5000000000000001E-2"/>
    <n v="29"/>
    <d v="2023-07-21T00:00:00"/>
    <n v="29"/>
    <n v="1065213.6299999999"/>
    <n v="10654.8"/>
    <n v="1054558.8299999998"/>
    <n v="0.98999749937484371"/>
    <s v="Jun-2023"/>
    <s v="Q2-2023"/>
    <s v="Europe → France → Lyon"/>
    <s v="Support"/>
    <s v="Low"/>
    <s v="FRANCE"/>
    <d v="2023-01-10T00:00:00"/>
    <s v="Jan-2023"/>
    <d v="2023-06-30T00:00:00"/>
    <n v="0"/>
    <n v="0"/>
  </r>
  <r>
    <s v="ORD-2025-542939"/>
    <d v="2025-01-13T00:00:00"/>
    <d v="2025-02-08T00:00:00"/>
    <x v="3"/>
    <s v="France"/>
    <s v="Paris"/>
    <s v="Non-Profit"/>
    <s v="Unknown Channel "/>
    <x v="5"/>
    <s v="Monitors"/>
    <s v="MON-1593"/>
    <n v="594.74"/>
    <n v="1020.69"/>
    <n v="0.21099999999999999"/>
    <n v="6"/>
    <s v="Valid"/>
    <n v="1020.69"/>
    <b v="0"/>
    <n v="0.21099999999999999"/>
    <n v="26"/>
    <d v="2025-02-08T00:00:00"/>
    <n v="26"/>
    <n v="611121.80645999999"/>
    <n v="6124.14"/>
    <n v="604997.66645999998"/>
    <n v="0.98997885538486208"/>
    <s v="Jan-2025"/>
    <s v="Q1-2025"/>
    <s v="Europe → France → Paris"/>
    <s v="Peripherals"/>
    <s v="High"/>
    <s v="FRANCE"/>
    <d v="2023-01-10T00:00:00"/>
    <s v="Jan-2023"/>
    <d v="2025-01-31T00:00:00"/>
    <n v="0"/>
    <n v="1"/>
  </r>
  <r>
    <s v="ORD-2023-521818"/>
    <d v="2023-01-29T00:00:00"/>
    <d v="2023-02-28T00:00:00"/>
    <x v="2"/>
    <s v="India"/>
    <s v="Bengaluru"/>
    <s v="Non-Profit"/>
    <s v="Retail"/>
    <x v="4"/>
    <s v="Accessories"/>
    <s v="ACC-4631"/>
    <n v="1262.0999999999999"/>
    <n v="1395.53"/>
    <n v="0.23300000000000001"/>
    <n v="25"/>
    <s v="Valid"/>
    <n v="1395.53"/>
    <b v="0"/>
    <n v="0.23300000000000001"/>
    <n v="30"/>
    <d v="2023-02-28T00:00:00"/>
    <n v="30"/>
    <n v="3480696.0377499997"/>
    <n v="34888.25"/>
    <n v="3445807.7877499997"/>
    <n v="0.98997664558421117"/>
    <s v="Jan-2023"/>
    <s v="Q1-2023"/>
    <s v="Asia → India → Bengaluru"/>
    <s v="Support"/>
    <s v="Low"/>
    <s v="INDIA"/>
    <d v="2023-01-29T00:00:00"/>
    <s v="Jan-2023"/>
    <d v="2023-01-31T00:00:00"/>
    <n v="0"/>
    <n v="1"/>
  </r>
  <r>
    <s v="ORD-2023-825836"/>
    <d v="2023-07-19T00:00:00"/>
    <d v="2023-07-31T00:00:00"/>
    <x v="1"/>
    <s v="Brazil"/>
    <s v="Rio de Janeiro"/>
    <s v="Corporate"/>
    <s v="Retail"/>
    <x v="0"/>
    <s v="Monitors"/>
    <s v="MON-7869"/>
    <n v="1334.64"/>
    <n v="2273.42"/>
    <n v="0.11799999999999999"/>
    <n v="14"/>
    <s v="Valid"/>
    <n v="2273.42"/>
    <b v="0"/>
    <n v="0.11799999999999999"/>
    <n v="12"/>
    <d v="2023-07-31T00:00:00"/>
    <n v="12"/>
    <n v="3179032.3101600003"/>
    <n v="31827.88"/>
    <n v="3147204.4301600005"/>
    <n v="0.9899881860595503"/>
    <s v="Jul-2023"/>
    <s v="Q3-2023"/>
    <s v="Americas → Brazil → Rio de Janeiro"/>
    <s v="Peripherals"/>
    <s v="Low"/>
    <s v="BRAZIL"/>
    <d v="2023-01-29T00:00:00"/>
    <s v="Jan-2023"/>
    <d v="2023-07-31T00:00:00"/>
    <n v="0"/>
    <n v="0"/>
  </r>
  <r>
    <s v="ORD-2024-503082"/>
    <d v="2024-05-19T00:00:00"/>
    <d v="2024-06-08T00:00:00"/>
    <x v="1"/>
    <s v="Brazil"/>
    <s v="Brasília"/>
    <s v="Small Business"/>
    <s v="Retail"/>
    <x v="5"/>
    <s v="Monitors"/>
    <s v="MON-4271"/>
    <n v="1075.9000000000001"/>
    <n v="1242.1500000000001"/>
    <n v="1.2E-2"/>
    <n v="7"/>
    <s v="Valid"/>
    <n v="1242.1500000000001"/>
    <b v="0"/>
    <n v="1.2E-2"/>
    <n v="20"/>
    <d v="2024-06-08T00:00:00"/>
    <n v="20"/>
    <n v="869400.65940000012"/>
    <n v="8695.0500000000011"/>
    <n v="860705.60940000007"/>
    <n v="0.98999879985598271"/>
    <s v="May-2024"/>
    <s v="Q2-2024"/>
    <s v="Americas → Brazil → Brasília"/>
    <s v="Peripherals"/>
    <s v="Medium"/>
    <s v="BRAZIL"/>
    <d v="2023-01-29T00:00:00"/>
    <s v="Jan-2023"/>
    <d v="2024-05-31T00:00:00"/>
    <n v="0"/>
    <n v="0"/>
  </r>
  <r>
    <s v="ORD-2024-760799"/>
    <d v="2024-02-03T00:00:00"/>
    <d v="2024-02-19T00:00:00"/>
    <x v="2"/>
    <s v="China"/>
    <s v="Shenzhen"/>
    <s v="Small Business"/>
    <s v="Online"/>
    <x v="9"/>
    <s v="Laptops"/>
    <s v="LAP-5531"/>
    <n v="993.75"/>
    <n v="1310.29"/>
    <n v="0.215"/>
    <n v="19"/>
    <s v="Valid"/>
    <n v="1310.29"/>
    <b v="0"/>
    <n v="0.215"/>
    <n v="16"/>
    <d v="2024-02-19T00:00:00"/>
    <n v="16"/>
    <n v="2484198.4653499997"/>
    <n v="24895.51"/>
    <n v="2459302.9553499999"/>
    <n v="0.98997845367540216"/>
    <s v="Feb-2024"/>
    <s v="Q1-2024"/>
    <s v="Asia → China → Shenzhen"/>
    <s v="Devices"/>
    <s v="Medium"/>
    <s v="CHINA"/>
    <d v="2023-01-12T00:00:00"/>
    <s v="Jan-2023"/>
    <d v="2024-02-29T00:00:00"/>
    <n v="0"/>
    <n v="1"/>
  </r>
  <r>
    <s v="ORD-2023-197661"/>
    <d v="2023-08-08T00:00:00"/>
    <d v="2023-08-22T00:00:00"/>
    <x v="3"/>
    <s v="United Kingdom"/>
    <s v="Birmingham"/>
    <s v="Non-Profit"/>
    <s v="Direct"/>
    <x v="12"/>
    <s v="Monitors"/>
    <s v="MON-7511"/>
    <n v="446.69"/>
    <n v="967.25"/>
    <n v="9.4E-2"/>
    <n v="10"/>
    <s v="Valid"/>
    <n v="967.25"/>
    <b v="0"/>
    <n v="9.4E-2"/>
    <n v="14"/>
    <d v="2023-08-22T00:00:00"/>
    <n v="14"/>
    <n v="966340.78500000003"/>
    <n v="9672.5"/>
    <n v="956668.28500000003"/>
    <n v="0.98999059115568633"/>
    <s v="Aug-2023"/>
    <s v="Q3-2023"/>
    <s v="Europe → United Kingdom → Birmingham"/>
    <s v="Peripherals"/>
    <s v="Low"/>
    <s v="UNITED KINGDOM"/>
    <d v="2023-01-19T00:00:00"/>
    <s v="Jan-2023"/>
    <d v="2023-08-31T00:00:00"/>
    <n v="0"/>
    <n v="0"/>
  </r>
  <r>
    <s v="ORD-2024-212990"/>
    <d v="2024-08-12T00:00:00"/>
    <d v="2024-09-03T00:00:00"/>
    <x v="1"/>
    <s v="USA"/>
    <s v="Austin"/>
    <s v="Consumer"/>
    <s v="Distributor"/>
    <x v="2"/>
    <s v="Laptops"/>
    <s v="LAP-7979"/>
    <n v="797.8"/>
    <n v="886.22"/>
    <n v="0.23599999999999999"/>
    <n v="36"/>
    <s v="Valid"/>
    <n v="886.22"/>
    <b v="0"/>
    <n v="0.23599999999999999"/>
    <n v="22"/>
    <d v="2024-09-03T00:00:00"/>
    <n v="22"/>
    <n v="3182862.6748799998"/>
    <n v="31903.920000000002"/>
    <n v="3150958.7548799999"/>
    <n v="0.98997634417224656"/>
    <s v="Aug-2024"/>
    <s v="Q3-2024"/>
    <s v="Americas → USA → Austin"/>
    <s v="Devices"/>
    <s v="Medium"/>
    <s v="USA"/>
    <d v="2023-01-13T00:00:00"/>
    <s v="Jan-2023"/>
    <d v="2024-08-31T00:00:00"/>
    <n v="0"/>
    <n v="1"/>
  </r>
  <r>
    <s v="ORD-2023-925146"/>
    <d v="2023-10-15T00:00:00"/>
    <d v="2023-11-13T00:00:00"/>
    <x v="2"/>
    <s v="China"/>
    <s v="Shenzhen"/>
    <s v="Non-Profit"/>
    <s v="Distributor"/>
    <x v="1"/>
    <s v="Printers"/>
    <s v="PRN-4983"/>
    <n v="986.44"/>
    <n v="790.61"/>
    <n v="7.1999999999999995E-2"/>
    <n v="6"/>
    <s v="Valid"/>
    <n v="790.61"/>
    <b v="0"/>
    <n v="7.1999999999999995E-2"/>
    <n v="29"/>
    <d v="2023-11-13T00:00:00"/>
    <n v="29"/>
    <n v="474024.45647999999"/>
    <n v="4743.66"/>
    <n v="469280.79648000002"/>
    <n v="0.98999279481226488"/>
    <s v="Oct-2023"/>
    <s v="Q4-2023"/>
    <s v="Asia → China → Shenzhen"/>
    <s v="Peripherals"/>
    <s v="Low"/>
    <s v="CHINA"/>
    <d v="2023-01-12T00:00:00"/>
    <s v="Jan-2023"/>
    <d v="2023-10-31T00:00:00"/>
    <n v="0"/>
    <n v="0"/>
  </r>
  <r>
    <s v="ORD-2023-177794"/>
    <d v="2023-05-04T00:00:00"/>
    <d v="2023-05-26T00:00:00"/>
    <x v="1"/>
    <s v="USA"/>
    <s v="San Francisco"/>
    <s v="Enterprise"/>
    <s v="Online"/>
    <x v="1"/>
    <s v="Networking"/>
    <s v="NET-5941"/>
    <n v="249.71"/>
    <n v="361.33"/>
    <n v="9.4E-2"/>
    <n v="12"/>
    <s v="Valid"/>
    <n v="361.33"/>
    <b v="0"/>
    <n v="9.4E-2"/>
    <n v="22"/>
    <d v="2023-05-26T00:00:00"/>
    <n v="22"/>
    <n v="433188.41976000002"/>
    <n v="4335.96"/>
    <n v="428852.45976"/>
    <n v="0.98999059115568633"/>
    <s v="May-2023"/>
    <s v="Q2-2023"/>
    <s v="Americas → USA → San Francisco"/>
    <s v="Support"/>
    <s v="Low"/>
    <s v="USA"/>
    <d v="2023-01-13T00:00:00"/>
    <s v="Jan-2023"/>
    <d v="2023-05-31T00:00:00"/>
    <n v="0"/>
    <n v="0"/>
  </r>
  <r>
    <s v="ORD-2024-444710"/>
    <d v="2024-09-22T00:00:00"/>
    <d v="2024-10-01T00:00:00"/>
    <x v="1"/>
    <s v="Brazil"/>
    <s v="São Paulo"/>
    <s v="Non-Profit"/>
    <s v="Online"/>
    <x v="10"/>
    <s v="Monitors"/>
    <s v="MON-6341"/>
    <n v="1378.8"/>
    <n v="1952.04"/>
    <n v="0.159"/>
    <n v="19"/>
    <s v="Valid"/>
    <n v="1952.04"/>
    <b v="0"/>
    <n v="0.159"/>
    <n v="9"/>
    <d v="2024-10-01T00:00:00"/>
    <n v="9"/>
    <n v="3702978.8871599999"/>
    <n v="37088.76"/>
    <n v="3665890.1271600001"/>
    <n v="0.98998407467873928"/>
    <s v="Sep-2024"/>
    <s v="Q3-2024"/>
    <s v="Americas → Brazil → São Paulo"/>
    <s v="Peripherals"/>
    <s v="Medium"/>
    <s v="BRAZIL"/>
    <d v="2023-01-29T00:00:00"/>
    <s v="Jan-2023"/>
    <d v="2024-09-30T00:00:00"/>
    <n v="0"/>
    <n v="0"/>
  </r>
  <r>
    <s v="ORD-2024-668926"/>
    <d v="2024-10-23T00:00:00"/>
    <d v="2024-11-14T00:00:00"/>
    <x v="2"/>
    <s v="Japan"/>
    <s v="Osaka"/>
    <s v="Non-Profit"/>
    <s v="Direct"/>
    <x v="4"/>
    <s v="Phones"/>
    <s v="PHN-9789"/>
    <n v="1406.4"/>
    <n v="1564.76"/>
    <n v="0.185"/>
    <n v="17"/>
    <s v="Valid"/>
    <n v="1564.76"/>
    <b v="0"/>
    <n v="0.185"/>
    <n v="22"/>
    <d v="2024-11-14T00:00:00"/>
    <n v="22"/>
    <n v="2655170.8297999999"/>
    <n v="26600.92"/>
    <n v="2628569.9098"/>
    <n v="0.98998146571156642"/>
    <s v="Oct-2024"/>
    <s v="Q4-2024"/>
    <s v="Asia → Japan → Osaka"/>
    <s v="Devices"/>
    <s v="Medium"/>
    <s v="JAPAN"/>
    <d v="2023-03-03T00:00:00"/>
    <s v="Mar-2023"/>
    <d v="2024-10-31T00:00:00"/>
    <n v="0"/>
    <n v="0"/>
  </r>
  <r>
    <s v="ORD-2024-968374"/>
    <d v="2024-02-11T00:00:00"/>
    <d v="2024-03-03T00:00:00"/>
    <x v="0"/>
    <s v="Kenya"/>
    <s v="Kisumu"/>
    <s v="Enterprise"/>
    <s v="Online"/>
    <x v="4"/>
    <s v="Phones"/>
    <s v="PHN-5082"/>
    <n v="516.86"/>
    <n v="852.54"/>
    <n v="5.0999999999999997E-2"/>
    <n v="14"/>
    <s v="Valid"/>
    <n v="852.54"/>
    <b v="0"/>
    <n v="5.0999999999999997E-2"/>
    <n v="21"/>
    <d v="2024-03-03T00:00:00"/>
    <n v="21"/>
    <n v="1192947.2864399999"/>
    <n v="11935.56"/>
    <n v="1181011.7264399999"/>
    <n v="0.98999489739767277"/>
    <s v="Feb-2024"/>
    <s v="Q1-2024"/>
    <s v="Africa → Kenya → Kisumu"/>
    <s v="Devices"/>
    <s v="Medium"/>
    <s v="KENYA"/>
    <d v="2023-01-20T00:00:00"/>
    <s v="Jan-2023"/>
    <d v="2024-02-29T00:00:00"/>
    <n v="0"/>
    <n v="0"/>
  </r>
  <r>
    <s v="ORD-2023-575584"/>
    <d v="2023-01-30T00:00:00"/>
    <d v="2023-02-21T00:00:00"/>
    <x v="3"/>
    <s v="Germany"/>
    <s v="Munich"/>
    <s v="Small Business"/>
    <s v="Marketplace"/>
    <x v="3"/>
    <s v="Networking"/>
    <s v="NET-3460"/>
    <n v="1142.8800000000001"/>
    <n v="1465.29"/>
    <n v="0.186"/>
    <n v="7"/>
    <s v="Valid"/>
    <n v="1465.29"/>
    <b v="0"/>
    <n v="0.186"/>
    <n v="22"/>
    <d v="2023-02-21T00:00:00"/>
    <n v="22"/>
    <n v="1023795.1924199999"/>
    <n v="10257.029999999999"/>
    <n v="1013538.1624199998"/>
    <n v="0.98998136533953152"/>
    <s v="Jan-2023"/>
    <s v="Q1-2023"/>
    <s v="Europe → Germany → Munich"/>
    <s v="Support"/>
    <s v="Low"/>
    <s v="GERMANY"/>
    <d v="2023-01-22T00:00:00"/>
    <s v="Jan-2023"/>
    <d v="2023-01-31T00:00:00"/>
    <n v="0"/>
    <n v="0"/>
  </r>
  <r>
    <s v="ORD-2023-701153"/>
    <d v="2023-04-14T00:00:00"/>
    <d v="2023-05-13T00:00:00"/>
    <x v="3"/>
    <s v="Germany"/>
    <s v="Frankfurt"/>
    <s v="Consumer"/>
    <s v="Direct"/>
    <x v="1"/>
    <s v="Printers"/>
    <s v="PRN-7019"/>
    <n v="1320.33"/>
    <n v="2645.23"/>
    <n v="0.155"/>
    <n v="25"/>
    <s v="Valid"/>
    <n v="2645.23"/>
    <b v="0"/>
    <n v="0.155"/>
    <n v="29"/>
    <d v="2023-05-13T00:00:00"/>
    <n v="29"/>
    <n v="6602824.7337499997"/>
    <n v="66130.75"/>
    <n v="6536693.9837499997"/>
    <n v="0.98998447593770345"/>
    <s v="Apr-2023"/>
    <s v="Q2-2023"/>
    <s v="Europe → Germany → Frankfurt"/>
    <s v="Peripherals"/>
    <s v="Low"/>
    <s v="GERMANY"/>
    <d v="2023-01-22T00:00:00"/>
    <s v="Jan-2023"/>
    <d v="2023-04-30T00:00:00"/>
    <n v="0"/>
    <n v="0"/>
  </r>
  <r>
    <s v="ORD-2023-382017"/>
    <d v="2023-01-13T00:00:00"/>
    <d v="2023-01-19T00:00:00"/>
    <x v="1"/>
    <s v="USA"/>
    <s v="Chicago"/>
    <s v="Corporate"/>
    <s v="Direct"/>
    <x v="9"/>
    <s v="Phones"/>
    <s v="PHN-3159"/>
    <n v="833.57"/>
    <n v="881.57"/>
    <n v="5.7000000000000002E-2"/>
    <n v="18"/>
    <s v="Valid"/>
    <n v="881.57"/>
    <b v="0"/>
    <n v="5.7000000000000002E-2"/>
    <n v="6"/>
    <d v="2023-01-19T00:00:00"/>
    <n v="6"/>
    <n v="1585921.5091800001"/>
    <n v="15868.26"/>
    <n v="1570053.24918"/>
    <n v="0.98999429674914696"/>
    <s v="Jan-2023"/>
    <s v="Q1-2023"/>
    <s v="Americas → USA → Chicago"/>
    <s v="Devices"/>
    <s v="Low"/>
    <s v="USA"/>
    <d v="2023-01-13T00:00:00"/>
    <s v="Jan-2023"/>
    <d v="2023-01-31T00:00:00"/>
    <n v="1"/>
    <n v="0"/>
  </r>
  <r>
    <s v="ORD-2024-999607"/>
    <d v="2024-01-12T00:00:00"/>
    <d v="2024-01-29T00:00:00"/>
    <x v="1"/>
    <s v="USA"/>
    <s v="Chicago"/>
    <s v="Education"/>
    <s v="Distributor"/>
    <x v="7"/>
    <s v="Printers"/>
    <s v="PRN-8604"/>
    <n v="493.76"/>
    <n v="625.04"/>
    <n v="0.25800000000000001"/>
    <n v="10"/>
    <s v="Valid"/>
    <n v="625.04"/>
    <b v="0"/>
    <n v="0.25800000000000001"/>
    <n v="17"/>
    <d v="2024-01-29T00:00:00"/>
    <n v="17"/>
    <n v="623427.39679999999"/>
    <n v="6250.4"/>
    <n v="617176.99679999996"/>
    <n v="0.98997413326382067"/>
    <s v="Jan-2024"/>
    <s v="Q1-2024"/>
    <s v="Americas → USA → Chicago"/>
    <s v="Peripherals"/>
    <s v="Medium"/>
    <s v="USA"/>
    <d v="2023-01-13T00:00:00"/>
    <s v="Jan-2023"/>
    <d v="2024-01-31T00:00:00"/>
    <n v="0"/>
    <n v="1"/>
  </r>
  <r>
    <s v="ORD-2023-133848"/>
    <d v="2023-08-15T00:00:00"/>
    <d v="2023-09-07T00:00:00"/>
    <x v="1"/>
    <s v="USA"/>
    <s v="New York"/>
    <s v="Enterprise"/>
    <s v="Online"/>
    <x v="10"/>
    <s v="Phones"/>
    <s v="PHN-2013"/>
    <n v="590.33000000000004"/>
    <n v="973.04"/>
    <n v="0"/>
    <n v="26"/>
    <s v="Valid"/>
    <n v="973.04"/>
    <b v="0"/>
    <n v="0"/>
    <n v="23"/>
    <d v="2023-09-07T00:00:00"/>
    <n v="23"/>
    <n v="2529904"/>
    <n v="25299.040000000001"/>
    <n v="2504604.96"/>
    <n v="0.99"/>
    <s v="Aug-2023"/>
    <s v="Q3-2023"/>
    <s v="Americas → USA → New York"/>
    <s v="Devices"/>
    <s v="Low"/>
    <s v="USA"/>
    <d v="2023-01-13T00:00:00"/>
    <s v="Jan-2023"/>
    <d v="2023-08-31T00:00:00"/>
    <n v="0"/>
    <n v="0"/>
  </r>
  <r>
    <s v="ORD-2023-586275"/>
    <d v="2023-01-20T00:00:00"/>
    <d v="2023-02-03T00:00:00"/>
    <x v="0"/>
    <s v="Kenya"/>
    <s v="Kisumu"/>
    <s v="Corporate"/>
    <s v="Retail"/>
    <x v="11"/>
    <s v="Networking"/>
    <s v="NET-6036"/>
    <n v="884.36"/>
    <n v="1545.34"/>
    <n v="0.24299999999999999"/>
    <n v="41"/>
    <s v="Valid"/>
    <n v="1545.34"/>
    <b v="0"/>
    <n v="0.24299999999999999"/>
    <n v="14"/>
    <d v="2023-02-03T00:00:00"/>
    <n v="14"/>
    <n v="6320497.7775799995"/>
    <n v="63358.939999999995"/>
    <n v="6257138.8375799991"/>
    <n v="0.98997564080716138"/>
    <s v="Jan-2023"/>
    <s v="Q1-2023"/>
    <s v="Africa → Kenya → Kisumu"/>
    <s v="Support"/>
    <s v="Low"/>
    <s v="KENYA"/>
    <d v="2023-01-20T00:00:00"/>
    <s v="Jan-2023"/>
    <d v="2023-01-31T00:00:00"/>
    <n v="0"/>
    <n v="1"/>
  </r>
  <r>
    <s v="ORD-2025-964661"/>
    <d v="2025-02-04T00:00:00"/>
    <d v="2025-02-25T00:00:00"/>
    <x v="3"/>
    <s v="United Kingdom"/>
    <s v="Birmingham"/>
    <s v="Corporate"/>
    <s v="Marketplace"/>
    <x v="13"/>
    <s v="Monitors"/>
    <s v="MON-4959"/>
    <n v="1016.32"/>
    <n v="2253.42"/>
    <n v="5.5E-2"/>
    <n v="12"/>
    <s v="Valid"/>
    <n v="2253.42"/>
    <b v="0"/>
    <n v="5.5E-2"/>
    <n v="21"/>
    <d v="2025-02-25T00:00:00"/>
    <n v="21"/>
    <n v="2702616.7428000001"/>
    <n v="27041.040000000001"/>
    <n v="2675575.7028000001"/>
    <n v="0.9899944969733353"/>
    <s v="Feb-2025"/>
    <s v="Q1-2025"/>
    <s v="Europe → United Kingdom → Birmingham"/>
    <s v="Peripherals"/>
    <s v="High"/>
    <s v="UNITED KINGDOM"/>
    <d v="2023-01-19T00:00:00"/>
    <s v="Jan-2023"/>
    <d v="2025-02-28T00:00:00"/>
    <n v="0"/>
    <n v="0"/>
  </r>
  <r>
    <s v="ORD-2023-390998"/>
    <d v="2023-04-19T00:00:00"/>
    <d v="2023-04-28T00:00:00"/>
    <x v="3"/>
    <s v="Germany"/>
    <s v="Berlin"/>
    <s v="Education"/>
    <s v="Online"/>
    <x v="5"/>
    <s v="Monitors"/>
    <s v="MON-1663"/>
    <n v="1178.42"/>
    <n v="2446.56"/>
    <n v="2.9000000000000001E-2"/>
    <n v="11"/>
    <s v="Valid"/>
    <n v="2446.56"/>
    <b v="0"/>
    <n v="2.9000000000000001E-2"/>
    <n v="9"/>
    <d v="2023-04-28T00:00:00"/>
    <n v="9"/>
    <n v="2690435.5473600002"/>
    <n v="26912.16"/>
    <n v="2663523.3873600001"/>
    <n v="0.989997099158756"/>
    <s v="Apr-2023"/>
    <s v="Q2-2023"/>
    <s v="Europe → Germany → Berlin"/>
    <s v="Peripherals"/>
    <s v="Low"/>
    <s v="GERMANY"/>
    <d v="2023-01-22T00:00:00"/>
    <s v="Jan-2023"/>
    <d v="2023-04-30T00:00:00"/>
    <n v="0"/>
    <n v="0"/>
  </r>
  <r>
    <s v="ORD-2023-920483"/>
    <d v="2023-07-02T00:00:00"/>
    <d v="2023-08-01T00:00:00"/>
    <x v="3"/>
    <s v="United Kingdom"/>
    <s v="Birmingham"/>
    <s v="Small Business"/>
    <s v="Retail"/>
    <x v="4"/>
    <s v="Components"/>
    <s v="CMP-7256"/>
    <n v="137.46"/>
    <n v="188.3"/>
    <n v="3.7999999999999999E-2"/>
    <n v="37"/>
    <s v="Valid"/>
    <n v="188.3"/>
    <b v="0"/>
    <n v="3.7999999999999999E-2"/>
    <n v="30"/>
    <d v="2023-08-01T00:00:00"/>
    <n v="30"/>
    <n v="696445.25020000001"/>
    <n v="6967.1"/>
    <n v="689478.15020000003"/>
    <n v="0.98999619855545107"/>
    <s v="Jul-2023"/>
    <s v="Q3-2023"/>
    <s v="Europe → United Kingdom → Birmingham"/>
    <s v="Support"/>
    <s v="Low"/>
    <s v="UNITED KINGDOM"/>
    <d v="2023-01-19T00:00:00"/>
    <s v="Jan-2023"/>
    <d v="2023-07-31T00:00:00"/>
    <n v="0"/>
    <n v="0"/>
  </r>
  <r>
    <s v="ORD-2025-146850"/>
    <d v="2025-01-21T00:00:00"/>
    <d v="2025-02-14T00:00:00"/>
    <x v="0"/>
    <s v="Kenya"/>
    <s v="Nairobi"/>
    <s v="Small Business"/>
    <s v="Retail"/>
    <x v="1"/>
    <s v="Accessories"/>
    <s v="ACC-1659"/>
    <n v="1030.44"/>
    <n v="2562.84"/>
    <n v="0.14799999999999999"/>
    <n v="13"/>
    <s v="Valid"/>
    <n v="2562.84"/>
    <b v="0"/>
    <n v="0.14799999999999999"/>
    <n v="24"/>
    <d v="2025-02-14T00:00:00"/>
    <n v="24"/>
    <n v="3326761.0958400001"/>
    <n v="33316.92"/>
    <n v="3293444.1758400002"/>
    <n v="0.98998517806353403"/>
    <s v="Jan-2025"/>
    <s v="Q1-2025"/>
    <s v="Africa → Kenya → Nairobi"/>
    <s v="Support"/>
    <s v="High"/>
    <s v="KENYA"/>
    <d v="2023-01-20T00:00:00"/>
    <s v="Jan-2023"/>
    <d v="2025-01-31T00:00:00"/>
    <n v="0"/>
    <n v="0"/>
  </r>
  <r>
    <s v="ORD-2024-687100"/>
    <d v="2024-09-10T00:00:00"/>
    <d v="2024-10-07T00:00:00"/>
    <x v="0"/>
    <s v="Kenya"/>
    <s v="Kisumu"/>
    <s v="Consumer"/>
    <s v="Retail"/>
    <x v="14"/>
    <s v="Printers"/>
    <s v="PRN-6068"/>
    <n v="1248.3900000000001"/>
    <n v="1805.11"/>
    <n v="0.20300000000000001"/>
    <n v="11"/>
    <s v="Valid"/>
    <n v="1805.11"/>
    <b v="0"/>
    <n v="0.20300000000000001"/>
    <n v="27"/>
    <d v="2024-10-07T00:00:00"/>
    <n v="27"/>
    <n v="1981590.1893699998"/>
    <n v="19856.21"/>
    <n v="1961733.9793699998"/>
    <n v="0.98997965870717564"/>
    <s v="Sep-2024"/>
    <s v="Q3-2024"/>
    <s v="Africa → Kenya → Kisumu"/>
    <s v="Peripherals"/>
    <s v="Medium"/>
    <s v="KENYA"/>
    <d v="2023-01-20T00:00:00"/>
    <s v="Jan-2023"/>
    <d v="2024-09-30T00:00:00"/>
    <n v="0"/>
    <n v="1"/>
  </r>
  <r>
    <s v="ORD-2025-629393"/>
    <d v="2025-07-21T00:00:00"/>
    <d v="2025-08-07T00:00:00"/>
    <x v="0"/>
    <s v="Nigeria"/>
    <s v="Lagos"/>
    <s v="Enterprise"/>
    <s v="Direct"/>
    <x v="11"/>
    <s v="Accessories"/>
    <s v="ACC-8999"/>
    <n v="1204.95"/>
    <n v="2065.73"/>
    <n v="0.13600000000000001"/>
    <n v="10"/>
    <s v="Valid"/>
    <n v="2065.73"/>
    <b v="0"/>
    <n v="0.13600000000000001"/>
    <n v="17"/>
    <d v="2025-08-07T00:00:00"/>
    <n v="17"/>
    <n v="2062920.6072"/>
    <n v="20657.3"/>
    <n v="2042263.3071999999"/>
    <n v="0.98998638147881113"/>
    <s v="Jul-2025"/>
    <s v="Q3-2025"/>
    <s v="Africa → Nigeria → Lagos"/>
    <s v="Support"/>
    <s v="High"/>
    <s v="NIGERIA"/>
    <d v="2023-01-15T00:00:00"/>
    <s v="Jan-2023"/>
    <d v="2025-07-31T00:00:00"/>
    <n v="0"/>
    <n v="0"/>
  </r>
  <r>
    <s v="ORD-2024-686712"/>
    <d v="2024-10-02T00:00:00"/>
    <d v="2024-10-23T00:00:00"/>
    <x v="0"/>
    <s v="South Africa"/>
    <s v="Durban"/>
    <s v="Corporate"/>
    <s v="Marketplace"/>
    <x v="7"/>
    <s v="Components"/>
    <s v="CMP-3978"/>
    <n v="1095.6099999999999"/>
    <n v="2366.5100000000002"/>
    <n v="0.152"/>
    <n v="9"/>
    <s v="Valid"/>
    <n v="2366.5100000000002"/>
    <b v="0"/>
    <n v="0.152"/>
    <n v="21"/>
    <d v="2024-10-23T00:00:00"/>
    <n v="21"/>
    <n v="2126621.6143200002"/>
    <n v="21298.590000000004"/>
    <n v="2105323.0243200003"/>
    <n v="0.98998477686082853"/>
    <s v="Oct-2024"/>
    <s v="Q4-2024"/>
    <s v="Africa → South Africa → Durban"/>
    <s v="Support"/>
    <s v="Medium"/>
    <s v="SOUTH AFRICA"/>
    <d v="2023-01-07T00:00:00"/>
    <s v="Jan-2023"/>
    <d v="2024-10-31T00:00:00"/>
    <n v="0"/>
    <n v="0"/>
  </r>
  <r>
    <s v="ORD-2025-586799"/>
    <d v="2025-07-14T00:00:00"/>
    <d v="2025-08-04T00:00:00"/>
    <x v="1"/>
    <s v="Canada"/>
    <s v="Montreal"/>
    <s v="Consumer"/>
    <s v="Online"/>
    <x v="9"/>
    <s v="Monitors"/>
    <s v="MON-7868"/>
    <n v="90.3"/>
    <n v="131.76"/>
    <n v="0.10199999999999999"/>
    <n v="15"/>
    <s v="Valid"/>
    <n v="131.76"/>
    <b v="0"/>
    <n v="0.10199999999999999"/>
    <n v="21"/>
    <d v="2025-08-04T00:00:00"/>
    <n v="21"/>
    <n v="197438.40719999999"/>
    <n v="1976.3999999999999"/>
    <n v="195462.00719999999"/>
    <n v="0.98998978958537709"/>
    <s v="Jul-2025"/>
    <s v="Q3-2025"/>
    <s v="Americas → Canada → Montreal"/>
    <s v="Peripherals"/>
    <s v="High"/>
    <s v="CANADA"/>
    <d v="2023-01-02T00:00:00"/>
    <s v="Jan-2023"/>
    <d v="2025-07-31T00:00:00"/>
    <n v="0"/>
    <n v="0"/>
  </r>
  <r>
    <s v="ORD-2024-988736"/>
    <d v="2024-09-09T00:00:00"/>
    <d v="2024-10-01T00:00:00"/>
    <x v="2"/>
    <s v="China"/>
    <s v="Shenzhen"/>
    <s v="Consumer"/>
    <s v="Direct"/>
    <x v="14"/>
    <s v="Printers"/>
    <s v="PRN-3014"/>
    <n v="1166.18"/>
    <n v="1335.02"/>
    <n v="0.128"/>
    <n v="6"/>
    <s v="Valid"/>
    <n v="1335.02"/>
    <b v="0"/>
    <n v="0.128"/>
    <n v="22"/>
    <d v="2024-10-01T00:00:00"/>
    <n v="22"/>
    <n v="799986.70464000001"/>
    <n v="8010.12"/>
    <n v="791976.58464000002"/>
    <n v="0.9899871835950016"/>
    <s v="Sep-2024"/>
    <s v="Q3-2024"/>
    <s v="Asia → China → Shenzhen"/>
    <s v="Peripherals"/>
    <s v="Medium"/>
    <s v="CHINA"/>
    <d v="2023-01-12T00:00:00"/>
    <s v="Jan-2023"/>
    <d v="2024-09-30T00:00:00"/>
    <n v="0"/>
    <n v="0"/>
  </r>
  <r>
    <s v="ORD-2025-564184"/>
    <d v="2025-01-29T00:00:00"/>
    <d v="2025-02-06T00:00:00"/>
    <x v="0"/>
    <s v="Kenya"/>
    <s v="Kisumu"/>
    <s v="Education"/>
    <s v="Retail"/>
    <x v="4"/>
    <s v="Phones"/>
    <s v="PHN-1671"/>
    <n v="1445.27"/>
    <n v="2691.45"/>
    <n v="0"/>
    <n v="9"/>
    <s v="Valid"/>
    <n v="2691.45"/>
    <b v="0"/>
    <n v="0"/>
    <n v="8"/>
    <d v="2025-02-06T00:00:00"/>
    <n v="8"/>
    <n v="2422305"/>
    <n v="24223.05"/>
    <n v="2398081.9500000002"/>
    <n v="0.9900000000000001"/>
    <s v="Jan-2025"/>
    <s v="Q1-2025"/>
    <s v="Africa → Kenya → Kisumu"/>
    <s v="Devices"/>
    <s v="High"/>
    <s v="KENYA"/>
    <d v="2023-01-20T00:00:00"/>
    <s v="Jan-2023"/>
    <d v="2025-01-31T00:00:00"/>
    <n v="0"/>
    <n v="0"/>
  </r>
  <r>
    <s v="ORD-2023-653343"/>
    <d v="2023-11-10T00:00:00"/>
    <d v="2023-11-28T00:00:00"/>
    <x v="1"/>
    <s v="Brazil"/>
    <s v="Brasília"/>
    <s v="Education"/>
    <s v="Marketplace"/>
    <x v="14"/>
    <s v="Accessories"/>
    <s v="ACC-5260"/>
    <n v="388.51"/>
    <n v="776.46"/>
    <n v="0.157"/>
    <n v="12"/>
    <s v="Valid"/>
    <n v="776.46"/>
    <b v="0"/>
    <n v="0.157"/>
    <n v="18"/>
    <d v="2023-11-28T00:00:00"/>
    <n v="18"/>
    <n v="930289.14936000004"/>
    <n v="9317.52"/>
    <n v="920971.62936000002"/>
    <n v="0.9899842753122402"/>
    <s v="Nov-2023"/>
    <s v="Q4-2023"/>
    <s v="Americas → Brazil → Brasília"/>
    <s v="Support"/>
    <s v="Low"/>
    <s v="BRAZIL"/>
    <d v="2023-01-29T00:00:00"/>
    <s v="Jan-2023"/>
    <d v="2023-11-30T00:00:00"/>
    <n v="0"/>
    <n v="0"/>
  </r>
  <r>
    <s v="ORD-2024-197852"/>
    <d v="2024-02-29T00:00:00"/>
    <d v="2024-03-30T00:00:00"/>
    <x v="2"/>
    <s v="Japan"/>
    <s v="Nagoya"/>
    <s v="Small Business"/>
    <s v="Direct"/>
    <x v="2"/>
    <s v="Networking"/>
    <s v="NET-7588"/>
    <n v="231.11"/>
    <n v="318.17"/>
    <n v="0.20100000000000001"/>
    <n v="60"/>
    <s v="Valid"/>
    <n v="318.17"/>
    <b v="0"/>
    <n v="0.20100000000000001"/>
    <n v="30"/>
    <d v="2024-03-30T00:00:00"/>
    <n v="30"/>
    <n v="1905182.8698000002"/>
    <n v="19090.2"/>
    <n v="1886092.6698000003"/>
    <n v="0.98997985951763046"/>
    <s v="Feb-2024"/>
    <s v="Q1-2024"/>
    <s v="Asia → Japan → Nagoya"/>
    <s v="Support"/>
    <s v="Medium"/>
    <s v="JAPAN"/>
    <d v="2023-03-03T00:00:00"/>
    <s v="Mar-2023"/>
    <d v="2024-02-29T00:00:00"/>
    <n v="0"/>
    <n v="1"/>
  </r>
  <r>
    <s v="ORD-2023-431328"/>
    <d v="2023-12-20T00:00:00"/>
    <d v="2024-01-14T00:00:00"/>
    <x v="2"/>
    <s v="India"/>
    <s v="Mumbai"/>
    <s v="Non-Profit"/>
    <s v="Marketplace"/>
    <x v="14"/>
    <s v="Monitors"/>
    <s v="MON-1572"/>
    <n v="1085.6099999999999"/>
    <n v="1246.4100000000001"/>
    <n v="0.113"/>
    <n v="7"/>
    <s v="Valid"/>
    <n v="1246.4100000000001"/>
    <b v="0"/>
    <n v="0.113"/>
    <n v="25"/>
    <d v="2024-01-14T00:00:00"/>
    <n v="25"/>
    <n v="871501.08969000005"/>
    <n v="8724.8700000000008"/>
    <n v="862776.21969000006"/>
    <n v="0.98998868721655475"/>
    <s v="Dec-2023"/>
    <s v="Q4-2023"/>
    <s v="Asia → India → Mumbai"/>
    <s v="Peripherals"/>
    <s v="Medium"/>
    <s v="INDIA"/>
    <d v="2023-01-29T00:00:00"/>
    <s v="Jan-2023"/>
    <d v="2023-12-31T00:00:00"/>
    <n v="0"/>
    <n v="0"/>
  </r>
  <r>
    <s v="ORD-2023-613317"/>
    <d v="2023-01-22T00:00:00"/>
    <d v="2023-01-21T00:00:00"/>
    <x v="3"/>
    <s v="Germany"/>
    <s v="Munich"/>
    <s v="Corporate"/>
    <s v="Direct"/>
    <x v="8"/>
    <s v="Monitors"/>
    <s v="MON-2537"/>
    <n v="150.86000000000001"/>
    <n v="346.96"/>
    <n v="0.19600000000000001"/>
    <n v="8"/>
    <s v="Valid"/>
    <n v="346.96"/>
    <b v="0"/>
    <n v="0.19600000000000001"/>
    <n v="-1"/>
    <d v="2023-01-29T00:00:00"/>
    <n v="7"/>
    <n v="277023.96671999997"/>
    <n v="2775.68"/>
    <n v="274248.28671999997"/>
    <n v="0.98998036150855684"/>
    <s v="Jan-2023"/>
    <s v="Q1-2023"/>
    <s v="Europe → Germany → Munich"/>
    <s v="Peripherals"/>
    <s v="Low"/>
    <s v="GERMANY"/>
    <d v="2023-01-22T00:00:00"/>
    <s v="Jan-2023"/>
    <d v="2023-01-31T00:00:00"/>
    <n v="1"/>
    <n v="0"/>
  </r>
  <r>
    <s v="ORD-2024-720756"/>
    <d v="2024-10-11T00:00:00"/>
    <d v="2024-11-09T00:00:00"/>
    <x v="2"/>
    <s v="China"/>
    <s v="Shanghai"/>
    <s v="Non-Profit"/>
    <s v="Online"/>
    <x v="8"/>
    <s v="Printers"/>
    <s v="PRN-5666"/>
    <n v="391.64"/>
    <n v="504.76"/>
    <n v="4.0000000000000001E-3"/>
    <n v="13"/>
    <s v="Valid"/>
    <n v="504.76"/>
    <b v="0"/>
    <n v="4.0000000000000001E-3"/>
    <n v="29"/>
    <d v="2024-11-09T00:00:00"/>
    <n v="29"/>
    <n v="656161.75248000002"/>
    <n v="6561.88"/>
    <n v="649599.87248000002"/>
    <n v="0.98999959998399933"/>
    <s v="Oct-2024"/>
    <s v="Q4-2024"/>
    <s v="Asia → China → Shanghai"/>
    <s v="Peripherals"/>
    <s v="Medium"/>
    <s v="CHINA"/>
    <d v="2023-01-12T00:00:00"/>
    <s v="Jan-2023"/>
    <d v="2024-10-31T00:00:00"/>
    <n v="0"/>
    <n v="0"/>
  </r>
  <r>
    <s v="ORD-2024-777623"/>
    <d v="2024-09-19T00:00:00"/>
    <d v="2024-10-14T00:00:00"/>
    <x v="1"/>
    <s v="Brazil"/>
    <s v="Rio de Janeiro"/>
    <s v="Small Business"/>
    <s v="Retail"/>
    <x v="10"/>
    <s v="Printers"/>
    <s v="PRN-2749"/>
    <n v="386.96"/>
    <n v="937.46"/>
    <n v="0.26600000000000001"/>
    <n v="41"/>
    <s v="Valid"/>
    <n v="937.46"/>
    <b v="0"/>
    <n v="0.26600000000000001"/>
    <n v="25"/>
    <d v="2024-10-14T00:00:00"/>
    <n v="25"/>
    <n v="3833362.0612399997"/>
    <n v="38435.86"/>
    <n v="3794926.2012399998"/>
    <n v="0.98997332905528712"/>
    <s v="Sep-2024"/>
    <s v="Q3-2024"/>
    <s v="Americas → Brazil → Rio de Janeiro"/>
    <s v="Peripherals"/>
    <s v="Medium"/>
    <s v="BRAZIL"/>
    <d v="2023-01-29T00:00:00"/>
    <s v="Jan-2023"/>
    <d v="2024-09-30T00:00:00"/>
    <n v="0"/>
    <n v="1"/>
  </r>
  <r>
    <s v="ORD-2025-762212"/>
    <d v="2025-08-25T00:00:00"/>
    <d v="2025-09-24T00:00:00"/>
    <x v="0"/>
    <s v="Kenya"/>
    <s v="Nairobi"/>
    <s v="Consumer"/>
    <s v="Direct"/>
    <x v="4"/>
    <s v="Components"/>
    <s v="CMP-4970"/>
    <n v="589.14"/>
    <n v="1300.58"/>
    <n v="5.5E-2"/>
    <n v="11"/>
    <s v="Valid"/>
    <n v="1300.58"/>
    <b v="0"/>
    <n v="5.5E-2"/>
    <n v="30"/>
    <d v="2025-09-24T00:00:00"/>
    <n v="30"/>
    <n v="1429851.1490999998"/>
    <n v="14306.38"/>
    <n v="1415544.7690999999"/>
    <n v="0.98999449697333541"/>
    <s v="Aug-2025"/>
    <s v="Q3-2025"/>
    <s v="Africa → Kenya → Nairobi"/>
    <s v="Support"/>
    <s v="High"/>
    <s v="KENYA"/>
    <d v="2023-01-20T00:00:00"/>
    <s v="Jan-2023"/>
    <d v="2025-08-31T00:00:00"/>
    <n v="0"/>
    <n v="0"/>
  </r>
  <r>
    <s v="ORD-2023-271918"/>
    <d v="2023-09-25T00:00:00"/>
    <d v="2023-10-02T00:00:00"/>
    <x v="1"/>
    <s v="USA"/>
    <s v="New York"/>
    <s v="Education"/>
    <s v="Marketplace"/>
    <x v="2"/>
    <s v="Accessories"/>
    <s v="ACC-3551"/>
    <n v="145.58000000000001"/>
    <n v="228.15"/>
    <n v="0.20399999999999999"/>
    <n v="5"/>
    <s v="Valid"/>
    <n v="228.15"/>
    <b v="0"/>
    <n v="0.20399999999999999"/>
    <n v="7"/>
    <d v="2023-10-02T00:00:00"/>
    <n v="7"/>
    <n v="113842.28700000001"/>
    <n v="1140.75"/>
    <n v="112701.53700000001"/>
    <n v="0.98997955829892981"/>
    <s v="Sep-2023"/>
    <s v="Q3-2023"/>
    <s v="Americas → USA → New York"/>
    <s v="Support"/>
    <s v="Low"/>
    <s v="USA"/>
    <d v="2023-01-13T00:00:00"/>
    <s v="Jan-2023"/>
    <d v="2023-09-30T00:00:00"/>
    <n v="1"/>
    <n v="1"/>
  </r>
  <r>
    <s v="ORD-2023-713375"/>
    <d v="2023-08-26T00:00:00"/>
    <d v="2023-09-10T00:00:00"/>
    <x v="0"/>
    <s v="South Africa"/>
    <s v="Cape Town"/>
    <s v="Non-Profit"/>
    <s v="Direct"/>
    <x v="12"/>
    <s v="Components"/>
    <s v="CMP-7063"/>
    <n v="241.14"/>
    <n v="496.52"/>
    <n v="9.2999999999999999E-2"/>
    <n v="10"/>
    <s v="Valid"/>
    <n v="496.52"/>
    <b v="0"/>
    <n v="9.2999999999999999E-2"/>
    <n v="15"/>
    <d v="2023-09-10T00:00:00"/>
    <n v="15"/>
    <n v="496058.23639999994"/>
    <n v="4965.2"/>
    <n v="491093.03639999992"/>
    <n v="0.98999069134294893"/>
    <s v="Aug-2023"/>
    <s v="Q3-2023"/>
    <s v="Africa → South Africa → Cape Town"/>
    <s v="Support"/>
    <s v="Low"/>
    <s v="SOUTH AFRICA"/>
    <d v="2023-01-07T00:00:00"/>
    <s v="Jan-2023"/>
    <d v="2023-08-31T00:00:00"/>
    <n v="0"/>
    <n v="0"/>
  </r>
  <r>
    <s v="ORD-2025-678688"/>
    <d v="2025-07-16T00:00:00"/>
    <d v="2025-07-17T00:00:00"/>
    <x v="0"/>
    <s v="South Africa"/>
    <s v="Durban"/>
    <s v="Small Business"/>
    <s v="Distributor"/>
    <x v="4"/>
    <s v="Networking"/>
    <s v="NET-1612"/>
    <n v="1198.9000000000001"/>
    <n v="2941.2"/>
    <n v="5.0999999999999997E-2"/>
    <n v="24"/>
    <s v="Valid"/>
    <n v="2941.2"/>
    <b v="0"/>
    <n v="5.0999999999999997E-2"/>
    <n v="1"/>
    <d v="2025-07-17T00:00:00"/>
    <n v="1"/>
    <n v="7055279.9711999986"/>
    <n v="70588.799999999988"/>
    <n v="6984691.1711999988"/>
    <n v="0.98999489739767288"/>
    <s v="Jul-2025"/>
    <s v="Q3-2025"/>
    <s v="Africa → South Africa → Durban"/>
    <s v="Support"/>
    <s v="High"/>
    <s v="SOUTH AFRICA"/>
    <d v="2023-01-07T00:00:00"/>
    <s v="Jan-2023"/>
    <d v="2025-07-31T00:00:00"/>
    <n v="1"/>
    <n v="0"/>
  </r>
  <r>
    <s v="ORD-2023-501220"/>
    <d v="2023-04-19T00:00:00"/>
    <d v="2023-05-07T00:00:00"/>
    <x v="3"/>
    <s v="United Kingdom"/>
    <s v="Birmingham"/>
    <s v="Enterprise"/>
    <s v="Retail"/>
    <x v="12"/>
    <s v="Laptops"/>
    <s v="LAP-9766"/>
    <n v="1089.1500000000001"/>
    <n v="1088.2"/>
    <n v="5.0999999999999997E-2"/>
    <n v="15"/>
    <s v="Valid"/>
    <n v="1088.2"/>
    <b v="0"/>
    <n v="5.0999999999999997E-2"/>
    <n v="18"/>
    <d v="2023-05-07T00:00:00"/>
    <n v="18"/>
    <n v="1631467.527"/>
    <n v="16323"/>
    <n v="1615144.527"/>
    <n v="0.98999489739767277"/>
    <s v="Apr-2023"/>
    <s v="Q2-2023"/>
    <s v="Europe → United Kingdom → Birmingham"/>
    <s v="Devices"/>
    <s v="Low"/>
    <s v="UNITED KINGDOM"/>
    <d v="2023-01-19T00:00:00"/>
    <s v="Jan-2023"/>
    <d v="2023-04-30T00:00:00"/>
    <n v="0"/>
    <n v="0"/>
  </r>
  <r>
    <s v="ORD-2023-195665"/>
    <d v="2023-12-19T00:00:00"/>
    <d v="2023-12-20T00:00:00"/>
    <x v="1"/>
    <s v="Brazil"/>
    <s v="Rio de Janeiro"/>
    <s v="Consumer"/>
    <s v="Distributor"/>
    <x v="1"/>
    <s v="Phones"/>
    <s v="PHN-7274"/>
    <n v="1080.43"/>
    <n v="2529.15"/>
    <n v="0.14699999999999999"/>
    <n v="10"/>
    <s v="Valid"/>
    <n v="2529.15"/>
    <b v="0"/>
    <n v="0.14699999999999999"/>
    <n v="1"/>
    <d v="2023-12-20T00:00:00"/>
    <n v="1"/>
    <n v="2525432.1494999998"/>
    <n v="25291.5"/>
    <n v="2500140.6494999998"/>
    <n v="0.98998527835918804"/>
    <s v="Dec-2023"/>
    <s v="Q4-2023"/>
    <s v="Americas → Brazil → Rio de Janeiro"/>
    <s v="Devices"/>
    <s v="Medium"/>
    <s v="BRAZIL"/>
    <d v="2023-01-29T00:00:00"/>
    <s v="Jan-2023"/>
    <d v="2023-12-31T00:00:00"/>
    <n v="1"/>
    <n v="0"/>
  </r>
  <r>
    <s v="ORD-2023-290237"/>
    <d v="2023-07-30T00:00:00"/>
    <d v="2023-08-07T00:00:00"/>
    <x v="2"/>
    <s v="Japan"/>
    <s v="Nagoya"/>
    <s v="Education"/>
    <s v="Marketplace"/>
    <x v="7"/>
    <s v="Networking"/>
    <s v="NET-1645"/>
    <n v="1352.44"/>
    <n v="2698.01"/>
    <n v="0.13100000000000001"/>
    <n v="13"/>
    <s v="Valid"/>
    <n v="2698.01"/>
    <b v="0"/>
    <n v="0.13100000000000001"/>
    <n v="8"/>
    <d v="2023-08-07T00:00:00"/>
    <n v="8"/>
    <n v="3502818.2889700006"/>
    <n v="35074.130000000005"/>
    <n v="3467744.1589700007"/>
    <n v="0.98998688281648961"/>
    <s v="Jul-2023"/>
    <s v="Q3-2023"/>
    <s v="Asia → Japan → Nagoya"/>
    <s v="Support"/>
    <s v="Low"/>
    <s v="JAPAN"/>
    <d v="2023-03-03T00:00:00"/>
    <s v="Mar-2023"/>
    <d v="2023-07-31T00:00:00"/>
    <n v="0"/>
    <n v="0"/>
  </r>
  <r>
    <s v="ORD-2023-302041"/>
    <d v="2023-10-04T00:00:00"/>
    <d v="2023-10-29T00:00:00"/>
    <x v="1"/>
    <s v="USA"/>
    <s v="San Francisco"/>
    <s v="Small Business"/>
    <s v="Distributor"/>
    <x v="6"/>
    <s v="Accessories"/>
    <s v="ACC-5079"/>
    <n v="1239.8399999999999"/>
    <n v="1482.75"/>
    <n v="6.7000000000000004E-2"/>
    <n v="4"/>
    <s v="Valid"/>
    <n v="1482.75"/>
    <b v="0"/>
    <n v="6.7000000000000004E-2"/>
    <n v="25"/>
    <d v="2023-10-29T00:00:00"/>
    <n v="25"/>
    <n v="592702.62300000002"/>
    <n v="5931"/>
    <n v="586771.62300000002"/>
    <n v="0.98999329550799031"/>
    <s v="Oct-2023"/>
    <s v="Q4-2023"/>
    <s v="Americas → USA → San Francisco"/>
    <s v="Support"/>
    <s v="Low"/>
    <s v="USA"/>
    <d v="2023-01-13T00:00:00"/>
    <s v="Jan-2023"/>
    <d v="2023-10-31T00:00:00"/>
    <n v="0"/>
    <n v="0"/>
  </r>
  <r>
    <s v="ORD-2025-289139"/>
    <d v="2025-08-10T00:00:00"/>
    <d v="2025-08-30T00:00:00"/>
    <x v="1"/>
    <s v="USA"/>
    <s v="San Francisco"/>
    <s v="Corporate"/>
    <s v="Marketplace"/>
    <x v="10"/>
    <s v="Printers"/>
    <s v="PRN-2098"/>
    <n v="933.29"/>
    <n v="1456.81"/>
    <n v="0.123"/>
    <n v="13"/>
    <s v="Valid"/>
    <n v="1456.81"/>
    <b v="0"/>
    <n v="0.123"/>
    <n v="20"/>
    <d v="2025-08-30T00:00:00"/>
    <n v="20"/>
    <n v="1891523.5608099997"/>
    <n v="18938.53"/>
    <n v="1872585.0308099997"/>
    <n v="0.98998768485236843"/>
    <s v="Aug-2025"/>
    <s v="Q3-2025"/>
    <s v="Americas → USA → San Francisco"/>
    <s v="Peripherals"/>
    <s v="High"/>
    <s v="USA"/>
    <d v="2023-01-13T00:00:00"/>
    <s v="Jan-2023"/>
    <d v="2025-08-31T00:00:00"/>
    <n v="0"/>
    <n v="0"/>
  </r>
  <r>
    <s v="ORD-2023-949710"/>
    <d v="2023-03-07T00:00:00"/>
    <d v="2023-04-01T00:00:00"/>
    <x v="0"/>
    <s v="Kenya"/>
    <s v="Nairobi"/>
    <s v="Consumer"/>
    <s v="Marketplace"/>
    <x v="13"/>
    <s v="Printers"/>
    <s v="PRN-7049"/>
    <n v="1024.0999999999999"/>
    <n v="918.19"/>
    <n v="0.189"/>
    <n v="10"/>
    <s v="Valid"/>
    <n v="918.19"/>
    <b v="0"/>
    <n v="0.189"/>
    <n v="25"/>
    <d v="2023-04-01T00:00:00"/>
    <n v="25"/>
    <n v="916454.62090000021"/>
    <n v="9181.9000000000015"/>
    <n v="907272.72090000019"/>
    <n v="0.98998106421135945"/>
    <s v="Mar-2023"/>
    <s v="Q1-2023"/>
    <s v="Africa → Kenya → Nairobi"/>
    <s v="Peripherals"/>
    <s v="Low"/>
    <s v="KENYA"/>
    <d v="2023-01-20T00:00:00"/>
    <s v="Jan-2023"/>
    <d v="2023-03-31T00:00:00"/>
    <n v="0"/>
    <n v="0"/>
  </r>
  <r>
    <s v="ORD-2023-603650"/>
    <d v="2023-05-23T00:00:00"/>
    <d v="2023-06-10T00:00:00"/>
    <x v="2"/>
    <s v="China"/>
    <s v="Shanghai"/>
    <s v="Corporate"/>
    <s v="Distributor"/>
    <x v="5"/>
    <s v="Components"/>
    <s v="CMP-6925"/>
    <n v="54.62"/>
    <n v="48.94"/>
    <n v="0.14799999999999999"/>
    <n v="16"/>
    <s v="Valid"/>
    <n v="48.94"/>
    <b v="0"/>
    <n v="0.14799999999999999"/>
    <n v="18"/>
    <d v="2023-06-10T00:00:00"/>
    <n v="18"/>
    <n v="78188.110079999999"/>
    <n v="783.04"/>
    <n v="77405.070080000005"/>
    <n v="0.98998517806353414"/>
    <s v="May-2023"/>
    <s v="Q2-2023"/>
    <s v="Asia → China → Shanghai"/>
    <s v="Support"/>
    <s v="Low"/>
    <s v="CHINA"/>
    <d v="2023-01-12T00:00:00"/>
    <s v="Jan-2023"/>
    <d v="2023-05-31T00:00:00"/>
    <n v="0"/>
    <n v="0"/>
  </r>
  <r>
    <s v="ORD-2025-757957"/>
    <d v="2025-04-24T00:00:00"/>
    <d v="2025-05-06T00:00:00"/>
    <x v="1"/>
    <s v="Brazil"/>
    <s v="Brasília"/>
    <s v="Consumer"/>
    <s v="Online"/>
    <x v="0"/>
    <s v="Phones"/>
    <s v="PHN-2787"/>
    <n v="394.13"/>
    <n v="932.29"/>
    <n v="0.109"/>
    <n v="7"/>
    <s v="Valid"/>
    <n v="932.29"/>
    <b v="0"/>
    <n v="0.109"/>
    <n v="12"/>
    <d v="2025-05-06T00:00:00"/>
    <n v="12"/>
    <n v="651891.66272999998"/>
    <n v="6526.03"/>
    <n v="645365.63272999995"/>
    <n v="0.98998908810603559"/>
    <s v="Apr-2025"/>
    <s v="Q2-2025"/>
    <s v="Americas → Brazil → Brasília"/>
    <s v="Devices"/>
    <s v="High"/>
    <s v="BRAZIL"/>
    <d v="2023-01-29T00:00:00"/>
    <s v="Jan-2023"/>
    <d v="2025-04-30T00:00:00"/>
    <n v="0"/>
    <n v="0"/>
  </r>
  <r>
    <s v="ORD-2024-423853"/>
    <d v="2024-09-03T00:00:00"/>
    <d v="2024-09-08T00:00:00"/>
    <x v="0"/>
    <s v="Nigeria"/>
    <s v="Lagos"/>
    <s v="Small Business"/>
    <s v="Direct"/>
    <x v="10"/>
    <s v="Printers"/>
    <s v="PRN-1141"/>
    <n v="197.63"/>
    <n v="325.79000000000002"/>
    <n v="0.11600000000000001"/>
    <n v="10"/>
    <s v="Valid"/>
    <n v="325.79000000000002"/>
    <b v="0"/>
    <n v="0.11600000000000001"/>
    <n v="5"/>
    <d v="2024-09-08T00:00:00"/>
    <n v="5"/>
    <n v="325412.08360000001"/>
    <n v="3257.9"/>
    <n v="322154.18359999999"/>
    <n v="0.98998838652837284"/>
    <s v="Sep-2024"/>
    <s v="Q3-2024"/>
    <s v="Africa → Nigeria → Lagos"/>
    <s v="Peripherals"/>
    <s v="Medium"/>
    <s v="NIGERIA"/>
    <d v="2023-01-15T00:00:00"/>
    <s v="Jan-2023"/>
    <d v="2024-09-30T00:00:00"/>
    <n v="1"/>
    <n v="0"/>
  </r>
  <r>
    <s v="ORD-2024-569164"/>
    <d v="2024-09-05T00:00:00"/>
    <d v="2024-09-25T00:00:00"/>
    <x v="2"/>
    <s v="Japan"/>
    <s v="Osaka"/>
    <s v="Enterprise"/>
    <s v="Distributor"/>
    <x v="13"/>
    <s v="Monitors"/>
    <s v="MON-5249"/>
    <n v="195.54"/>
    <n v="405.97"/>
    <n v="0.187"/>
    <n v="16"/>
    <s v="Valid"/>
    <n v="405.97"/>
    <b v="0"/>
    <n v="0.187"/>
    <n v="20"/>
    <d v="2024-09-25T00:00:00"/>
    <n v="20"/>
    <n v="648337.33776000002"/>
    <n v="6495.52"/>
    <n v="641841.81776000001"/>
    <n v="0.98998126496548544"/>
    <s v="Sep-2024"/>
    <s v="Q3-2024"/>
    <s v="Asia → Japan → Osaka"/>
    <s v="Peripherals"/>
    <s v="Medium"/>
    <s v="JAPAN"/>
    <d v="2023-03-03T00:00:00"/>
    <s v="Mar-2023"/>
    <d v="2024-09-30T00:00:00"/>
    <n v="0"/>
    <n v="0"/>
  </r>
  <r>
    <s v="ORD-2023-946143"/>
    <d v="2023-03-14T00:00:00"/>
    <d v="2023-03-30T00:00:00"/>
    <x v="0"/>
    <s v="South Africa"/>
    <s v="Cape Town"/>
    <s v="Consumer"/>
    <s v="Distributor"/>
    <x v="10"/>
    <s v="Components"/>
    <s v="CMP-8230"/>
    <n v="1309.77"/>
    <n v="1589.07"/>
    <n v="0.10199999999999999"/>
    <n v="10"/>
    <s v="Valid"/>
    <n v="1589.07"/>
    <b v="0"/>
    <n v="0.10199999999999999"/>
    <n v="16"/>
    <d v="2023-03-30T00:00:00"/>
    <n v="16"/>
    <n v="1587449.1485999997"/>
    <n v="15890.699999999999"/>
    <n v="1571558.4485999998"/>
    <n v="0.98998978958537709"/>
    <s v="Mar-2023"/>
    <s v="Q1-2023"/>
    <s v="Africa → South Africa → Cape Town"/>
    <s v="Support"/>
    <s v="Low"/>
    <s v="SOUTH AFRICA"/>
    <d v="2023-01-07T00:00:00"/>
    <s v="Jan-2023"/>
    <d v="2023-03-31T00:00:00"/>
    <n v="0"/>
    <n v="0"/>
  </r>
  <r>
    <s v="ORD-2024-281211"/>
    <d v="2024-01-11T00:00:00"/>
    <d v="2024-02-02T00:00:00"/>
    <x v="2"/>
    <s v="Japan"/>
    <s v="Nagoya"/>
    <s v="Small Business"/>
    <s v="Online"/>
    <x v="15"/>
    <s v="Printers"/>
    <s v="PRN-7816"/>
    <n v="1237.68"/>
    <n v="1432.8"/>
    <n v="6.8000000000000005E-2"/>
    <n v="13"/>
    <s v="Valid"/>
    <n v="1432.8"/>
    <b v="0"/>
    <n v="6.8000000000000005E-2"/>
    <n v="22"/>
    <d v="2024-02-02T00:00:00"/>
    <n v="22"/>
    <n v="1861373.4047999999"/>
    <n v="18626.399999999998"/>
    <n v="1842747.0048"/>
    <n v="0.98999319537285357"/>
    <s v="Jan-2024"/>
    <s v="Q1-2024"/>
    <s v="Asia → Japan → Nagoya"/>
    <s v="Peripherals"/>
    <s v="Medium"/>
    <s v="JAPAN"/>
    <d v="2023-03-03T00:00:00"/>
    <s v="Mar-2023"/>
    <d v="2024-01-31T00:00:00"/>
    <n v="0"/>
    <n v="0"/>
  </r>
  <r>
    <s v="ORD-2024-805860"/>
    <d v="2024-09-13T00:00:00"/>
    <d v="2024-10-02T00:00:00"/>
    <x v="0"/>
    <s v="Kenya"/>
    <s v="Mombasa"/>
    <s v="Small Business"/>
    <s v="Retail"/>
    <x v="11"/>
    <s v="Phones"/>
    <s v="PHN-8804"/>
    <n v="1338.99"/>
    <n v="1765.76"/>
    <n v="0.126"/>
    <n v="24"/>
    <s v="Valid"/>
    <n v="1765.76"/>
    <b v="0"/>
    <n v="0.126"/>
    <n v="19"/>
    <d v="2024-10-02T00:00:00"/>
    <n v="19"/>
    <n v="4232484.3417599993"/>
    <n v="42378.239999999998"/>
    <n v="4190106.1017599991"/>
    <n v="0.98998738410397091"/>
    <s v="Sep-2024"/>
    <s v="Q3-2024"/>
    <s v="Africa → Kenya → Mombasa"/>
    <s v="Devices"/>
    <s v="Medium"/>
    <s v="KENYA"/>
    <d v="2023-01-20T00:00:00"/>
    <s v="Jan-2023"/>
    <d v="2024-09-30T00:00:00"/>
    <n v="0"/>
    <n v="0"/>
  </r>
  <r>
    <s v="ORD-2025-132174"/>
    <d v="2025-07-17T00:00:00"/>
    <d v="2025-07-23T00:00:00"/>
    <x v="1"/>
    <s v="Canada"/>
    <s v="Vancouver"/>
    <s v="Consumer"/>
    <s v="Online"/>
    <x v="9"/>
    <s v="Components"/>
    <s v="CMP-8851"/>
    <n v="1364.89"/>
    <n v="2757.54"/>
    <n v="0.17199999999999999"/>
    <n v="61"/>
    <s v="Valid"/>
    <n v="2757.54"/>
    <b v="0"/>
    <n v="0.17199999999999999"/>
    <n v="6"/>
    <d v="2025-07-23T00:00:00"/>
    <n v="6"/>
    <n v="16792061.890319999"/>
    <n v="168209.94"/>
    <n v="16623851.95032"/>
    <n v="0.98998277036502791"/>
    <s v="Jul-2025"/>
    <s v="Q3-2025"/>
    <s v="Americas → Canada → Vancouver"/>
    <s v="Support"/>
    <s v="High"/>
    <s v="CANADA"/>
    <d v="2023-01-02T00:00:00"/>
    <s v="Jan-2023"/>
    <d v="2025-07-31T00:00:00"/>
    <n v="1"/>
    <n v="0"/>
  </r>
  <r>
    <s v="ORD-2023-964434"/>
    <d v="2023-11-28T00:00:00"/>
    <d v="2023-12-07T00:00:00"/>
    <x v="2"/>
    <s v="India"/>
    <s v="Delhi"/>
    <s v="Enterprise"/>
    <s v="Marketplace"/>
    <x v="14"/>
    <s v="Phones"/>
    <s v="PHN-2447"/>
    <n v="699.33"/>
    <n v="873.75"/>
    <n v="0.23499999999999999"/>
    <n v="10"/>
    <s v="Valid"/>
    <n v="873.75"/>
    <b v="0"/>
    <n v="0.23499999999999999"/>
    <n v="9"/>
    <d v="2023-12-07T00:00:00"/>
    <n v="9"/>
    <n v="871696.6875"/>
    <n v="8737.5"/>
    <n v="862959.1875"/>
    <n v="0.98997644464491552"/>
    <s v="Nov-2023"/>
    <s v="Q4-2023"/>
    <s v="Asia → India → Delhi"/>
    <s v="Devices"/>
    <s v="Low"/>
    <s v="INDIA"/>
    <d v="2023-01-29T00:00:00"/>
    <s v="Jan-2023"/>
    <d v="2023-11-30T00:00:00"/>
    <n v="0"/>
    <n v="1"/>
  </r>
  <r>
    <s v="ORD-2024-897622"/>
    <d v="2024-03-30T00:00:00"/>
    <d v="2024-04-24T00:00:00"/>
    <x v="1"/>
    <s v="USA"/>
    <s v="Austin"/>
    <s v="Non-Profit"/>
    <s v="Online"/>
    <x v="3"/>
    <s v="Laptops"/>
    <s v="LAP-2846"/>
    <n v="160.82"/>
    <n v="258.52"/>
    <n v="0.13"/>
    <n v="17"/>
    <s v="Valid"/>
    <n v="258.52"/>
    <b v="0"/>
    <n v="0.13"/>
    <n v="25"/>
    <d v="2024-04-24T00:00:00"/>
    <n v="25"/>
    <n v="438912.67080000002"/>
    <n v="4394.84"/>
    <n v="434517.8308"/>
    <n v="0.98998698307800137"/>
    <s v="Mar-2024"/>
    <s v="Q1-2024"/>
    <s v="Americas → USA → Austin"/>
    <s v="Devices"/>
    <s v="Medium"/>
    <s v="USA"/>
    <d v="2023-01-13T00:00:00"/>
    <s v="Jan-2023"/>
    <d v="2024-03-31T00:00:00"/>
    <n v="0"/>
    <n v="0"/>
  </r>
  <r>
    <s v="ORD-2023-517216"/>
    <d v="2023-09-19T00:00:00"/>
    <d v="2023-10-08T00:00:00"/>
    <x v="2"/>
    <s v="India"/>
    <s v="Bengaluru"/>
    <s v="Education"/>
    <s v="Direct"/>
    <x v="1"/>
    <s v="Printers"/>
    <s v="PRN-5005"/>
    <n v="385.32"/>
    <n v="606.76"/>
    <n v="8.5999999999999993E-2"/>
    <n v="8"/>
    <s v="Valid"/>
    <n v="606.76"/>
    <b v="0"/>
    <n v="8.5999999999999993E-2"/>
    <n v="19"/>
    <d v="2023-10-08T00:00:00"/>
    <n v="19"/>
    <n v="484990.54911999998"/>
    <n v="4854.08"/>
    <n v="480136.46911999997"/>
    <n v="0.98999139259763391"/>
    <s v="Sep-2023"/>
    <s v="Q3-2023"/>
    <s v="Asia → India → Bengaluru"/>
    <s v="Peripherals"/>
    <s v="Low"/>
    <s v="INDIA"/>
    <d v="2023-01-29T00:00:00"/>
    <s v="Jan-2023"/>
    <d v="2023-09-30T00:00:00"/>
    <n v="0"/>
    <n v="0"/>
  </r>
  <r>
    <s v="ORD-2025-509940"/>
    <d v="2025-05-16T00:00:00"/>
    <d v="2025-05-27T00:00:00"/>
    <x v="2"/>
    <s v="China"/>
    <s v="Beijing"/>
    <s v="Enterprise"/>
    <s v="Online"/>
    <x v="8"/>
    <s v="Phones"/>
    <s v="PHN-3800"/>
    <n v="918.12"/>
    <n v="1337.69"/>
    <n v="9.5000000000000001E-2"/>
    <n v="8"/>
    <s v="Valid"/>
    <n v="1337.69"/>
    <b v="0"/>
    <n v="9.5000000000000001E-2"/>
    <n v="11"/>
    <d v="2025-05-27T00:00:00"/>
    <n v="11"/>
    <n v="1069135.3556000001"/>
    <n v="10701.52"/>
    <n v="1058433.8356000001"/>
    <n v="0.98999049096641811"/>
    <s v="May-2025"/>
    <s v="Q2-2025"/>
    <s v="Asia → China → Beijing"/>
    <s v="Devices"/>
    <s v="High"/>
    <s v="CHINA"/>
    <d v="2023-01-12T00:00:00"/>
    <s v="Jan-2023"/>
    <d v="2025-05-31T00:00:00"/>
    <n v="0"/>
    <n v="0"/>
  </r>
  <r>
    <s v="ORD-2025-646342"/>
    <d v="2025-08-02T00:00:00"/>
    <d v="2025-08-08T00:00:00"/>
    <x v="2"/>
    <s v="Japan"/>
    <s v="Osaka"/>
    <s v="Consumer"/>
    <s v="Direct"/>
    <x v="12"/>
    <s v="Laptops"/>
    <s v="LAP-4828"/>
    <n v="1225.94"/>
    <n v="1793.08"/>
    <n v="0.13600000000000001"/>
    <n v="22"/>
    <s v="Valid"/>
    <n v="1793.08"/>
    <b v="0"/>
    <n v="0.13600000000000001"/>
    <n v="6"/>
    <d v="2025-08-08T00:00:00"/>
    <n v="6"/>
    <n v="3939411.1046399996"/>
    <n v="39447.759999999995"/>
    <n v="3899963.3446399998"/>
    <n v="0.98998638147881124"/>
    <s v="Aug-2025"/>
    <s v="Q3-2025"/>
    <s v="Asia → Japan → Osaka"/>
    <s v="Devices"/>
    <s v="High"/>
    <s v="JAPAN"/>
    <d v="2023-03-03T00:00:00"/>
    <s v="Mar-2023"/>
    <d v="2025-08-31T00:00:00"/>
    <n v="1"/>
    <n v="0"/>
  </r>
  <r>
    <s v="ORD-2024-866535"/>
    <d v="2024-12-04T00:00:00"/>
    <d v="2024-12-12T00:00:00"/>
    <x v="3"/>
    <s v="Germany"/>
    <s v="Frankfurt"/>
    <s v="Enterprise"/>
    <s v="Marketplace"/>
    <x v="4"/>
    <s v="Printers"/>
    <s v="PRN-5492"/>
    <n v="72.06"/>
    <n v="122.74"/>
    <n v="0.23799999999999999"/>
    <n v="8"/>
    <s v="Valid"/>
    <n v="122.74"/>
    <b v="0"/>
    <n v="0.23799999999999999"/>
    <n v="8"/>
    <d v="2024-12-12T00:00:00"/>
    <n v="8"/>
    <n v="97958.303039999999"/>
    <n v="981.92"/>
    <n v="96976.383040000001"/>
    <n v="0.98997614322086569"/>
    <s v="Dec-2024"/>
    <s v="Q4-2024"/>
    <s v="Europe → Germany → Frankfurt"/>
    <s v="Peripherals"/>
    <s v="High"/>
    <s v="GERMANY"/>
    <d v="2023-01-22T00:00:00"/>
    <s v="Jan-2023"/>
    <d v="2024-12-31T00:00:00"/>
    <n v="0"/>
    <n v="1"/>
  </r>
  <r>
    <s v="ORD-2023-747341"/>
    <d v="2023-04-19T00:00:00"/>
    <d v="2023-04-28T00:00:00"/>
    <x v="1"/>
    <s v="Brazil"/>
    <s v="Rio de Janeiro"/>
    <s v="Corporate"/>
    <s v="Distributor"/>
    <x v="11"/>
    <s v="Phones"/>
    <s v="PHN-7132"/>
    <n v="1013.54"/>
    <n v="927.93"/>
    <n v="0.17499999999999999"/>
    <n v="16"/>
    <s v="Valid"/>
    <n v="927.93"/>
    <b v="0"/>
    <n v="0.17499999999999999"/>
    <n v="9"/>
    <d v="2023-04-28T00:00:00"/>
    <n v="9"/>
    <n v="1482089.7959999999"/>
    <n v="14846.88"/>
    <n v="1467242.916"/>
    <n v="0.9899824693213124"/>
    <s v="Apr-2023"/>
    <s v="Q2-2023"/>
    <s v="Americas → Brazil → Rio de Janeiro"/>
    <s v="Devices"/>
    <s v="Low"/>
    <s v="BRAZIL"/>
    <d v="2023-01-29T00:00:00"/>
    <s v="Jan-2023"/>
    <d v="2023-04-30T00:00:00"/>
    <n v="0"/>
    <n v="0"/>
  </r>
  <r>
    <s v="ORD-2024-853298"/>
    <d v="2024-03-06T00:00:00"/>
    <d v="2024-03-26T00:00:00"/>
    <x v="0"/>
    <s v="Nigeria"/>
    <s v="Port Harcourt"/>
    <s v="Consumer"/>
    <s v="Marketplace"/>
    <x v="2"/>
    <s v="Phones"/>
    <s v="PHN-4741"/>
    <n v="65.64"/>
    <n v="151.88"/>
    <n v="0.16700000000000001"/>
    <n v="23"/>
    <s v="Valid"/>
    <n v="151.88"/>
    <b v="0"/>
    <n v="0.16700000000000001"/>
    <n v="20"/>
    <d v="2024-03-26T00:00:00"/>
    <n v="20"/>
    <n v="348740.62891999999"/>
    <n v="3493.24"/>
    <n v="345247.38892"/>
    <n v="0.98998327206434744"/>
    <s v="Mar-2024"/>
    <s v="Q1-2024"/>
    <s v="Africa → Nigeria → Port Harcourt"/>
    <s v="Devices"/>
    <s v="Medium"/>
    <s v="NIGERIA"/>
    <d v="2023-01-15T00:00:00"/>
    <s v="Jan-2023"/>
    <d v="2024-03-31T00:00:00"/>
    <n v="0"/>
    <n v="0"/>
  </r>
  <r>
    <s v="ORD-2024-544865"/>
    <d v="2024-02-16T00:00:00"/>
    <d v="2024-03-04T00:00:00"/>
    <x v="1"/>
    <s v="Canada"/>
    <s v="Montreal"/>
    <s v="Non-Profit"/>
    <s v="Retail"/>
    <x v="13"/>
    <s v="Laptops"/>
    <s v="LAP-2774"/>
    <n v="1350.98"/>
    <n v="2210.4"/>
    <n v="0.26300000000000001"/>
    <n v="6"/>
    <s v="Valid"/>
    <n v="2210.4"/>
    <b v="0"/>
    <n v="0.26300000000000001"/>
    <n v="17"/>
    <d v="2024-03-04T00:00:00"/>
    <n v="17"/>
    <n v="1322751.9888000002"/>
    <n v="13262.400000000001"/>
    <n v="1309489.5888000003"/>
    <n v="0.98997363064860588"/>
    <s v="Feb-2024"/>
    <s v="Q1-2024"/>
    <s v="Americas → Canada → Montreal"/>
    <s v="Devices"/>
    <s v="Medium"/>
    <s v="CANADA"/>
    <d v="2023-01-02T00:00:00"/>
    <s v="Jan-2023"/>
    <d v="2024-02-29T00:00:00"/>
    <n v="0"/>
    <n v="1"/>
  </r>
  <r>
    <s v="ORD-2025-946490"/>
    <d v="2025-04-22T00:00:00"/>
    <d v="2025-05-02T00:00:00"/>
    <x v="3"/>
    <s v="Germany"/>
    <s v="Berlin"/>
    <s v="Corporate"/>
    <s v="Marketplace"/>
    <x v="0"/>
    <s v="Monitors"/>
    <s v="MON-2842"/>
    <n v="20.149999999999999"/>
    <n v="39.74"/>
    <n v="0.151"/>
    <n v="18"/>
    <s v="Valid"/>
    <n v="39.74"/>
    <b v="0"/>
    <n v="0.151"/>
    <n v="10"/>
    <d v="2025-05-02T00:00:00"/>
    <n v="10"/>
    <n v="71423.986680000002"/>
    <n v="715.32"/>
    <n v="70708.666679999995"/>
    <n v="0.98998487716451833"/>
    <s v="Apr-2025"/>
    <s v="Q2-2025"/>
    <s v="Europe → Germany → Berlin"/>
    <s v="Peripherals"/>
    <s v="High"/>
    <s v="GERMANY"/>
    <d v="2023-01-22T00:00:00"/>
    <s v="Jan-2023"/>
    <d v="2025-04-30T00:00:00"/>
    <n v="0"/>
    <n v="0"/>
  </r>
  <r>
    <s v="ORD-2024-320972"/>
    <d v="2024-11-08T00:00:00"/>
    <d v="2024-11-08T00:00:00"/>
    <x v="0"/>
    <s v="Kenya"/>
    <s v="Nakuru"/>
    <s v="Enterprise"/>
    <s v="Marketplace"/>
    <x v="11"/>
    <s v="Networking"/>
    <s v="NET-2628"/>
    <n v="803.28"/>
    <n v="1009"/>
    <n v="0.11"/>
    <n v="4"/>
    <s v="Valid"/>
    <n v="1009"/>
    <b v="0"/>
    <n v="0.11"/>
    <n v="0"/>
    <d v="2024-11-08T00:00:00"/>
    <n v="0"/>
    <n v="403156.04"/>
    <n v="4036"/>
    <n v="399120.04"/>
    <n v="0.98998898788667533"/>
    <s v="Nov-2024"/>
    <s v="Q4-2024"/>
    <s v="Africa → Kenya → Nakuru"/>
    <s v="Support"/>
    <s v="High"/>
    <s v="KENYA"/>
    <d v="2023-01-20T00:00:00"/>
    <s v="Jan-2023"/>
    <d v="2024-11-30T00:00:00"/>
    <n v="1"/>
    <n v="0"/>
  </r>
  <r>
    <s v="ORD-2025-248586"/>
    <d v="2025-09-12T00:00:00"/>
    <d v="2025-09-30T00:00:00"/>
    <x v="2"/>
    <s v="Japan"/>
    <s v="Nagoya"/>
    <s v="Non-Profit"/>
    <s v="Marketplace"/>
    <x v="8"/>
    <s v="Monitors"/>
    <s v="MON-2998"/>
    <n v="1212.99"/>
    <n v="1653.64"/>
    <n v="0.107"/>
    <n v="8"/>
    <s v="Valid"/>
    <n v="1653.64"/>
    <b v="0"/>
    <n v="0.107"/>
    <n v="18"/>
    <d v="2025-09-30T00:00:00"/>
    <n v="18"/>
    <n v="1321496.48416"/>
    <n v="13229.12"/>
    <n v="1308267.3641599999"/>
    <n v="0.98998928853873636"/>
    <s v="Sep-2025"/>
    <s v="Q3-2025"/>
    <s v="Asia → Japan → Nagoya"/>
    <s v="Peripherals"/>
    <s v="High"/>
    <s v="JAPAN"/>
    <d v="2023-03-03T00:00:00"/>
    <s v="Mar-2023"/>
    <d v="2025-09-30T00:00:00"/>
    <n v="0"/>
    <n v="0"/>
  </r>
  <r>
    <s v="ORD-2024-664046"/>
    <d v="2024-09-02T00:00:00"/>
    <d v="2024-09-08T00:00:00"/>
    <x v="1"/>
    <s v="USA"/>
    <s v="Austin"/>
    <s v="Consumer"/>
    <s v="Direct"/>
    <x v="9"/>
    <s v="Components"/>
    <s v="CMP-7563"/>
    <n v="462.94"/>
    <n v="1015.7"/>
    <n v="0.14299999999999999"/>
    <n v="14"/>
    <s v="Valid"/>
    <n v="1015.7"/>
    <b v="0"/>
    <n v="0.14299999999999999"/>
    <n v="6"/>
    <d v="2024-09-08T00:00:00"/>
    <n v="6"/>
    <n v="1419946.5686000001"/>
    <n v="14219.800000000001"/>
    <n v="1405726.7686000001"/>
    <n v="0.98998567952171601"/>
    <s v="Sep-2024"/>
    <s v="Q3-2024"/>
    <s v="Americas → USA → Austin"/>
    <s v="Support"/>
    <s v="Medium"/>
    <s v="USA"/>
    <d v="2023-01-13T00:00:00"/>
    <s v="Jan-2023"/>
    <d v="2024-09-30T00:00:00"/>
    <n v="1"/>
    <n v="0"/>
  </r>
  <r>
    <s v="ORD-2023-276806"/>
    <d v="2023-03-04T00:00:00"/>
    <d v="2023-03-24T00:00:00"/>
    <x v="1"/>
    <s v="Canada"/>
    <s v="Montreal"/>
    <s v="Consumer"/>
    <s v="Distributor"/>
    <x v="2"/>
    <s v="Laptops"/>
    <s v="LAP-6160"/>
    <n v="481.71"/>
    <n v="912.45"/>
    <n v="0.20300000000000001"/>
    <n v="24"/>
    <s v="Valid"/>
    <n v="912.45"/>
    <b v="0"/>
    <n v="0.20300000000000001"/>
    <n v="20"/>
    <d v="2023-03-24T00:00:00"/>
    <n v="20"/>
    <n v="2185434.5436000004"/>
    <n v="21898.800000000003"/>
    <n v="2163535.7436000006"/>
    <n v="0.98997965870717564"/>
    <s v="Mar-2023"/>
    <s v="Q1-2023"/>
    <s v="Americas → Canada → Montreal"/>
    <s v="Devices"/>
    <s v="Low"/>
    <s v="CANADA"/>
    <d v="2023-01-02T00:00:00"/>
    <s v="Jan-2023"/>
    <d v="2023-03-31T00:00:00"/>
    <n v="0"/>
    <n v="1"/>
  </r>
  <r>
    <s v="ORD-2024-220234"/>
    <d v="2024-03-15T00:00:00"/>
    <d v="2024-04-09T00:00:00"/>
    <x v="1"/>
    <s v="Canada"/>
    <s v="Vancouver"/>
    <s v="Consumer"/>
    <s v="Online"/>
    <x v="8"/>
    <s v="Monitors"/>
    <s v="MON-4361"/>
    <n v="648.64"/>
    <n v="815.19"/>
    <n v="0.22500000000000001"/>
    <n v="28"/>
    <s v="Valid"/>
    <n v="815.19"/>
    <b v="0"/>
    <n v="0.22500000000000001"/>
    <n v="25"/>
    <d v="2024-04-09T00:00:00"/>
    <n v="25"/>
    <n v="2277396.3030000003"/>
    <n v="22825.32"/>
    <n v="2254570.9830000005"/>
    <n v="0.98997744926083697"/>
    <s v="Mar-2024"/>
    <s v="Q1-2024"/>
    <s v="Americas → Canada → Vancouver"/>
    <s v="Peripherals"/>
    <s v="Medium"/>
    <s v="CANADA"/>
    <d v="2023-01-02T00:00:00"/>
    <s v="Jan-2023"/>
    <d v="2024-03-31T00:00:00"/>
    <n v="0"/>
    <n v="1"/>
  </r>
  <r>
    <s v="ORD-2024-301260"/>
    <d v="2024-07-29T00:00:00"/>
    <d v="2024-07-31T00:00:00"/>
    <x v="1"/>
    <s v="USA"/>
    <s v="New York"/>
    <s v="Education"/>
    <s v="Marketplace"/>
    <x v="2"/>
    <s v="Printers"/>
    <s v="PRN-2829"/>
    <n v="798.97"/>
    <n v="1814.06"/>
    <n v="0.122"/>
    <n v="16"/>
    <s v="Valid"/>
    <n v="1814.06"/>
    <b v="0"/>
    <n v="0.122"/>
    <n v="2"/>
    <d v="2024-07-31T00:00:00"/>
    <n v="2"/>
    <n v="2898954.9548800001"/>
    <n v="29024.959999999999"/>
    <n v="2869929.9948800001"/>
    <n v="0.98998778509781937"/>
    <s v="Jul-2024"/>
    <s v="Q3-2024"/>
    <s v="Americas → USA → New York"/>
    <s v="Peripherals"/>
    <s v="Medium"/>
    <s v="USA"/>
    <d v="2023-01-13T00:00:00"/>
    <s v="Jan-2023"/>
    <d v="2024-07-31T00:00:00"/>
    <n v="1"/>
    <n v="0"/>
  </r>
  <r>
    <s v="ORD-2024-350100"/>
    <d v="2024-10-27T00:00:00"/>
    <d v="2024-11-20T00:00:00"/>
    <x v="2"/>
    <s v="Japan"/>
    <s v="Nagoya"/>
    <s v="Non-Profit"/>
    <s v="Online"/>
    <x v="9"/>
    <s v="Monitors"/>
    <s v="MON-8939"/>
    <n v="317.25"/>
    <n v="758.92"/>
    <n v="5.2999999999999999E-2"/>
    <n v="9"/>
    <s v="Valid"/>
    <n v="758.92"/>
    <b v="0"/>
    <n v="5.2999999999999999E-2"/>
    <n v="24"/>
    <d v="2024-11-20T00:00:00"/>
    <n v="24"/>
    <n v="682665.99516000005"/>
    <n v="6830.28"/>
    <n v="675835.71516000002"/>
    <n v="0.98999469718951039"/>
    <s v="Oct-2024"/>
    <s v="Q4-2024"/>
    <s v="Asia → Japan → Nagoya"/>
    <s v="Peripherals"/>
    <s v="High"/>
    <s v="JAPAN"/>
    <d v="2023-03-03T00:00:00"/>
    <s v="Mar-2023"/>
    <d v="2024-10-31T00:00:00"/>
    <n v="0"/>
    <n v="0"/>
  </r>
  <r>
    <s v="ORD-2024-855600"/>
    <d v="2024-04-29T00:00:00"/>
    <d v="2024-05-19T00:00:00"/>
    <x v="3"/>
    <s v="Germany"/>
    <s v="Frankfurt"/>
    <s v="Enterprise"/>
    <s v="Marketplace"/>
    <x v="0"/>
    <s v="Laptops"/>
    <s v="LAP-5009"/>
    <n v="668.97"/>
    <n v="1667.44"/>
    <n v="3.4000000000000002E-2"/>
    <n v="15"/>
    <s v="Valid"/>
    <n v="1667.44"/>
    <b v="0"/>
    <n v="3.4000000000000002E-2"/>
    <n v="20"/>
    <d v="2024-05-19T00:00:00"/>
    <n v="20"/>
    <n v="2500309.6055999999"/>
    <n v="25011.600000000002"/>
    <n v="2475298.0055999998"/>
    <n v="0.9899965988436068"/>
    <s v="Apr-2024"/>
    <s v="Q2-2024"/>
    <s v="Europe → Germany → Frankfurt"/>
    <s v="Devices"/>
    <s v="Medium"/>
    <s v="GERMANY"/>
    <d v="2023-01-22T00:00:00"/>
    <s v="Jan-2023"/>
    <d v="2024-04-30T00:00:00"/>
    <n v="0"/>
    <n v="0"/>
  </r>
  <r>
    <s v="ORD-2023-474313"/>
    <d v="2023-10-05T00:00:00"/>
    <d v="2023-10-06T00:00:00"/>
    <x v="2"/>
    <s v="India"/>
    <s v="Bengaluru"/>
    <s v="Non-Profit"/>
    <s v="Online"/>
    <x v="2"/>
    <s v="Components"/>
    <s v="CMP-4807"/>
    <n v="1470.26"/>
    <n v="2562.5500000000002"/>
    <n v="0.17299999999999999"/>
    <n v="9"/>
    <s v="Valid"/>
    <n v="2562.5500000000002"/>
    <b v="0"/>
    <n v="0.17299999999999999"/>
    <n v="1"/>
    <d v="2023-10-06T00:00:00"/>
    <n v="1"/>
    <n v="2302305.10965"/>
    <n v="23062.95"/>
    <n v="2279242.1596499998"/>
    <n v="0.98998267001913298"/>
    <s v="Oct-2023"/>
    <s v="Q4-2023"/>
    <s v="Asia → India → Bengaluru"/>
    <s v="Support"/>
    <s v="Low"/>
    <s v="INDIA"/>
    <d v="2023-01-29T00:00:00"/>
    <s v="Jan-2023"/>
    <d v="2023-10-31T00:00:00"/>
    <n v="1"/>
    <n v="0"/>
  </r>
  <r>
    <s v="ORD-2023-256951"/>
    <d v="2023-04-19T00:00:00"/>
    <d v="2023-05-07T00:00:00"/>
    <x v="3"/>
    <s v="United Kingdom"/>
    <s v="London"/>
    <s v="Non-Profit"/>
    <s v="Direct"/>
    <x v="9"/>
    <s v="Networking"/>
    <s v="NET-2439"/>
    <n v="516.96"/>
    <n v="745.38"/>
    <n v="0.19700000000000001"/>
    <n v="4"/>
    <s v="Valid"/>
    <n v="745.38"/>
    <b v="0"/>
    <n v="0.19700000000000001"/>
    <n v="18"/>
    <d v="2023-05-07T00:00:00"/>
    <n v="18"/>
    <n v="297564.64055999997"/>
    <n v="2981.52"/>
    <n v="294583.12055999995"/>
    <n v="0.9899802611143953"/>
    <s v="Apr-2023"/>
    <s v="Q2-2023"/>
    <s v="Europe → United Kingdom → London"/>
    <s v="Support"/>
    <s v="Low"/>
    <s v="UNITED KINGDOM"/>
    <d v="2023-01-19T00:00:00"/>
    <s v="Jan-2023"/>
    <d v="2023-04-30T00:00:00"/>
    <n v="0"/>
    <n v="0"/>
  </r>
  <r>
    <s v="ORD-2025-184754"/>
    <d v="2025-06-27T00:00:00"/>
    <d v="2025-07-05T00:00:00"/>
    <x v="3"/>
    <s v="Germany"/>
    <s v="Munich"/>
    <s v="Small Business"/>
    <s v="Direct"/>
    <x v="3"/>
    <s v="Monitors"/>
    <s v="MON-7626"/>
    <n v="314.93"/>
    <n v="687.95"/>
    <n v="0.20499999999999999"/>
    <n v="8"/>
    <s v="Valid"/>
    <n v="687.95"/>
    <b v="0"/>
    <n v="0.20499999999999999"/>
    <n v="8"/>
    <d v="2025-07-05T00:00:00"/>
    <n v="8"/>
    <n v="549231.76199999999"/>
    <n v="5503.6"/>
    <n v="543728.16200000001"/>
    <n v="0.98997945788867181"/>
    <s v="Jun-2025"/>
    <s v="Q2-2025"/>
    <s v="Europe → Germany → Munich"/>
    <s v="Peripherals"/>
    <s v="High"/>
    <s v="GERMANY"/>
    <d v="2023-01-22T00:00:00"/>
    <s v="Jan-2023"/>
    <d v="2025-06-30T00:00:00"/>
    <n v="0"/>
    <n v="1"/>
  </r>
  <r>
    <s v="ORD-2023-888140"/>
    <d v="2023-10-11T00:00:00"/>
    <d v="2023-10-13T00:00:00"/>
    <x v="1"/>
    <s v="Brazil"/>
    <s v="Brasília"/>
    <s v="Consumer"/>
    <s v="Distributor"/>
    <x v="15"/>
    <s v="Accessories"/>
    <s v="ACC-3567"/>
    <n v="715.94"/>
    <n v="550.07000000000005"/>
    <n v="0.14000000000000001"/>
    <n v="16"/>
    <s v="Valid"/>
    <n v="550.07000000000005"/>
    <b v="0"/>
    <n v="0.14000000000000001"/>
    <n v="2"/>
    <d v="2023-10-13T00:00:00"/>
    <n v="2"/>
    <n v="878879.84320000012"/>
    <n v="8801.1200000000008"/>
    <n v="870078.72320000012"/>
    <n v="0.9899859803725215"/>
    <s v="Oct-2023"/>
    <s v="Q4-2023"/>
    <s v="Americas → Brazil → Brasília"/>
    <s v="Support"/>
    <s v="Low"/>
    <s v="BRAZIL"/>
    <d v="2023-01-29T00:00:00"/>
    <s v="Jan-2023"/>
    <d v="2023-10-31T00:00:00"/>
    <n v="1"/>
    <n v="0"/>
  </r>
  <r>
    <s v="ORD-2023-638181"/>
    <d v="2023-05-20T00:00:00"/>
    <d v="2023-06-07T00:00:00"/>
    <x v="0"/>
    <s v="Nigeria"/>
    <s v="Port Harcourt"/>
    <s v="Enterprise"/>
    <s v="Distributor"/>
    <x v="5"/>
    <s v="Components"/>
    <s v="CMP-4630"/>
    <n v="1120.06"/>
    <n v="2068.21"/>
    <n v="7.8E-2"/>
    <n v="12"/>
    <s v="Valid"/>
    <n v="2068.21"/>
    <b v="0"/>
    <n v="7.8E-2"/>
    <n v="18"/>
    <d v="2023-06-07T00:00:00"/>
    <n v="18"/>
    <n v="2479916.1554399999"/>
    <n v="24818.52"/>
    <n v="2455097.6354399999"/>
    <n v="0.98999219391125082"/>
    <s v="May-2023"/>
    <s v="Q2-2023"/>
    <s v="Africa → Nigeria → Port Harcourt"/>
    <s v="Support"/>
    <s v="Low"/>
    <s v="NIGERIA"/>
    <d v="2023-01-15T00:00:00"/>
    <s v="Jan-2023"/>
    <d v="2023-05-31T00:00:00"/>
    <n v="0"/>
    <n v="0"/>
  </r>
  <r>
    <s v="ORD-2023-521280"/>
    <d v="2023-05-27T00:00:00"/>
    <d v="2023-06-19T00:00:00"/>
    <x v="3"/>
    <s v="Germany"/>
    <s v="Berlin"/>
    <s v="Education"/>
    <s v="Retail"/>
    <x v="6"/>
    <s v="Accessories"/>
    <s v="ACC-1882"/>
    <n v="1471.58"/>
    <n v="2576.65"/>
    <n v="4.0000000000000001E-3"/>
    <n v="7"/>
    <s v="Valid"/>
    <n v="2576.65"/>
    <b v="0"/>
    <n v="4.0000000000000001E-3"/>
    <n v="23"/>
    <d v="2023-06-19T00:00:00"/>
    <n v="23"/>
    <n v="1803582.8537999999"/>
    <n v="18036.55"/>
    <n v="1785546.3037999999"/>
    <n v="0.98999959998399933"/>
    <s v="May-2023"/>
    <s v="Q2-2023"/>
    <s v="Europe → Germany → Berlin"/>
    <s v="Support"/>
    <s v="Low"/>
    <s v="GERMANY"/>
    <d v="2023-01-22T00:00:00"/>
    <s v="Jan-2023"/>
    <d v="2023-05-31T00:00:00"/>
    <n v="0"/>
    <n v="0"/>
  </r>
  <r>
    <s v="ORD-2023-630430"/>
    <d v="2023-08-04T00:00:00"/>
    <d v="2023-08-24T00:00:00"/>
    <x v="1"/>
    <s v="Brazil"/>
    <s v="Brasília"/>
    <s v="Non-Profit"/>
    <s v="Direct"/>
    <x v="15"/>
    <s v="Networking"/>
    <s v="NET-9125"/>
    <n v="582.88"/>
    <n v="1044.1400000000001"/>
    <n v="0.216"/>
    <n v="10"/>
    <s v="Valid"/>
    <n v="1044.1400000000001"/>
    <b v="0"/>
    <n v="0.216"/>
    <n v="20"/>
    <d v="2023-08-24T00:00:00"/>
    <n v="20"/>
    <n v="1041884.6576000002"/>
    <n v="10441.400000000001"/>
    <n v="1031443.2576000001"/>
    <n v="0.98997835324300487"/>
    <s v="Aug-2023"/>
    <s v="Q3-2023"/>
    <s v="Americas → Brazil → Brasília"/>
    <s v="Support"/>
    <s v="Low"/>
    <s v="BRAZIL"/>
    <d v="2023-01-29T00:00:00"/>
    <s v="Jan-2023"/>
    <d v="2023-08-31T00:00:00"/>
    <n v="0"/>
    <n v="1"/>
  </r>
  <r>
    <s v="ORD-2025-908258"/>
    <d v="2025-06-21T00:00:00"/>
    <d v="2025-06-27T00:00:00"/>
    <x v="0"/>
    <s v="South Africa"/>
    <s v="Durban"/>
    <s v="Enterprise"/>
    <s v="Distributor"/>
    <x v="12"/>
    <s v="Phones"/>
    <s v="PHN-3819"/>
    <n v="93.91"/>
    <n v="99.04"/>
    <n v="5.7000000000000002E-2"/>
    <n v="6"/>
    <s v="Valid"/>
    <n v="99.04"/>
    <b v="0"/>
    <n v="5.7000000000000002E-2"/>
    <n v="6"/>
    <d v="2025-06-27T00:00:00"/>
    <n v="6"/>
    <n v="59390.128319999996"/>
    <n v="594.24"/>
    <n v="58795.888319999998"/>
    <n v="0.98999429674914707"/>
    <s v="Jun-2025"/>
    <s v="Q2-2025"/>
    <s v="Africa → South Africa → Durban"/>
    <s v="Devices"/>
    <s v="High"/>
    <s v="SOUTH AFRICA"/>
    <d v="2023-01-07T00:00:00"/>
    <s v="Jan-2023"/>
    <d v="2025-06-30T00:00:00"/>
    <n v="1"/>
    <n v="0"/>
  </r>
  <r>
    <s v="ORD-2025-440093"/>
    <d v="2025-04-16T00:00:00"/>
    <d v="2025-04-26T00:00:00"/>
    <x v="0"/>
    <s v="Nigeria"/>
    <s v="Port Harcourt"/>
    <s v="Enterprise"/>
    <s v="Marketplace"/>
    <x v="8"/>
    <s v="Laptops"/>
    <s v="LAP-3490"/>
    <n v="1457.44"/>
    <n v="1996.81"/>
    <n v="0.126"/>
    <n v="23"/>
    <s v="Valid"/>
    <n v="1996.81"/>
    <b v="0"/>
    <n v="0.126"/>
    <n v="10"/>
    <d v="2025-04-26T00:00:00"/>
    <n v="10"/>
    <n v="4586876.2446199991"/>
    <n v="45926.63"/>
    <n v="4540949.6146199992"/>
    <n v="0.98998738410397102"/>
    <s v="Apr-2025"/>
    <s v="Q2-2025"/>
    <s v="Africa → Nigeria → Port Harcourt"/>
    <s v="Devices"/>
    <s v="High"/>
    <s v="NIGERIA"/>
    <d v="2023-01-15T00:00:00"/>
    <s v="Jan-2023"/>
    <d v="2025-04-30T00:00:00"/>
    <n v="0"/>
    <n v="0"/>
  </r>
  <r>
    <s v="ORD-2025-898022"/>
    <d v="2025-09-02T00:00:00"/>
    <d v="2025-09-11T00:00:00"/>
    <x v="1"/>
    <s v="Canada"/>
    <s v="Toronto"/>
    <s v="Corporate"/>
    <s v="Distributor"/>
    <x v="11"/>
    <s v="Printers"/>
    <s v="PRN-1276"/>
    <n v="1207.6300000000001"/>
    <n v="921.68"/>
    <n v="0.19600000000000001"/>
    <n v="17"/>
    <s v="Valid"/>
    <n v="921.68"/>
    <b v="0"/>
    <n v="0.19600000000000001"/>
    <n v="9"/>
    <d v="2025-09-11T00:00:00"/>
    <n v="9"/>
    <n v="1563784.96224"/>
    <n v="15668.56"/>
    <n v="1548116.40224"/>
    <n v="0.98998036150855673"/>
    <s v="Sep-2025"/>
    <s v="Q3-2025"/>
    <s v="Americas → Canada → Toronto"/>
    <s v="Peripherals"/>
    <s v="High"/>
    <s v="CANADA"/>
    <d v="2023-01-02T00:00:00"/>
    <s v="Jan-2023"/>
    <d v="2025-09-30T00:00:00"/>
    <n v="0"/>
    <n v="0"/>
  </r>
  <r>
    <s v="ORD-2024-500511"/>
    <d v="2024-10-08T00:00:00"/>
    <d v="2024-10-08T00:00:00"/>
    <x v="3"/>
    <s v="United Kingdom"/>
    <s v="London"/>
    <s v="Corporate"/>
    <s v="Online"/>
    <x v="5"/>
    <s v="Monitors"/>
    <s v="MON-9733"/>
    <n v="1108.1099999999999"/>
    <n v="2503.79"/>
    <n v="0.184"/>
    <n v="19"/>
    <s v="Valid"/>
    <n v="2503.79"/>
    <b v="0"/>
    <n v="0.184"/>
    <n v="0"/>
    <d v="2024-10-08T00:00:00"/>
    <n v="0"/>
    <n v="4748447.7501600003"/>
    <n v="47572.01"/>
    <n v="4700875.7401600005"/>
    <n v="0.98998156608159016"/>
    <s v="Oct-2024"/>
    <s v="Q4-2024"/>
    <s v="Europe → United Kingdom → London"/>
    <s v="Peripherals"/>
    <s v="Medium"/>
    <s v="UNITED KINGDOM"/>
    <d v="2023-01-19T00:00:00"/>
    <s v="Jan-2023"/>
    <d v="2024-10-31T00:00:00"/>
    <n v="1"/>
    <n v="0"/>
  </r>
  <r>
    <s v="ORD-2023-632893"/>
    <d v="2023-05-07T00:00:00"/>
    <d v="2023-05-05T00:00:00"/>
    <x v="0"/>
    <s v="Nigeria"/>
    <s v="Port Harcourt"/>
    <s v="Non-Profit"/>
    <s v="Marketplace"/>
    <x v="7"/>
    <s v="Components"/>
    <s v="CMP-9392"/>
    <n v="1269.6500000000001"/>
    <n v="2462.77"/>
    <n v="0.107"/>
    <n v="8"/>
    <s v="Valid"/>
    <n v="2462.77"/>
    <b v="0"/>
    <n v="0.107"/>
    <n v="-2"/>
    <d v="2023-05-14T00:00:00"/>
    <n v="7"/>
    <n v="1968107.86888"/>
    <n v="19702.16"/>
    <n v="1948405.70888"/>
    <n v="0.98998928853873647"/>
    <s v="May-2023"/>
    <s v="Q2-2023"/>
    <s v="Africa → Nigeria → Port Harcourt"/>
    <s v="Support"/>
    <s v="Low"/>
    <s v="NIGERIA"/>
    <d v="2023-01-15T00:00:00"/>
    <s v="Jan-2023"/>
    <d v="2023-05-31T00:00:00"/>
    <n v="1"/>
    <n v="0"/>
  </r>
  <r>
    <s v="ORD-2023-967239"/>
    <d v="2023-12-24T00:00:00"/>
    <d v="2024-01-01T00:00:00"/>
    <x v="1"/>
    <s v="Brazil"/>
    <s v="São Paulo"/>
    <s v="Education"/>
    <s v="Direct"/>
    <x v="0"/>
    <s v="Phones"/>
    <s v="PHN-3014"/>
    <n v="526.49"/>
    <n v="496.2"/>
    <n v="0"/>
    <n v="14"/>
    <s v="Valid"/>
    <n v="496.2"/>
    <b v="0"/>
    <n v="0"/>
    <n v="8"/>
    <d v="2024-01-01T00:00:00"/>
    <n v="8"/>
    <n v="694680"/>
    <n v="6946.8"/>
    <n v="687733.2"/>
    <n v="0.98999999999999988"/>
    <s v="Dec-2023"/>
    <s v="Q4-2023"/>
    <s v="Americas → Brazil → São Paulo"/>
    <s v="Devices"/>
    <s v="Medium"/>
    <s v="BRAZIL"/>
    <d v="2023-01-29T00:00:00"/>
    <s v="Jan-2023"/>
    <d v="2023-12-31T00:00:00"/>
    <n v="0"/>
    <n v="0"/>
  </r>
  <r>
    <s v="ORD-2024-885858"/>
    <d v="2024-01-10T00:00:00"/>
    <d v="2024-01-23T00:00:00"/>
    <x v="3"/>
    <s v="France"/>
    <s v="Marseille"/>
    <s v="Corporate"/>
    <s v="Direct"/>
    <x v="7"/>
    <s v="Printers"/>
    <s v="PRN-6776"/>
    <n v="720"/>
    <n v="907.59"/>
    <n v="0.154"/>
    <n v="10"/>
    <s v="Valid"/>
    <n v="907.59"/>
    <b v="0"/>
    <n v="0.154"/>
    <n v="13"/>
    <d v="2024-01-23T00:00:00"/>
    <n v="13"/>
    <n v="906192.31140000001"/>
    <n v="9075.9"/>
    <n v="897116.41139999998"/>
    <n v="0.98998457624742098"/>
    <s v="Jan-2024"/>
    <s v="Q1-2024"/>
    <s v="Europe → France → Marseille"/>
    <s v="Peripherals"/>
    <s v="Medium"/>
    <s v="FRANCE"/>
    <d v="2023-01-10T00:00:00"/>
    <s v="Jan-2023"/>
    <d v="2024-01-31T00:00:00"/>
    <n v="0"/>
    <n v="0"/>
  </r>
  <r>
    <s v="ORD-2023-253245"/>
    <d v="2023-08-03T00:00:00"/>
    <d v="2023-08-14T00:00:00"/>
    <x v="1"/>
    <s v="Brazil"/>
    <s v="Brasília"/>
    <s v="Corporate"/>
    <s v="Direct"/>
    <x v="1"/>
    <s v="Accessories"/>
    <s v="ACC-3951"/>
    <n v="232.73"/>
    <n v="334.19"/>
    <n v="0.13400000000000001"/>
    <n v="25"/>
    <s v="Valid"/>
    <n v="334.19"/>
    <b v="0"/>
    <n v="0.13400000000000001"/>
    <n v="11"/>
    <d v="2023-08-14T00:00:00"/>
    <n v="11"/>
    <n v="834355.46349999995"/>
    <n v="8354.75"/>
    <n v="826000.71349999995"/>
    <n v="0.98998658201990664"/>
    <s v="Aug-2023"/>
    <s v="Q3-2023"/>
    <s v="Americas → Brazil → Brasília"/>
    <s v="Support"/>
    <s v="Low"/>
    <s v="BRAZIL"/>
    <d v="2023-01-29T00:00:00"/>
    <s v="Jan-2023"/>
    <d v="2023-08-31T00:00:00"/>
    <n v="0"/>
    <n v="0"/>
  </r>
  <r>
    <s v="ORD-2025-484073"/>
    <d v="2025-02-19T00:00:00"/>
    <d v="2025-03-09T00:00:00"/>
    <x v="2"/>
    <s v="India"/>
    <s v="Delhi"/>
    <s v="Small Business"/>
    <s v="Direct"/>
    <x v="6"/>
    <s v="Monitors"/>
    <s v="MON-1436"/>
    <n v="325.87"/>
    <n v="538.79"/>
    <n v="0.17399999999999999"/>
    <n v="16"/>
    <s v="Valid"/>
    <n v="538.79"/>
    <b v="0"/>
    <n v="0.17399999999999999"/>
    <n v="18"/>
    <d v="2025-03-09T00:00:00"/>
    <n v="18"/>
    <n v="860564.0086399999"/>
    <n v="8620.64"/>
    <n v="851943.36863999988"/>
    <n v="0.98998256967122789"/>
    <s v="Feb-2025"/>
    <s v="Q1-2025"/>
    <s v="Asia → India → Delhi"/>
    <s v="Peripherals"/>
    <s v="High"/>
    <s v="INDIA"/>
    <d v="2023-01-29T00:00:00"/>
    <s v="Jan-2023"/>
    <d v="2025-02-28T00:00:00"/>
    <n v="0"/>
    <n v="0"/>
  </r>
  <r>
    <s v="ORD-2024-745822"/>
    <d v="2024-03-31T00:00:00"/>
    <d v="2024-04-17T00:00:00"/>
    <x v="3"/>
    <s v="Germany"/>
    <s v="Frankfurt"/>
    <s v="Education"/>
    <s v="Direct"/>
    <x v="9"/>
    <s v="Monitors"/>
    <s v="MON-8651"/>
    <n v="1025.51"/>
    <n v="1436.54"/>
    <n v="0.13900000000000001"/>
    <n v="28"/>
    <s v="Valid"/>
    <n v="1436.54"/>
    <b v="0"/>
    <n v="0.13900000000000001"/>
    <n v="17"/>
    <d v="2024-04-17T00:00:00"/>
    <n v="17"/>
    <n v="4016720.9863199997"/>
    <n v="40223.119999999995"/>
    <n v="3976497.8663199996"/>
    <n v="0.98998608065210636"/>
    <s v="Mar-2024"/>
    <s v="Q1-2024"/>
    <s v="Europe → Germany → Frankfurt"/>
    <s v="Peripherals"/>
    <s v="Medium"/>
    <s v="GERMANY"/>
    <d v="2023-01-22T00:00:00"/>
    <s v="Jan-2023"/>
    <d v="2024-03-31T00:00:00"/>
    <n v="0"/>
    <n v="0"/>
  </r>
  <r>
    <s v="ORD-2023-369160"/>
    <d v="2023-07-24T00:00:00"/>
    <d v="2023-08-13T00:00:00"/>
    <x v="1"/>
    <s v="Canada"/>
    <s v="Montreal"/>
    <s v="Education"/>
    <s v="Direct"/>
    <x v="0"/>
    <s v="Monitors"/>
    <s v="MON-3307"/>
    <n v="1082.3800000000001"/>
    <n v="1766.55"/>
    <n v="0.16400000000000001"/>
    <n v="20"/>
    <s v="Valid"/>
    <n v="1766.55"/>
    <b v="0"/>
    <n v="0.16400000000000001"/>
    <n v="20"/>
    <d v="2023-08-13T00:00:00"/>
    <n v="20"/>
    <n v="3527305.716"/>
    <n v="35331"/>
    <n v="3491974.716"/>
    <n v="0.9899835730598181"/>
    <s v="Jul-2023"/>
    <s v="Q3-2023"/>
    <s v="Americas → Canada → Montreal"/>
    <s v="Peripherals"/>
    <s v="Low"/>
    <s v="CANADA"/>
    <d v="2023-01-02T00:00:00"/>
    <s v="Jan-2023"/>
    <d v="2023-07-31T00:00:00"/>
    <n v="0"/>
    <n v="0"/>
  </r>
  <r>
    <s v="ORD-2024-834983"/>
    <d v="2024-03-16T00:00:00"/>
    <d v="2024-04-13T00:00:00"/>
    <x v="3"/>
    <s v="France"/>
    <s v="Paris"/>
    <s v="Small Business"/>
    <s v="Online"/>
    <x v="10"/>
    <s v="Printers"/>
    <s v="PRN-8758"/>
    <n v="287.61"/>
    <n v="628.54"/>
    <n v="0.13500000000000001"/>
    <n v="21"/>
    <s v="Valid"/>
    <n v="628.54"/>
    <b v="0"/>
    <n v="0.13500000000000001"/>
    <n v="28"/>
    <d v="2024-04-13T00:00:00"/>
    <n v="28"/>
    <n v="1318152.0891"/>
    <n v="13199.34"/>
    <n v="1304952.7490999999"/>
    <n v="0.98998648175036297"/>
    <s v="Mar-2024"/>
    <s v="Q1-2024"/>
    <s v="Europe → France → Paris"/>
    <s v="Peripherals"/>
    <s v="Medium"/>
    <s v="FRANCE"/>
    <d v="2023-01-10T00:00:00"/>
    <s v="Jan-2023"/>
    <d v="2024-03-31T00:00:00"/>
    <n v="0"/>
    <n v="0"/>
  </r>
  <r>
    <s v="ORD-2024-499009"/>
    <d v="2024-01-25T00:00:00"/>
    <d v="2024-01-27T00:00:00"/>
    <x v="1"/>
    <s v="Brazil"/>
    <s v="São Paulo"/>
    <s v="Non-Profit"/>
    <s v="Marketplace"/>
    <x v="12"/>
    <s v="Laptops"/>
    <s v="LAP-7056"/>
    <n v="1410.97"/>
    <n v="1650.75"/>
    <n v="0.13500000000000001"/>
    <n v="6"/>
    <s v="Valid"/>
    <n v="1650.75"/>
    <b v="0"/>
    <n v="0.13500000000000001"/>
    <n v="2"/>
    <d v="2024-01-27T00:00:00"/>
    <n v="2"/>
    <n v="989112.89249999996"/>
    <n v="9904.5"/>
    <n v="979208.39249999996"/>
    <n v="0.98998648175036297"/>
    <s v="Jan-2024"/>
    <s v="Q1-2024"/>
    <s v="Americas → Brazil → São Paulo"/>
    <s v="Devices"/>
    <s v="Medium"/>
    <s v="BRAZIL"/>
    <d v="2023-01-29T00:00:00"/>
    <s v="Jan-2023"/>
    <d v="2024-01-31T00:00:00"/>
    <n v="1"/>
    <n v="0"/>
  </r>
  <r>
    <s v="ORD-2024-948800"/>
    <d v="2024-03-27T00:00:00"/>
    <d v="2024-04-11T00:00:00"/>
    <x v="1"/>
    <s v="USA"/>
    <s v="San Francisco"/>
    <s v="Small Business"/>
    <s v="Direct"/>
    <x v="6"/>
    <s v="Networking"/>
    <s v="NET-5523"/>
    <n v="1338.35"/>
    <n v="2247.14"/>
    <n v="0.115"/>
    <n v="40"/>
    <s v="Valid"/>
    <n v="2247.14"/>
    <b v="0"/>
    <n v="0.115"/>
    <n v="15"/>
    <d v="2024-04-11T00:00:00"/>
    <n v="15"/>
    <n v="8978223.1559999995"/>
    <n v="89885.599999999991"/>
    <n v="8888337.5559999999"/>
    <n v="0.9899884867597738"/>
    <s v="Mar-2024"/>
    <s v="Q1-2024"/>
    <s v="Americas → USA → San Francisco"/>
    <s v="Support"/>
    <s v="Medium"/>
    <s v="USA"/>
    <d v="2023-01-13T00:00:00"/>
    <s v="Jan-2023"/>
    <d v="2024-03-31T00:00:00"/>
    <n v="0"/>
    <n v="0"/>
  </r>
  <r>
    <s v="ORD-2025-678328"/>
    <d v="2025-06-24T00:00:00"/>
    <d v="2025-07-14T00:00:00"/>
    <x v="3"/>
    <s v="Germany"/>
    <s v="Berlin"/>
    <s v="Corporate"/>
    <s v="Direct"/>
    <x v="6"/>
    <s v="Accessories"/>
    <s v="ACC-8094"/>
    <n v="385.08"/>
    <n v="893.19"/>
    <n v="0.151"/>
    <n v="8"/>
    <s v="Valid"/>
    <n v="893.19"/>
    <b v="0"/>
    <n v="0.151"/>
    <n v="20"/>
    <d v="2025-07-14T00:00:00"/>
    <n v="20"/>
    <n v="713473.02648000012"/>
    <n v="7145.52"/>
    <n v="706327.5064800001"/>
    <n v="0.98998487716451844"/>
    <s v="Jun-2025"/>
    <s v="Q2-2025"/>
    <s v="Europe → Germany → Berlin"/>
    <s v="Support"/>
    <s v="High"/>
    <s v="GERMANY"/>
    <d v="2023-01-22T00:00:00"/>
    <s v="Jan-2023"/>
    <d v="2025-06-30T00:00:00"/>
    <n v="0"/>
    <n v="0"/>
  </r>
  <r>
    <s v="ORD-2024-580808"/>
    <d v="2024-06-16T00:00:00"/>
    <d v="2024-07-03T00:00:00"/>
    <x v="0"/>
    <s v="South Africa"/>
    <s v="Johannesburg"/>
    <s v="Enterprise"/>
    <s v="Marketplace"/>
    <x v="8"/>
    <s v="Phones"/>
    <s v="PHN-6832"/>
    <n v="1173.83"/>
    <n v="2328.9"/>
    <n v="0.12"/>
    <n v="17"/>
    <s v="Valid"/>
    <n v="2328.9"/>
    <b v="0"/>
    <n v="0.12"/>
    <n v="17"/>
    <d v="2024-07-03T00:00:00"/>
    <n v="17"/>
    <n v="3954379.0440000002"/>
    <n v="39591.300000000003"/>
    <n v="3914787.7440000004"/>
    <n v="0.98998798558269929"/>
    <s v="Jun-2024"/>
    <s v="Q2-2024"/>
    <s v="Africa → South Africa → Johannesburg"/>
    <s v="Devices"/>
    <s v="Medium"/>
    <s v="SOUTH AFRICA"/>
    <d v="2023-01-07T00:00:00"/>
    <s v="Jan-2023"/>
    <d v="2024-06-30T00:00:00"/>
    <n v="0"/>
    <n v="0"/>
  </r>
  <r>
    <s v="ORD-2023-211715"/>
    <d v="2023-10-30T00:00:00"/>
    <d v="2023-11-14T00:00:00"/>
    <x v="2"/>
    <s v="India"/>
    <s v="Bengaluru"/>
    <s v="Corporate"/>
    <s v="Online"/>
    <x v="8"/>
    <s v="Laptops"/>
    <s v="LAP-2378"/>
    <n v="953.46"/>
    <n v="2066.75"/>
    <n v="0.13800000000000001"/>
    <n v="5"/>
    <s v="Valid"/>
    <n v="2066.75"/>
    <b v="0"/>
    <n v="0.13800000000000001"/>
    <n v="15"/>
    <d v="2023-11-14T00:00:00"/>
    <n v="15"/>
    <n v="1031948.9424999999"/>
    <n v="10333.75"/>
    <n v="1021615.1924999999"/>
    <n v="0.98998618092968294"/>
    <s v="Oct-2023"/>
    <s v="Q4-2023"/>
    <s v="Asia → India → Bengaluru"/>
    <s v="Devices"/>
    <s v="Low"/>
    <s v="INDIA"/>
    <d v="2023-01-29T00:00:00"/>
    <s v="Jan-2023"/>
    <d v="2023-10-31T00:00:00"/>
    <n v="0"/>
    <n v="0"/>
  </r>
  <r>
    <s v="ORD-2023-715175"/>
    <d v="2023-06-15T00:00:00"/>
    <d v="2023-06-23T00:00:00"/>
    <x v="1"/>
    <s v="USA"/>
    <s v="San Francisco"/>
    <s v="Consumer"/>
    <s v="Distributor"/>
    <x v="6"/>
    <s v="Monitors"/>
    <s v="MON-5424"/>
    <n v="1097.0899999999999"/>
    <n v="2182.31"/>
    <n v="0.112"/>
    <n v="9"/>
    <s v="Valid"/>
    <n v="2182.31"/>
    <b v="0"/>
    <n v="0.112"/>
    <n v="8"/>
    <d v="2023-06-23T00:00:00"/>
    <n v="8"/>
    <n v="1961879.2315200001"/>
    <n v="19640.79"/>
    <n v="1942238.4415200001"/>
    <n v="0.98998878744193497"/>
    <s v="Jun-2023"/>
    <s v="Q2-2023"/>
    <s v="Americas → USA → San Francisco"/>
    <s v="Peripherals"/>
    <s v="Low"/>
    <s v="USA"/>
    <d v="2023-01-13T00:00:00"/>
    <s v="Jan-2023"/>
    <d v="2023-06-30T00:00:00"/>
    <n v="0"/>
    <n v="0"/>
  </r>
  <r>
    <s v="ORD-2025-685236"/>
    <d v="2025-03-14T00:00:00"/>
    <d v="2025-03-29T00:00:00"/>
    <x v="2"/>
    <s v="Japan"/>
    <s v="Tokyo"/>
    <s v="Non-Profit"/>
    <s v="Direct"/>
    <x v="9"/>
    <s v="Networking"/>
    <s v="NET-8430"/>
    <n v="1106.96"/>
    <n v="2726.62"/>
    <n v="0.317"/>
    <n v="7"/>
    <s v="Valid"/>
    <n v="2726.62"/>
    <s v="Excess"/>
    <n v="0.3"/>
    <n v="15"/>
    <d v="2025-03-29T00:00:00"/>
    <n v="15"/>
    <n v="1902908.098"/>
    <n v="19086.34"/>
    <n v="1883821.7579999999"/>
    <n v="0.98996990972918752"/>
    <s v="Mar-2025"/>
    <s v="Q1-2025"/>
    <s v="Asia → Japan → Tokyo"/>
    <s v="Support"/>
    <s v="High"/>
    <s v="JAPAN"/>
    <d v="2023-03-03T00:00:00"/>
    <s v="Mar-2023"/>
    <d v="2025-03-31T00:00:00"/>
    <n v="0"/>
    <n v="1"/>
  </r>
  <r>
    <s v="ORD-2023-274037"/>
    <d v="2023-08-15T00:00:00"/>
    <d v="2023-08-25T00:00:00"/>
    <x v="0"/>
    <s v="Kenya"/>
    <s v="Nairobi"/>
    <s v="Small Business"/>
    <s v="Retail"/>
    <x v="12"/>
    <s v="Phones"/>
    <s v="PHN-1234"/>
    <n v="91.85"/>
    <n v="111.29"/>
    <n v="0"/>
    <n v="6"/>
    <s v="Valid"/>
    <n v="111.29"/>
    <b v="0"/>
    <n v="0"/>
    <n v="10"/>
    <d v="2023-08-25T00:00:00"/>
    <n v="10"/>
    <n v="66774"/>
    <n v="667.74"/>
    <n v="66106.259999999995"/>
    <n v="0.98999999999999988"/>
    <s v="Aug-2023"/>
    <s v="Q3-2023"/>
    <s v="Africa → Kenya → Nairobi"/>
    <s v="Devices"/>
    <s v="Low"/>
    <s v="KENYA"/>
    <d v="2023-01-20T00:00:00"/>
    <s v="Jan-2023"/>
    <d v="2023-08-31T00:00:00"/>
    <n v="0"/>
    <n v="0"/>
  </r>
  <r>
    <s v="ORD-2025-983096"/>
    <d v="2025-05-17T00:00:00"/>
    <d v="2025-05-28T00:00:00"/>
    <x v="2"/>
    <s v="India"/>
    <s v="Bengaluru"/>
    <s v="Corporate"/>
    <s v="Distributor"/>
    <x v="4"/>
    <s v="Laptops"/>
    <s v="LAP-9016"/>
    <n v="623.4"/>
    <n v="1100.0899999999999"/>
    <n v="0.114"/>
    <n v="12"/>
    <s v="Valid"/>
    <n v="1100.0899999999999"/>
    <b v="0"/>
    <n v="0.114"/>
    <n v="11"/>
    <d v="2025-05-28T00:00:00"/>
    <n v="11"/>
    <n v="1318603.0768799998"/>
    <n v="13201.079999999998"/>
    <n v="1305401.9968799998"/>
    <n v="0.98998858698916758"/>
    <s v="May-2025"/>
    <s v="Q2-2025"/>
    <s v="Asia → India → Bengaluru"/>
    <s v="Devices"/>
    <s v="High"/>
    <s v="INDIA"/>
    <d v="2023-01-29T00:00:00"/>
    <s v="Jan-2023"/>
    <d v="2025-05-31T00:00:00"/>
    <n v="0"/>
    <n v="0"/>
  </r>
  <r>
    <s v="ORD-2024-366010"/>
    <d v="2024-01-13T00:00:00"/>
    <d v="2024-02-05T00:00:00"/>
    <x v="3"/>
    <s v="Germany"/>
    <s v="Frankfurt"/>
    <s v="Education"/>
    <s v="Direct"/>
    <x v="4"/>
    <s v="Laptops"/>
    <s v="LAP-9931"/>
    <n v="1017.93"/>
    <n v="1529.14"/>
    <n v="0.155"/>
    <n v="12"/>
    <s v="Valid"/>
    <n v="1529.14"/>
    <b v="0"/>
    <n v="0.155"/>
    <n v="23"/>
    <d v="2024-02-05T00:00:00"/>
    <n v="23"/>
    <n v="1832123.7996"/>
    <n v="18349.68"/>
    <n v="1813774.1196000001"/>
    <n v="0.98998447593770345"/>
    <s v="Jan-2024"/>
    <s v="Q1-2024"/>
    <s v="Europe → Germany → Frankfurt"/>
    <s v="Devices"/>
    <s v="Medium"/>
    <s v="GERMANY"/>
    <d v="2023-01-22T00:00:00"/>
    <s v="Jan-2023"/>
    <d v="2024-01-31T00:00:00"/>
    <n v="0"/>
    <n v="0"/>
  </r>
  <r>
    <s v="ORD-2023-610470"/>
    <d v="2023-06-24T00:00:00"/>
    <d v="2023-07-21T00:00:00"/>
    <x v="2"/>
    <s v="Japan"/>
    <s v="Nagoya"/>
    <s v="Consumer"/>
    <s v="Marketplace"/>
    <x v="1"/>
    <s v="Phones"/>
    <s v="PHN-6818"/>
    <n v="554.76"/>
    <n v="728.69"/>
    <n v="0.22"/>
    <n v="7"/>
    <s v="Valid"/>
    <n v="728.69"/>
    <b v="0"/>
    <n v="0.22"/>
    <n v="27"/>
    <d v="2023-07-21T00:00:00"/>
    <n v="27"/>
    <n v="508960.8174"/>
    <n v="5100.83"/>
    <n v="503859.98739999998"/>
    <n v="0.98997795149328516"/>
    <s v="Jun-2023"/>
    <s v="Q2-2023"/>
    <s v="Asia → Japan → Nagoya"/>
    <s v="Devices"/>
    <s v="Low"/>
    <s v="JAPAN"/>
    <d v="2023-03-03T00:00:00"/>
    <s v="Mar-2023"/>
    <d v="2023-06-30T00:00:00"/>
    <n v="0"/>
    <n v="1"/>
  </r>
  <r>
    <s v="ORD-2025-541048"/>
    <d v="2025-04-04T00:00:00"/>
    <d v="2025-04-13T00:00:00"/>
    <x v="3"/>
    <s v="Germany"/>
    <s v="Munich"/>
    <s v="Consumer"/>
    <s v="Marketplace"/>
    <x v="8"/>
    <s v="Phones"/>
    <s v="PHN-3803"/>
    <n v="7.02"/>
    <n v="6.28"/>
    <n v="0.13400000000000001"/>
    <n v="14"/>
    <s v="Valid"/>
    <n v="6.28"/>
    <b v="0"/>
    <n v="0.13400000000000001"/>
    <n v="9"/>
    <d v="2025-04-13T00:00:00"/>
    <n v="9"/>
    <n v="8780.2187200000008"/>
    <n v="87.92"/>
    <n v="8692.2987200000007"/>
    <n v="0.98998658201990664"/>
    <s v="Apr-2025"/>
    <s v="Q2-2025"/>
    <s v="Europe → Germany → Munich"/>
    <s v="Devices"/>
    <s v="High"/>
    <s v="GERMANY"/>
    <d v="2023-01-22T00:00:00"/>
    <s v="Jan-2023"/>
    <d v="2025-04-30T00:00:00"/>
    <n v="0"/>
    <n v="0"/>
  </r>
  <r>
    <s v="ORD-2024-862371"/>
    <d v="2024-09-07T00:00:00"/>
    <d v="2024-09-07T00:00:00"/>
    <x v="2"/>
    <s v="India"/>
    <s v="Mumbai"/>
    <s v="Education"/>
    <s v="Distributor"/>
    <x v="4"/>
    <s v="Networking"/>
    <s v="NET-9835"/>
    <n v="1066.6500000000001"/>
    <n v="2569.77"/>
    <n v="0.13400000000000001"/>
    <n v="9"/>
    <s v="Valid"/>
    <n v="2569.77"/>
    <b v="0"/>
    <n v="0.13400000000000001"/>
    <n v="0"/>
    <d v="2024-09-07T00:00:00"/>
    <n v="0"/>
    <n v="2309693.8573799999"/>
    <n v="23127.93"/>
    <n v="2286565.9273799998"/>
    <n v="0.98998658201990664"/>
    <s v="Sep-2024"/>
    <s v="Q3-2024"/>
    <s v="Asia → India → Mumbai"/>
    <s v="Support"/>
    <s v="Medium"/>
    <s v="INDIA"/>
    <d v="2023-01-29T00:00:00"/>
    <s v="Jan-2023"/>
    <d v="2024-09-30T00:00:00"/>
    <n v="1"/>
    <n v="0"/>
  </r>
  <r>
    <s v="ORD-2024-277241"/>
    <d v="2024-01-28T00:00:00"/>
    <d v="2024-01-30T00:00:00"/>
    <x v="0"/>
    <s v="South Africa"/>
    <s v="Cape Town"/>
    <s v="Consumer"/>
    <s v="Direct"/>
    <x v="8"/>
    <s v="Accessories"/>
    <s v="ACC-6223"/>
    <n v="798.45"/>
    <n v="1592.02"/>
    <n v="6.6000000000000003E-2"/>
    <n v="18"/>
    <s v="Valid"/>
    <n v="1592.02"/>
    <b v="0"/>
    <n v="6.6000000000000003E-2"/>
    <n v="2"/>
    <d v="2024-01-30T00:00:00"/>
    <n v="2"/>
    <n v="2863744.6802400001"/>
    <n v="28656.36"/>
    <n v="2835088.3202400003"/>
    <n v="0.98999339564112321"/>
    <s v="Jan-2024"/>
    <s v="Q1-2024"/>
    <s v="Africa → South Africa → Cape Town"/>
    <s v="Support"/>
    <s v="Medium"/>
    <s v="SOUTH AFRICA"/>
    <d v="2023-01-07T00:00:00"/>
    <s v="Jan-2023"/>
    <d v="2024-01-31T00:00:00"/>
    <n v="1"/>
    <n v="0"/>
  </r>
  <r>
    <s v="ORD-2023-369150"/>
    <d v="2023-07-18T00:00:00"/>
    <d v="2023-08-10T00:00:00"/>
    <x v="0"/>
    <s v="South Africa"/>
    <s v="Johannesburg"/>
    <s v="Small Business"/>
    <s v="Retail"/>
    <x v="14"/>
    <s v="Components"/>
    <s v="CMP-8659"/>
    <n v="1271.56"/>
    <n v="995.47"/>
    <n v="0.192"/>
    <n v="13"/>
    <s v="Valid"/>
    <n v="995.47"/>
    <b v="0"/>
    <n v="0.192"/>
    <n v="23"/>
    <d v="2023-08-10T00:00:00"/>
    <n v="23"/>
    <n v="1291626.30688"/>
    <n v="12941.11"/>
    <n v="1278685.1968799999"/>
    <n v="0.98998076306508487"/>
    <s v="Jul-2023"/>
    <s v="Q3-2023"/>
    <s v="Africa → South Africa → Johannesburg"/>
    <s v="Support"/>
    <s v="Low"/>
    <s v="SOUTH AFRICA"/>
    <d v="2023-01-07T00:00:00"/>
    <s v="Jan-2023"/>
    <d v="2023-07-31T00:00:00"/>
    <n v="0"/>
    <n v="0"/>
  </r>
  <r>
    <s v="ORD-2025-922513"/>
    <d v="2025-08-28T00:00:00"/>
    <d v="2025-08-26T00:00:00"/>
    <x v="0"/>
    <s v="Nigeria"/>
    <s v="Port Harcourt"/>
    <s v="Small Business"/>
    <s v="Retail"/>
    <x v="7"/>
    <s v="Accessories"/>
    <s v="ACC-4483"/>
    <n v="521.05999999999995"/>
    <n v="1240.31"/>
    <n v="0.14599999999999999"/>
    <n v="18"/>
    <s v="Valid"/>
    <n v="1240.31"/>
    <b v="0"/>
    <n v="0.14599999999999999"/>
    <n v="-2"/>
    <d v="2025-09-04T00:00:00"/>
    <n v="7"/>
    <n v="2229298.46532"/>
    <n v="22325.579999999998"/>
    <n v="2206972.8853199999"/>
    <n v="0.98998537865283309"/>
    <s v="Aug-2025"/>
    <s v="Q3-2025"/>
    <s v="Africa → Nigeria → Port Harcourt"/>
    <s v="Support"/>
    <s v="High"/>
    <s v="NIGERIA"/>
    <d v="2023-01-15T00:00:00"/>
    <s v="Jan-2023"/>
    <d v="2025-08-31T00:00:00"/>
    <n v="1"/>
    <n v="0"/>
  </r>
  <r>
    <s v="ORD-2025-752845"/>
    <d v="2025-03-30T00:00:00"/>
    <d v="2025-04-07T00:00:00"/>
    <x v="1"/>
    <s v="Brazil"/>
    <s v="São Paulo"/>
    <s v="Non-Profit"/>
    <s v="Direct"/>
    <x v="14"/>
    <s v="Printers"/>
    <s v="PRN-8763"/>
    <n v="71.62"/>
    <n v="118.37"/>
    <n v="0.156"/>
    <n v="11"/>
    <s v="Valid"/>
    <n v="118.37"/>
    <b v="0"/>
    <n v="0.156"/>
    <n v="8"/>
    <d v="2025-04-07T00:00:00"/>
    <n v="8"/>
    <n v="130003.87708000001"/>
    <n v="1302.0700000000002"/>
    <n v="128701.80708"/>
    <n v="0.98998437562597652"/>
    <s v="Mar-2025"/>
    <s v="Q1-2025"/>
    <s v="Americas → Brazil → São Paulo"/>
    <s v="Peripherals"/>
    <s v="High"/>
    <s v="BRAZIL"/>
    <d v="2023-01-29T00:00:00"/>
    <s v="Jan-2023"/>
    <d v="2025-03-31T00:00:00"/>
    <n v="0"/>
    <n v="0"/>
  </r>
  <r>
    <s v="ORD-2023-667815"/>
    <d v="2023-10-21T00:00:00"/>
    <d v="2023-11-09T00:00:00"/>
    <x v="3"/>
    <s v="United Kingdom"/>
    <s v="London"/>
    <s v="Non-Profit"/>
    <s v="Direct"/>
    <x v="7"/>
    <s v="Accessories"/>
    <s v="ACC-8557"/>
    <n v="1142.48"/>
    <n v="2105.5300000000002"/>
    <n v="0.20699999999999999"/>
    <n v="14"/>
    <s v="Valid"/>
    <n v="2105.5300000000002"/>
    <b v="0"/>
    <n v="0.20699999999999999"/>
    <n v="19"/>
    <d v="2023-11-09T00:00:00"/>
    <n v="19"/>
    <n v="2941640.1740600006"/>
    <n v="29477.420000000002"/>
    <n v="2912162.7540600006"/>
    <n v="0.98997925706211864"/>
    <s v="Oct-2023"/>
    <s v="Q4-2023"/>
    <s v="Europe → United Kingdom → London"/>
    <s v="Support"/>
    <s v="Low"/>
    <s v="UNITED KINGDOM"/>
    <d v="2023-01-19T00:00:00"/>
    <s v="Jan-2023"/>
    <d v="2023-10-31T00:00:00"/>
    <n v="0"/>
    <n v="1"/>
  </r>
  <r>
    <s v="ORD-2023-375011"/>
    <d v="2023-08-23T00:00:00"/>
    <d v="2023-09-22T00:00:00"/>
    <x v="3"/>
    <s v="United Kingdom"/>
    <s v="London"/>
    <s v="Consumer"/>
    <s v="Distributor"/>
    <x v="6"/>
    <s v="Accessories"/>
    <s v="ACC-1492"/>
    <n v="209.81"/>
    <n v="523"/>
    <n v="5.8999999999999997E-2"/>
    <n v="15"/>
    <s v="Valid"/>
    <n v="523"/>
    <b v="0"/>
    <n v="5.8999999999999997E-2"/>
    <n v="30"/>
    <d v="2023-09-22T00:00:00"/>
    <n v="30"/>
    <n v="784037.14500000002"/>
    <n v="7845"/>
    <n v="776192.14500000002"/>
    <n v="0.98999409651694503"/>
    <s v="Aug-2023"/>
    <s v="Q3-2023"/>
    <s v="Europe → United Kingdom → London"/>
    <s v="Support"/>
    <s v="Low"/>
    <s v="UNITED KINGDOM"/>
    <d v="2023-01-19T00:00:00"/>
    <s v="Jan-2023"/>
    <d v="2023-08-31T00:00:00"/>
    <n v="0"/>
    <n v="0"/>
  </r>
  <r>
    <s v="ORD-2025-487025"/>
    <d v="2025-04-11T00:00:00"/>
    <d v="2025-05-04T00:00:00"/>
    <x v="2"/>
    <s v="Japan"/>
    <s v="Osaka"/>
    <s v="Small Business"/>
    <s v="Online"/>
    <x v="11"/>
    <s v="Components"/>
    <s v="CMP-3743"/>
    <n v="786.2"/>
    <n v="1075.3"/>
    <n v="0.08"/>
    <n v="9"/>
    <s v="Valid"/>
    <n v="1075.3"/>
    <b v="0"/>
    <n v="0.08"/>
    <n v="23"/>
    <d v="2025-05-04T00:00:00"/>
    <n v="23"/>
    <n v="966995.78399999987"/>
    <n v="9677.6999999999989"/>
    <n v="957318.08399999992"/>
    <n v="0.989991993594876"/>
    <s v="Apr-2025"/>
    <s v="Q2-2025"/>
    <s v="Asia → Japan → Osaka"/>
    <s v="Support"/>
    <s v="High"/>
    <s v="JAPAN"/>
    <d v="2023-03-03T00:00:00"/>
    <s v="Mar-2023"/>
    <d v="2025-04-30T00:00:00"/>
    <n v="0"/>
    <n v="0"/>
  </r>
  <r>
    <s v="ORD-2025-398335"/>
    <d v="2025-06-01T00:00:00"/>
    <d v="2025-06-27T00:00:00"/>
    <x v="3"/>
    <s v="Germany"/>
    <s v="Munich"/>
    <s v="Consumer"/>
    <s v="Distributor"/>
    <x v="5"/>
    <s v="Laptops"/>
    <s v="LAP-1619"/>
    <n v="1362.31"/>
    <n v="3294.57"/>
    <n v="0.113"/>
    <n v="7"/>
    <s v="Valid"/>
    <n v="3294.57"/>
    <b v="0"/>
    <n v="0.113"/>
    <n v="26"/>
    <d v="2025-06-27T00:00:00"/>
    <n v="26"/>
    <n v="2303592.9951300002"/>
    <n v="23061.99"/>
    <n v="2280531.0051299999"/>
    <n v="0.98998868721655464"/>
    <s v="Jun-2025"/>
    <s v="Q2-2025"/>
    <s v="Europe → Germany → Munich"/>
    <s v="Devices"/>
    <s v="High"/>
    <s v="GERMANY"/>
    <d v="2023-01-22T00:00:00"/>
    <s v="Jan-2023"/>
    <d v="2025-06-30T00:00:00"/>
    <n v="0"/>
    <n v="0"/>
  </r>
  <r>
    <s v="ORD-2024-792137"/>
    <d v="2024-03-02T00:00:00"/>
    <d v="2024-03-16T00:00:00"/>
    <x v="1"/>
    <s v="Canada"/>
    <s v="Vancouver"/>
    <s v="Non-Profit"/>
    <s v="Direct"/>
    <x v="6"/>
    <s v="Printers"/>
    <s v="PRN-7976"/>
    <n v="248.24"/>
    <n v="464.05"/>
    <n v="0.16900000000000001"/>
    <n v="11"/>
    <s v="Valid"/>
    <n v="464.05"/>
    <b v="0"/>
    <n v="0.16900000000000001"/>
    <n v="14"/>
    <d v="2024-03-16T00:00:00"/>
    <n v="14"/>
    <n v="509592.33105000004"/>
    <n v="5104.55"/>
    <n v="504487.78105000005"/>
    <n v="0.98998307139065023"/>
    <s v="Mar-2024"/>
    <s v="Q1-2024"/>
    <s v="Americas → Canada → Vancouver"/>
    <s v="Peripherals"/>
    <s v="Medium"/>
    <s v="CANADA"/>
    <d v="2023-01-02T00:00:00"/>
    <s v="Jan-2023"/>
    <d v="2024-03-31T00:00:00"/>
    <n v="0"/>
    <n v="0"/>
  </r>
  <r>
    <s v="ORD-2023-602648"/>
    <d v="2023-06-20T00:00:00"/>
    <d v="2023-07-08T00:00:00"/>
    <x v="1"/>
    <s v="USA"/>
    <s v="Austin"/>
    <s v="Non-Profit"/>
    <s v="Direct"/>
    <x v="8"/>
    <s v="Monitors"/>
    <s v="MON-4326"/>
    <n v="337"/>
    <n v="511.03"/>
    <n v="0.108"/>
    <n v="7"/>
    <s v="Valid"/>
    <n v="511.03"/>
    <b v="0"/>
    <n v="0.108"/>
    <n v="18"/>
    <d v="2023-07-08T00:00:00"/>
    <n v="18"/>
    <n v="357334.66132000001"/>
    <n v="3577.21"/>
    <n v="353757.45131999999"/>
    <n v="0.98998918832338922"/>
    <s v="Jun-2023"/>
    <s v="Q2-2023"/>
    <s v="Americas → USA → Austin"/>
    <s v="Peripherals"/>
    <s v="Low"/>
    <s v="USA"/>
    <d v="2023-01-13T00:00:00"/>
    <s v="Jan-2023"/>
    <d v="2023-06-30T00:00:00"/>
    <n v="0"/>
    <n v="0"/>
  </r>
  <r>
    <s v="ORD-2024-207096"/>
    <d v="2024-03-26T00:00:00"/>
    <d v="2024-04-05T00:00:00"/>
    <x v="1"/>
    <s v="USA"/>
    <s v="Austin"/>
    <s v="Consumer"/>
    <s v="Direct"/>
    <x v="1"/>
    <s v="Monitors"/>
    <s v="MON-5444"/>
    <n v="5.66"/>
    <n v="4.22"/>
    <n v="0.11899999999999999"/>
    <n v="18"/>
    <s v="Valid"/>
    <n v="4.22"/>
    <b v="0"/>
    <n v="0.11899999999999999"/>
    <n v="10"/>
    <d v="2024-04-05T00:00:00"/>
    <n v="10"/>
    <n v="7586.960759999999"/>
    <n v="75.959999999999994"/>
    <n v="7511.000759999999"/>
    <n v="0.98998808582212827"/>
    <s v="Mar-2024"/>
    <s v="Q1-2024"/>
    <s v="Americas → USA → Austin"/>
    <s v="Peripherals"/>
    <s v="Medium"/>
    <s v="USA"/>
    <d v="2023-01-13T00:00:00"/>
    <s v="Jan-2023"/>
    <d v="2024-03-31T00:00:00"/>
    <n v="0"/>
    <n v="0"/>
  </r>
  <r>
    <s v="ORD-2025-939953"/>
    <d v="2025-01-22T00:00:00"/>
    <d v="2025-01-22T00:00:00"/>
    <x v="3"/>
    <s v="France"/>
    <s v="Lyon"/>
    <s v="Small Business"/>
    <s v="Online"/>
    <x v="4"/>
    <s v="Accessories"/>
    <s v="ACC-5422"/>
    <n v="591.72"/>
    <n v="577.24"/>
    <n v="0"/>
    <n v="22"/>
    <s v="Valid"/>
    <n v="577.24"/>
    <b v="0"/>
    <n v="0"/>
    <n v="0"/>
    <d v="2025-01-22T00:00:00"/>
    <n v="0"/>
    <n v="1269928"/>
    <n v="12699.28"/>
    <n v="1257228.72"/>
    <n v="0.99"/>
    <s v="Jan-2025"/>
    <s v="Q1-2025"/>
    <s v="Europe → France → Lyon"/>
    <s v="Support"/>
    <s v="High"/>
    <s v="FRANCE"/>
    <d v="2023-01-10T00:00:00"/>
    <s v="Jan-2023"/>
    <d v="2025-01-31T00:00:00"/>
    <n v="1"/>
    <n v="0"/>
  </r>
  <r>
    <s v="ORD-2025-191328"/>
    <d v="2025-05-10T00:00:00"/>
    <d v="2025-05-27T00:00:00"/>
    <x v="1"/>
    <s v="Canada"/>
    <s v="Vancouver"/>
    <s v="Education"/>
    <s v="Direct"/>
    <x v="0"/>
    <s v="Components"/>
    <s v="CMP-9307"/>
    <n v="862.89"/>
    <n v="1426.03"/>
    <n v="5.6000000000000001E-2"/>
    <n v="19"/>
    <s v="Valid"/>
    <n v="1426.03"/>
    <b v="0"/>
    <n v="5.6000000000000001E-2"/>
    <n v="17"/>
    <d v="2025-05-27T00:00:00"/>
    <n v="17"/>
    <n v="2707939.7040800001"/>
    <n v="27094.57"/>
    <n v="2680845.1340800002"/>
    <n v="0.98999439686224289"/>
    <s v="May-2025"/>
    <s v="Q2-2025"/>
    <s v="Americas → Canada → Vancouver"/>
    <s v="Support"/>
    <s v="High"/>
    <s v="CANADA"/>
    <d v="2023-01-02T00:00:00"/>
    <s v="Jan-2023"/>
    <d v="2025-05-31T00:00:00"/>
    <n v="0"/>
    <n v="0"/>
  </r>
  <r>
    <s v="ORD-2023-166668"/>
    <d v="2023-10-05T00:00:00"/>
    <d v="2023-10-31T00:00:00"/>
    <x v="2"/>
    <s v="China"/>
    <s v="Shanghai"/>
    <s v="Consumer"/>
    <s v="Unknown Channel "/>
    <x v="1"/>
    <s v="Printers"/>
    <s v="PRN-6520"/>
    <n v="649.91"/>
    <n v="1360.12"/>
    <n v="0.19400000000000001"/>
    <n v="9"/>
    <s v="Valid"/>
    <n v="1360.12"/>
    <b v="0"/>
    <n v="0.19400000000000001"/>
    <n v="26"/>
    <d v="2023-10-31T00:00:00"/>
    <n v="26"/>
    <n v="1221733.2304799997"/>
    <n v="12241.079999999998"/>
    <n v="1209492.1504799996"/>
    <n v="0.98998056229084419"/>
    <s v="Oct-2023"/>
    <s v="Q4-2023"/>
    <s v="Asia → China → Shanghai"/>
    <s v="Peripherals"/>
    <s v="Low"/>
    <s v="CHINA"/>
    <d v="2023-01-12T00:00:00"/>
    <s v="Jan-2023"/>
    <d v="2023-10-31T00:00:00"/>
    <n v="0"/>
    <n v="0"/>
  </r>
  <r>
    <s v="ORD-2023-594700"/>
    <d v="2023-07-18T00:00:00"/>
    <d v="2023-07-22T00:00:00"/>
    <x v="1"/>
    <s v="Brazil"/>
    <s v="São Paulo"/>
    <s v="Consumer"/>
    <s v="Direct"/>
    <x v="8"/>
    <s v="Networking"/>
    <s v="NET-1699"/>
    <n v="1269.55"/>
    <n v="2071.1"/>
    <n v="0.129"/>
    <n v="22"/>
    <s v="Valid"/>
    <n v="2071.1"/>
    <b v="0"/>
    <n v="0.129"/>
    <n v="4"/>
    <d v="2023-07-22T00:00:00"/>
    <n v="4"/>
    <n v="4550542.2181999991"/>
    <n v="45564.2"/>
    <n v="4504978.0181999989"/>
    <n v="0.98998708333750529"/>
    <s v="Jul-2023"/>
    <s v="Q3-2023"/>
    <s v="Americas → Brazil → São Paulo"/>
    <s v="Support"/>
    <s v="Low"/>
    <s v="BRAZIL"/>
    <d v="2023-01-29T00:00:00"/>
    <s v="Jan-2023"/>
    <d v="2023-07-31T00:00:00"/>
    <n v="1"/>
    <n v="0"/>
  </r>
  <r>
    <s v="ORD-2025-278048"/>
    <d v="2025-06-22T00:00:00"/>
    <d v="2025-07-08T00:00:00"/>
    <x v="3"/>
    <s v="United Kingdom"/>
    <s v="London"/>
    <s v="Education"/>
    <s v="Direct"/>
    <x v="7"/>
    <s v="Phones"/>
    <s v="PHN-5316"/>
    <n v="892.73"/>
    <n v="979.84"/>
    <n v="0.17399999999999999"/>
    <n v="10"/>
    <s v="Valid"/>
    <n v="979.84"/>
    <b v="0"/>
    <n v="0.17399999999999999"/>
    <n v="16"/>
    <d v="2025-07-08T00:00:00"/>
    <n v="16"/>
    <n v="978135.07839999988"/>
    <n v="9798.4"/>
    <n v="968336.67839999986"/>
    <n v="0.98998256967122789"/>
    <s v="Jun-2025"/>
    <s v="Q2-2025"/>
    <s v="Europe → United Kingdom → London"/>
    <s v="Devices"/>
    <s v="High"/>
    <s v="UNITED KINGDOM"/>
    <d v="2023-01-19T00:00:00"/>
    <s v="Jan-2023"/>
    <d v="2025-06-30T00:00:00"/>
    <n v="0"/>
    <n v="0"/>
  </r>
  <r>
    <s v="ORD-2024-878493"/>
    <d v="2024-06-19T00:00:00"/>
    <d v="2024-06-20T00:00:00"/>
    <x v="0"/>
    <s v="Kenya"/>
    <s v="Kisumu"/>
    <s v="Small Business"/>
    <s v="Direct"/>
    <x v="1"/>
    <s v="Laptops"/>
    <s v="LAP-4607"/>
    <n v="231.63"/>
    <n v="537.39"/>
    <n v="0.08"/>
    <n v="12"/>
    <s v="Valid"/>
    <n v="537.39"/>
    <b v="0"/>
    <n v="0.08"/>
    <n v="1"/>
    <d v="2024-06-20T00:00:00"/>
    <n v="1"/>
    <n v="644352.10560000001"/>
    <n v="6448.68"/>
    <n v="637903.42559999996"/>
    <n v="0.98999199359487577"/>
    <s v="Jun-2024"/>
    <s v="Q2-2024"/>
    <s v="Africa → Kenya → Kisumu"/>
    <s v="Devices"/>
    <s v="Medium"/>
    <s v="KENYA"/>
    <d v="2023-01-20T00:00:00"/>
    <s v="Jan-2023"/>
    <d v="2024-06-30T00:00:00"/>
    <n v="1"/>
    <n v="0"/>
  </r>
  <r>
    <s v="ORD-2025-138578"/>
    <d v="2025-04-09T00:00:00"/>
    <d v="2025-04-12T00:00:00"/>
    <x v="3"/>
    <s v="France"/>
    <s v="Lyon"/>
    <s v="Small Business"/>
    <s v="Distributor"/>
    <x v="9"/>
    <s v="Monitors"/>
    <s v="MON-5276"/>
    <n v="86.68"/>
    <n v="213.32"/>
    <n v="3.7999999999999999E-2"/>
    <n v="8"/>
    <s v="Valid"/>
    <n v="213.32"/>
    <b v="0"/>
    <n v="3.7999999999999999E-2"/>
    <n v="3"/>
    <d v="2025-04-12T00:00:00"/>
    <n v="3"/>
    <n v="170591.15072000001"/>
    <n v="1706.56"/>
    <n v="168884.59072000001"/>
    <n v="0.98999619855545107"/>
    <s v="Apr-2025"/>
    <s v="Q2-2025"/>
    <s v="Europe → France → Lyon"/>
    <s v="Peripherals"/>
    <s v="High"/>
    <s v="FRANCE"/>
    <d v="2023-01-10T00:00:00"/>
    <s v="Jan-2023"/>
    <d v="2025-04-30T00:00:00"/>
    <n v="1"/>
    <n v="0"/>
  </r>
  <r>
    <s v="ORD-2025-944081"/>
    <d v="2025-03-25T00:00:00"/>
    <d v="2025-03-26T00:00:00"/>
    <x v="0"/>
    <s v="Nigeria"/>
    <s v="Lagos"/>
    <s v="Education"/>
    <s v="Distributor"/>
    <x v="3"/>
    <s v="Accessories"/>
    <s v="ACC-9533"/>
    <n v="1450.43"/>
    <n v="1994.67"/>
    <n v="0.1"/>
    <n v="24"/>
    <s v="Valid"/>
    <n v="1994.67"/>
    <b v="0"/>
    <n v="0.1"/>
    <n v="1"/>
    <d v="2025-03-26T00:00:00"/>
    <n v="1"/>
    <n v="4782420.7920000004"/>
    <n v="47872.08"/>
    <n v="4734548.7120000003"/>
    <n v="0.98998998998998999"/>
    <s v="Mar-2025"/>
    <s v="Q1-2025"/>
    <s v="Africa → Nigeria → Lagos"/>
    <s v="Support"/>
    <s v="High"/>
    <s v="NIGERIA"/>
    <d v="2023-01-15T00:00:00"/>
    <s v="Jan-2023"/>
    <d v="2025-03-31T00:00:00"/>
    <n v="1"/>
    <n v="0"/>
  </r>
  <r>
    <s v="ORD-2025-364852"/>
    <d v="2025-05-18T00:00:00"/>
    <d v="2025-06-09T00:00:00"/>
    <x v="1"/>
    <s v="USA"/>
    <s v="New York"/>
    <s v="Consumer"/>
    <s v="Retail"/>
    <x v="9"/>
    <s v="Networking"/>
    <s v="NET-3749"/>
    <n v="382.96"/>
    <n v="552.84"/>
    <n v="0.17599999999999999"/>
    <n v="8"/>
    <s v="Valid"/>
    <n v="552.84"/>
    <b v="0"/>
    <n v="0.17599999999999999"/>
    <n v="22"/>
    <d v="2025-06-09T00:00:00"/>
    <n v="22"/>
    <n v="441493.60128"/>
    <n v="4422.72"/>
    <n v="437070.88128000003"/>
    <n v="0.98998236896938618"/>
    <s v="May-2025"/>
    <s v="Q2-2025"/>
    <s v="Americas → USA → New York"/>
    <s v="Support"/>
    <s v="High"/>
    <s v="USA"/>
    <d v="2023-01-13T00:00:00"/>
    <s v="Jan-2023"/>
    <d v="2025-05-31T00:00:00"/>
    <n v="0"/>
    <n v="0"/>
  </r>
  <r>
    <s v="ORD-2025-415018"/>
    <d v="2025-01-22T00:00:00"/>
    <d v="2025-02-04T00:00:00"/>
    <x v="2"/>
    <s v="Japan"/>
    <s v="Tokyo"/>
    <s v="Small Business"/>
    <s v="Distributor"/>
    <x v="14"/>
    <s v="Printers"/>
    <s v="PRN-2991"/>
    <n v="122.29"/>
    <n v="224.95"/>
    <n v="0.153"/>
    <n v="28"/>
    <s v="Valid"/>
    <n v="224.95"/>
    <b v="0"/>
    <n v="0.153"/>
    <n v="13"/>
    <d v="2025-02-04T00:00:00"/>
    <n v="13"/>
    <n v="628896.31419999991"/>
    <n v="6298.5999999999995"/>
    <n v="622597.71419999993"/>
    <n v="0.98998467655512934"/>
    <s v="Jan-2025"/>
    <s v="Q1-2025"/>
    <s v="Asia → Japan → Tokyo"/>
    <s v="Peripherals"/>
    <s v="High"/>
    <s v="JAPAN"/>
    <d v="2023-03-03T00:00:00"/>
    <s v="Mar-2023"/>
    <d v="2025-01-31T00:00:00"/>
    <n v="0"/>
    <n v="0"/>
  </r>
  <r>
    <s v="ORD-2023-884192"/>
    <d v="2023-01-10T00:00:00"/>
    <d v="2023-01-29T00:00:00"/>
    <x v="3"/>
    <s v="France"/>
    <s v="Lyon"/>
    <s v="Non-Profit"/>
    <s v="Direct"/>
    <x v="13"/>
    <s v="Laptops"/>
    <s v="LAP-4551"/>
    <n v="401.66"/>
    <n v="772.09"/>
    <n v="8.8999999999999996E-2"/>
    <n v="14"/>
    <s v="Valid"/>
    <n v="772.09"/>
    <b v="0"/>
    <n v="8.8999999999999996E-2"/>
    <n v="19"/>
    <d v="2023-01-29T00:00:00"/>
    <n v="19"/>
    <n v="1079963.9758600001"/>
    <n v="10809.26"/>
    <n v="1069154.7158600001"/>
    <n v="0.98999109207194402"/>
    <s v="Jan-2023"/>
    <s v="Q1-2023"/>
    <s v="Europe → France → Lyon"/>
    <s v="Devices"/>
    <s v="Low"/>
    <s v="FRANCE"/>
    <d v="2023-01-10T00:00:00"/>
    <s v="Jan-2023"/>
    <d v="2023-01-31T00:00:00"/>
    <n v="0"/>
    <n v="0"/>
  </r>
  <r>
    <s v="ORD-2024-165942"/>
    <d v="2024-12-29T00:00:00"/>
    <d v="2025-01-12T00:00:00"/>
    <x v="3"/>
    <s v="United Kingdom"/>
    <s v="Manchester"/>
    <s v="Corporate"/>
    <s v="Direct"/>
    <x v="4"/>
    <s v="Monitors"/>
    <s v="MON-6310"/>
    <n v="1399.72"/>
    <n v="3149.21"/>
    <n v="0.185"/>
    <n v="12"/>
    <s v="Valid"/>
    <n v="3149.21"/>
    <b v="0"/>
    <n v="0.185"/>
    <n v="14"/>
    <d v="2025-01-12T00:00:00"/>
    <n v="14"/>
    <n v="3772060.7538000005"/>
    <n v="37790.520000000004"/>
    <n v="3734270.2338000005"/>
    <n v="0.98998146571156642"/>
    <s v="Dec-2024"/>
    <s v="Q4-2024"/>
    <s v="Europe → United Kingdom → Manchester"/>
    <s v="Peripherals"/>
    <s v="High"/>
    <s v="UNITED KINGDOM"/>
    <d v="2023-01-19T00:00:00"/>
    <s v="Jan-2023"/>
    <d v="2024-12-31T00:00:00"/>
    <n v="0"/>
    <n v="0"/>
  </r>
  <r>
    <s v="ORD-2024-403664"/>
    <d v="2024-05-23T00:00:00"/>
    <d v="2024-06-06T00:00:00"/>
    <x v="1"/>
    <s v="Brazil"/>
    <s v="Rio de Janeiro"/>
    <s v="Non-Profit"/>
    <s v="Online"/>
    <x v="2"/>
    <s v="Networking"/>
    <s v="NET-1166"/>
    <n v="51.13"/>
    <n v="57.53"/>
    <n v="4.4999999999999998E-2"/>
    <n v="16"/>
    <s v="Valid"/>
    <n v="57.53"/>
    <b v="0"/>
    <n v="4.4999999999999998E-2"/>
    <n v="14"/>
    <d v="2024-06-06T00:00:00"/>
    <n v="14"/>
    <n v="92006.578399999999"/>
    <n v="920.48"/>
    <n v="91086.098400000003"/>
    <n v="0.98999549797408837"/>
    <s v="May-2024"/>
    <s v="Q2-2024"/>
    <s v="Americas → Brazil → Rio de Janeiro"/>
    <s v="Support"/>
    <s v="Medium"/>
    <s v="BRAZIL"/>
    <d v="2023-01-29T00:00:00"/>
    <s v="Jan-2023"/>
    <d v="2024-05-31T00:00:00"/>
    <n v="0"/>
    <n v="0"/>
  </r>
  <r>
    <s v="ORD-2023-890605"/>
    <d v="2023-06-24T00:00:00"/>
    <d v="2023-06-22T00:00:00"/>
    <x v="1"/>
    <s v="Canada"/>
    <s v="Toronto"/>
    <s v="Non-Profit"/>
    <s v="Retail"/>
    <x v="11"/>
    <s v="Accessories"/>
    <s v="ACC-2903"/>
    <n v="471.42"/>
    <n v="824.81"/>
    <n v="8.7999999999999995E-2"/>
    <n v="15"/>
    <s v="Valid"/>
    <n v="824.81"/>
    <b v="0"/>
    <n v="8.7999999999999995E-2"/>
    <n v="-2"/>
    <d v="2023-07-01T00:00:00"/>
    <n v="7"/>
    <n v="1236126.2508"/>
    <n v="12372.15"/>
    <n v="1223754.1008000001"/>
    <n v="0.98999119224917931"/>
    <s v="Jun-2023"/>
    <s v="Q2-2023"/>
    <s v="Americas → Canada → Toronto"/>
    <s v="Support"/>
    <s v="Low"/>
    <s v="CANADA"/>
    <d v="2023-01-02T00:00:00"/>
    <s v="Jan-2023"/>
    <d v="2023-06-30T00:00:00"/>
    <n v="1"/>
    <n v="0"/>
  </r>
  <r>
    <s v="ORD-2024-925626"/>
    <d v="2024-11-04T00:00:00"/>
    <d v="2024-11-05T00:00:00"/>
    <x v="3"/>
    <s v="United Kingdom"/>
    <s v="London"/>
    <s v="Corporate"/>
    <s v="Retail"/>
    <x v="11"/>
    <s v="Printers"/>
    <s v="PRN-2293"/>
    <n v="840.68"/>
    <n v="1493.53"/>
    <n v="0"/>
    <n v="27"/>
    <s v="Valid"/>
    <n v="1493.53"/>
    <b v="0"/>
    <n v="0"/>
    <n v="1"/>
    <d v="2024-11-05T00:00:00"/>
    <n v="1"/>
    <n v="4032531"/>
    <n v="40325.31"/>
    <n v="3992205.69"/>
    <n v="0.99"/>
    <s v="Nov-2024"/>
    <s v="Q4-2024"/>
    <s v="Europe → United Kingdom → London"/>
    <s v="Peripherals"/>
    <s v="High"/>
    <s v="UNITED KINGDOM"/>
    <d v="2023-01-19T00:00:00"/>
    <s v="Jan-2023"/>
    <d v="2024-11-30T00:00:00"/>
    <n v="1"/>
    <n v="0"/>
  </r>
  <r>
    <s v="ORD-2024-427031"/>
    <d v="2024-06-08T00:00:00"/>
    <d v="2024-06-24T00:00:00"/>
    <x v="0"/>
    <s v="South Africa"/>
    <s v="Durban"/>
    <s v="Education"/>
    <s v="Distributor"/>
    <x v="9"/>
    <s v="Monitors"/>
    <s v="MON-1389"/>
    <n v="597.85"/>
    <n v="741.92"/>
    <n v="3.1E-2"/>
    <n v="7"/>
    <s v="Valid"/>
    <n v="741.92"/>
    <b v="0"/>
    <n v="3.1E-2"/>
    <n v="16"/>
    <d v="2024-06-24T00:00:00"/>
    <n v="16"/>
    <n v="519183.00335999992"/>
    <n v="5193.4399999999996"/>
    <n v="513989.56335999991"/>
    <n v="0.98999689903870203"/>
    <s v="Jun-2024"/>
    <s v="Q2-2024"/>
    <s v="Africa → South Africa → Durban"/>
    <s v="Peripherals"/>
    <s v="Medium"/>
    <s v="SOUTH AFRICA"/>
    <d v="2023-01-07T00:00:00"/>
    <s v="Jan-2023"/>
    <d v="2024-06-30T00:00:00"/>
    <n v="0"/>
    <n v="0"/>
  </r>
  <r>
    <s v="ORD-2025-231184"/>
    <d v="2025-06-01T00:00:00"/>
    <d v="2025-06-06T00:00:00"/>
    <x v="3"/>
    <s v="France"/>
    <s v="Paris"/>
    <s v="Consumer"/>
    <s v="Distributor"/>
    <x v="3"/>
    <s v="Components"/>
    <s v="CMP-4093"/>
    <n v="379.45"/>
    <n v="742.23"/>
    <n v="0.09"/>
    <n v="13"/>
    <s v="Valid"/>
    <n v="742.23"/>
    <b v="0"/>
    <n v="0.09"/>
    <n v="5"/>
    <d v="2025-06-06T00:00:00"/>
    <n v="5"/>
    <n v="964030.59089999995"/>
    <n v="9648.99"/>
    <n v="954381.60089999996"/>
    <n v="0.98999099189270345"/>
    <s v="Jun-2025"/>
    <s v="Q2-2025"/>
    <s v="Europe → France → Paris"/>
    <s v="Support"/>
    <s v="High"/>
    <s v="FRANCE"/>
    <d v="2023-01-10T00:00:00"/>
    <s v="Jan-2023"/>
    <d v="2025-06-30T00:00:00"/>
    <n v="1"/>
    <n v="0"/>
  </r>
  <r>
    <s v="ORD-2023-363031"/>
    <d v="2023-05-06T00:00:00"/>
    <d v="2023-05-14T00:00:00"/>
    <x v="2"/>
    <s v="Japan"/>
    <s v="Osaka"/>
    <s v="Enterprise"/>
    <s v="Marketplace"/>
    <x v="4"/>
    <s v="Phones"/>
    <s v="PHN-6131"/>
    <n v="291.18"/>
    <n v="479.54"/>
    <n v="0.14099999999999999"/>
    <n v="22"/>
    <s v="Valid"/>
    <n v="479.54"/>
    <b v="0"/>
    <n v="0.14099999999999999"/>
    <n v="8"/>
    <d v="2023-05-14T00:00:00"/>
    <n v="8"/>
    <n v="1053500.46692"/>
    <n v="10549.880000000001"/>
    <n v="1042950.58692"/>
    <n v="0.98998588009092825"/>
    <s v="May-2023"/>
    <s v="Q2-2023"/>
    <s v="Asia → Japan → Osaka"/>
    <s v="Devices"/>
    <s v="Low"/>
    <s v="JAPAN"/>
    <d v="2023-03-03T00:00:00"/>
    <s v="Mar-2023"/>
    <d v="2023-05-31T00:00:00"/>
    <n v="0"/>
    <n v="0"/>
  </r>
  <r>
    <s v="ORD-2023-619570"/>
    <d v="2023-11-14T00:00:00"/>
    <d v="2023-11-30T00:00:00"/>
    <x v="1"/>
    <s v="Brazil"/>
    <s v="São Paulo"/>
    <s v="Enterprise"/>
    <s v="Direct"/>
    <x v="10"/>
    <s v="Networking"/>
    <s v="NET-4104"/>
    <n v="1017.92"/>
    <n v="1175.25"/>
    <n v="7.4999999999999997E-2"/>
    <n v="15"/>
    <s v="Valid"/>
    <n v="1175.25"/>
    <b v="0"/>
    <n v="7.4999999999999997E-2"/>
    <n v="16"/>
    <d v="2023-11-30T00:00:00"/>
    <n v="16"/>
    <n v="1761552.84375"/>
    <n v="17628.75"/>
    <n v="1743924.09375"/>
    <n v="0.98999249437077808"/>
    <s v="Nov-2023"/>
    <s v="Q4-2023"/>
    <s v="Americas → Brazil → São Paulo"/>
    <s v="Support"/>
    <s v="Low"/>
    <s v="BRAZIL"/>
    <d v="2023-01-29T00:00:00"/>
    <s v="Jan-2023"/>
    <d v="2023-11-30T00:00:00"/>
    <n v="0"/>
    <n v="0"/>
  </r>
  <r>
    <s v="ORD-2025-861401"/>
    <d v="2025-04-01T00:00:00"/>
    <d v="2025-04-27T00:00:00"/>
    <x v="1"/>
    <s v="USA"/>
    <s v="San Francisco"/>
    <s v="Corporate"/>
    <s v="Direct"/>
    <x v="2"/>
    <s v="Monitors"/>
    <s v="MON-9319"/>
    <n v="156.55000000000001"/>
    <n v="227.45"/>
    <n v="1.4E-2"/>
    <n v="13"/>
    <s v="Valid"/>
    <n v="227.45"/>
    <b v="0"/>
    <n v="1.4E-2"/>
    <n v="26"/>
    <d v="2025-04-27T00:00:00"/>
    <n v="26"/>
    <n v="295643.6041"/>
    <n v="2956.85"/>
    <n v="292686.75410000002"/>
    <n v="0.98999859980397265"/>
    <s v="Apr-2025"/>
    <s v="Q2-2025"/>
    <s v="Americas → USA → San Francisco"/>
    <s v="Peripherals"/>
    <s v="High"/>
    <s v="USA"/>
    <d v="2023-01-13T00:00:00"/>
    <s v="Jan-2023"/>
    <d v="2025-04-30T00:00:00"/>
    <n v="0"/>
    <n v="0"/>
  </r>
  <r>
    <s v="ORD-2023-835010"/>
    <d v="2023-03-23T00:00:00"/>
    <d v="2023-04-15T00:00:00"/>
    <x v="0"/>
    <s v="Kenya"/>
    <s v="Mombasa"/>
    <s v="Small Business"/>
    <s v="Retail"/>
    <x v="0"/>
    <s v="Accessories"/>
    <s v="ACC-2988"/>
    <n v="875.36"/>
    <n v="1178.6199999999999"/>
    <n v="0.151"/>
    <n v="53"/>
    <s v="Valid"/>
    <n v="1178.6199999999999"/>
    <b v="0"/>
    <n v="0.151"/>
    <n v="23"/>
    <d v="2023-04-15T00:00:00"/>
    <n v="23"/>
    <n v="6237253.5041399999"/>
    <n v="62466.859999999993"/>
    <n v="6174786.6441399995"/>
    <n v="0.98998487716451833"/>
    <s v="Mar-2023"/>
    <s v="Q1-2023"/>
    <s v="Africa → Kenya → Mombasa"/>
    <s v="Support"/>
    <s v="Low"/>
    <s v="KENYA"/>
    <d v="2023-01-20T00:00:00"/>
    <s v="Jan-2023"/>
    <d v="2023-03-31T00:00:00"/>
    <n v="0"/>
    <n v="0"/>
  </r>
  <r>
    <s v="ORD-2024-819979"/>
    <d v="2024-05-28T00:00:00"/>
    <d v="2024-06-18T00:00:00"/>
    <x v="3"/>
    <s v="Germany"/>
    <s v="Frankfurt"/>
    <s v="Small Business"/>
    <s v="Online"/>
    <x v="5"/>
    <s v="Phones"/>
    <s v="PHN-9399"/>
    <n v="986.85"/>
    <n v="2422.1"/>
    <n v="7.5999999999999998E-2"/>
    <n v="10"/>
    <s v="Valid"/>
    <n v="2422.1"/>
    <b v="0"/>
    <n v="7.5999999999999998E-2"/>
    <n v="21"/>
    <d v="2024-06-18T00:00:00"/>
    <n v="21"/>
    <n v="2420259.2040000004"/>
    <n v="24221"/>
    <n v="2396038.2040000004"/>
    <n v="0.98999239421960694"/>
    <s v="May-2024"/>
    <s v="Q2-2024"/>
    <s v="Europe → Germany → Frankfurt"/>
    <s v="Devices"/>
    <s v="Medium"/>
    <s v="GERMANY"/>
    <d v="2023-01-22T00:00:00"/>
    <s v="Jan-2023"/>
    <d v="2024-05-31T00:00:00"/>
    <n v="0"/>
    <n v="0"/>
  </r>
  <r>
    <s v="ORD-2024-719055"/>
    <d v="2024-01-02T00:00:00"/>
    <d v="2024-01-01T00:00:00"/>
    <x v="1"/>
    <s v="USA"/>
    <s v="Chicago"/>
    <s v="Education"/>
    <s v="Marketplace"/>
    <x v="4"/>
    <s v="Networking"/>
    <s v="NET-4554"/>
    <n v="404.77"/>
    <n v="433.88"/>
    <n v="0.215"/>
    <n v="22"/>
    <s v="Valid"/>
    <n v="433.88"/>
    <b v="0"/>
    <n v="0.215"/>
    <n v="-1"/>
    <d v="2024-01-09T00:00:00"/>
    <n v="7"/>
    <n v="952483.7476"/>
    <n v="9545.36"/>
    <n v="942938.38760000002"/>
    <n v="0.98997845367540216"/>
    <s v="Jan-2024"/>
    <s v="Q1-2024"/>
    <s v="Americas → USA → Chicago"/>
    <s v="Support"/>
    <s v="Medium"/>
    <s v="USA"/>
    <d v="2023-01-13T00:00:00"/>
    <s v="Jan-2023"/>
    <d v="2024-01-31T00:00:00"/>
    <n v="1"/>
    <n v="1"/>
  </r>
  <r>
    <s v="ORD-2023-888245"/>
    <d v="2023-02-28T00:00:00"/>
    <d v="2023-02-27T00:00:00"/>
    <x v="3"/>
    <s v="France"/>
    <s v="Marseille"/>
    <s v="Corporate"/>
    <s v="Retail"/>
    <x v="10"/>
    <s v="Networking"/>
    <s v="NET-5195"/>
    <n v="1299.81"/>
    <n v="3149.13"/>
    <n v="0.10299999999999999"/>
    <n v="14"/>
    <s v="Valid"/>
    <n v="3149.13"/>
    <b v="0"/>
    <n v="0.10299999999999999"/>
    <n v="-1"/>
    <d v="2023-03-07T00:00:00"/>
    <n v="7"/>
    <n v="4404240.9545400003"/>
    <n v="44087.82"/>
    <n v="4360153.13454"/>
    <n v="0.98998968938006138"/>
    <s v="Feb-2023"/>
    <s v="Q1-2023"/>
    <s v="Europe → France → Marseille"/>
    <s v="Support"/>
    <s v="Low"/>
    <s v="FRANCE"/>
    <d v="2023-01-10T00:00:00"/>
    <s v="Jan-2023"/>
    <d v="2023-02-28T00:00:00"/>
    <n v="1"/>
    <n v="0"/>
  </r>
  <r>
    <s v="ORD-2024-206121"/>
    <d v="2024-02-18T00:00:00"/>
    <d v="2024-03-11T00:00:00"/>
    <x v="1"/>
    <s v="Brazil"/>
    <s v="São Paulo"/>
    <s v="Consumer"/>
    <s v="Online"/>
    <x v="7"/>
    <s v="Components"/>
    <s v="CMP-9801"/>
    <n v="80.48"/>
    <n v="65.650000000000006"/>
    <n v="0.17599999999999999"/>
    <n v="13"/>
    <s v="Valid"/>
    <n v="65.650000000000006"/>
    <b v="0"/>
    <n v="0.17599999999999999"/>
    <n v="22"/>
    <d v="2024-03-11T00:00:00"/>
    <n v="22"/>
    <n v="85194.792799999996"/>
    <n v="853.45"/>
    <n v="84341.342799999999"/>
    <n v="0.98998236896938618"/>
    <s v="Feb-2024"/>
    <s v="Q1-2024"/>
    <s v="Americas → Brazil → São Paulo"/>
    <s v="Support"/>
    <s v="Medium"/>
    <s v="BRAZIL"/>
    <d v="2023-01-29T00:00:00"/>
    <s v="Jan-2023"/>
    <d v="2024-02-29T00:00:00"/>
    <n v="0"/>
    <n v="0"/>
  </r>
  <r>
    <s v="ORD-2024-500890"/>
    <d v="2024-09-09T00:00:00"/>
    <d v="2024-10-08T00:00:00"/>
    <x v="1"/>
    <s v="Brazil"/>
    <s v="São Paulo"/>
    <s v="Education"/>
    <s v="Direct"/>
    <x v="1"/>
    <s v="Components"/>
    <s v="CMP-3093"/>
    <n v="1010.33"/>
    <n v="2492.14"/>
    <n v="5.0999999999999997E-2"/>
    <n v="11"/>
    <s v="Valid"/>
    <n v="2492.14"/>
    <b v="0"/>
    <n v="5.0999999999999997E-2"/>
    <n v="29"/>
    <d v="2024-10-08T00:00:00"/>
    <n v="29"/>
    <n v="2739955.9094599998"/>
    <n v="27413.539999999997"/>
    <n v="2712542.3694599997"/>
    <n v="0.98999489739767277"/>
    <s v="Sep-2024"/>
    <s v="Q3-2024"/>
    <s v="Americas → Brazil → São Paulo"/>
    <s v="Support"/>
    <s v="Medium"/>
    <s v="BRAZIL"/>
    <d v="2023-01-29T00:00:00"/>
    <s v="Jan-2023"/>
    <d v="2024-09-30T00:00:00"/>
    <n v="0"/>
    <n v="0"/>
  </r>
  <r>
    <s v="ORD-2023-144816"/>
    <d v="2023-05-07T00:00:00"/>
    <d v="2023-05-29T00:00:00"/>
    <x v="0"/>
    <s v="South Africa"/>
    <s v="Durban"/>
    <s v="Education"/>
    <s v="Distributor"/>
    <x v="10"/>
    <s v="Accessories"/>
    <s v="ACC-2364"/>
    <n v="653.86"/>
    <n v="931.84"/>
    <n v="0.121"/>
    <n v="12"/>
    <s v="Valid"/>
    <n v="931.84"/>
    <b v="0"/>
    <n v="0.121"/>
    <n v="22"/>
    <d v="2023-05-29T00:00:00"/>
    <n v="22"/>
    <n v="1116854.96832"/>
    <n v="11182.08"/>
    <n v="1105672.8883199999"/>
    <n v="0.98998788534126281"/>
    <s v="May-2023"/>
    <s v="Q2-2023"/>
    <s v="Africa → South Africa → Durban"/>
    <s v="Support"/>
    <s v="Low"/>
    <s v="SOUTH AFRICA"/>
    <d v="2023-01-07T00:00:00"/>
    <s v="Jan-2023"/>
    <d v="2023-05-31T00:00:00"/>
    <n v="0"/>
    <n v="0"/>
  </r>
  <r>
    <s v="ORD-2024-153053"/>
    <d v="2024-01-12T00:00:00"/>
    <d v="2024-01-29T00:00:00"/>
    <x v="2"/>
    <s v="India"/>
    <s v="Hyderabad"/>
    <s v="Small Business"/>
    <s v="Direct"/>
    <x v="4"/>
    <s v="Components"/>
    <s v="CMP-5138"/>
    <n v="310.02"/>
    <n v="619.51"/>
    <n v="4.2000000000000003E-2"/>
    <n v="4"/>
    <s v="Valid"/>
    <n v="619.51"/>
    <b v="0"/>
    <n v="4.2000000000000003E-2"/>
    <n v="17"/>
    <d v="2024-01-29T00:00:00"/>
    <n v="17"/>
    <n v="247699.92231999998"/>
    <n v="2478.04"/>
    <n v="245221.88231999998"/>
    <n v="0.98999579823525874"/>
    <s v="Jan-2024"/>
    <s v="Q1-2024"/>
    <s v="Asia → India → Hyderabad"/>
    <s v="Support"/>
    <s v="Medium"/>
    <s v="INDIA"/>
    <d v="2023-01-29T00:00:00"/>
    <s v="Jan-2023"/>
    <d v="2024-01-31T00:00:00"/>
    <n v="0"/>
    <n v="0"/>
  </r>
  <r>
    <s v="ORD-2023-536542"/>
    <d v="2023-06-10T00:00:00"/>
    <d v="2023-06-18T00:00:00"/>
    <x v="0"/>
    <s v="Kenya"/>
    <s v="Nakuru"/>
    <s v="Enterprise"/>
    <s v="Direct"/>
    <x v="9"/>
    <s v="Phones"/>
    <s v="PHN-2337"/>
    <n v="894.23"/>
    <n v="1421.55"/>
    <n v="0.109"/>
    <n v="3"/>
    <s v="Valid"/>
    <n v="1421.55"/>
    <b v="0"/>
    <n v="0.109"/>
    <n v="8"/>
    <d v="2023-06-18T00:00:00"/>
    <n v="8"/>
    <n v="426000.15314999997"/>
    <n v="4264.6499999999996"/>
    <n v="421735.50314999995"/>
    <n v="0.98998908810603548"/>
    <s v="Jun-2023"/>
    <s v="Q2-2023"/>
    <s v="Africa → Kenya → Nakuru"/>
    <s v="Devices"/>
    <s v="Low"/>
    <s v="KENYA"/>
    <d v="2023-01-20T00:00:00"/>
    <s v="Jan-2023"/>
    <d v="2023-06-30T00:00:00"/>
    <n v="0"/>
    <n v="0"/>
  </r>
  <r>
    <s v="ORD-2025-779530"/>
    <d v="2025-05-19T00:00:00"/>
    <d v="2025-05-17T00:00:00"/>
    <x v="1"/>
    <s v="Brazil"/>
    <s v="São Paulo"/>
    <s v="Small Business"/>
    <s v="Distributor"/>
    <x v="14"/>
    <s v="Monitors"/>
    <s v="MON-2993"/>
    <n v="383.77"/>
    <n v="952.56"/>
    <n v="0.34599999999999997"/>
    <n v="10"/>
    <s v="Valid"/>
    <n v="952.56"/>
    <s v="Excess"/>
    <n v="0.3"/>
    <n v="-2"/>
    <d v="2025-05-26T00:00:00"/>
    <n v="7"/>
    <n v="949702.31999999983"/>
    <n v="9525.5999999999985"/>
    <n v="940176.71999999986"/>
    <n v="0.98996990972918764"/>
    <s v="May-2025"/>
    <s v="Q2-2025"/>
    <s v="Americas → Brazil → São Paulo"/>
    <s v="Peripherals"/>
    <s v="High"/>
    <s v="BRAZIL"/>
    <d v="2023-01-29T00:00:00"/>
    <s v="Jan-2023"/>
    <d v="2025-05-31T00:00:00"/>
    <n v="1"/>
    <n v="1"/>
  </r>
  <r>
    <s v="ORD-2023-163610"/>
    <d v="2023-10-22T00:00:00"/>
    <d v="2023-11-16T00:00:00"/>
    <x v="1"/>
    <s v="Canada"/>
    <s v="Toronto"/>
    <s v="Small Business"/>
    <s v="Marketplace"/>
    <x v="2"/>
    <s v="Laptops"/>
    <s v="LAP-9024"/>
    <n v="1373.31"/>
    <n v="3154.14"/>
    <n v="0.2"/>
    <n v="11"/>
    <s v="Valid"/>
    <n v="3154.14"/>
    <b v="0"/>
    <n v="0.2"/>
    <n v="25"/>
    <d v="2023-11-16T00:00:00"/>
    <n v="25"/>
    <n v="3462614.892"/>
    <n v="34695.54"/>
    <n v="3427919.352"/>
    <n v="0.98997995991983967"/>
    <s v="Oct-2023"/>
    <s v="Q4-2023"/>
    <s v="Americas → Canada → Toronto"/>
    <s v="Devices"/>
    <s v="Low"/>
    <s v="CANADA"/>
    <d v="2023-01-02T00:00:00"/>
    <s v="Jan-2023"/>
    <d v="2023-10-31T00:00:00"/>
    <n v="0"/>
    <n v="0"/>
  </r>
  <r>
    <s v="ORD-2025-653781"/>
    <d v="2025-01-11T00:00:00"/>
    <d v="2025-01-23T00:00:00"/>
    <x v="1"/>
    <s v="USA"/>
    <s v="Austin"/>
    <s v="Consumer"/>
    <s v="Distributor"/>
    <x v="9"/>
    <s v="Phones"/>
    <s v="PHN-6307"/>
    <n v="100.69"/>
    <n v="226.14"/>
    <n v="6.5000000000000002E-2"/>
    <n v="12"/>
    <s v="Valid"/>
    <n v="226.14"/>
    <b v="0"/>
    <n v="6.5000000000000002E-2"/>
    <n v="12"/>
    <d v="2025-01-23T00:00:00"/>
    <n v="12"/>
    <n v="271191.61079999997"/>
    <n v="2713.68"/>
    <n v="268477.93079999997"/>
    <n v="0.98999349577225204"/>
    <s v="Jan-2025"/>
    <s v="Q1-2025"/>
    <s v="Americas → USA → Austin"/>
    <s v="Devices"/>
    <s v="High"/>
    <s v="USA"/>
    <d v="2023-01-13T00:00:00"/>
    <s v="Jan-2023"/>
    <d v="2025-01-31T00:00:00"/>
    <n v="0"/>
    <n v="0"/>
  </r>
  <r>
    <s v="ORD-2025-737787"/>
    <d v="2025-09-14T00:00:00"/>
    <d v="2025-09-26T00:00:00"/>
    <x v="3"/>
    <s v="United Kingdom"/>
    <s v="London"/>
    <s v="Small Business"/>
    <s v="Direct"/>
    <x v="12"/>
    <s v="Networking"/>
    <s v="NET-9003"/>
    <n v="425.15"/>
    <n v="885.92"/>
    <n v="0.23899999999999999"/>
    <n v="13"/>
    <s v="Valid"/>
    <n v="885.92"/>
    <b v="0"/>
    <n v="0.23899999999999999"/>
    <n v="12"/>
    <d v="2025-09-26T00:00:00"/>
    <n v="12"/>
    <n v="1148943.4465599998"/>
    <n v="11516.96"/>
    <n v="1137426.4865599999"/>
    <n v="0.98997604274215378"/>
    <s v="Sep-2025"/>
    <s v="Q3-2025"/>
    <s v="Europe → United Kingdom → London"/>
    <s v="Support"/>
    <s v="High"/>
    <s v="UNITED KINGDOM"/>
    <d v="2023-01-19T00:00:00"/>
    <s v="Jan-2023"/>
    <d v="2025-09-30T00:00:00"/>
    <n v="0"/>
    <n v="1"/>
  </r>
  <r>
    <s v="ORD-2023-944052"/>
    <d v="2023-08-30T00:00:00"/>
    <d v="2023-09-03T00:00:00"/>
    <x v="2"/>
    <s v="India"/>
    <s v="Delhi"/>
    <s v="Small Business"/>
    <s v="Marketplace"/>
    <x v="14"/>
    <s v="Accessories"/>
    <s v="ACC-3068"/>
    <n v="1082.25"/>
    <n v="2433.34"/>
    <n v="0.27"/>
    <n v="4"/>
    <s v="Valid"/>
    <n v="2433.34"/>
    <b v="0"/>
    <n v="0.27"/>
    <n v="4"/>
    <d v="2023-09-03T00:00:00"/>
    <n v="4"/>
    <n v="970707.99280000012"/>
    <n v="9733.36"/>
    <n v="960974.63280000014"/>
    <n v="0.98997292690263716"/>
    <s v="Aug-2023"/>
    <s v="Q3-2023"/>
    <s v="Asia → India → Delhi"/>
    <s v="Support"/>
    <s v="Low"/>
    <s v="INDIA"/>
    <d v="2023-01-29T00:00:00"/>
    <s v="Jan-2023"/>
    <d v="2023-08-31T00:00:00"/>
    <n v="1"/>
    <n v="1"/>
  </r>
  <r>
    <s v="ORD-2023-181257"/>
    <d v="2023-11-15T00:00:00"/>
    <d v="2023-12-06T00:00:00"/>
    <x v="3"/>
    <s v="United Kingdom"/>
    <s v="Manchester"/>
    <s v="Education"/>
    <s v="Direct"/>
    <x v="9"/>
    <s v="Accessories"/>
    <s v="ACC-1060"/>
    <n v="1184.99"/>
    <n v="1154.3399999999999"/>
    <n v="2.8000000000000001E-2"/>
    <n v="5"/>
    <s v="Valid"/>
    <n v="1154.3399999999999"/>
    <b v="0"/>
    <n v="2.8000000000000001E-2"/>
    <n v="21"/>
    <d v="2023-12-06T00:00:00"/>
    <n v="21"/>
    <n v="577008.3923999999"/>
    <n v="5771.7"/>
    <n v="571236.69239999994"/>
    <n v="0.98999719921578044"/>
    <s v="Nov-2023"/>
    <s v="Q4-2023"/>
    <s v="Europe → United Kingdom → Manchester"/>
    <s v="Support"/>
    <s v="Low"/>
    <s v="UNITED KINGDOM"/>
    <d v="2023-01-19T00:00:00"/>
    <s v="Jan-2023"/>
    <d v="2023-11-30T00:00:00"/>
    <n v="0"/>
    <n v="0"/>
  </r>
  <r>
    <s v="ORD-2025-323492"/>
    <d v="2025-04-27T00:00:00"/>
    <d v="2025-05-27T00:00:00"/>
    <x v="2"/>
    <s v="India"/>
    <s v="Unknown City "/>
    <s v="Enterprise"/>
    <s v="Marketplace"/>
    <x v="9"/>
    <s v="Phones"/>
    <s v="PHN-3854"/>
    <n v="481.32"/>
    <n v="1135.99"/>
    <n v="0.14499999999999999"/>
    <n v="5"/>
    <s v="Valid"/>
    <n v="1135.99"/>
    <b v="0"/>
    <n v="0.14499999999999999"/>
    <n v="30"/>
    <d v="2025-05-27T00:00:00"/>
    <n v="30"/>
    <n v="567171.40725000005"/>
    <n v="5679.95"/>
    <n v="561491.45725000009"/>
    <n v="0.98998547894446953"/>
    <s v="Apr-2025"/>
    <s v="Q2-2025"/>
    <s v="Asia → India → Unknown City "/>
    <s v="Devices"/>
    <s v="High"/>
    <s v="INDIA"/>
    <d v="2023-01-29T00:00:00"/>
    <s v="Jan-2023"/>
    <d v="2025-04-30T00:00:00"/>
    <n v="0"/>
    <n v="0"/>
  </r>
  <r>
    <s v="ORD-2024-332076"/>
    <d v="2024-04-09T00:00:00"/>
    <d v="2024-04-18T00:00:00"/>
    <x v="3"/>
    <s v="France"/>
    <s v="Lyon"/>
    <s v="Consumer"/>
    <s v="Online"/>
    <x v="5"/>
    <s v="Printers"/>
    <s v="PRN-1086"/>
    <n v="1288.8499999999999"/>
    <n v="2751.84"/>
    <n v="0.158"/>
    <n v="7"/>
    <s v="Valid"/>
    <n v="2751.84"/>
    <b v="0"/>
    <n v="0.158"/>
    <n v="9"/>
    <d v="2024-04-18T00:00:00"/>
    <n v="9"/>
    <n v="1923244.46496"/>
    <n v="19262.88"/>
    <n v="1903981.5849600001"/>
    <n v="0.98998417499649449"/>
    <s v="Apr-2024"/>
    <s v="Q2-2024"/>
    <s v="Europe → France → Lyon"/>
    <s v="Peripherals"/>
    <s v="Medium"/>
    <s v="FRANCE"/>
    <d v="2023-01-10T00:00:00"/>
    <s v="Jan-2023"/>
    <d v="2024-04-30T00:00:00"/>
    <n v="0"/>
    <n v="0"/>
  </r>
  <r>
    <s v="ORD-2024-571797"/>
    <d v="2024-07-11T00:00:00"/>
    <d v="2024-07-31T00:00:00"/>
    <x v="2"/>
    <s v="China"/>
    <s v="Shenzhen"/>
    <s v="Consumer"/>
    <s v="Online"/>
    <x v="3"/>
    <s v="Phones"/>
    <s v="PHN-7815"/>
    <n v="647.26"/>
    <n v="1374.72"/>
    <n v="6.6000000000000003E-2"/>
    <n v="22"/>
    <s v="Valid"/>
    <n v="1374.72"/>
    <b v="0"/>
    <n v="6.6000000000000003E-2"/>
    <n v="20"/>
    <d v="2024-07-31T00:00:00"/>
    <n v="20"/>
    <n v="3022387.90656"/>
    <n v="30243.84"/>
    <n v="2992144.0665600002"/>
    <n v="0.98999339564112321"/>
    <s v="Jul-2024"/>
    <s v="Q3-2024"/>
    <s v="Asia → China → Shenzhen"/>
    <s v="Devices"/>
    <s v="Medium"/>
    <s v="CHINA"/>
    <d v="2023-01-12T00:00:00"/>
    <s v="Jan-2023"/>
    <d v="2024-07-31T00:00:00"/>
    <n v="0"/>
    <n v="0"/>
  </r>
  <r>
    <s v="ORD-2024-129345"/>
    <d v="2024-02-18T00:00:00"/>
    <d v="2024-03-03T00:00:00"/>
    <x v="1"/>
    <s v="Brazil"/>
    <s v="Unknown City "/>
    <s v="Enterprise"/>
    <s v="Distributor"/>
    <x v="7"/>
    <s v="Printers"/>
    <s v="PRN-5384"/>
    <n v="624.23"/>
    <n v="1318.37"/>
    <n v="0.21"/>
    <n v="37"/>
    <s v="Valid"/>
    <n v="1318.37"/>
    <b v="0"/>
    <n v="0.21"/>
    <n v="14"/>
    <d v="2024-03-03T00:00:00"/>
    <n v="14"/>
    <n v="4867725.2650999995"/>
    <n v="48779.689999999995"/>
    <n v="4818945.5750999991"/>
    <n v="0.98997895580719497"/>
    <s v="Feb-2024"/>
    <s v="Q1-2024"/>
    <s v="Americas → Brazil → Unknown City "/>
    <s v="Peripherals"/>
    <s v="Medium"/>
    <s v="BRAZIL"/>
    <d v="2023-01-29T00:00:00"/>
    <s v="Jan-2023"/>
    <d v="2024-02-29T00:00:00"/>
    <n v="0"/>
    <n v="1"/>
  </r>
  <r>
    <s v="ORD-2023-660608"/>
    <d v="2023-07-25T00:00:00"/>
    <d v="2023-08-10T00:00:00"/>
    <x v="0"/>
    <s v="Nigeria"/>
    <s v="Port Harcourt"/>
    <s v="Corporate"/>
    <s v="Distributor"/>
    <x v="2"/>
    <s v="Accessories"/>
    <s v="ACC-8178"/>
    <n v="506.83"/>
    <n v="441.74"/>
    <n v="0.24"/>
    <n v="9"/>
    <s v="Valid"/>
    <n v="441.74"/>
    <b v="0"/>
    <n v="0.24"/>
    <n v="16"/>
    <d v="2023-08-10T00:00:00"/>
    <n v="16"/>
    <n v="396611.84159999999"/>
    <n v="3975.66"/>
    <n v="392636.18160000001"/>
    <n v="0.98997594226142749"/>
    <s v="Jul-2023"/>
    <s v="Q3-2023"/>
    <s v="Africa → Nigeria → Port Harcourt"/>
    <s v="Support"/>
    <s v="Low"/>
    <s v="NIGERIA"/>
    <d v="2023-01-15T00:00:00"/>
    <s v="Jan-2023"/>
    <d v="2023-07-31T00:00:00"/>
    <n v="0"/>
    <n v="1"/>
  </r>
  <r>
    <s v="ORD-2023-825084"/>
    <d v="2023-07-14T00:00:00"/>
    <d v="2023-07-21T00:00:00"/>
    <x v="0"/>
    <s v="South Africa"/>
    <s v="Durban"/>
    <s v="Enterprise"/>
    <s v="Marketplace"/>
    <x v="15"/>
    <s v="Monitors"/>
    <s v="MON-1018"/>
    <n v="620.74"/>
    <n v="1330.07"/>
    <n v="0.29899999999999999"/>
    <n v="28"/>
    <s v="Valid"/>
    <n v="1330.07"/>
    <b v="0"/>
    <n v="0.29899999999999999"/>
    <n v="7"/>
    <d v="2023-07-21T00:00:00"/>
    <n v="7"/>
    <n v="3713060.6539599998"/>
    <n v="37241.96"/>
    <n v="3675818.6939599998"/>
    <n v="0.98997001033088938"/>
    <s v="Jul-2023"/>
    <s v="Q3-2023"/>
    <s v="Africa → South Africa → Durban"/>
    <s v="Peripherals"/>
    <s v="Low"/>
    <s v="SOUTH AFRICA"/>
    <d v="2023-01-07T00:00:00"/>
    <s v="Jan-2023"/>
    <d v="2023-07-31T00:00:00"/>
    <n v="1"/>
    <n v="1"/>
  </r>
  <r>
    <s v="ORD-2023-261081"/>
    <d v="2023-07-24T00:00:00"/>
    <d v="2023-08-19T00:00:00"/>
    <x v="0"/>
    <s v="Kenya"/>
    <s v="Nairobi"/>
    <s v="Enterprise"/>
    <s v="Distributor"/>
    <x v="11"/>
    <s v="Accessories"/>
    <s v="ACC-1238"/>
    <n v="661.45"/>
    <n v="1634.86"/>
    <n v="0.56499999999999995"/>
    <n v="24"/>
    <s v="Valid"/>
    <n v="1634.86"/>
    <s v="Excess"/>
    <n v="0.3"/>
    <n v="26"/>
    <d v="2023-08-19T00:00:00"/>
    <n v="26"/>
    <n v="3911893.0079999999"/>
    <n v="39236.639999999999"/>
    <n v="3872656.3679999998"/>
    <n v="0.98996990972918752"/>
    <s v="Jul-2023"/>
    <s v="Q3-2023"/>
    <s v="Africa → Kenya → Nairobi"/>
    <s v="Support"/>
    <s v="Low"/>
    <s v="KENYA"/>
    <d v="2023-01-20T00:00:00"/>
    <s v="Jan-2023"/>
    <d v="2023-07-31T00:00:00"/>
    <n v="0"/>
    <n v="1"/>
  </r>
  <r>
    <s v="ORD-2023-766015"/>
    <d v="2023-04-13T00:00:00"/>
    <d v="2023-04-11T00:00:00"/>
    <x v="1"/>
    <s v="USA"/>
    <s v="San Francisco"/>
    <s v="Education"/>
    <s v="Marketplace"/>
    <x v="3"/>
    <s v="Networking"/>
    <s v="NET-1816"/>
    <n v="32.1"/>
    <n v="70.599999999999994"/>
    <n v="0.28199999999999997"/>
    <n v="22"/>
    <s v="Valid"/>
    <n v="70.599999999999994"/>
    <b v="0"/>
    <n v="0.28199999999999997"/>
    <n v="-2"/>
    <d v="2023-04-20T00:00:00"/>
    <n v="7"/>
    <n v="154881.99759999997"/>
    <n v="1553.1999999999998"/>
    <n v="153328.79759999996"/>
    <n v="0.98997172025110802"/>
    <s v="Apr-2023"/>
    <s v="Q2-2023"/>
    <s v="Americas → USA → San Francisco"/>
    <s v="Support"/>
    <s v="Low"/>
    <s v="USA"/>
    <d v="2023-01-13T00:00:00"/>
    <s v="Jan-2023"/>
    <d v="2023-04-30T00:00:00"/>
    <n v="1"/>
    <n v="1"/>
  </r>
  <r>
    <s v="ORD-2024-333192"/>
    <d v="2024-10-29T00:00:00"/>
    <d v="2024-11-04T00:00:00"/>
    <x v="0"/>
    <s v="Kenya"/>
    <s v="Nairobi"/>
    <s v="Corporate"/>
    <s v="Distributor"/>
    <x v="11"/>
    <s v="Printers"/>
    <s v="PRN-4893"/>
    <n v="805.81"/>
    <n v="1823.04"/>
    <n v="0"/>
    <n v="11"/>
    <s v="Valid"/>
    <n v="1823.04"/>
    <b v="0"/>
    <n v="0"/>
    <n v="6"/>
    <d v="2024-11-04T00:00:00"/>
    <n v="6"/>
    <n v="2005343.9999999998"/>
    <n v="20053.439999999999"/>
    <n v="1985290.5599999998"/>
    <n v="0.99"/>
    <s v="Oct-2024"/>
    <s v="Q4-2024"/>
    <s v="Africa → Kenya → Nairobi"/>
    <s v="Peripherals"/>
    <s v="High"/>
    <s v="KENYA"/>
    <d v="2023-01-20T00:00:00"/>
    <s v="Jan-2023"/>
    <d v="2024-10-31T00:00:00"/>
    <n v="1"/>
    <n v="0"/>
  </r>
  <r>
    <s v="ORD-2024-647473"/>
    <d v="2024-02-17T00:00:00"/>
    <d v="2024-03-04T00:00:00"/>
    <x v="2"/>
    <s v="India"/>
    <s v="Delhi"/>
    <s v="Small Business"/>
    <s v="Marketplace"/>
    <x v="8"/>
    <s v="Phones"/>
    <s v="PHN-1717"/>
    <n v="1231.8"/>
    <n v="2015.99"/>
    <n v="0.26100000000000001"/>
    <n v="6"/>
    <s v="Valid"/>
    <n v="2015.99"/>
    <b v="0"/>
    <n v="0.26100000000000001"/>
    <n v="16"/>
    <d v="2024-03-04T00:00:00"/>
    <n v="16"/>
    <n v="1206436.9596600002"/>
    <n v="12095.94"/>
    <n v="1194341.0196600002"/>
    <n v="0.98997383170073894"/>
    <s v="Feb-2024"/>
    <s v="Q1-2024"/>
    <s v="Asia → India → Delhi"/>
    <s v="Devices"/>
    <s v="Medium"/>
    <s v="INDIA"/>
    <d v="2023-01-29T00:00:00"/>
    <s v="Jan-2023"/>
    <d v="2024-02-29T00:00:00"/>
    <n v="0"/>
    <n v="1"/>
  </r>
  <r>
    <s v="ORD-2024-892908"/>
    <d v="2024-07-13T00:00:00"/>
    <d v="2024-07-12T00:00:00"/>
    <x v="2"/>
    <s v="Japan"/>
    <s v="Nagoya"/>
    <s v="Small Business"/>
    <s v="Marketplace"/>
    <x v="8"/>
    <s v="Networking"/>
    <s v="NET-9575"/>
    <n v="105.13"/>
    <n v="244.13"/>
    <n v="7.0999999999999994E-2"/>
    <n v="14"/>
    <s v="Valid"/>
    <n v="244.13"/>
    <b v="0"/>
    <n v="7.0999999999999994E-2"/>
    <n v="-1"/>
    <d v="2024-07-20T00:00:00"/>
    <n v="7"/>
    <n v="341539.33477999998"/>
    <n v="3417.8199999999997"/>
    <n v="338121.51477999997"/>
    <n v="0.98999289495541831"/>
    <s v="Jul-2024"/>
    <s v="Q3-2024"/>
    <s v="Asia → Japan → Nagoya"/>
    <s v="Support"/>
    <s v="Medium"/>
    <s v="JAPAN"/>
    <d v="2023-03-03T00:00:00"/>
    <s v="Mar-2023"/>
    <d v="2024-07-31T00:00:00"/>
    <n v="1"/>
    <n v="0"/>
  </r>
  <r>
    <s v="ORD-2023-573146"/>
    <d v="2023-12-01T00:00:00"/>
    <d v="2023-12-18T00:00:00"/>
    <x v="2"/>
    <s v="Japan"/>
    <s v="Nagoya"/>
    <s v="Small Business"/>
    <s v="Direct"/>
    <x v="12"/>
    <s v="Laptops"/>
    <s v="LAP-3604"/>
    <n v="1495.79"/>
    <n v="2783.12"/>
    <n v="0.02"/>
    <n v="5"/>
    <s v="Valid"/>
    <n v="2783.12"/>
    <b v="0"/>
    <n v="0.02"/>
    <n v="17"/>
    <d v="2023-12-18T00:00:00"/>
    <n v="17"/>
    <n v="1391281.6879999998"/>
    <n v="13915.599999999999"/>
    <n v="1377366.0879999998"/>
    <n v="0.98999799959991996"/>
    <s v="Dec-2023"/>
    <s v="Q4-2023"/>
    <s v="Asia → Japan → Nagoya"/>
    <s v="Devices"/>
    <s v="Low"/>
    <s v="JAPAN"/>
    <d v="2023-03-03T00:00:00"/>
    <s v="Mar-2023"/>
    <d v="2023-12-31T00:00:00"/>
    <n v="0"/>
    <n v="0"/>
  </r>
  <r>
    <s v="ORD-2024-901115"/>
    <d v="2024-07-25T00:00:00"/>
    <d v="2024-08-02T00:00:00"/>
    <x v="1"/>
    <s v="Canada"/>
    <s v="Montreal"/>
    <s v="Consumer"/>
    <s v="Direct"/>
    <x v="1"/>
    <s v="Accessories"/>
    <s v="ACC-6626"/>
    <n v="986.81"/>
    <n v="2050.31"/>
    <n v="0.10299999999999999"/>
    <n v="43"/>
    <s v="Valid"/>
    <n v="2050.31"/>
    <b v="0"/>
    <n v="0.10299999999999999"/>
    <n v="8"/>
    <d v="2024-08-02T00:00:00"/>
    <n v="8"/>
    <n v="8807252.1770099998"/>
    <n v="88163.33"/>
    <n v="8719088.8470099997"/>
    <n v="0.98998968938006149"/>
    <s v="Jul-2024"/>
    <s v="Q3-2024"/>
    <s v="Americas → Canada → Montreal"/>
    <s v="Support"/>
    <s v="Medium"/>
    <s v="CANADA"/>
    <d v="2023-01-02T00:00:00"/>
    <s v="Jan-2023"/>
    <d v="2024-07-31T00:00:00"/>
    <n v="0"/>
    <n v="0"/>
  </r>
  <r>
    <s v="ORD-2023-898009"/>
    <d v="2023-05-04T00:00:00"/>
    <d v="2023-05-16T00:00:00"/>
    <x v="0"/>
    <s v="Nigeria"/>
    <s v="Abuja"/>
    <s v="Small Business"/>
    <s v="Marketplace"/>
    <x v="1"/>
    <s v="Phones"/>
    <s v="PHN-1670"/>
    <n v="77.739999999999995"/>
    <n v="147.12"/>
    <n v="0"/>
    <n v="15"/>
    <s v="Valid"/>
    <n v="147.12"/>
    <b v="0"/>
    <n v="0"/>
    <n v="12"/>
    <d v="2023-05-16T00:00:00"/>
    <n v="12"/>
    <n v="220680.00000000003"/>
    <n v="2206.8000000000002"/>
    <n v="218473.20000000004"/>
    <n v="0.9900000000000001"/>
    <s v="May-2023"/>
    <s v="Q2-2023"/>
    <s v="Africa → Nigeria → Abuja"/>
    <s v="Devices"/>
    <s v="Low"/>
    <s v="NIGERIA"/>
    <d v="2023-01-15T00:00:00"/>
    <s v="Jan-2023"/>
    <d v="2023-05-31T00:00:00"/>
    <n v="0"/>
    <n v="0"/>
  </r>
  <r>
    <s v="ORD-2023-208944"/>
    <d v="2023-12-21T00:00:00"/>
    <d v="2024-01-06T00:00:00"/>
    <x v="0"/>
    <s v="Nigeria"/>
    <s v="Unknown City "/>
    <s v="Corporate"/>
    <s v="Marketplace"/>
    <x v="10"/>
    <s v="Components"/>
    <s v="CMP-4792"/>
    <n v="932.61"/>
    <n v="1982.98"/>
    <n v="0.14399999999999999"/>
    <n v="16"/>
    <s v="Valid"/>
    <n v="1982.98"/>
    <b v="0"/>
    <n v="0.14399999999999999"/>
    <n v="16"/>
    <d v="2024-01-06T00:00:00"/>
    <n v="16"/>
    <n v="3168199.2140799998"/>
    <n v="31727.68"/>
    <n v="3136471.5340799997"/>
    <n v="0.98998557923409702"/>
    <s v="Dec-2023"/>
    <s v="Q4-2023"/>
    <s v="Africa → Nigeria → Unknown City "/>
    <s v="Support"/>
    <s v="Medium"/>
    <s v="NIGERIA"/>
    <d v="2023-01-15T00:00:00"/>
    <s v="Jan-2023"/>
    <d v="2023-12-31T00:00:00"/>
    <n v="0"/>
    <n v="0"/>
  </r>
  <r>
    <s v="ORD-2025-480172"/>
    <d v="2025-06-17T00:00:00"/>
    <d v="2025-07-05T00:00:00"/>
    <x v="2"/>
    <s v="India"/>
    <s v="Delhi"/>
    <s v="Consumer"/>
    <s v="Marketplace"/>
    <x v="14"/>
    <s v="Laptops"/>
    <s v="LAP-1990"/>
    <n v="982.93"/>
    <n v="2299.3000000000002"/>
    <n v="0.113"/>
    <n v="6"/>
    <s v="Valid"/>
    <n v="2299.3000000000002"/>
    <b v="0"/>
    <n v="0.113"/>
    <n v="18"/>
    <d v="2025-07-05T00:00:00"/>
    <n v="18"/>
    <n v="1378021.0746000002"/>
    <n v="13795.800000000001"/>
    <n v="1364225.2746000001"/>
    <n v="0.98998868721655464"/>
    <s v="Jun-2025"/>
    <s v="Q2-2025"/>
    <s v="Asia → India → Delhi"/>
    <s v="Devices"/>
    <s v="High"/>
    <s v="INDIA"/>
    <d v="2023-01-29T00:00:00"/>
    <s v="Jan-2023"/>
    <d v="2025-06-30T00:00:00"/>
    <n v="0"/>
    <n v="0"/>
  </r>
  <r>
    <s v="ORD-2023-735274"/>
    <d v="2023-02-23T00:00:00"/>
    <d v="2023-03-08T00:00:00"/>
    <x v="3"/>
    <s v="United Kingdom"/>
    <s v="Manchester"/>
    <s v="Small Business"/>
    <s v="Direct"/>
    <x v="0"/>
    <s v="Printers"/>
    <s v="PRN-7410"/>
    <n v="307.37"/>
    <n v="462.61"/>
    <n v="0.188"/>
    <n v="11"/>
    <s v="Valid"/>
    <n v="462.61"/>
    <b v="0"/>
    <n v="0.188"/>
    <n v="13"/>
    <d v="2023-03-08T00:00:00"/>
    <n v="13"/>
    <n v="507914.32251999999"/>
    <n v="5088.71"/>
    <n v="502825.61251999997"/>
    <n v="0.98998116458942809"/>
    <s v="Feb-2023"/>
    <s v="Q1-2023"/>
    <s v="Europe → United Kingdom → Manchester"/>
    <s v="Peripherals"/>
    <s v="Low"/>
    <s v="UNITED KINGDOM"/>
    <d v="2023-01-19T00:00:00"/>
    <s v="Jan-2023"/>
    <d v="2023-02-28T00:00:00"/>
    <n v="0"/>
    <n v="0"/>
  </r>
  <r>
    <s v="ORD-2023-212701"/>
    <d v="2023-12-02T00:00:00"/>
    <d v="2023-12-16T00:00:00"/>
    <x v="3"/>
    <s v="Germany"/>
    <s v="Frankfurt"/>
    <s v="Education"/>
    <s v="Direct"/>
    <x v="12"/>
    <s v="Monitors"/>
    <s v="MON-4278"/>
    <n v="879.08"/>
    <n v="1093.3900000000001"/>
    <n v="0.113"/>
    <n v="17"/>
    <s v="Valid"/>
    <n v="1093.3900000000001"/>
    <b v="0"/>
    <n v="0.113"/>
    <n v="14"/>
    <d v="2023-12-16T00:00:00"/>
    <n v="14"/>
    <n v="1856662.5978100002"/>
    <n v="18587.63"/>
    <n v="1838074.9678100003"/>
    <n v="0.98998868721655475"/>
    <s v="Dec-2023"/>
    <s v="Q4-2023"/>
    <s v="Europe → Germany → Frankfurt"/>
    <s v="Peripherals"/>
    <s v="Low"/>
    <s v="GERMANY"/>
    <d v="2023-01-22T00:00:00"/>
    <s v="Jan-2023"/>
    <d v="2023-12-31T00:00:00"/>
    <n v="0"/>
    <n v="0"/>
  </r>
  <r>
    <s v="ORD-2023-479747"/>
    <d v="2023-07-14T00:00:00"/>
    <d v="2023-07-14T00:00:00"/>
    <x v="0"/>
    <s v="Nigeria"/>
    <s v="Lagos"/>
    <s v="Education"/>
    <s v="Retail"/>
    <x v="2"/>
    <s v="Accessories"/>
    <s v="ACC-5334"/>
    <n v="956.38"/>
    <n v="1454.22"/>
    <n v="3.9E-2"/>
    <n v="19"/>
    <s v="Valid"/>
    <n v="1454.22"/>
    <b v="0"/>
    <n v="3.9E-2"/>
    <n v="0"/>
    <d v="2023-07-14T00:00:00"/>
    <n v="0"/>
    <n v="2761940.4229799998"/>
    <n v="27630.18"/>
    <n v="2734310.2429799996"/>
    <n v="0.98999609847840653"/>
    <s v="Jul-2023"/>
    <s v="Q3-2023"/>
    <s v="Africa → Nigeria → Lagos"/>
    <s v="Support"/>
    <s v="Low"/>
    <s v="NIGERIA"/>
    <d v="2023-01-15T00:00:00"/>
    <s v="Jan-2023"/>
    <d v="2023-07-31T00:00:00"/>
    <n v="1"/>
    <n v="0"/>
  </r>
  <r>
    <s v="ORD-2024-915495"/>
    <d v="2024-08-08T00:00:00"/>
    <d v="2024-08-20T00:00:00"/>
    <x v="2"/>
    <s v="Japan"/>
    <s v="Osaka"/>
    <s v="Small Business"/>
    <s v="Retail"/>
    <x v="9"/>
    <s v="Networking"/>
    <s v="NET-8957"/>
    <n v="1233.3599999999999"/>
    <n v="2120.4"/>
    <n v="0.17899999999999999"/>
    <n v="20"/>
    <s v="Valid"/>
    <n v="2120.4"/>
    <b v="0"/>
    <n v="0.17899999999999999"/>
    <n v="12"/>
    <d v="2024-08-20T00:00:00"/>
    <n v="12"/>
    <n v="4233208.9680000003"/>
    <n v="42408"/>
    <n v="4190800.9680000003"/>
    <n v="0.98998206790154375"/>
    <s v="Aug-2024"/>
    <s v="Q3-2024"/>
    <s v="Asia → Japan → Osaka"/>
    <s v="Support"/>
    <s v="Medium"/>
    <s v="JAPAN"/>
    <d v="2023-03-03T00:00:00"/>
    <s v="Mar-2023"/>
    <d v="2024-08-31T00:00:00"/>
    <n v="0"/>
    <n v="0"/>
  </r>
  <r>
    <s v="ORD-2024-225829"/>
    <d v="2024-11-07T00:00:00"/>
    <d v="2024-11-26T00:00:00"/>
    <x v="1"/>
    <s v="Brazil"/>
    <s v="Rio de Janeiro"/>
    <s v="Non-Profit"/>
    <s v="Distributor"/>
    <x v="1"/>
    <s v="Printers"/>
    <s v="PRN-9960"/>
    <n v="55.35"/>
    <n v="128.68"/>
    <n v="0.128"/>
    <n v="10"/>
    <s v="Valid"/>
    <n v="128.68"/>
    <b v="0"/>
    <n v="0.128"/>
    <n v="19"/>
    <d v="2024-11-26T00:00:00"/>
    <n v="19"/>
    <n v="128515.28960000002"/>
    <n v="1286.8000000000002"/>
    <n v="127228.48960000002"/>
    <n v="0.9899871835950016"/>
    <s v="Nov-2024"/>
    <s v="Q4-2024"/>
    <s v="Americas → Brazil → Rio de Janeiro"/>
    <s v="Peripherals"/>
    <s v="High"/>
    <s v="BRAZIL"/>
    <d v="2023-01-29T00:00:00"/>
    <s v="Jan-2023"/>
    <d v="2024-11-30T00:00:00"/>
    <n v="0"/>
    <n v="0"/>
  </r>
  <r>
    <s v="ORD-2024-921935"/>
    <d v="2024-01-01T00:00:00"/>
    <d v="2024-01-27T00:00:00"/>
    <x v="3"/>
    <s v="United Kingdom"/>
    <s v="Manchester"/>
    <s v="Education"/>
    <s v="Distributor"/>
    <x v="13"/>
    <s v="Accessories"/>
    <s v="ACC-3103"/>
    <n v="657.45"/>
    <n v="1325.96"/>
    <n v="0.16700000000000001"/>
    <n v="21"/>
    <s v="Valid"/>
    <n v="1325.96"/>
    <b v="0"/>
    <n v="0.16700000000000001"/>
    <n v="26"/>
    <d v="2024-01-27T00:00:00"/>
    <n v="26"/>
    <n v="2779865.8582799998"/>
    <n v="27845.16"/>
    <n v="2752020.6982799997"/>
    <n v="0.98998327206434744"/>
    <s v="Jan-2024"/>
    <s v="Q1-2024"/>
    <s v="Europe → United Kingdom → Manchester"/>
    <s v="Support"/>
    <s v="Medium"/>
    <s v="UNITED KINGDOM"/>
    <d v="2023-01-19T00:00:00"/>
    <s v="Jan-2023"/>
    <d v="2024-01-31T00:00:00"/>
    <n v="0"/>
    <n v="0"/>
  </r>
  <r>
    <s v="ORD-2025-949776"/>
    <d v="2025-08-14T00:00:00"/>
    <d v="2025-09-11T00:00:00"/>
    <x v="1"/>
    <s v="Brazil"/>
    <s v="São Paulo"/>
    <s v="Non-Profit"/>
    <s v="Direct"/>
    <x v="8"/>
    <s v="Printers"/>
    <s v="PRN-9490"/>
    <n v="1203.02"/>
    <n v="2439.33"/>
    <n v="0"/>
    <n v="18"/>
    <s v="Valid"/>
    <n v="2439.33"/>
    <b v="0"/>
    <n v="0"/>
    <n v="28"/>
    <d v="2025-09-11T00:00:00"/>
    <n v="28"/>
    <n v="4390794"/>
    <n v="43907.94"/>
    <n v="4346886.0599999996"/>
    <n v="0.98999999999999988"/>
    <s v="Aug-2025"/>
    <s v="Q3-2025"/>
    <s v="Americas → Brazil → São Paulo"/>
    <s v="Peripherals"/>
    <s v="High"/>
    <s v="BRAZIL"/>
    <d v="2023-01-29T00:00:00"/>
    <s v="Jan-2023"/>
    <d v="2025-08-31T00:00:00"/>
    <n v="0"/>
    <n v="0"/>
  </r>
  <r>
    <s v="ORD-2024-510591"/>
    <d v="2024-04-03T00:00:00"/>
    <d v="2024-04-21T00:00:00"/>
    <x v="1"/>
    <s v="Brazil"/>
    <s v="Brasília"/>
    <s v="Small Business"/>
    <s v="Distributor"/>
    <x v="4"/>
    <s v="Networking"/>
    <s v="NET-3850"/>
    <n v="1176.69"/>
    <n v="2201.54"/>
    <n v="0.17"/>
    <n v="27"/>
    <s v="Valid"/>
    <n v="2201.54"/>
    <b v="0"/>
    <n v="0.17"/>
    <n v="18"/>
    <d v="2024-04-21T00:00:00"/>
    <n v="18"/>
    <n v="5934052.9314000001"/>
    <n v="59441.58"/>
    <n v="5874611.3514"/>
    <n v="0.98998297105078636"/>
    <s v="Apr-2024"/>
    <s v="Q2-2024"/>
    <s v="Americas → Brazil → Brasília"/>
    <s v="Support"/>
    <s v="Medium"/>
    <s v="BRAZIL"/>
    <d v="2023-01-29T00:00:00"/>
    <s v="Jan-2023"/>
    <d v="2024-04-30T00:00:00"/>
    <n v="0"/>
    <n v="0"/>
  </r>
  <r>
    <s v="ORD-2024-961756"/>
    <d v="2024-11-25T00:00:00"/>
    <d v="2024-12-07T00:00:00"/>
    <x v="2"/>
    <s v="China"/>
    <s v="Shanghai"/>
    <s v="Corporate"/>
    <s v="Distributor"/>
    <x v="7"/>
    <s v="Accessories"/>
    <s v="ACC-7047"/>
    <n v="769.9"/>
    <n v="814.36"/>
    <n v="0"/>
    <n v="5"/>
    <s v="Valid"/>
    <n v="814.36"/>
    <b v="0"/>
    <n v="0"/>
    <n v="12"/>
    <d v="2024-12-07T00:00:00"/>
    <n v="12"/>
    <n v="407180"/>
    <n v="4071.8"/>
    <n v="403108.2"/>
    <n v="0.99"/>
    <s v="Nov-2024"/>
    <s v="Q4-2024"/>
    <s v="Asia → China → Shanghai"/>
    <s v="Support"/>
    <s v="High"/>
    <s v="CHINA"/>
    <d v="2023-01-12T00:00:00"/>
    <s v="Jan-2023"/>
    <d v="2024-11-30T00:00:00"/>
    <n v="0"/>
    <n v="0"/>
  </r>
  <r>
    <s v="ORD-2024-892173"/>
    <d v="2024-01-18T00:00:00"/>
    <d v="2024-02-03T00:00:00"/>
    <x v="0"/>
    <s v="South Africa"/>
    <s v="Cape Town"/>
    <s v="Non-Profit"/>
    <s v="Distributor"/>
    <x v="14"/>
    <s v="Printers"/>
    <s v="PRN-6660"/>
    <n v="666.23"/>
    <n v="1382.91"/>
    <n v="0.17599999999999999"/>
    <n v="13"/>
    <s v="Valid"/>
    <n v="1382.91"/>
    <b v="0"/>
    <n v="0.17599999999999999"/>
    <n v="16"/>
    <d v="2024-02-03T00:00:00"/>
    <n v="16"/>
    <n v="1794618.9019200001"/>
    <n v="17977.830000000002"/>
    <n v="1776641.07192"/>
    <n v="0.98998236896938607"/>
    <s v="Jan-2024"/>
    <s v="Q1-2024"/>
    <s v="Africa → South Africa → Cape Town"/>
    <s v="Peripherals"/>
    <s v="Medium"/>
    <s v="SOUTH AFRICA"/>
    <d v="2023-01-07T00:00:00"/>
    <s v="Jan-2023"/>
    <d v="2024-01-31T00:00:00"/>
    <n v="0"/>
    <n v="0"/>
  </r>
  <r>
    <s v="ORD-2024-704056"/>
    <d v="2024-06-23T00:00:00"/>
    <d v="2024-06-25T00:00:00"/>
    <x v="3"/>
    <s v="United Kingdom"/>
    <s v="Birmingham"/>
    <s v="Small Business"/>
    <s v="Marketplace"/>
    <x v="14"/>
    <s v="Accessories"/>
    <s v="ACC-7838"/>
    <n v="951.44"/>
    <n v="1646.43"/>
    <n v="0.11"/>
    <n v="24"/>
    <s v="Valid"/>
    <n v="1646.43"/>
    <b v="0"/>
    <n v="0.11"/>
    <n v="2"/>
    <d v="2024-06-25T00:00:00"/>
    <n v="2"/>
    <n v="3947085.4248000002"/>
    <n v="39514.32"/>
    <n v="3907571.1048000003"/>
    <n v="0.98998898788667533"/>
    <s v="Jun-2024"/>
    <s v="Q2-2024"/>
    <s v="Europe → United Kingdom → Birmingham"/>
    <s v="Support"/>
    <s v="Medium"/>
    <s v="UNITED KINGDOM"/>
    <d v="2023-01-19T00:00:00"/>
    <s v="Jan-2023"/>
    <d v="2024-06-30T00:00:00"/>
    <n v="1"/>
    <n v="0"/>
  </r>
  <r>
    <s v="ORD-2025-591006"/>
    <d v="2025-06-25T00:00:00"/>
    <d v="2025-07-10T00:00:00"/>
    <x v="3"/>
    <s v="United Kingdom"/>
    <s v="Birmingham"/>
    <s v="Non-Profit"/>
    <s v="Marketplace"/>
    <x v="13"/>
    <s v="Phones"/>
    <s v="PHN-5383"/>
    <n v="546.83000000000004"/>
    <n v="400.84"/>
    <n v="7.8E-2"/>
    <n v="13"/>
    <s v="Valid"/>
    <n v="400.84"/>
    <b v="0"/>
    <n v="7.8E-2"/>
    <n v="15"/>
    <d v="2025-07-10T00:00:00"/>
    <n v="15"/>
    <n v="520685.54823999997"/>
    <n v="5210.92"/>
    <n v="515474.62823999999"/>
    <n v="0.98999219391125082"/>
    <s v="Jun-2025"/>
    <s v="Q2-2025"/>
    <s v="Europe → United Kingdom → Birmingham"/>
    <s v="Devices"/>
    <s v="High"/>
    <s v="UNITED KINGDOM"/>
    <d v="2023-01-19T00:00:00"/>
    <s v="Jan-2023"/>
    <d v="2025-06-30T00:00:00"/>
    <n v="0"/>
    <n v="0"/>
  </r>
  <r>
    <s v="ORD-2023-159821"/>
    <d v="2023-07-01T00:00:00"/>
    <d v="2023-07-08T00:00:00"/>
    <x v="0"/>
    <s v="Nigeria"/>
    <s v="Port Harcourt"/>
    <s v="Corporate"/>
    <s v="Retail"/>
    <x v="7"/>
    <s v="Laptops"/>
    <s v="LAP-3904"/>
    <n v="834.26"/>
    <n v="1780.56"/>
    <n v="1.4E-2"/>
    <n v="47"/>
    <s v="Valid"/>
    <n v="1780.56"/>
    <b v="0"/>
    <n v="1.4E-2"/>
    <n v="7"/>
    <d v="2023-07-08T00:00:00"/>
    <n v="7"/>
    <n v="8367460.3915199991"/>
    <n v="83686.319999999992"/>
    <n v="8283774.0715199988"/>
    <n v="0.98999859980397253"/>
    <s v="Jul-2023"/>
    <s v="Q3-2023"/>
    <s v="Africa → Nigeria → Port Harcourt"/>
    <s v="Devices"/>
    <s v="Low"/>
    <s v="NIGERIA"/>
    <d v="2023-01-15T00:00:00"/>
    <s v="Jan-2023"/>
    <d v="2023-07-31T00:00:00"/>
    <n v="1"/>
    <n v="0"/>
  </r>
  <r>
    <s v="ORD-2024-343877"/>
    <d v="2024-03-09T00:00:00"/>
    <d v="2024-03-26T00:00:00"/>
    <x v="2"/>
    <s v="China"/>
    <s v="Shenzhen"/>
    <s v="Enterprise"/>
    <s v="Online"/>
    <x v="10"/>
    <s v="Monitors"/>
    <s v="MON-5749"/>
    <n v="1029.67"/>
    <n v="1118.43"/>
    <n v="0.27200000000000002"/>
    <n v="9"/>
    <s v="Valid"/>
    <n v="1118.43"/>
    <b v="0"/>
    <n v="0.27200000000000002"/>
    <n v="17"/>
    <d v="2024-03-26T00:00:00"/>
    <n v="17"/>
    <n v="1003849.08336"/>
    <n v="10065.870000000001"/>
    <n v="993783.21336000005"/>
    <n v="0.98997272581421469"/>
    <s v="Mar-2024"/>
    <s v="Q1-2024"/>
    <s v="Asia → China → Shenzhen"/>
    <s v="Peripherals"/>
    <s v="Medium"/>
    <s v="CHINA"/>
    <d v="2023-01-12T00:00:00"/>
    <s v="Jan-2023"/>
    <d v="2024-03-31T00:00:00"/>
    <n v="0"/>
    <n v="1"/>
  </r>
  <r>
    <s v="ORD-2023-386663"/>
    <d v="2023-06-05T00:00:00"/>
    <d v="2023-06-28T00:00:00"/>
    <x v="3"/>
    <s v="United Kingdom"/>
    <s v="Birmingham"/>
    <s v="Corporate"/>
    <s v="Direct"/>
    <x v="10"/>
    <s v="Printers"/>
    <s v="PRN-3690"/>
    <n v="605.82000000000005"/>
    <n v="771.12"/>
    <n v="0.13200000000000001"/>
    <n v="19"/>
    <s v="Valid"/>
    <n v="771.12"/>
    <b v="0"/>
    <n v="0.13200000000000001"/>
    <n v="23"/>
    <d v="2023-06-28T00:00:00"/>
    <n v="23"/>
    <n v="1463194.03104"/>
    <n v="14651.28"/>
    <n v="1448542.75104"/>
    <n v="0.9899867825529699"/>
    <s v="Jun-2023"/>
    <s v="Q2-2023"/>
    <s v="Europe → United Kingdom → Birmingham"/>
    <s v="Peripherals"/>
    <s v="Low"/>
    <s v="UNITED KINGDOM"/>
    <d v="2023-01-19T00:00:00"/>
    <s v="Jan-2023"/>
    <d v="2023-06-30T00:00:00"/>
    <n v="0"/>
    <n v="0"/>
  </r>
  <r>
    <s v="ORD-2025-125517"/>
    <d v="2025-03-21T00:00:00"/>
    <d v="2025-04-09T00:00:00"/>
    <x v="2"/>
    <s v="Japan"/>
    <s v="Tokyo"/>
    <s v="Small Business"/>
    <s v="Distributor"/>
    <x v="5"/>
    <s v="Components"/>
    <s v="CMP-7055"/>
    <n v="1055.45"/>
    <n v="1210.04"/>
    <n v="8.9999999999999993E-3"/>
    <n v="18"/>
    <s v="Valid"/>
    <n v="1210.04"/>
    <b v="0"/>
    <n v="8.9999999999999993E-3"/>
    <n v="19"/>
    <d v="2025-04-09T00:00:00"/>
    <n v="19"/>
    <n v="2177875.97352"/>
    <n v="21780.720000000001"/>
    <n v="2156095.2535199998"/>
    <n v="0.9899990999189926"/>
    <s v="Mar-2025"/>
    <s v="Q1-2025"/>
    <s v="Asia → Japan → Tokyo"/>
    <s v="Support"/>
    <s v="High"/>
    <s v="JAPAN"/>
    <d v="2023-03-03T00:00:00"/>
    <s v="Mar-2023"/>
    <d v="2025-03-31T00:00:00"/>
    <n v="0"/>
    <n v="0"/>
  </r>
  <r>
    <s v="ORD-2024-819778"/>
    <d v="2024-06-02T00:00:00"/>
    <d v="2024-06-15T00:00:00"/>
    <x v="0"/>
    <s v="Kenya"/>
    <s v="Mombasa"/>
    <s v="Education"/>
    <s v="Online"/>
    <x v="6"/>
    <s v="Phones"/>
    <s v="PHN-6866"/>
    <n v="1295.18"/>
    <n v="3024.03"/>
    <n v="0.192"/>
    <n v="8"/>
    <s v="Valid"/>
    <n v="3024.03"/>
    <b v="0"/>
    <n v="0.192"/>
    <n v="13"/>
    <d v="2024-06-15T00:00:00"/>
    <n v="13"/>
    <n v="2414579.0899200002"/>
    <n v="24192.240000000002"/>
    <n v="2390386.8499199999"/>
    <n v="0.98998076306508487"/>
    <s v="Jun-2024"/>
    <s v="Q2-2024"/>
    <s v="Africa → Kenya → Mombasa"/>
    <s v="Devices"/>
    <s v="Medium"/>
    <s v="KENYA"/>
    <d v="2023-01-20T00:00:00"/>
    <s v="Jan-2023"/>
    <d v="2024-06-30T00:00:00"/>
    <n v="0"/>
    <n v="0"/>
  </r>
  <r>
    <s v="ORD-2025-624006"/>
    <d v="2025-03-15T00:00:00"/>
    <d v="2025-03-29T00:00:00"/>
    <x v="2"/>
    <s v="India"/>
    <s v="Mumbai"/>
    <s v="Enterprise"/>
    <s v="Direct"/>
    <x v="0"/>
    <s v="Components"/>
    <s v="CMP-3259"/>
    <n v="935.83"/>
    <n v="2303.46"/>
    <n v="0.105"/>
    <n v="9"/>
    <s v="Valid"/>
    <n v="2303.46"/>
    <b v="0"/>
    <n v="0.105"/>
    <n v="14"/>
    <d v="2025-03-29T00:00:00"/>
    <n v="14"/>
    <n v="2070937.2302999999"/>
    <n v="20731.14"/>
    <n v="2050206.0903"/>
    <n v="0.98998948896341166"/>
    <s v="Mar-2025"/>
    <s v="Q1-2025"/>
    <s v="Asia → India → Mumbai"/>
    <s v="Support"/>
    <s v="High"/>
    <s v="INDIA"/>
    <d v="2023-01-29T00:00:00"/>
    <s v="Jan-2023"/>
    <d v="2025-03-31T00:00:00"/>
    <n v="0"/>
    <n v="0"/>
  </r>
  <r>
    <s v="ORD-2023-132101"/>
    <d v="2023-09-25T00:00:00"/>
    <d v="2023-10-09T00:00:00"/>
    <x v="1"/>
    <s v="USA"/>
    <s v="New York"/>
    <s v="Small Business"/>
    <s v="Marketplace"/>
    <x v="1"/>
    <s v="Laptops"/>
    <s v="LAP-6750"/>
    <n v="1279.56"/>
    <n v="3083.8"/>
    <n v="0.106"/>
    <n v="5"/>
    <s v="Valid"/>
    <n v="3083.8"/>
    <b v="0"/>
    <n v="0.106"/>
    <n v="14"/>
    <d v="2023-10-09T00:00:00"/>
    <n v="14"/>
    <n v="1540265.5860000001"/>
    <n v="15419"/>
    <n v="1524846.5860000001"/>
    <n v="0.9899893887520772"/>
    <s v="Sep-2023"/>
    <s v="Q3-2023"/>
    <s v="Americas → USA → New York"/>
    <s v="Devices"/>
    <s v="Low"/>
    <s v="USA"/>
    <d v="2023-01-13T00:00:00"/>
    <s v="Jan-2023"/>
    <d v="2023-09-30T00:00:00"/>
    <n v="0"/>
    <n v="0"/>
  </r>
  <r>
    <s v="ORD-2025-306903"/>
    <d v="2025-06-24T00:00:00"/>
    <d v="2025-07-23T00:00:00"/>
    <x v="1"/>
    <s v="Canada"/>
    <s v="Vancouver"/>
    <s v="Non-Profit"/>
    <s v="Marketplace"/>
    <x v="2"/>
    <s v="Printers"/>
    <s v="PRN-3775"/>
    <n v="255.4"/>
    <n v="322.70999999999998"/>
    <n v="0.115"/>
    <n v="16"/>
    <s v="Valid"/>
    <n v="322.70999999999998"/>
    <b v="0"/>
    <n v="0.115"/>
    <n v="29"/>
    <d v="2025-07-23T00:00:00"/>
    <n v="29"/>
    <n v="515742.21360000002"/>
    <n v="5163.3599999999997"/>
    <n v="510578.85360000003"/>
    <n v="0.9899884867597738"/>
    <s v="Jun-2025"/>
    <s v="Q2-2025"/>
    <s v="Americas → Canada → Vancouver"/>
    <s v="Peripherals"/>
    <s v="High"/>
    <s v="CANADA"/>
    <d v="2023-01-02T00:00:00"/>
    <s v="Jan-2023"/>
    <d v="2025-06-30T00:00:00"/>
    <n v="0"/>
    <n v="0"/>
  </r>
  <r>
    <s v="ORD-2023-813340"/>
    <d v="2023-12-26T00:00:00"/>
    <d v="2024-01-03T00:00:00"/>
    <x v="3"/>
    <s v="France"/>
    <s v="Lyon"/>
    <s v="Small Business"/>
    <s v="Retail"/>
    <x v="11"/>
    <s v="Laptops"/>
    <s v="LAP-2942"/>
    <n v="492.75"/>
    <n v="731.29"/>
    <n v="5.8000000000000003E-2"/>
    <n v="6"/>
    <s v="Valid"/>
    <n v="731.29"/>
    <b v="0"/>
    <n v="5.8000000000000003E-2"/>
    <n v="8"/>
    <d v="2024-01-03T00:00:00"/>
    <n v="8"/>
    <n v="438519.51107999997"/>
    <n v="4387.74"/>
    <n v="434131.77107999998"/>
    <n v="0.98999419663404775"/>
    <s v="Dec-2023"/>
    <s v="Q4-2023"/>
    <s v="Europe → France → Lyon"/>
    <s v="Devices"/>
    <s v="Medium"/>
    <s v="FRANCE"/>
    <d v="2023-01-10T00:00:00"/>
    <s v="Jan-2023"/>
    <d v="2023-12-31T00:00:00"/>
    <n v="0"/>
    <n v="0"/>
  </r>
  <r>
    <s v="ORD-2023-855675"/>
    <d v="2023-02-05T00:00:00"/>
    <d v="2023-02-28T00:00:00"/>
    <x v="1"/>
    <s v="USA"/>
    <s v="Austin"/>
    <s v="Non-Profit"/>
    <s v="Distributor"/>
    <x v="14"/>
    <s v="Phones"/>
    <s v="PHN-2036"/>
    <n v="1214.49"/>
    <n v="1533.95"/>
    <n v="0"/>
    <n v="11"/>
    <s v="Valid"/>
    <n v="1533.95"/>
    <b v="0"/>
    <n v="0"/>
    <n v="23"/>
    <d v="2023-02-28T00:00:00"/>
    <n v="23"/>
    <n v="1687345"/>
    <n v="16873.45"/>
    <n v="1670471.55"/>
    <n v="0.99"/>
    <s v="Feb-2023"/>
    <s v="Q1-2023"/>
    <s v="Americas → USA → Austin"/>
    <s v="Devices"/>
    <s v="Low"/>
    <s v="USA"/>
    <d v="2023-01-13T00:00:00"/>
    <s v="Jan-2023"/>
    <d v="2023-02-28T00:00:00"/>
    <n v="0"/>
    <n v="0"/>
  </r>
  <r>
    <s v="ORD-2023-545150"/>
    <d v="2023-04-06T00:00:00"/>
    <d v="2023-04-08T00:00:00"/>
    <x v="0"/>
    <s v="Nigeria"/>
    <s v="Abuja"/>
    <s v="Small Business"/>
    <s v="Marketplace"/>
    <x v="10"/>
    <s v="Monitors"/>
    <s v="MON-4373"/>
    <n v="720.35"/>
    <n v="1571.66"/>
    <n v="0.107"/>
    <n v="23"/>
    <s v="Valid"/>
    <n v="1571.66"/>
    <b v="0"/>
    <n v="0.107"/>
    <n v="2"/>
    <d v="2023-04-08T00:00:00"/>
    <n v="2"/>
    <n v="3610950.1447399999"/>
    <n v="36148.18"/>
    <n v="3574801.9647399997"/>
    <n v="0.98998928853873636"/>
    <s v="Apr-2023"/>
    <s v="Q2-2023"/>
    <s v="Africa → Nigeria → Abuja"/>
    <s v="Peripherals"/>
    <s v="Low"/>
    <s v="NIGERIA"/>
    <d v="2023-01-15T00:00:00"/>
    <s v="Jan-2023"/>
    <d v="2023-04-30T00:00:00"/>
    <n v="1"/>
    <n v="0"/>
  </r>
  <r>
    <s v="ORD-2025-269934"/>
    <d v="2025-04-04T00:00:00"/>
    <d v="2025-04-10T00:00:00"/>
    <x v="3"/>
    <s v="United Kingdom"/>
    <s v="Birmingham"/>
    <s v="Non-Profit"/>
    <s v="Direct"/>
    <x v="12"/>
    <s v="Printers"/>
    <s v="PRN-8657"/>
    <n v="290.14"/>
    <n v="250.73"/>
    <n v="3.4000000000000002E-2"/>
    <n v="17"/>
    <s v="Valid"/>
    <n v="250.73"/>
    <b v="0"/>
    <n v="3.4000000000000002E-2"/>
    <n v="6"/>
    <d v="2025-04-10T00:00:00"/>
    <n v="6"/>
    <n v="426096.07805999997"/>
    <n v="4262.41"/>
    <n v="421833.66806"/>
    <n v="0.98999659884360691"/>
    <s v="Apr-2025"/>
    <s v="Q2-2025"/>
    <s v="Europe → United Kingdom → Birmingham"/>
    <s v="Peripherals"/>
    <s v="High"/>
    <s v="UNITED KINGDOM"/>
    <d v="2023-01-19T00:00:00"/>
    <s v="Jan-2023"/>
    <d v="2025-04-30T00:00:00"/>
    <n v="1"/>
    <n v="0"/>
  </r>
  <r>
    <s v="ORD-2024-690270"/>
    <d v="2024-05-17T00:00:00"/>
    <d v="2024-05-27T00:00:00"/>
    <x v="1"/>
    <s v="USA"/>
    <s v="Austin"/>
    <s v="Non-Profit"/>
    <s v="Online"/>
    <x v="0"/>
    <s v="Phones"/>
    <s v="PHN-7974"/>
    <n v="1484.23"/>
    <n v="3472.81"/>
    <n v="0.25600000000000001"/>
    <n v="12"/>
    <s v="Valid"/>
    <n v="3472.81"/>
    <b v="0"/>
    <n v="0.25600000000000001"/>
    <n v="10"/>
    <d v="2024-05-27T00:00:00"/>
    <n v="10"/>
    <n v="4156703.5276800003"/>
    <n v="41673.72"/>
    <n v="4115029.8076800001"/>
    <n v="0.98997433429579718"/>
    <s v="May-2024"/>
    <s v="Q2-2024"/>
    <s v="Americas → USA → Austin"/>
    <s v="Devices"/>
    <s v="Medium"/>
    <s v="USA"/>
    <d v="2023-01-13T00:00:00"/>
    <s v="Jan-2023"/>
    <d v="2024-05-31T00:00:00"/>
    <n v="0"/>
    <n v="1"/>
  </r>
  <r>
    <s v="ORD-2024-868223"/>
    <d v="2024-03-03T00:00:00"/>
    <d v="2024-03-19T00:00:00"/>
    <x v="2"/>
    <s v="China"/>
    <s v="Beijing"/>
    <s v="Consumer"/>
    <s v="Distributor"/>
    <x v="3"/>
    <s v="Phones"/>
    <s v="PHN-4915"/>
    <n v="988.83"/>
    <n v="1206.04"/>
    <n v="6.3E-2"/>
    <n v="34"/>
    <s v="Valid"/>
    <n v="1206.04"/>
    <b v="0"/>
    <n v="6.3E-2"/>
    <n v="16"/>
    <d v="2024-03-19T00:00:00"/>
    <n v="16"/>
    <n v="4097952.6623200001"/>
    <n v="41005.360000000001"/>
    <n v="4056947.3023200002"/>
    <n v="0.98999369602849796"/>
    <s v="Mar-2024"/>
    <s v="Q1-2024"/>
    <s v="Asia → China → Beijing"/>
    <s v="Devices"/>
    <s v="Medium"/>
    <s v="CHINA"/>
    <d v="2023-01-12T00:00:00"/>
    <s v="Jan-2023"/>
    <d v="2024-03-31T00:00:00"/>
    <n v="0"/>
    <n v="0"/>
  </r>
  <r>
    <s v="ORD-2025-188059"/>
    <d v="2025-06-27T00:00:00"/>
    <d v="2025-07-11T00:00:00"/>
    <x v="2"/>
    <s v="China"/>
    <s v="Shanghai"/>
    <s v="Small Business"/>
    <s v="Marketplace"/>
    <x v="14"/>
    <s v="Networking"/>
    <s v="NET-3535"/>
    <n v="1227.7"/>
    <n v="2197.23"/>
    <n v="9.9000000000000005E-2"/>
    <n v="22"/>
    <s v="Valid"/>
    <n v="2197.23"/>
    <b v="0"/>
    <n v="9.9000000000000005E-2"/>
    <n v="14"/>
    <d v="2025-07-11T00:00:00"/>
    <n v="14"/>
    <n v="4829120.4330599997"/>
    <n v="48339.06"/>
    <n v="4780781.3730600001"/>
    <n v="0.98999009018928752"/>
    <s v="Jun-2025"/>
    <s v="Q2-2025"/>
    <s v="Asia → China → Shanghai"/>
    <s v="Support"/>
    <s v="High"/>
    <s v="CHINA"/>
    <d v="2023-01-12T00:00:00"/>
    <s v="Jan-2023"/>
    <d v="2025-06-30T00:00:00"/>
    <n v="0"/>
    <n v="0"/>
  </r>
  <r>
    <s v="ORD-2023-281890"/>
    <d v="2023-03-13T00:00:00"/>
    <d v="2023-04-04T00:00:00"/>
    <x v="0"/>
    <s v="South Africa"/>
    <s v="Durban"/>
    <s v="Small Business"/>
    <s v="Retail"/>
    <x v="7"/>
    <s v="Components"/>
    <s v="CMP-2574"/>
    <n v="1113.7"/>
    <n v="1620.6"/>
    <n v="0.13900000000000001"/>
    <n v="11"/>
    <s v="Valid"/>
    <n v="1620.6"/>
    <b v="0"/>
    <n v="0.13900000000000001"/>
    <n v="22"/>
    <d v="2023-04-04T00:00:00"/>
    <n v="22"/>
    <n v="1780182.1025999999"/>
    <n v="17826.599999999999"/>
    <n v="1762355.5025999998"/>
    <n v="0.98998608065210636"/>
    <s v="Mar-2023"/>
    <s v="Q1-2023"/>
    <s v="Africa → South Africa → Durban"/>
    <s v="Support"/>
    <s v="Low"/>
    <s v="SOUTH AFRICA"/>
    <d v="2023-01-07T00:00:00"/>
    <s v="Jan-2023"/>
    <d v="2023-03-31T00:00:00"/>
    <n v="0"/>
    <n v="0"/>
  </r>
  <r>
    <s v="ORD-2025-636162"/>
    <d v="2025-01-07T00:00:00"/>
    <d v="2025-01-20T00:00:00"/>
    <x v="0"/>
    <s v="South Africa"/>
    <s v="Cape Town"/>
    <s v="Corporate"/>
    <s v="Direct"/>
    <x v="10"/>
    <s v="Networking"/>
    <s v="NET-7901"/>
    <n v="432.13"/>
    <n v="1034.6600000000001"/>
    <n v="9.1999999999999998E-2"/>
    <n v="7"/>
    <s v="Valid"/>
    <n v="1034.6600000000001"/>
    <b v="0"/>
    <n v="9.1999999999999998E-2"/>
    <n v="13"/>
    <d v="2025-01-20T00:00:00"/>
    <n v="13"/>
    <n v="723595.67896000005"/>
    <n v="7242.6200000000008"/>
    <n v="716353.05896000005"/>
    <n v="0.9899907915282059"/>
    <s v="Jan-2025"/>
    <s v="Q1-2025"/>
    <s v="Africa → South Africa → Cape Town"/>
    <s v="Support"/>
    <s v="High"/>
    <s v="SOUTH AFRICA"/>
    <d v="2023-01-07T00:00:00"/>
    <s v="Jan-2023"/>
    <d v="2025-01-31T00:00:00"/>
    <n v="0"/>
    <n v="0"/>
  </r>
  <r>
    <s v="ORD-2025-915869"/>
    <d v="2025-02-06T00:00:00"/>
    <d v="2025-02-15T00:00:00"/>
    <x v="1"/>
    <s v="Brazil"/>
    <s v="São Paulo"/>
    <s v="Non-Profit"/>
    <s v="Distributor"/>
    <x v="8"/>
    <s v="Networking"/>
    <s v="NET-5482"/>
    <n v="837.39"/>
    <n v="1905.42"/>
    <n v="3.2000000000000001E-2"/>
    <n v="18"/>
    <s v="Valid"/>
    <n v="1905.42"/>
    <b v="0"/>
    <n v="3.2000000000000001E-2"/>
    <n v="9"/>
    <d v="2025-02-15T00:00:00"/>
    <n v="9"/>
    <n v="3428658.4780799998"/>
    <n v="34297.56"/>
    <n v="3394360.9180799997"/>
    <n v="0.98999679897567217"/>
    <s v="Feb-2025"/>
    <s v="Q1-2025"/>
    <s v="Americas → Brazil → São Paulo"/>
    <s v="Support"/>
    <s v="High"/>
    <s v="BRAZIL"/>
    <d v="2023-01-29T00:00:00"/>
    <s v="Jan-2023"/>
    <d v="2025-02-28T00:00:00"/>
    <n v="0"/>
    <n v="0"/>
  </r>
  <r>
    <s v="ORD-2025-192876"/>
    <d v="2025-01-31T00:00:00"/>
    <d v="2025-02-17T00:00:00"/>
    <x v="3"/>
    <s v="United Kingdom"/>
    <s v="London"/>
    <s v="Enterprise"/>
    <s v="Retail"/>
    <x v="9"/>
    <s v="Components"/>
    <s v="CMP-5820"/>
    <n v="378.26"/>
    <n v="541.55999999999995"/>
    <n v="0.16300000000000001"/>
    <n v="25"/>
    <s v="Valid"/>
    <n v="541.55999999999995"/>
    <b v="0"/>
    <n v="0.16300000000000001"/>
    <n v="17"/>
    <d v="2025-02-17T00:00:00"/>
    <n v="17"/>
    <n v="1351693.1429999999"/>
    <n v="13538.999999999998"/>
    <n v="1338154.1429999999"/>
    <n v="0.98998367338762183"/>
    <s v="Jan-2025"/>
    <s v="Q1-2025"/>
    <s v="Europe → United Kingdom → London"/>
    <s v="Support"/>
    <s v="High"/>
    <s v="UNITED KINGDOM"/>
    <d v="2023-01-19T00:00:00"/>
    <s v="Jan-2023"/>
    <d v="2025-01-31T00:00:00"/>
    <n v="0"/>
    <n v="0"/>
  </r>
  <r>
    <s v="ORD-2025-822030"/>
    <d v="2025-08-07T00:00:00"/>
    <d v="2025-09-06T00:00:00"/>
    <x v="1"/>
    <s v="Canada"/>
    <s v="Montreal"/>
    <s v="Education"/>
    <s v="Direct"/>
    <x v="11"/>
    <s v="Networking"/>
    <s v="NET-1336"/>
    <n v="833.73"/>
    <n v="1116.5999999999999"/>
    <n v="0.17599999999999999"/>
    <n v="14"/>
    <s v="Valid"/>
    <n v="1116.5999999999999"/>
    <b v="0"/>
    <n v="0.17599999999999999"/>
    <n v="30"/>
    <d v="2025-09-06T00:00:00"/>
    <n v="30"/>
    <n v="1560488.6975999998"/>
    <n v="15632.399999999998"/>
    <n v="1544856.2975999999"/>
    <n v="0.98998236896938618"/>
    <s v="Aug-2025"/>
    <s v="Q3-2025"/>
    <s v="Americas → Canada → Montreal"/>
    <s v="Support"/>
    <s v="High"/>
    <s v="CANADA"/>
    <d v="2023-01-02T00:00:00"/>
    <s v="Jan-2023"/>
    <d v="2025-08-31T00:00:00"/>
    <n v="0"/>
    <n v="0"/>
  </r>
  <r>
    <s v="ORD-2025-789245"/>
    <d v="2025-07-23T00:00:00"/>
    <d v="2025-08-17T00:00:00"/>
    <x v="3"/>
    <s v="United Kingdom"/>
    <s v="Birmingham"/>
    <s v="Education"/>
    <s v="Online"/>
    <x v="2"/>
    <s v="Printers"/>
    <s v="PRN-5876"/>
    <n v="1142.06"/>
    <n v="1455"/>
    <n v="7.8E-2"/>
    <n v="28"/>
    <s v="Valid"/>
    <n v="1455"/>
    <b v="0"/>
    <n v="7.8E-2"/>
    <n v="25"/>
    <d v="2025-08-17T00:00:00"/>
    <n v="25"/>
    <n v="4070822.28"/>
    <n v="40740"/>
    <n v="4030082.28"/>
    <n v="0.98999219391125082"/>
    <s v="Jul-2025"/>
    <s v="Q3-2025"/>
    <s v="Europe → United Kingdom → Birmingham"/>
    <s v="Peripherals"/>
    <s v="High"/>
    <s v="UNITED KINGDOM"/>
    <d v="2023-01-19T00:00:00"/>
    <s v="Jan-2023"/>
    <d v="2025-07-31T00:00:00"/>
    <n v="0"/>
    <n v="0"/>
  </r>
  <r>
    <s v="ORD-2023-594955"/>
    <d v="2023-06-20T00:00:00"/>
    <d v="2023-07-08T00:00:00"/>
    <x v="1"/>
    <s v="USA"/>
    <s v="New York"/>
    <s v="Consumer"/>
    <s v="Marketplace"/>
    <x v="6"/>
    <s v="Networking"/>
    <s v="NET-3828"/>
    <n v="1145.53"/>
    <n v="1278.3"/>
    <n v="0.09"/>
    <n v="41"/>
    <s v="Valid"/>
    <n v="1278.3"/>
    <b v="0"/>
    <n v="0.09"/>
    <n v="18"/>
    <d v="2023-07-08T00:00:00"/>
    <n v="18"/>
    <n v="5236313.0729999989"/>
    <n v="52410.299999999996"/>
    <n v="5183902.7729999991"/>
    <n v="0.98999099189270345"/>
    <s v="Jun-2023"/>
    <s v="Q2-2023"/>
    <s v="Americas → USA → New York"/>
    <s v="Support"/>
    <s v="Low"/>
    <s v="USA"/>
    <d v="2023-01-13T00:00:00"/>
    <s v="Jan-2023"/>
    <d v="2023-06-30T00:00:00"/>
    <n v="0"/>
    <n v="0"/>
  </r>
  <r>
    <s v="ORD-2024-398783"/>
    <d v="2024-07-18T00:00:00"/>
    <d v="2024-08-07T00:00:00"/>
    <x v="3"/>
    <s v="France"/>
    <s v="Marseille"/>
    <s v="Corporate"/>
    <s v="Retail"/>
    <x v="8"/>
    <s v="Monitors"/>
    <s v="MON-7622"/>
    <n v="941.35"/>
    <n v="899.83"/>
    <n v="5.8000000000000003E-2"/>
    <n v="18"/>
    <s v="Valid"/>
    <n v="899.83"/>
    <b v="0"/>
    <n v="5.8000000000000003E-2"/>
    <n v="20"/>
    <d v="2024-08-07T00:00:00"/>
    <n v="20"/>
    <n v="1618754.57748"/>
    <n v="16196.94"/>
    <n v="1602557.63748"/>
    <n v="0.98999419663404775"/>
    <s v="Jul-2024"/>
    <s v="Q3-2024"/>
    <s v="Europe → France → Marseille"/>
    <s v="Peripherals"/>
    <s v="Medium"/>
    <s v="FRANCE"/>
    <d v="2023-01-10T00:00:00"/>
    <s v="Jan-2023"/>
    <d v="2024-07-31T00:00:00"/>
    <n v="0"/>
    <n v="0"/>
  </r>
  <r>
    <s v="ORD-2023-676553"/>
    <d v="2023-05-20T00:00:00"/>
    <d v="2023-06-19T00:00:00"/>
    <x v="2"/>
    <s v="India"/>
    <s v="Delhi"/>
    <s v="Non-Profit"/>
    <s v="Marketplace"/>
    <x v="9"/>
    <s v="Laptops"/>
    <s v="LAP-2806"/>
    <n v="1161.2"/>
    <n v="878.73"/>
    <n v="0.19"/>
    <n v="31"/>
    <s v="Valid"/>
    <n v="878.73"/>
    <b v="0"/>
    <n v="0.19"/>
    <n v="30"/>
    <d v="2023-06-19T00:00:00"/>
    <n v="30"/>
    <n v="2718887.2803000002"/>
    <n v="27240.63"/>
    <n v="2691646.6503000003"/>
    <n v="0.98998096383127943"/>
    <s v="May-2023"/>
    <s v="Q2-2023"/>
    <s v="Asia → India → Delhi"/>
    <s v="Devices"/>
    <s v="Low"/>
    <s v="INDIA"/>
    <d v="2023-01-29T00:00:00"/>
    <s v="Jan-2023"/>
    <d v="2023-05-31T00:00:00"/>
    <n v="0"/>
    <n v="0"/>
  </r>
  <r>
    <s v="ORD-2025-866565"/>
    <d v="2025-05-12T00:00:00"/>
    <d v="2025-05-26T00:00:00"/>
    <x v="2"/>
    <s v="India"/>
    <s v="Hyderabad"/>
    <s v="Corporate"/>
    <s v="Marketplace"/>
    <x v="3"/>
    <s v="Printers"/>
    <s v="PRN-8850"/>
    <n v="320.12"/>
    <n v="594.41999999999996"/>
    <n v="0.104"/>
    <n v="18"/>
    <s v="Valid"/>
    <n v="594.41999999999996"/>
    <b v="0"/>
    <n v="0.104"/>
    <n v="14"/>
    <d v="2025-05-26T00:00:00"/>
    <n v="14"/>
    <n v="1068843.2457599998"/>
    <n v="10699.56"/>
    <n v="1058143.6857599998"/>
    <n v="0.9899895891727396"/>
    <s v="May-2025"/>
    <s v="Q2-2025"/>
    <s v="Asia → India → Hyderabad"/>
    <s v="Peripherals"/>
    <s v="High"/>
    <s v="INDIA"/>
    <d v="2023-01-29T00:00:00"/>
    <s v="Jan-2023"/>
    <d v="2025-05-31T00:00:00"/>
    <n v="0"/>
    <n v="0"/>
  </r>
  <r>
    <s v="ORD-2024-527858"/>
    <d v="2024-05-07T00:00:00"/>
    <d v="2024-05-12T00:00:00"/>
    <x v="0"/>
    <s v="Nigeria"/>
    <s v="Abuja"/>
    <s v="Non-Profit"/>
    <s v="Distributor"/>
    <x v="14"/>
    <s v="Laptops"/>
    <s v="LAP-9100"/>
    <n v="1163.99"/>
    <n v="1617.85"/>
    <n v="0.127"/>
    <n v="14"/>
    <s v="Valid"/>
    <n v="1617.85"/>
    <b v="0"/>
    <n v="0.127"/>
    <n v="5"/>
    <d v="2024-05-12T00:00:00"/>
    <n v="5"/>
    <n v="2262113.4627"/>
    <n v="22649.899999999998"/>
    <n v="2239463.5627000001"/>
    <n v="0.98998728385049017"/>
    <s v="May-2024"/>
    <s v="Q2-2024"/>
    <s v="Africa → Nigeria → Abuja"/>
    <s v="Devices"/>
    <s v="Medium"/>
    <s v="NIGERIA"/>
    <d v="2023-01-15T00:00:00"/>
    <s v="Jan-2023"/>
    <d v="2024-05-31T00:00:00"/>
    <n v="1"/>
    <n v="0"/>
  </r>
  <r>
    <s v="ORD-2023-619385"/>
    <d v="2023-09-30T00:00:00"/>
    <d v="2023-10-03T00:00:00"/>
    <x v="2"/>
    <s v="China"/>
    <s v="Beijing"/>
    <s v="Non-Profit"/>
    <s v="Retail"/>
    <x v="1"/>
    <s v="Laptops"/>
    <s v="LAP-5763"/>
    <n v="1019.36"/>
    <n v="972.91"/>
    <n v="0.14699999999999999"/>
    <n v="17"/>
    <s v="Valid"/>
    <n v="972.91"/>
    <b v="0"/>
    <n v="0.14699999999999999"/>
    <n v="3"/>
    <d v="2023-10-03T00:00:00"/>
    <n v="3"/>
    <n v="1651515.6979100001"/>
    <n v="16539.47"/>
    <n v="1634976.2279100001"/>
    <n v="0.98998527835918804"/>
    <s v="Sep-2023"/>
    <s v="Q3-2023"/>
    <s v="Asia → China → Beijing"/>
    <s v="Devices"/>
    <s v="Low"/>
    <s v="CHINA"/>
    <d v="2023-01-12T00:00:00"/>
    <s v="Jan-2023"/>
    <d v="2023-09-30T00:00:00"/>
    <n v="1"/>
    <n v="0"/>
  </r>
  <r>
    <s v="ORD-2023-835226"/>
    <d v="2023-10-26T00:00:00"/>
    <d v="2023-11-05T00:00:00"/>
    <x v="0"/>
    <s v="South Africa"/>
    <s v="Cape Town"/>
    <s v="Non-Profit"/>
    <s v="Online"/>
    <x v="2"/>
    <s v="Laptops"/>
    <s v="LAP-7320"/>
    <n v="20.38"/>
    <n v="42.56"/>
    <n v="7.1999999999999995E-2"/>
    <n v="11"/>
    <s v="Valid"/>
    <n v="42.56"/>
    <b v="0"/>
    <n v="7.1999999999999995E-2"/>
    <n v="10"/>
    <d v="2023-11-05T00:00:00"/>
    <n v="10"/>
    <n v="46782.292480000004"/>
    <n v="468.16"/>
    <n v="46314.13248"/>
    <n v="0.98999279481226476"/>
    <s v="Oct-2023"/>
    <s v="Q4-2023"/>
    <s v="Africa → South Africa → Cape Town"/>
    <s v="Devices"/>
    <s v="Low"/>
    <s v="SOUTH AFRICA"/>
    <d v="2023-01-07T00:00:00"/>
    <s v="Jan-2023"/>
    <d v="2023-10-31T00:00:00"/>
    <n v="0"/>
    <n v="0"/>
  </r>
  <r>
    <s v="ORD-2025-485946"/>
    <d v="2025-06-15T00:00:00"/>
    <d v="2025-06-30T00:00:00"/>
    <x v="0"/>
    <s v="South Africa"/>
    <s v="Johannesburg"/>
    <s v="Small Business"/>
    <s v="Direct"/>
    <x v="0"/>
    <s v="Monitors"/>
    <s v="MON-5891"/>
    <n v="1487.59"/>
    <n v="1480.83"/>
    <n v="8.9999999999999993E-3"/>
    <n v="11"/>
    <s v="Valid"/>
    <n v="1480.83"/>
    <b v="0"/>
    <n v="8.9999999999999993E-3"/>
    <n v="15"/>
    <d v="2025-06-30T00:00:00"/>
    <n v="15"/>
    <n v="1628766.3978299999"/>
    <n v="16289.13"/>
    <n v="1612477.26783"/>
    <n v="0.98999909991899282"/>
    <s v="Jun-2025"/>
    <s v="Q2-2025"/>
    <s v="Africa → South Africa → Johannesburg"/>
    <s v="Peripherals"/>
    <s v="High"/>
    <s v="SOUTH AFRICA"/>
    <d v="2023-01-07T00:00:00"/>
    <s v="Jan-2023"/>
    <d v="2025-06-30T00:00:00"/>
    <n v="0"/>
    <n v="0"/>
  </r>
  <r>
    <s v="ORD-2024-307849"/>
    <d v="2024-08-10T00:00:00"/>
    <d v="2024-09-07T00:00:00"/>
    <x v="3"/>
    <s v="France"/>
    <s v="Marseille"/>
    <s v="Non-Profit"/>
    <s v="Direct"/>
    <x v="8"/>
    <s v="Printers"/>
    <s v="PRN-1183"/>
    <n v="229.96"/>
    <n v="564.26"/>
    <n v="0.105"/>
    <n v="5"/>
    <s v="Valid"/>
    <n v="564.26"/>
    <b v="0"/>
    <n v="0.105"/>
    <n v="28"/>
    <d v="2024-09-07T00:00:00"/>
    <n v="28"/>
    <n v="281833.7635"/>
    <n v="2821.3"/>
    <n v="279012.46350000001"/>
    <n v="0.98998948896341166"/>
    <s v="Aug-2024"/>
    <s v="Q3-2024"/>
    <s v="Europe → France → Marseille"/>
    <s v="Peripherals"/>
    <s v="Medium"/>
    <s v="FRANCE"/>
    <d v="2023-01-10T00:00:00"/>
    <s v="Jan-2023"/>
    <d v="2024-08-31T00:00:00"/>
    <n v="0"/>
    <n v="0"/>
  </r>
  <r>
    <s v="ORD-2023-368449"/>
    <d v="2023-10-09T00:00:00"/>
    <d v="2023-10-26T00:00:00"/>
    <x v="2"/>
    <s v="China"/>
    <s v="Shanghai"/>
    <s v="Consumer"/>
    <s v="Marketplace"/>
    <x v="0"/>
    <s v="Components"/>
    <s v="CMP-2096"/>
    <n v="1132.03"/>
    <n v="2137.21"/>
    <n v="0.35699999999999998"/>
    <n v="35"/>
    <s v="Valid"/>
    <n v="2137.21"/>
    <s v="Excess"/>
    <n v="0.3"/>
    <n v="17"/>
    <d v="2023-10-26T00:00:00"/>
    <n v="17"/>
    <n v="7457794.2950000009"/>
    <n v="74802.350000000006"/>
    <n v="7382991.9450000012"/>
    <n v="0.98996990972918764"/>
    <s v="Oct-2023"/>
    <s v="Q4-2023"/>
    <s v="Asia → China → Shanghai"/>
    <s v="Support"/>
    <s v="Low"/>
    <s v="CHINA"/>
    <d v="2023-01-12T00:00:00"/>
    <s v="Jan-2023"/>
    <d v="2023-10-31T00:00:00"/>
    <n v="0"/>
    <n v="1"/>
  </r>
  <r>
    <s v="ORD-2024-251426"/>
    <d v="2024-03-09T00:00:00"/>
    <d v="2024-03-26T00:00:00"/>
    <x v="1"/>
    <s v="USA"/>
    <s v="San Francisco"/>
    <s v="Education"/>
    <s v="Direct"/>
    <x v="2"/>
    <s v="Phones"/>
    <s v="PHN-3398"/>
    <n v="1137.4100000000001"/>
    <n v="1680.93"/>
    <n v="0.254"/>
    <n v="9"/>
    <s v="Valid"/>
    <n v="1680.93"/>
    <b v="0"/>
    <n v="0.254"/>
    <n v="17"/>
    <d v="2024-03-26T00:00:00"/>
    <n v="17"/>
    <n v="1508994.39402"/>
    <n v="15128.37"/>
    <n v="1493866.0240199999"/>
    <n v="0.98997453531971202"/>
    <s v="Mar-2024"/>
    <s v="Q1-2024"/>
    <s v="Americas → USA → San Francisco"/>
    <s v="Devices"/>
    <s v="Medium"/>
    <s v="USA"/>
    <d v="2023-01-13T00:00:00"/>
    <s v="Jan-2023"/>
    <d v="2024-03-31T00:00:00"/>
    <n v="0"/>
    <n v="1"/>
  </r>
  <r>
    <s v="ORD-2023-927385"/>
    <d v="2023-05-29T00:00:00"/>
    <d v="2023-06-20T00:00:00"/>
    <x v="3"/>
    <s v="United Kingdom"/>
    <s v="London"/>
    <s v="Small Business"/>
    <s v="Direct"/>
    <x v="10"/>
    <s v="Components"/>
    <s v="CMP-8545"/>
    <n v="1295.3900000000001"/>
    <n v="2905.06"/>
    <n v="0.14799999999999999"/>
    <n v="8"/>
    <s v="Valid"/>
    <n v="2905.06"/>
    <b v="0"/>
    <n v="0.14799999999999999"/>
    <n v="22"/>
    <d v="2023-06-20T00:00:00"/>
    <n v="22"/>
    <n v="2320608.4089600001"/>
    <n v="23240.48"/>
    <n v="2297367.9289600002"/>
    <n v="0.98998517806353403"/>
    <s v="May-2023"/>
    <s v="Q2-2023"/>
    <s v="Europe → United Kingdom → London"/>
    <s v="Support"/>
    <s v="Low"/>
    <s v="UNITED KINGDOM"/>
    <d v="2023-01-19T00:00:00"/>
    <s v="Jan-2023"/>
    <d v="2023-05-31T00:00:00"/>
    <n v="0"/>
    <n v="0"/>
  </r>
  <r>
    <s v="ORD-2025-486350"/>
    <d v="2025-05-27T00:00:00"/>
    <d v="2025-06-08T00:00:00"/>
    <x v="2"/>
    <s v="Japan"/>
    <s v="Osaka"/>
    <s v="Corporate"/>
    <s v="Retail"/>
    <x v="9"/>
    <s v="Accessories"/>
    <s v="ACC-1249"/>
    <n v="653.6"/>
    <n v="842.09"/>
    <n v="9.8000000000000004E-2"/>
    <n v="19"/>
    <s v="Valid"/>
    <n v="842.09"/>
    <b v="0"/>
    <n v="9.8000000000000004E-2"/>
    <n v="12"/>
    <d v="2025-06-08T00:00:00"/>
    <n v="12"/>
    <n v="1598403.0284200001"/>
    <n v="15999.710000000001"/>
    <n v="1582403.3184200001"/>
    <n v="0.98999019038657887"/>
    <s v="May-2025"/>
    <s v="Q2-2025"/>
    <s v="Asia → Japan → Osaka"/>
    <s v="Support"/>
    <s v="High"/>
    <s v="JAPAN"/>
    <d v="2023-03-03T00:00:00"/>
    <s v="Mar-2023"/>
    <d v="2025-05-31T00:00:00"/>
    <n v="0"/>
    <n v="0"/>
  </r>
  <r>
    <s v="ORD-2025-677880"/>
    <d v="2025-08-21T00:00:00"/>
    <d v="2025-09-14T00:00:00"/>
    <x v="3"/>
    <s v="Germany"/>
    <s v="Berlin"/>
    <s v="Non-Profit"/>
    <s v="Online"/>
    <x v="7"/>
    <s v="Monitors"/>
    <s v="MON-9662"/>
    <n v="1397.67"/>
    <n v="3131.37"/>
    <n v="0.10299999999999999"/>
    <n v="20"/>
    <s v="Valid"/>
    <n v="3131.37"/>
    <b v="0"/>
    <n v="0.10299999999999999"/>
    <n v="24"/>
    <d v="2025-09-14T00:00:00"/>
    <n v="24"/>
    <n v="6256289.3777999999"/>
    <n v="62627.399999999994"/>
    <n v="6193661.9777999995"/>
    <n v="0.98998968938006138"/>
    <s v="Aug-2025"/>
    <s v="Q3-2025"/>
    <s v="Europe → Germany → Berlin"/>
    <s v="Peripherals"/>
    <s v="High"/>
    <s v="GERMANY"/>
    <d v="2023-01-22T00:00:00"/>
    <s v="Jan-2023"/>
    <d v="2025-08-31T00:00:00"/>
    <n v="0"/>
    <n v="0"/>
  </r>
  <r>
    <s v="ORD-2024-102866"/>
    <d v="2024-12-12T00:00:00"/>
    <d v="2024-12-20T00:00:00"/>
    <x v="2"/>
    <s v="Japan"/>
    <s v="Tokyo"/>
    <s v="Corporate"/>
    <s v="Retail"/>
    <x v="4"/>
    <s v="Laptops"/>
    <s v="LAP-8347"/>
    <n v="1202.47"/>
    <n v="1444.72"/>
    <n v="0.24099999999999999"/>
    <n v="17"/>
    <s v="Valid"/>
    <n v="1444.72"/>
    <b v="0"/>
    <n v="0.24099999999999999"/>
    <n v="8"/>
    <d v="2024-12-20T00:00:00"/>
    <n v="8"/>
    <n v="2450104.9821600001"/>
    <n v="24560.240000000002"/>
    <n v="2425544.7421599999"/>
    <n v="0.98997584177868658"/>
    <s v="Dec-2024"/>
    <s v="Q4-2024"/>
    <s v="Asia → Japan → Tokyo"/>
    <s v="Devices"/>
    <s v="High"/>
    <s v="JAPAN"/>
    <d v="2023-03-03T00:00:00"/>
    <s v="Mar-2023"/>
    <d v="2024-12-31T00:00:00"/>
    <n v="0"/>
    <n v="1"/>
  </r>
  <r>
    <s v="ORD-2025-588029"/>
    <d v="2025-09-14T00:00:00"/>
    <d v="2025-09-23T00:00:00"/>
    <x v="0"/>
    <s v="South Africa"/>
    <s v="Durban"/>
    <s v="Non-Profit"/>
    <s v="Online"/>
    <x v="13"/>
    <s v="Components"/>
    <s v="CMP-6898"/>
    <n v="1310.3"/>
    <n v="2875.8"/>
    <n v="8.3000000000000004E-2"/>
    <n v="5"/>
    <s v="Valid"/>
    <n v="2875.8"/>
    <b v="0"/>
    <n v="8.3000000000000004E-2"/>
    <n v="9"/>
    <d v="2025-09-23T00:00:00"/>
    <n v="9"/>
    <n v="1436706.5430000001"/>
    <n v="14379"/>
    <n v="1422327.5430000001"/>
    <n v="0.98999169310527735"/>
    <s v="Sep-2025"/>
    <s v="Q3-2025"/>
    <s v="Africa → South Africa → Durban"/>
    <s v="Support"/>
    <s v="High"/>
    <s v="SOUTH AFRICA"/>
    <d v="2023-01-07T00:00:00"/>
    <s v="Jan-2023"/>
    <d v="2025-09-30T00:00:00"/>
    <n v="0"/>
    <n v="0"/>
  </r>
  <r>
    <s v="ORD-2024-972999"/>
    <d v="2024-09-06T00:00:00"/>
    <d v="2024-10-04T00:00:00"/>
    <x v="0"/>
    <s v="South Africa"/>
    <s v="Cape Town"/>
    <s v="Corporate"/>
    <s v="Marketplace"/>
    <x v="13"/>
    <s v="Monitors"/>
    <s v="MON-3504"/>
    <n v="1174.17"/>
    <n v="1641.61"/>
    <n v="0.122"/>
    <n v="9"/>
    <s v="Valid"/>
    <n v="1641.61"/>
    <b v="0"/>
    <n v="0.122"/>
    <n v="28"/>
    <d v="2024-10-04T00:00:00"/>
    <n v="28"/>
    <n v="1475646.5122199999"/>
    <n v="14774.49"/>
    <n v="1460872.0222199999"/>
    <n v="0.98998778509781937"/>
    <s v="Sep-2024"/>
    <s v="Q3-2024"/>
    <s v="Africa → South Africa → Cape Town"/>
    <s v="Peripherals"/>
    <s v="Medium"/>
    <s v="SOUTH AFRICA"/>
    <d v="2023-01-07T00:00:00"/>
    <s v="Jan-2023"/>
    <d v="2024-09-30T00:00:00"/>
    <n v="0"/>
    <n v="0"/>
  </r>
  <r>
    <s v="ORD-2025-608069"/>
    <d v="2025-04-12T00:00:00"/>
    <d v="2025-04-30T00:00:00"/>
    <x v="0"/>
    <s v="Kenya"/>
    <s v="Kisumu"/>
    <s v="Corporate"/>
    <s v="Marketplace"/>
    <x v="8"/>
    <s v="Networking"/>
    <s v="NET-3432"/>
    <n v="1119.04"/>
    <n v="1299.02"/>
    <n v="2.5000000000000001E-2"/>
    <n v="14"/>
    <s v="Valid"/>
    <n v="1299.02"/>
    <b v="0"/>
    <n v="2.5000000000000001E-2"/>
    <n v="18"/>
    <d v="2025-04-30T00:00:00"/>
    <n v="18"/>
    <n v="1818173.3429999999"/>
    <n v="18186.28"/>
    <n v="1799987.0629999998"/>
    <n v="0.98999749937484371"/>
    <s v="Apr-2025"/>
    <s v="Q2-2025"/>
    <s v="Africa → Kenya → Kisumu"/>
    <s v="Support"/>
    <s v="High"/>
    <s v="KENYA"/>
    <d v="2023-01-20T00:00:00"/>
    <s v="Jan-2023"/>
    <d v="2025-04-30T00:00:00"/>
    <n v="0"/>
    <n v="0"/>
  </r>
  <r>
    <s v="ORD-2024-626750"/>
    <d v="2024-08-12T00:00:00"/>
    <d v="2024-08-15T00:00:00"/>
    <x v="1"/>
    <s v="USA"/>
    <s v="Chicago"/>
    <s v="Corporate"/>
    <s v="Marketplace"/>
    <x v="13"/>
    <s v="Printers"/>
    <s v="PRN-5591"/>
    <n v="850.7"/>
    <n v="1118.56"/>
    <n v="0.18"/>
    <n v="19"/>
    <s v="Valid"/>
    <n v="1118.56"/>
    <b v="0"/>
    <n v="0.18"/>
    <n v="3"/>
    <d v="2024-08-15T00:00:00"/>
    <n v="3"/>
    <n v="2121438.5247999998"/>
    <n v="21252.639999999999"/>
    <n v="2100185.8847999997"/>
    <n v="0.98998196754157475"/>
    <s v="Aug-2024"/>
    <s v="Q3-2024"/>
    <s v="Americas → USA → Chicago"/>
    <s v="Peripherals"/>
    <s v="Medium"/>
    <s v="USA"/>
    <d v="2023-01-13T00:00:00"/>
    <s v="Jan-2023"/>
    <d v="2024-08-31T00:00:00"/>
    <n v="1"/>
    <n v="0"/>
  </r>
  <r>
    <s v="ORD-2024-170021"/>
    <d v="2024-11-05T00:00:00"/>
    <d v="2024-11-08T00:00:00"/>
    <x v="1"/>
    <s v="Canada"/>
    <s v="Toronto"/>
    <s v="Education"/>
    <s v="Marketplace"/>
    <x v="6"/>
    <s v="Components"/>
    <s v="CMP-2015"/>
    <n v="1020.4"/>
    <n v="1184.71"/>
    <n v="0.106"/>
    <n v="16"/>
    <s v="Valid"/>
    <n v="1184.71"/>
    <b v="0"/>
    <n v="0.106"/>
    <n v="3"/>
    <d v="2024-11-08T00:00:00"/>
    <n v="3"/>
    <n v="1893526.7318400003"/>
    <n v="18955.36"/>
    <n v="1874571.3718400002"/>
    <n v="0.9899893887520772"/>
    <s v="Nov-2024"/>
    <s v="Q4-2024"/>
    <s v="Americas → Canada → Toronto"/>
    <s v="Support"/>
    <s v="High"/>
    <s v="CANADA"/>
    <d v="2023-01-02T00:00:00"/>
    <s v="Jan-2023"/>
    <d v="2024-11-30T00:00:00"/>
    <n v="1"/>
    <n v="0"/>
  </r>
  <r>
    <s v="ORD-2024-678110"/>
    <d v="2024-07-24T00:00:00"/>
    <d v="2024-08-08T00:00:00"/>
    <x v="3"/>
    <s v="France"/>
    <s v="Marseille"/>
    <s v="Enterprise"/>
    <s v="Marketplace"/>
    <x v="9"/>
    <s v="Laptops"/>
    <s v="LAP-9901"/>
    <n v="501.5"/>
    <n v="1201.47"/>
    <n v="0.126"/>
    <n v="5"/>
    <s v="Valid"/>
    <n v="1201.47"/>
    <b v="0"/>
    <n v="0.126"/>
    <n v="15"/>
    <d v="2024-08-08T00:00:00"/>
    <n v="15"/>
    <n v="599978.07389999996"/>
    <n v="6007.35"/>
    <n v="593970.72389999998"/>
    <n v="0.98998738410397102"/>
    <s v="Jul-2024"/>
    <s v="Q3-2024"/>
    <s v="Europe → France → Marseille"/>
    <s v="Devices"/>
    <s v="Medium"/>
    <s v="FRANCE"/>
    <d v="2023-01-10T00:00:00"/>
    <s v="Jan-2023"/>
    <d v="2024-07-31T00:00:00"/>
    <n v="0"/>
    <n v="0"/>
  </r>
  <r>
    <s v="ORD-2025-909340"/>
    <d v="2025-01-20T00:00:00"/>
    <d v="2025-02-03T00:00:00"/>
    <x v="1"/>
    <s v="Brazil"/>
    <s v="Brasília"/>
    <s v="Enterprise"/>
    <s v="Marketplace"/>
    <x v="8"/>
    <s v="Components"/>
    <s v="CMP-8658"/>
    <n v="974.11"/>
    <n v="880.99"/>
    <n v="0.111"/>
    <n v="10"/>
    <s v="Valid"/>
    <n v="880.99"/>
    <b v="0"/>
    <n v="0.111"/>
    <n v="14"/>
    <d v="2025-02-03T00:00:00"/>
    <n v="14"/>
    <n v="880012.10109999997"/>
    <n v="8809.9"/>
    <n v="871202.20109999995"/>
    <n v="0.98998888766530846"/>
    <s v="Jan-2025"/>
    <s v="Q1-2025"/>
    <s v="Americas → Brazil → Brasília"/>
    <s v="Support"/>
    <s v="High"/>
    <s v="BRAZIL"/>
    <d v="2023-01-29T00:00:00"/>
    <s v="Jan-2023"/>
    <d v="2025-01-31T00:00:00"/>
    <n v="0"/>
    <n v="0"/>
  </r>
  <r>
    <s v="ORD-2023-854471"/>
    <d v="2023-03-06T00:00:00"/>
    <d v="2023-04-04T00:00:00"/>
    <x v="2"/>
    <s v="China"/>
    <s v="Beijing"/>
    <s v="Small Business"/>
    <s v="Direct"/>
    <x v="0"/>
    <s v="Monitors"/>
    <s v="MON-2073"/>
    <n v="1126.29"/>
    <n v="2050.87"/>
    <n v="6.4000000000000001E-2"/>
    <n v="7"/>
    <s v="Valid"/>
    <n v="2050.87"/>
    <b v="0"/>
    <n v="6.4000000000000001E-2"/>
    <n v="29"/>
    <d v="2023-04-04T00:00:00"/>
    <n v="29"/>
    <n v="1434690.2102400002"/>
    <n v="14356.09"/>
    <n v="1420334.1202400001"/>
    <n v="0.98999359590137681"/>
    <s v="Mar-2023"/>
    <s v="Q1-2023"/>
    <s v="Asia → China → Beijing"/>
    <s v="Peripherals"/>
    <s v="Low"/>
    <s v="CHINA"/>
    <d v="2023-01-12T00:00:00"/>
    <s v="Jan-2023"/>
    <d v="2023-03-31T00:00:00"/>
    <n v="0"/>
    <n v="0"/>
  </r>
  <r>
    <s v="ORD-2024-390951"/>
    <d v="2024-12-20T00:00:00"/>
    <d v="2025-01-14T00:00:00"/>
    <x v="2"/>
    <s v="India"/>
    <s v="Delhi"/>
    <s v="Small Business"/>
    <s v="Retail"/>
    <x v="11"/>
    <s v="Printers"/>
    <s v="PRN-9378"/>
    <n v="1361.34"/>
    <n v="1737.9"/>
    <n v="7.6999999999999999E-2"/>
    <n v="14"/>
    <s v="Valid"/>
    <n v="1737.9"/>
    <b v="0"/>
    <n v="7.6999999999999999E-2"/>
    <n v="25"/>
    <d v="2025-01-14T00:00:00"/>
    <n v="25"/>
    <n v="2431186.5438000001"/>
    <n v="24330.600000000002"/>
    <n v="2406855.9438"/>
    <n v="0.98999229406643108"/>
    <s v="Dec-2024"/>
    <s v="Q4-2024"/>
    <s v="Asia → India → Delhi"/>
    <s v="Peripherals"/>
    <s v="High"/>
    <s v="INDIA"/>
    <d v="2023-01-29T00:00:00"/>
    <s v="Jan-2023"/>
    <d v="2024-12-31T00:00:00"/>
    <n v="0"/>
    <n v="0"/>
  </r>
  <r>
    <s v="ORD-2025-881624"/>
    <d v="2025-02-21T00:00:00"/>
    <d v="2025-03-21T00:00:00"/>
    <x v="0"/>
    <s v="Nigeria"/>
    <s v="Abuja"/>
    <s v="Enterprise"/>
    <s v="Marketplace"/>
    <x v="2"/>
    <s v="Phones"/>
    <s v="PHN-5887"/>
    <n v="1437.39"/>
    <n v="1388.31"/>
    <n v="0.13800000000000001"/>
    <n v="18"/>
    <s v="Valid"/>
    <n v="1388.31"/>
    <b v="0"/>
    <n v="0.13800000000000001"/>
    <n v="28"/>
    <d v="2025-03-21T00:00:00"/>
    <n v="28"/>
    <n v="2495509.4379599998"/>
    <n v="24989.579999999998"/>
    <n v="2470519.8579599997"/>
    <n v="0.98998618092968294"/>
    <s v="Feb-2025"/>
    <s v="Q1-2025"/>
    <s v="Africa → Nigeria → Abuja"/>
    <s v="Devices"/>
    <s v="High"/>
    <s v="NIGERIA"/>
    <d v="2023-01-15T00:00:00"/>
    <s v="Jan-2023"/>
    <d v="2025-02-28T00:00:00"/>
    <n v="0"/>
    <n v="0"/>
  </r>
  <r>
    <s v="ORD-2025-512310"/>
    <d v="2025-03-08T00:00:00"/>
    <d v="2025-03-15T00:00:00"/>
    <x v="2"/>
    <s v="India"/>
    <s v="Bengaluru"/>
    <s v="Corporate"/>
    <s v="Distributor"/>
    <x v="10"/>
    <s v="Laptops"/>
    <s v="LAP-8119"/>
    <n v="475.66"/>
    <n v="529.14"/>
    <n v="0.19600000000000001"/>
    <n v="11"/>
    <s v="Valid"/>
    <n v="529.14"/>
    <b v="0"/>
    <n v="0.19600000000000001"/>
    <n v="7"/>
    <d v="2025-03-15T00:00:00"/>
    <n v="7"/>
    <n v="580913.17416000005"/>
    <n v="5820.54"/>
    <n v="575092.63416000002"/>
    <n v="0.98998036150855673"/>
    <s v="Mar-2025"/>
    <s v="Q1-2025"/>
    <s v="Asia → India → Bengaluru"/>
    <s v="Devices"/>
    <s v="High"/>
    <s v="INDIA"/>
    <d v="2023-01-29T00:00:00"/>
    <s v="Jan-2023"/>
    <d v="2025-03-31T00:00:00"/>
    <n v="1"/>
    <n v="0"/>
  </r>
  <r>
    <s v="ORD-2023-674887"/>
    <d v="2023-12-16T00:00:00"/>
    <d v="2023-12-19T00:00:00"/>
    <x v="2"/>
    <s v="China"/>
    <s v="Beijing"/>
    <s v="Education"/>
    <s v="Retail"/>
    <x v="7"/>
    <s v="Accessories"/>
    <s v="ACC-9644"/>
    <n v="1415.05"/>
    <n v="1972.38"/>
    <n v="0"/>
    <n v="12"/>
    <s v="Valid"/>
    <n v="1972.38"/>
    <b v="0"/>
    <n v="0"/>
    <n v="3"/>
    <d v="2023-12-19T00:00:00"/>
    <n v="3"/>
    <n v="2366856"/>
    <n v="23668.560000000001"/>
    <n v="2343187.44"/>
    <n v="0.99"/>
    <s v="Dec-2023"/>
    <s v="Q4-2023"/>
    <s v="Asia → China → Beijing"/>
    <s v="Support"/>
    <s v="Medium"/>
    <s v="CHINA"/>
    <d v="2023-01-12T00:00:00"/>
    <s v="Jan-2023"/>
    <d v="2023-12-31T00:00:00"/>
    <n v="1"/>
    <n v="0"/>
  </r>
  <r>
    <s v="ORD-2024-542244"/>
    <d v="2024-08-30T00:00:00"/>
    <d v="2024-09-05T00:00:00"/>
    <x v="2"/>
    <s v="Japan"/>
    <s v="Nagoya"/>
    <s v="Education"/>
    <s v="Online"/>
    <x v="12"/>
    <s v="Laptops"/>
    <s v="LAP-7009"/>
    <n v="466.16"/>
    <n v="876.81"/>
    <n v="0.24099999999999999"/>
    <n v="8"/>
    <s v="Valid"/>
    <n v="876.81"/>
    <b v="0"/>
    <n v="0.24099999999999999"/>
    <n v="6"/>
    <d v="2024-09-05T00:00:00"/>
    <n v="6"/>
    <n v="699757.51032"/>
    <n v="7014.48"/>
    <n v="692743.03032000002"/>
    <n v="0.98997584177868669"/>
    <s v="Aug-2024"/>
    <s v="Q3-2024"/>
    <s v="Asia → Japan → Nagoya"/>
    <s v="Devices"/>
    <s v="Medium"/>
    <s v="JAPAN"/>
    <d v="2023-03-03T00:00:00"/>
    <s v="Mar-2023"/>
    <d v="2024-08-31T00:00:00"/>
    <n v="1"/>
    <n v="1"/>
  </r>
  <r>
    <s v="ORD-2024-375848"/>
    <d v="2024-05-18T00:00:00"/>
    <d v="2024-05-21T00:00:00"/>
    <x v="3"/>
    <s v="France"/>
    <s v="Marseille"/>
    <s v="Non-Profit"/>
    <s v="Marketplace"/>
    <x v="13"/>
    <s v="Printers"/>
    <s v="PRN-1725"/>
    <n v="663.66"/>
    <n v="824.26"/>
    <n v="0.23899999999999999"/>
    <n v="11"/>
    <s v="Valid"/>
    <n v="824.26"/>
    <b v="0"/>
    <n v="0.23899999999999999"/>
    <n v="3"/>
    <d v="2024-05-21T00:00:00"/>
    <n v="3"/>
    <n v="904519.02046000003"/>
    <n v="9066.86"/>
    <n v="895452.16046000004"/>
    <n v="0.98997604274215378"/>
    <s v="May-2024"/>
    <s v="Q2-2024"/>
    <s v="Europe → France → Marseille"/>
    <s v="Peripherals"/>
    <s v="Medium"/>
    <s v="FRANCE"/>
    <d v="2023-01-10T00:00:00"/>
    <s v="Jan-2023"/>
    <d v="2024-05-31T00:00:00"/>
    <n v="1"/>
    <n v="1"/>
  </r>
  <r>
    <s v="ORD-2023-933238"/>
    <d v="2023-03-17T00:00:00"/>
    <d v="2023-04-06T00:00:00"/>
    <x v="3"/>
    <s v="Germany"/>
    <s v="Munich"/>
    <s v="Consumer"/>
    <s v="Retail"/>
    <x v="6"/>
    <s v="Phones"/>
    <s v="PHN-8483"/>
    <n v="692.18"/>
    <n v="1159.3499999999999"/>
    <n v="0.112"/>
    <n v="2"/>
    <s v="Valid"/>
    <n v="1159.3499999999999"/>
    <b v="0"/>
    <n v="0.112"/>
    <n v="20"/>
    <d v="2023-04-06T00:00:00"/>
    <n v="20"/>
    <n v="231610.30559999999"/>
    <n v="2318.6999999999998"/>
    <n v="229291.60559999998"/>
    <n v="0.98998878744193497"/>
    <s v="Mar-2023"/>
    <s v="Q1-2023"/>
    <s v="Europe → Germany → Munich"/>
    <s v="Devices"/>
    <s v="Low"/>
    <s v="GERMANY"/>
    <d v="2023-01-22T00:00:00"/>
    <s v="Jan-2023"/>
    <d v="2023-03-31T00:00:00"/>
    <n v="0"/>
    <n v="0"/>
  </r>
  <r>
    <s v="ORD-2023-732585"/>
    <d v="2023-08-25T00:00:00"/>
    <d v="2023-09-16T00:00:00"/>
    <x v="0"/>
    <s v="Nigeria"/>
    <s v="Abuja"/>
    <s v="Corporate"/>
    <s v="Marketplace"/>
    <x v="14"/>
    <s v="Phones"/>
    <s v="PHN-3971"/>
    <n v="1196.83"/>
    <n v="2513.5100000000002"/>
    <n v="8.3000000000000004E-2"/>
    <n v="7"/>
    <s v="Valid"/>
    <n v="2513.5100000000002"/>
    <b v="0"/>
    <n v="8.3000000000000004E-2"/>
    <n v="22"/>
    <d v="2023-09-16T00:00:00"/>
    <n v="22"/>
    <n v="1757996.65069"/>
    <n v="17594.57"/>
    <n v="1740402.08069"/>
    <n v="0.98999169310527735"/>
    <s v="Aug-2023"/>
    <s v="Q3-2023"/>
    <s v="Africa → Nigeria → Abuja"/>
    <s v="Devices"/>
    <s v="Low"/>
    <s v="NIGERIA"/>
    <d v="2023-01-15T00:00:00"/>
    <s v="Jan-2023"/>
    <d v="2023-08-31T00:00:00"/>
    <n v="0"/>
    <n v="0"/>
  </r>
  <r>
    <s v="ORD-2024-465898"/>
    <d v="2024-06-06T00:00:00"/>
    <d v="2024-06-24T00:00:00"/>
    <x v="2"/>
    <s v="India"/>
    <s v="Bengaluru"/>
    <s v="Small Business"/>
    <s v="Direct"/>
    <x v="9"/>
    <s v="Networking"/>
    <s v="NET-6578"/>
    <n v="1253.25"/>
    <n v="3087.13"/>
    <n v="7.1999999999999995E-2"/>
    <n v="11"/>
    <s v="Valid"/>
    <n v="3087.13"/>
    <b v="0"/>
    <n v="7.1999999999999995E-2"/>
    <n v="18"/>
    <d v="2024-06-24T00:00:00"/>
    <n v="18"/>
    <n v="3393397.9930400001"/>
    <n v="33958.43"/>
    <n v="3359439.5630399999"/>
    <n v="0.98999279481226476"/>
    <s v="Jun-2024"/>
    <s v="Q2-2024"/>
    <s v="Asia → India → Bengaluru"/>
    <s v="Support"/>
    <s v="Medium"/>
    <s v="INDIA"/>
    <d v="2023-01-29T00:00:00"/>
    <s v="Jan-2023"/>
    <d v="2024-06-30T00:00:00"/>
    <n v="0"/>
    <n v="0"/>
  </r>
  <r>
    <s v="ORD-2023-987081"/>
    <d v="2023-08-29T00:00:00"/>
    <d v="2023-09-13T00:00:00"/>
    <x v="1"/>
    <s v="Canada"/>
    <s v="Vancouver"/>
    <s v="Small Business"/>
    <s v="Marketplace"/>
    <x v="6"/>
    <s v="Printers"/>
    <s v="PRN-9975"/>
    <n v="1287.6400000000001"/>
    <n v="2717.15"/>
    <n v="3.2000000000000001E-2"/>
    <n v="7"/>
    <s v="Valid"/>
    <n v="2717.15"/>
    <b v="0"/>
    <n v="3.2000000000000001E-2"/>
    <n v="15"/>
    <d v="2023-09-13T00:00:00"/>
    <n v="15"/>
    <n v="1901396.3584"/>
    <n v="19020.05"/>
    <n v="1882376.3084"/>
    <n v="0.98999679897567217"/>
    <s v="Aug-2023"/>
    <s v="Q3-2023"/>
    <s v="Americas → Canada → Vancouver"/>
    <s v="Peripherals"/>
    <s v="Low"/>
    <s v="CANADA"/>
    <d v="2023-01-02T00:00:00"/>
    <s v="Jan-2023"/>
    <d v="2023-08-31T00:00:00"/>
    <n v="0"/>
    <n v="0"/>
  </r>
  <r>
    <s v="ORD-2024-655710"/>
    <d v="2024-11-30T00:00:00"/>
    <d v="2024-12-10T00:00:00"/>
    <x v="2"/>
    <s v="India"/>
    <s v="Hyderabad"/>
    <s v="Small Business"/>
    <s v="Retail"/>
    <x v="8"/>
    <s v="Accessories"/>
    <s v="ACC-1075"/>
    <n v="851.49"/>
    <n v="901.79"/>
    <n v="0.245"/>
    <n v="16"/>
    <s v="Valid"/>
    <n v="901.79"/>
    <b v="0"/>
    <n v="0.245"/>
    <n v="10"/>
    <d v="2024-12-10T00:00:00"/>
    <n v="10"/>
    <n v="1439328.9831999999"/>
    <n v="14428.64"/>
    <n v="1424900.3432"/>
    <n v="0.98997543982757763"/>
    <s v="Nov-2024"/>
    <s v="Q4-2024"/>
    <s v="Asia → India → Hyderabad"/>
    <s v="Support"/>
    <s v="High"/>
    <s v="INDIA"/>
    <d v="2023-01-29T00:00:00"/>
    <s v="Jan-2023"/>
    <d v="2024-11-30T00:00:00"/>
    <n v="0"/>
    <n v="1"/>
  </r>
  <r>
    <s v="ORD-2025-411385"/>
    <d v="2025-06-05T00:00:00"/>
    <d v="2025-06-14T00:00:00"/>
    <x v="2"/>
    <s v="India"/>
    <s v="Delhi"/>
    <s v="Non-Profit"/>
    <s v="Retail"/>
    <x v="7"/>
    <s v="Accessories"/>
    <s v="ACC-2902"/>
    <n v="618.69000000000005"/>
    <n v="796.15"/>
    <n v="0.09"/>
    <n v="11"/>
    <s v="Valid"/>
    <n v="796.15"/>
    <b v="0"/>
    <n v="0.09"/>
    <n v="9"/>
    <d v="2025-06-14T00:00:00"/>
    <n v="9"/>
    <n v="874976.81149999995"/>
    <n v="8757.65"/>
    <n v="866219.16149999993"/>
    <n v="0.98999099189270345"/>
    <s v="Jun-2025"/>
    <s v="Q2-2025"/>
    <s v="Asia → India → Delhi"/>
    <s v="Support"/>
    <s v="High"/>
    <s v="INDIA"/>
    <d v="2023-01-29T00:00:00"/>
    <s v="Jan-2023"/>
    <d v="2025-06-30T00:00:00"/>
    <n v="0"/>
    <n v="0"/>
  </r>
  <r>
    <s v="ORD-2025-222035"/>
    <d v="2025-03-14T00:00:00"/>
    <d v="2025-04-08T00:00:00"/>
    <x v="2"/>
    <s v="China"/>
    <s v="Unknown City "/>
    <s v="Corporate"/>
    <s v="Distributor"/>
    <x v="13"/>
    <s v="Printers"/>
    <s v="PRN-5815"/>
    <n v="80.59"/>
    <n v="157.82"/>
    <n v="0.217"/>
    <n v="6"/>
    <s v="Valid"/>
    <n v="157.82"/>
    <b v="0"/>
    <n v="0.217"/>
    <n v="25"/>
    <d v="2025-04-08T00:00:00"/>
    <n v="25"/>
    <n v="94486.518360000002"/>
    <n v="946.92"/>
    <n v="93539.598360000004"/>
    <n v="0.98997825280859464"/>
    <s v="Mar-2025"/>
    <s v="Q1-2025"/>
    <s v="Asia → China → Unknown City "/>
    <s v="Peripherals"/>
    <s v="High"/>
    <s v="CHINA"/>
    <d v="2023-01-12T00:00:00"/>
    <s v="Jan-2023"/>
    <d v="2025-03-31T00:00:00"/>
    <n v="0"/>
    <n v="1"/>
  </r>
  <r>
    <s v="ORD-2024-749242"/>
    <d v="2024-01-16T00:00:00"/>
    <d v="2024-02-11T00:00:00"/>
    <x v="3"/>
    <s v="Germany"/>
    <s v="Frankfurt"/>
    <s v="Non-Profit"/>
    <s v="Distributor"/>
    <x v="5"/>
    <s v="Monitors"/>
    <s v="MON-4195"/>
    <n v="504.93"/>
    <n v="819.06"/>
    <n v="0.22600000000000001"/>
    <n v="15"/>
    <s v="Valid"/>
    <n v="819.06"/>
    <b v="0"/>
    <n v="0.22600000000000001"/>
    <n v="26"/>
    <d v="2024-02-11T00:00:00"/>
    <n v="26"/>
    <n v="1225813.3866000001"/>
    <n v="12285.9"/>
    <n v="1213527.4866000002"/>
    <n v="0.9899773488083069"/>
    <s v="Jan-2024"/>
    <s v="Q1-2024"/>
    <s v="Europe → Germany → Frankfurt"/>
    <s v="Peripherals"/>
    <s v="Medium"/>
    <s v="GERMANY"/>
    <d v="2023-01-22T00:00:00"/>
    <s v="Jan-2023"/>
    <d v="2024-01-31T00:00:00"/>
    <n v="0"/>
    <n v="1"/>
  </r>
  <r>
    <s v="ORD-2023-623293"/>
    <d v="2023-10-12T00:00:00"/>
    <d v="2023-10-29T00:00:00"/>
    <x v="2"/>
    <s v="Japan"/>
    <s v="Nagoya"/>
    <s v="Non-Profit"/>
    <s v="Direct"/>
    <x v="9"/>
    <s v="Phones"/>
    <s v="PHN-8478"/>
    <n v="1102.19"/>
    <n v="1711.16"/>
    <n v="0.151"/>
    <n v="10"/>
    <s v="Valid"/>
    <n v="1711.16"/>
    <b v="0"/>
    <n v="0.151"/>
    <n v="17"/>
    <d v="2023-10-29T00:00:00"/>
    <n v="17"/>
    <n v="1708576.1484000003"/>
    <n v="17111.600000000002"/>
    <n v="1691464.5484000002"/>
    <n v="0.98998487716451833"/>
    <s v="Oct-2023"/>
    <s v="Q4-2023"/>
    <s v="Asia → Japan → Nagoya"/>
    <s v="Devices"/>
    <s v="Low"/>
    <s v="JAPAN"/>
    <d v="2023-03-03T00:00:00"/>
    <s v="Mar-2023"/>
    <d v="2023-10-31T00:00:00"/>
    <n v="0"/>
    <n v="0"/>
  </r>
  <r>
    <s v="ORD-2025-276968"/>
    <d v="2025-02-25T00:00:00"/>
    <d v="2025-03-17T00:00:00"/>
    <x v="1"/>
    <s v="USA"/>
    <s v="San Francisco"/>
    <s v="Non-Profit"/>
    <s v="Marketplace"/>
    <x v="9"/>
    <s v="Phones"/>
    <s v="PHN-1044"/>
    <n v="1205.26"/>
    <n v="1696.35"/>
    <n v="1.9E-2"/>
    <n v="6"/>
    <s v="Valid"/>
    <n v="1696.35"/>
    <b v="0"/>
    <n v="1.9E-2"/>
    <n v="20"/>
    <d v="2025-03-17T00:00:00"/>
    <n v="20"/>
    <n v="1017616.6160999998"/>
    <n v="10178.099999999999"/>
    <n v="1007438.5160999998"/>
    <n v="0.98999809963893137"/>
    <s v="Feb-2025"/>
    <s v="Q1-2025"/>
    <s v="Americas → USA → San Francisco"/>
    <s v="Devices"/>
    <s v="High"/>
    <s v="USA"/>
    <d v="2023-01-13T00:00:00"/>
    <s v="Jan-2023"/>
    <d v="2025-02-28T00:00:00"/>
    <n v="0"/>
    <n v="0"/>
  </r>
  <r>
    <s v="ORD-2025-650841"/>
    <d v="2025-07-03T00:00:00"/>
    <d v="2025-07-06T00:00:00"/>
    <x v="0"/>
    <s v="Nigeria"/>
    <s v="Lagos"/>
    <s v="Consumer"/>
    <s v="Online"/>
    <x v="15"/>
    <s v="Laptops"/>
    <s v="LAP-8910"/>
    <n v="1313.3"/>
    <n v="2884.34"/>
    <n v="0.157"/>
    <n v="42"/>
    <s v="Valid"/>
    <n v="2884.34"/>
    <b v="0"/>
    <n v="0.157"/>
    <n v="3"/>
    <d v="2025-07-06T00:00:00"/>
    <n v="3"/>
    <n v="12095208.662040001"/>
    <n v="121142.28"/>
    <n v="11974066.382040001"/>
    <n v="0.98998427531224031"/>
    <s v="Jul-2025"/>
    <s v="Q3-2025"/>
    <s v="Africa → Nigeria → Lagos"/>
    <s v="Devices"/>
    <s v="High"/>
    <s v="NIGERIA"/>
    <d v="2023-01-15T00:00:00"/>
    <s v="Jan-2023"/>
    <d v="2025-07-31T00:00:00"/>
    <n v="1"/>
    <n v="0"/>
  </r>
  <r>
    <s v="ORD-2025-831576"/>
    <d v="2025-09-15T00:00:00"/>
    <d v="2025-09-25T00:00:00"/>
    <x v="2"/>
    <s v="India"/>
    <s v="Delhi"/>
    <s v="Consumer"/>
    <s v="Retail"/>
    <x v="7"/>
    <s v="Phones"/>
    <s v="PHN-2859"/>
    <n v="1488.91"/>
    <n v="1483.74"/>
    <n v="0.16800000000000001"/>
    <n v="24"/>
    <s v="Valid"/>
    <n v="1483.74"/>
    <b v="0"/>
    <n v="0.16800000000000001"/>
    <n v="10"/>
    <d v="2025-09-25T00:00:00"/>
    <n v="10"/>
    <n v="3554993.5603200002"/>
    <n v="35609.760000000002"/>
    <n v="3519383.8003200004"/>
    <n v="0.98998317172850392"/>
    <s v="Sep-2025"/>
    <s v="Q3-2025"/>
    <s v="Asia → India → Delhi"/>
    <s v="Devices"/>
    <s v="High"/>
    <s v="INDIA"/>
    <d v="2023-01-29T00:00:00"/>
    <s v="Jan-2023"/>
    <d v="2025-09-30T00:00:00"/>
    <n v="0"/>
    <n v="0"/>
  </r>
  <r>
    <s v="ORD-2024-468655"/>
    <d v="2024-02-19T00:00:00"/>
    <d v="2024-03-06T00:00:00"/>
    <x v="2"/>
    <s v="China"/>
    <s v="Beijing"/>
    <s v="Education"/>
    <s v="Marketplace"/>
    <x v="6"/>
    <s v="Printers"/>
    <s v="PRN-6308"/>
    <n v="1477.84"/>
    <n v="3197.47"/>
    <n v="0.24299999999999999"/>
    <n v="24"/>
    <s v="Valid"/>
    <n v="3197.47"/>
    <b v="0"/>
    <n v="0.24299999999999999"/>
    <n v="16"/>
    <d v="2024-03-06T00:00:00"/>
    <n v="16"/>
    <n v="7655280.3549600001"/>
    <n v="76739.28"/>
    <n v="7578541.0749599999"/>
    <n v="0.98997564080716138"/>
    <s v="Feb-2024"/>
    <s v="Q1-2024"/>
    <s v="Asia → China → Beijing"/>
    <s v="Peripherals"/>
    <s v="Medium"/>
    <s v="CHINA"/>
    <d v="2023-01-12T00:00:00"/>
    <s v="Jan-2023"/>
    <d v="2024-02-29T00:00:00"/>
    <n v="0"/>
    <n v="1"/>
  </r>
  <r>
    <s v="ORD-2024-515105"/>
    <d v="2024-02-27T00:00:00"/>
    <d v="2024-03-26T00:00:00"/>
    <x v="2"/>
    <s v="India"/>
    <s v="Mumbai"/>
    <s v="Education"/>
    <s v="Marketplace"/>
    <x v="3"/>
    <s v="Laptops"/>
    <s v="LAP-8469"/>
    <n v="1035.19"/>
    <n v="2322.6999999999998"/>
    <n v="0.17299999999999999"/>
    <n v="8"/>
    <s v="Valid"/>
    <n v="2322.6999999999998"/>
    <b v="0"/>
    <n v="0.17299999999999999"/>
    <n v="28"/>
    <d v="2024-03-26T00:00:00"/>
    <n v="28"/>
    <n v="1854945.3831999998"/>
    <n v="18581.599999999999"/>
    <n v="1836363.7831999997"/>
    <n v="0.98998267001913309"/>
    <s v="Feb-2024"/>
    <s v="Q1-2024"/>
    <s v="Asia → India → Mumbai"/>
    <s v="Devices"/>
    <s v="Medium"/>
    <s v="INDIA"/>
    <d v="2023-01-29T00:00:00"/>
    <s v="Jan-2023"/>
    <d v="2024-02-29T00:00:00"/>
    <n v="0"/>
    <n v="0"/>
  </r>
  <r>
    <s v="ORD-2025-803803"/>
    <d v="2025-08-28T00:00:00"/>
    <d v="2025-09-05T00:00:00"/>
    <x v="0"/>
    <s v="Nigeria"/>
    <s v="Port Harcourt"/>
    <s v="Small Business"/>
    <s v="Marketplace"/>
    <x v="5"/>
    <s v="Laptops"/>
    <s v="LAP-7553"/>
    <n v="1271.0999999999999"/>
    <n v="1932.42"/>
    <n v="0.25"/>
    <n v="21"/>
    <s v="Valid"/>
    <n v="1932.42"/>
    <b v="0"/>
    <n v="0.25"/>
    <n v="8"/>
    <d v="2025-09-05T00:00:00"/>
    <n v="8"/>
    <n v="4047936.7949999999"/>
    <n v="40580.82"/>
    <n v="4007355.9750000001"/>
    <n v="0.9899749373433584"/>
    <s v="Aug-2025"/>
    <s v="Q3-2025"/>
    <s v="Africa → Nigeria → Port Harcourt"/>
    <s v="Devices"/>
    <s v="High"/>
    <s v="NIGERIA"/>
    <d v="2023-01-15T00:00:00"/>
    <s v="Jan-2023"/>
    <d v="2025-08-31T00:00:00"/>
    <n v="0"/>
    <n v="1"/>
  </r>
  <r>
    <s v="ORD-2024-993481"/>
    <d v="2024-08-18T00:00:00"/>
    <d v="2024-09-12T00:00:00"/>
    <x v="2"/>
    <s v="India"/>
    <s v="Mumbai"/>
    <s v="Consumer"/>
    <s v="Marketplace"/>
    <x v="0"/>
    <s v="Phones"/>
    <s v="PHN-3077"/>
    <n v="1154.03"/>
    <n v="1590.36"/>
    <n v="0.314"/>
    <n v="18"/>
    <s v="Valid"/>
    <n v="1590.36"/>
    <s v="Excess"/>
    <n v="0.3"/>
    <n v="25"/>
    <d v="2024-09-12T00:00:00"/>
    <n v="25"/>
    <n v="2854060.0559999999"/>
    <n v="28626.48"/>
    <n v="2825433.5759999999"/>
    <n v="0.98996990972918752"/>
    <s v="Aug-2024"/>
    <s v="Q3-2024"/>
    <s v="Asia → India → Mumbai"/>
    <s v="Devices"/>
    <s v="Medium"/>
    <s v="INDIA"/>
    <d v="2023-01-29T00:00:00"/>
    <s v="Jan-2023"/>
    <d v="2024-08-31T00:00:00"/>
    <n v="0"/>
    <n v="1"/>
  </r>
  <r>
    <s v="ORD-2024-811752"/>
    <d v="2024-02-25T00:00:00"/>
    <d v="2024-03-09T00:00:00"/>
    <x v="3"/>
    <s v="France"/>
    <s v="Marseille"/>
    <s v="Small Business"/>
    <s v="Distributor"/>
    <x v="5"/>
    <s v="Monitors"/>
    <s v="MON-3350"/>
    <n v="322.44"/>
    <n v="395.61"/>
    <n v="0"/>
    <n v="34"/>
    <s v="Valid"/>
    <n v="395.61"/>
    <b v="0"/>
    <n v="0"/>
    <n v="13"/>
    <d v="2024-03-09T00:00:00"/>
    <n v="13"/>
    <n v="1345074"/>
    <n v="13450.74"/>
    <n v="1331623.26"/>
    <n v="0.99"/>
    <s v="Feb-2024"/>
    <s v="Q1-2024"/>
    <s v="Europe → France → Marseille"/>
    <s v="Peripherals"/>
    <s v="Medium"/>
    <s v="FRANCE"/>
    <d v="2023-01-10T00:00:00"/>
    <s v="Jan-2023"/>
    <d v="2024-02-29T00:00:00"/>
    <n v="0"/>
    <n v="0"/>
  </r>
  <r>
    <s v="ORD-2025-673091"/>
    <d v="2025-05-07T00:00:00"/>
    <d v="2025-05-13T00:00:00"/>
    <x v="2"/>
    <s v="India"/>
    <s v="Bengaluru"/>
    <s v="Enterprise"/>
    <s v="Direct"/>
    <x v="1"/>
    <s v="Phones"/>
    <s v="PHN-5683"/>
    <n v="935.98"/>
    <n v="2077.69"/>
    <n v="0.17499999999999999"/>
    <n v="24"/>
    <s v="Valid"/>
    <n v="2077.69"/>
    <b v="0"/>
    <n v="0.17499999999999999"/>
    <n v="6"/>
    <d v="2025-05-13T00:00:00"/>
    <n v="6"/>
    <n v="4977729.7019999996"/>
    <n v="49864.56"/>
    <n v="4927865.142"/>
    <n v="0.9899824693213124"/>
    <s v="May-2025"/>
    <s v="Q2-2025"/>
    <s v="Asia → India → Bengaluru"/>
    <s v="Devices"/>
    <s v="High"/>
    <s v="INDIA"/>
    <d v="2023-01-29T00:00:00"/>
    <s v="Jan-2023"/>
    <d v="2025-05-31T00:00:00"/>
    <n v="1"/>
    <n v="0"/>
  </r>
  <r>
    <s v="ORD-2024-381197"/>
    <d v="2024-11-01T00:00:00"/>
    <d v="2024-11-12T00:00:00"/>
    <x v="3"/>
    <s v="Germany"/>
    <s v="Frankfurt"/>
    <s v="Consumer"/>
    <s v="Online"/>
    <x v="4"/>
    <s v="Printers"/>
    <s v="PRN-2409"/>
    <n v="599.84"/>
    <n v="1330.85"/>
    <n v="0.115"/>
    <n v="11"/>
    <s v="Valid"/>
    <n v="1330.85"/>
    <b v="0"/>
    <n v="0.115"/>
    <n v="11"/>
    <d v="2024-11-12T00:00:00"/>
    <n v="11"/>
    <n v="1462251.4747499998"/>
    <n v="14639.349999999999"/>
    <n v="1447612.1247499997"/>
    <n v="0.98998848675977369"/>
    <s v="Nov-2024"/>
    <s v="Q4-2024"/>
    <s v="Europe → Germany → Frankfurt"/>
    <s v="Peripherals"/>
    <s v="High"/>
    <s v="GERMANY"/>
    <d v="2023-01-22T00:00:00"/>
    <s v="Jan-2023"/>
    <d v="2024-11-30T00:00:00"/>
    <n v="0"/>
    <n v="0"/>
  </r>
  <r>
    <s v="ORD-2024-651852"/>
    <d v="2024-12-28T00:00:00"/>
    <d v="2025-01-08T00:00:00"/>
    <x v="2"/>
    <s v="China"/>
    <s v="Shenzhen"/>
    <s v="Enterprise"/>
    <s v="Online"/>
    <x v="10"/>
    <s v="Laptops"/>
    <s v="LAP-8825"/>
    <n v="1201.31"/>
    <n v="2764.65"/>
    <n v="0"/>
    <n v="21"/>
    <s v="Valid"/>
    <n v="2764.65"/>
    <b v="0"/>
    <n v="0"/>
    <n v="11"/>
    <d v="2025-01-08T00:00:00"/>
    <n v="11"/>
    <n v="5805765"/>
    <n v="58057.65"/>
    <n v="5747707.3499999996"/>
    <n v="0.99"/>
    <s v="Dec-2024"/>
    <s v="Q4-2024"/>
    <s v="Asia → China → Shenzhen"/>
    <s v="Devices"/>
    <s v="High"/>
    <s v="CHINA"/>
    <d v="2023-01-12T00:00:00"/>
    <s v="Jan-2023"/>
    <d v="2024-12-31T00:00:00"/>
    <n v="0"/>
    <n v="0"/>
  </r>
  <r>
    <s v="ORD-2023-659070"/>
    <d v="2023-10-21T00:00:00"/>
    <d v="2023-10-21T00:00:00"/>
    <x v="3"/>
    <s v="United Kingdom"/>
    <s v="Manchester"/>
    <s v="Enterprise"/>
    <s v="Distributor"/>
    <x v="1"/>
    <s v="Monitors"/>
    <s v="MON-8697"/>
    <n v="384.19"/>
    <n v="278.35000000000002"/>
    <n v="5.6000000000000001E-2"/>
    <n v="10"/>
    <s v="Valid"/>
    <n v="278.35000000000002"/>
    <b v="0"/>
    <n v="5.6000000000000001E-2"/>
    <n v="0"/>
    <d v="2023-10-21T00:00:00"/>
    <n v="0"/>
    <n v="278194.12400000001"/>
    <n v="2783.5"/>
    <n v="275410.62400000001"/>
    <n v="0.98999439686224289"/>
    <s v="Oct-2023"/>
    <s v="Q4-2023"/>
    <s v="Europe → United Kingdom → Manchester"/>
    <s v="Peripherals"/>
    <s v="Low"/>
    <s v="UNITED KINGDOM"/>
    <d v="2023-01-19T00:00:00"/>
    <s v="Jan-2023"/>
    <d v="2023-10-31T00:00:00"/>
    <n v="1"/>
    <n v="0"/>
  </r>
  <r>
    <s v="ORD-2024-837651"/>
    <d v="2024-12-10T00:00:00"/>
    <d v="2024-12-19T00:00:00"/>
    <x v="0"/>
    <s v="Nigeria"/>
    <s v="Lagos"/>
    <s v="Corporate"/>
    <s v="Retail"/>
    <x v="6"/>
    <s v="Monitors"/>
    <s v="MON-4789"/>
    <n v="488.68"/>
    <n v="984.36"/>
    <n v="5.8999999999999997E-2"/>
    <n v="14"/>
    <s v="Valid"/>
    <n v="984.36"/>
    <b v="0"/>
    <n v="5.8999999999999997E-2"/>
    <n v="9"/>
    <d v="2024-12-19T00:00:00"/>
    <n v="9"/>
    <n v="1377290.91864"/>
    <n v="13781.04"/>
    <n v="1363509.87864"/>
    <n v="0.98999409651694492"/>
    <s v="Dec-2024"/>
    <s v="Q4-2024"/>
    <s v="Africa → Nigeria → Lagos"/>
    <s v="Peripherals"/>
    <s v="High"/>
    <s v="NIGERIA"/>
    <d v="2023-01-15T00:00:00"/>
    <s v="Jan-2023"/>
    <d v="2024-12-31T00:00:00"/>
    <n v="0"/>
    <n v="0"/>
  </r>
  <r>
    <s v="ORD-2024-581530"/>
    <d v="2024-09-07T00:00:00"/>
    <d v="2024-09-18T00:00:00"/>
    <x v="2"/>
    <s v="China"/>
    <s v="Beijing"/>
    <s v="Consumer"/>
    <s v="Distributor"/>
    <x v="6"/>
    <s v="Networking"/>
    <s v="NET-7998"/>
    <n v="181.74"/>
    <n v="190.84"/>
    <n v="0.214"/>
    <n v="13"/>
    <s v="Valid"/>
    <n v="190.84"/>
    <b v="0"/>
    <n v="0.214"/>
    <n v="11"/>
    <d v="2024-09-18T00:00:00"/>
    <n v="11"/>
    <n v="247561.08312000002"/>
    <n v="2480.92"/>
    <n v="245080.16312000001"/>
    <n v="0.98997855410578628"/>
    <s v="Sep-2024"/>
    <s v="Q3-2024"/>
    <s v="Asia → China → Beijing"/>
    <s v="Support"/>
    <s v="Medium"/>
    <s v="CHINA"/>
    <d v="2023-01-12T00:00:00"/>
    <s v="Jan-2023"/>
    <d v="2024-09-30T00:00:00"/>
    <n v="0"/>
    <n v="1"/>
  </r>
  <r>
    <s v="ORD-2023-378104"/>
    <d v="2023-10-18T00:00:00"/>
    <d v="2023-10-20T00:00:00"/>
    <x v="0"/>
    <s v="Kenya"/>
    <s v="Kisumu"/>
    <s v="Consumer"/>
    <s v="Retail"/>
    <x v="1"/>
    <s v="Phones"/>
    <s v="PHN-8891"/>
    <n v="774.12"/>
    <n v="908.3"/>
    <n v="0"/>
    <n v="30"/>
    <s v="Valid"/>
    <n v="908.3"/>
    <b v="0"/>
    <n v="0"/>
    <n v="2"/>
    <d v="2023-10-20T00:00:00"/>
    <n v="2"/>
    <n v="2724900"/>
    <n v="27249"/>
    <n v="2697651"/>
    <n v="0.99"/>
    <s v="Oct-2023"/>
    <s v="Q4-2023"/>
    <s v="Africa → Kenya → Kisumu"/>
    <s v="Devices"/>
    <s v="Low"/>
    <s v="KENYA"/>
    <d v="2023-01-20T00:00:00"/>
    <s v="Jan-2023"/>
    <d v="2023-10-31T00:00:00"/>
    <n v="1"/>
    <n v="0"/>
  </r>
  <r>
    <s v="ORD-2024-972318"/>
    <d v="2024-12-24T00:00:00"/>
    <d v="2025-01-13T00:00:00"/>
    <x v="2"/>
    <s v="India"/>
    <s v="Bengaluru"/>
    <s v="Corporate"/>
    <s v="Marketplace"/>
    <x v="13"/>
    <s v="Networking"/>
    <s v="NET-9832"/>
    <n v="126.15"/>
    <n v="284.23"/>
    <n v="0.113"/>
    <n v="22"/>
    <s v="Valid"/>
    <n v="284.23"/>
    <b v="0"/>
    <n v="0.113"/>
    <n v="20"/>
    <d v="2025-01-13T00:00:00"/>
    <n v="20"/>
    <n v="624599.40422000003"/>
    <n v="6253.06"/>
    <n v="618346.34421999997"/>
    <n v="0.98998868721655464"/>
    <s v="Dec-2024"/>
    <s v="Q4-2024"/>
    <s v="Asia → India → Bengaluru"/>
    <s v="Support"/>
    <s v="High"/>
    <s v="INDIA"/>
    <d v="2023-01-29T00:00:00"/>
    <s v="Jan-2023"/>
    <d v="2024-12-31T00:00:00"/>
    <n v="0"/>
    <n v="0"/>
  </r>
  <r>
    <s v="ORD-2023-752962"/>
    <d v="2023-04-21T00:00:00"/>
    <d v="2023-04-19T00:00:00"/>
    <x v="2"/>
    <s v="Japan"/>
    <s v="Nagoya"/>
    <s v="Small Business"/>
    <s v="Direct"/>
    <x v="11"/>
    <s v="Components"/>
    <s v="CMP-8604"/>
    <n v="607.04"/>
    <n v="1229.3399999999999"/>
    <n v="0.14699999999999999"/>
    <n v="7"/>
    <s v="Valid"/>
    <n v="1229.3399999999999"/>
    <b v="0"/>
    <n v="0.14699999999999999"/>
    <n v="-2"/>
    <d v="2023-04-28T00:00:00"/>
    <n v="7"/>
    <n v="859273.00913999986"/>
    <n v="8605.3799999999992"/>
    <n v="850667.62913999986"/>
    <n v="0.98998527835918804"/>
    <s v="Apr-2023"/>
    <s v="Q2-2023"/>
    <s v="Asia → Japan → Nagoya"/>
    <s v="Support"/>
    <s v="Low"/>
    <s v="JAPAN"/>
    <d v="2023-03-03T00:00:00"/>
    <s v="Mar-2023"/>
    <d v="2023-04-30T00:00:00"/>
    <n v="1"/>
    <n v="0"/>
  </r>
  <r>
    <s v="ORD-2023-808024"/>
    <d v="2023-12-30T00:00:00"/>
    <d v="2024-01-08T00:00:00"/>
    <x v="3"/>
    <s v="France"/>
    <s v="Marseille"/>
    <s v="Consumer"/>
    <s v="Marketplace"/>
    <x v="14"/>
    <s v="Accessories"/>
    <s v="ACC-6594"/>
    <n v="861.1"/>
    <n v="1224.72"/>
    <n v="0.17399999999999999"/>
    <n v="24"/>
    <s v="Valid"/>
    <n v="1224.72"/>
    <b v="0"/>
    <n v="0.17399999999999999"/>
    <n v="9"/>
    <d v="2024-01-08T00:00:00"/>
    <n v="9"/>
    <n v="2934213.5692799995"/>
    <n v="29393.279999999999"/>
    <n v="2904820.2892799997"/>
    <n v="0.989982569671228"/>
    <s v="Dec-2023"/>
    <s v="Q4-2023"/>
    <s v="Europe → France → Marseille"/>
    <s v="Support"/>
    <s v="Medium"/>
    <s v="FRANCE"/>
    <d v="2023-01-10T00:00:00"/>
    <s v="Jan-2023"/>
    <d v="2023-12-31T00:00:00"/>
    <n v="0"/>
    <n v="0"/>
  </r>
  <r>
    <s v="ORD-2023-156396"/>
    <d v="2023-02-21T00:00:00"/>
    <d v="2023-03-12T00:00:00"/>
    <x v="0"/>
    <s v="Kenya"/>
    <s v="Nakuru"/>
    <s v="Corporate"/>
    <s v="Online"/>
    <x v="8"/>
    <s v="Networking"/>
    <s v="NET-2499"/>
    <n v="352.65"/>
    <n v="485.86"/>
    <n v="4.1000000000000002E-2"/>
    <n v="6"/>
    <s v="Valid"/>
    <n v="485.86"/>
    <b v="0"/>
    <n v="4.1000000000000002E-2"/>
    <n v="19"/>
    <d v="2023-03-12T00:00:00"/>
    <n v="19"/>
    <n v="291396.47843999998"/>
    <n v="2915.16"/>
    <n v="288481.31844"/>
    <n v="0.98999589831831059"/>
    <s v="Feb-2023"/>
    <s v="Q1-2023"/>
    <s v="Africa → Kenya → Nakuru"/>
    <s v="Support"/>
    <s v="Low"/>
    <s v="KENYA"/>
    <d v="2023-01-20T00:00:00"/>
    <s v="Jan-2023"/>
    <d v="2023-02-28T00:00:00"/>
    <n v="0"/>
    <n v="0"/>
  </r>
  <r>
    <s v="ORD-2023-184577"/>
    <d v="2023-05-17T00:00:00"/>
    <d v="2023-06-03T00:00:00"/>
    <x v="2"/>
    <s v="China"/>
    <s v="Beijing"/>
    <s v="Non-Profit"/>
    <s v="Distributor"/>
    <x v="11"/>
    <s v="Printers"/>
    <s v="PRN-1923"/>
    <n v="979.59"/>
    <n v="2210.94"/>
    <n v="0.15"/>
    <n v="11"/>
    <s v="Valid"/>
    <n v="2210.94"/>
    <b v="0"/>
    <n v="0.15"/>
    <n v="17"/>
    <d v="2023-06-03T00:00:00"/>
    <n v="17"/>
    <n v="2428385.949"/>
    <n v="24320.34"/>
    <n v="2404065.6090000002"/>
    <n v="0.9899849774661994"/>
    <s v="May-2023"/>
    <s v="Q2-2023"/>
    <s v="Asia → China → Beijing"/>
    <s v="Peripherals"/>
    <s v="Low"/>
    <s v="CHINA"/>
    <d v="2023-01-12T00:00:00"/>
    <s v="Jan-2023"/>
    <d v="2023-05-31T00:00:00"/>
    <n v="0"/>
    <n v="0"/>
  </r>
  <r>
    <s v="ORD-2024-446030"/>
    <d v="2024-03-23T00:00:00"/>
    <d v="2024-03-26T00:00:00"/>
    <x v="2"/>
    <s v="India"/>
    <s v="Bengaluru"/>
    <s v="Education"/>
    <s v="Direct"/>
    <x v="3"/>
    <s v="Phones"/>
    <s v="PHN-4346"/>
    <n v="382.21"/>
    <n v="571.89"/>
    <n v="0.14799999999999999"/>
    <n v="26"/>
    <s v="Valid"/>
    <n v="571.89"/>
    <b v="0"/>
    <n v="0.14799999999999999"/>
    <n v="3"/>
    <d v="2024-03-26T00:00:00"/>
    <n v="3"/>
    <n v="1484713.3672799999"/>
    <n v="14869.14"/>
    <n v="1469844.22728"/>
    <n v="0.98998517806353414"/>
    <s v="Mar-2024"/>
    <s v="Q1-2024"/>
    <s v="Asia → India → Bengaluru"/>
    <s v="Devices"/>
    <s v="Medium"/>
    <s v="INDIA"/>
    <d v="2023-01-29T00:00:00"/>
    <s v="Jan-2023"/>
    <d v="2024-03-31T00:00:00"/>
    <n v="1"/>
    <n v="0"/>
  </r>
  <r>
    <s v="ORD-2023-842820"/>
    <d v="2023-09-20T00:00:00"/>
    <d v="2023-09-28T00:00:00"/>
    <x v="2"/>
    <s v="India"/>
    <s v="Unknown City "/>
    <s v="Corporate"/>
    <s v="Unknown Channel "/>
    <x v="4"/>
    <s v="Accessories"/>
    <s v="ACC-1375"/>
    <n v="1362.06"/>
    <n v="3398.37"/>
    <n v="0.157"/>
    <n v="11"/>
    <s v="Valid"/>
    <n v="3398.37"/>
    <b v="0"/>
    <n v="0.157"/>
    <n v="8"/>
    <d v="2023-09-28T00:00:00"/>
    <n v="8"/>
    <n v="3732338.0150100002"/>
    <n v="37382.07"/>
    <n v="3694955.9450100004"/>
    <n v="0.98998427531224031"/>
    <s v="Sep-2023"/>
    <s v="Q3-2023"/>
    <s v="Asia → India → Unknown City "/>
    <s v="Support"/>
    <s v="Low"/>
    <s v="INDIA"/>
    <d v="2023-01-29T00:00:00"/>
    <s v="Jan-2023"/>
    <d v="2023-09-30T00:00:00"/>
    <n v="0"/>
    <n v="0"/>
  </r>
  <r>
    <s v="ORD-2024-745424"/>
    <d v="2024-08-22T00:00:00"/>
    <d v="2024-09-04T00:00:00"/>
    <x v="3"/>
    <s v="Germany"/>
    <s v="Frankfurt"/>
    <s v="Non-Profit"/>
    <s v="Retail"/>
    <x v="14"/>
    <s v="Printers"/>
    <s v="PRN-4892"/>
    <n v="90.04"/>
    <n v="194.62"/>
    <n v="4.2999999999999997E-2"/>
    <n v="32"/>
    <s v="Valid"/>
    <n v="194.62"/>
    <b v="0"/>
    <n v="4.2999999999999997E-2"/>
    <n v="13"/>
    <d v="2024-09-04T00:00:00"/>
    <n v="13"/>
    <n v="622516.20288"/>
    <n v="6227.84"/>
    <n v="616288.36288000003"/>
    <n v="0.98999569815020461"/>
    <s v="Aug-2024"/>
    <s v="Q3-2024"/>
    <s v="Europe → Germany → Frankfurt"/>
    <s v="Peripherals"/>
    <s v="Medium"/>
    <s v="GERMANY"/>
    <d v="2023-01-22T00:00:00"/>
    <s v="Jan-2023"/>
    <d v="2024-08-31T00:00:00"/>
    <n v="0"/>
    <n v="0"/>
  </r>
  <r>
    <s v="ORD-2024-510520"/>
    <d v="2024-09-25T00:00:00"/>
    <d v="2024-10-03T00:00:00"/>
    <x v="1"/>
    <s v="Canada"/>
    <s v="Toronto"/>
    <s v="Consumer"/>
    <s v="Online"/>
    <x v="5"/>
    <s v="Printers"/>
    <s v="PRN-9557"/>
    <n v="558.19000000000005"/>
    <n v="1031.6400000000001"/>
    <n v="0"/>
    <n v="21"/>
    <s v="Valid"/>
    <n v="1031.6400000000001"/>
    <b v="0"/>
    <n v="0"/>
    <n v="8"/>
    <d v="2024-10-03T00:00:00"/>
    <n v="8"/>
    <n v="2166444"/>
    <n v="21664.440000000002"/>
    <n v="2144779.56"/>
    <n v="0.99"/>
    <s v="Sep-2024"/>
    <s v="Q3-2024"/>
    <s v="Americas → Canada → Toronto"/>
    <s v="Peripherals"/>
    <s v="Medium"/>
    <s v="CANADA"/>
    <d v="2023-01-02T00:00:00"/>
    <s v="Jan-2023"/>
    <d v="2024-09-30T00:00:00"/>
    <n v="0"/>
    <n v="0"/>
  </r>
  <r>
    <s v="ORD-2023-769774"/>
    <d v="2023-06-13T00:00:00"/>
    <d v="2023-06-24T00:00:00"/>
    <x v="1"/>
    <s v="Canada"/>
    <s v="Toronto"/>
    <s v="Corporate"/>
    <s v="Online"/>
    <x v="0"/>
    <s v="Printers"/>
    <s v="PRN-8008"/>
    <n v="247.07"/>
    <n v="495.19"/>
    <n v="2.8000000000000001E-2"/>
    <n v="4"/>
    <s v="Valid"/>
    <n v="495.19"/>
    <b v="0"/>
    <n v="2.8000000000000001E-2"/>
    <n v="11"/>
    <d v="2023-06-24T00:00:00"/>
    <n v="11"/>
    <n v="198020.53871999998"/>
    <n v="1980.76"/>
    <n v="196039.77871999997"/>
    <n v="0.98999719921578033"/>
    <s v="Jun-2023"/>
    <s v="Q2-2023"/>
    <s v="Americas → Canada → Toronto"/>
    <s v="Peripherals"/>
    <s v="Low"/>
    <s v="CANADA"/>
    <d v="2023-01-02T00:00:00"/>
    <s v="Jan-2023"/>
    <d v="2023-06-30T00:00:00"/>
    <n v="0"/>
    <n v="0"/>
  </r>
  <r>
    <s v="ORD-2023-580751"/>
    <d v="2023-12-24T00:00:00"/>
    <d v="2024-01-13T00:00:00"/>
    <x v="2"/>
    <s v="Japan"/>
    <s v="Nagoya"/>
    <s v="Education"/>
    <s v="Direct"/>
    <x v="4"/>
    <s v="Laptops"/>
    <s v="LAP-1946"/>
    <n v="625.37"/>
    <n v="1319.04"/>
    <n v="7.3999999999999996E-2"/>
    <n v="8"/>
    <s v="Valid"/>
    <n v="1319.04"/>
    <b v="0"/>
    <n v="7.3999999999999996E-2"/>
    <n v="20"/>
    <d v="2024-01-13T00:00:00"/>
    <n v="20"/>
    <n v="1054451.1283199999"/>
    <n v="10552.32"/>
    <n v="1043898.80832"/>
    <n v="0.98999259451994481"/>
    <s v="Dec-2023"/>
    <s v="Q4-2023"/>
    <s v="Asia → Japan → Nagoya"/>
    <s v="Devices"/>
    <s v="Medium"/>
    <s v="JAPAN"/>
    <d v="2023-03-03T00:00:00"/>
    <s v="Mar-2023"/>
    <d v="2023-12-31T00:00:00"/>
    <n v="0"/>
    <n v="0"/>
  </r>
  <r>
    <s v="ORD-2025-473192"/>
    <d v="2025-03-30T00:00:00"/>
    <d v="2025-04-29T00:00:00"/>
    <x v="0"/>
    <s v="South Africa"/>
    <s v="Durban"/>
    <s v="Consumer"/>
    <s v="Marketplace"/>
    <x v="1"/>
    <s v="Monitors"/>
    <s v="MON-7106"/>
    <n v="194.6"/>
    <n v="314.87"/>
    <n v="0.29299999999999998"/>
    <n v="25"/>
    <s v="Valid"/>
    <n v="314.87"/>
    <b v="0"/>
    <n v="0.29299999999999998"/>
    <n v="30"/>
    <d v="2025-04-29T00:00:00"/>
    <n v="30"/>
    <n v="784868.57724999997"/>
    <n v="7871.75"/>
    <n v="776996.82724999997"/>
    <n v="0.98997061389872321"/>
    <s v="Mar-2025"/>
    <s v="Q1-2025"/>
    <s v="Africa → South Africa → Durban"/>
    <s v="Peripherals"/>
    <s v="High"/>
    <s v="SOUTH AFRICA"/>
    <d v="2023-01-07T00:00:00"/>
    <s v="Jan-2023"/>
    <d v="2025-03-31T00:00:00"/>
    <n v="0"/>
    <n v="1"/>
  </r>
  <r>
    <s v="ORD-2024-886939"/>
    <d v="2024-06-03T00:00:00"/>
    <d v="2024-06-24T00:00:00"/>
    <x v="1"/>
    <s v="Canada"/>
    <s v="Toronto"/>
    <s v="Small Business"/>
    <s v="Direct"/>
    <x v="3"/>
    <s v="Monitors"/>
    <s v="MON-5386"/>
    <n v="1205.5"/>
    <n v="2210.17"/>
    <n v="0.104"/>
    <n v="23"/>
    <s v="Valid"/>
    <n v="2210.17"/>
    <b v="0"/>
    <n v="0.104"/>
    <n v="21"/>
    <d v="2024-06-24T00:00:00"/>
    <n v="21"/>
    <n v="5078104.27336"/>
    <n v="50833.91"/>
    <n v="5027270.3633599998"/>
    <n v="0.9899895891727396"/>
    <s v="Jun-2024"/>
    <s v="Q2-2024"/>
    <s v="Americas → Canada → Toronto"/>
    <s v="Peripherals"/>
    <s v="Medium"/>
    <s v="CANADA"/>
    <d v="2023-01-02T00:00:00"/>
    <s v="Jan-2023"/>
    <d v="2024-06-30T00:00:00"/>
    <n v="0"/>
    <n v="0"/>
  </r>
  <r>
    <s v="ORD-2024-566589"/>
    <d v="2024-06-11T00:00:00"/>
    <d v="2024-07-09T00:00:00"/>
    <x v="0"/>
    <s v="Nigeria"/>
    <s v="Port Harcourt"/>
    <s v="Corporate"/>
    <s v="Marketplace"/>
    <x v="2"/>
    <s v="Phones"/>
    <s v="PHN-2436"/>
    <n v="895.54"/>
    <n v="1045"/>
    <n v="0.216"/>
    <n v="15"/>
    <s v="Valid"/>
    <n v="1045"/>
    <b v="0"/>
    <n v="0.216"/>
    <n v="28"/>
    <d v="2024-07-09T00:00:00"/>
    <n v="28"/>
    <n v="1564114.2000000002"/>
    <n v="15675"/>
    <n v="1548439.2000000002"/>
    <n v="0.98997835324300487"/>
    <s v="Jun-2024"/>
    <s v="Q2-2024"/>
    <s v="Africa → Nigeria → Port Harcourt"/>
    <s v="Devices"/>
    <s v="Medium"/>
    <s v="NIGERIA"/>
    <d v="2023-01-15T00:00:00"/>
    <s v="Jan-2023"/>
    <d v="2024-06-30T00:00:00"/>
    <n v="0"/>
    <n v="1"/>
  </r>
  <r>
    <s v="ORD-2023-109927"/>
    <d v="2023-07-22T00:00:00"/>
    <d v="2023-07-21T00:00:00"/>
    <x v="2"/>
    <s v="India"/>
    <s v="Delhi"/>
    <s v="Small Business"/>
    <s v="Distributor"/>
    <x v="5"/>
    <s v="Printers"/>
    <s v="PRN-2301"/>
    <n v="946.99"/>
    <n v="2132.19"/>
    <n v="0.16500000000000001"/>
    <n v="7"/>
    <s v="Valid"/>
    <n v="2132.19"/>
    <b v="0"/>
    <n v="0.16500000000000001"/>
    <n v="-1"/>
    <d v="2023-07-29T00:00:00"/>
    <n v="7"/>
    <n v="1490070.3205499998"/>
    <n v="14925.33"/>
    <n v="1475144.9905499998"/>
    <n v="0.98998347273000442"/>
    <s v="Jul-2023"/>
    <s v="Q3-2023"/>
    <s v="Asia → India → Delhi"/>
    <s v="Peripherals"/>
    <s v="Low"/>
    <s v="INDIA"/>
    <d v="2023-01-29T00:00:00"/>
    <s v="Jan-2023"/>
    <d v="2023-07-31T00:00:00"/>
    <n v="1"/>
    <n v="0"/>
  </r>
  <r>
    <s v="ORD-2023-780206"/>
    <d v="2023-01-19T00:00:00"/>
    <d v="2023-02-03T00:00:00"/>
    <x v="3"/>
    <s v="United Kingdom"/>
    <s v="London"/>
    <s v="Enterprise"/>
    <s v="Distributor"/>
    <x v="3"/>
    <s v="Accessories"/>
    <s v="ACC-3645"/>
    <n v="873.06"/>
    <n v="2101.5500000000002"/>
    <n v="6.6000000000000003E-2"/>
    <n v="10"/>
    <s v="Valid"/>
    <n v="2101.5500000000002"/>
    <b v="0"/>
    <n v="6.6000000000000003E-2"/>
    <n v="15"/>
    <d v="2023-02-03T00:00:00"/>
    <n v="15"/>
    <n v="2100162.977"/>
    <n v="21015.5"/>
    <n v="2079147.477"/>
    <n v="0.9899933956411231"/>
    <s v="Jan-2023"/>
    <s v="Q1-2023"/>
    <s v="Europe → United Kingdom → London"/>
    <s v="Support"/>
    <s v="Low"/>
    <s v="UNITED KINGDOM"/>
    <d v="2023-01-19T00:00:00"/>
    <s v="Jan-2023"/>
    <d v="2023-01-31T00:00:00"/>
    <n v="0"/>
    <n v="0"/>
  </r>
  <r>
    <s v="ORD-2024-851993"/>
    <d v="2024-05-01T00:00:00"/>
    <d v="2024-05-16T00:00:00"/>
    <x v="2"/>
    <s v="India"/>
    <s v="Bengaluru"/>
    <s v="Small Business"/>
    <s v="Retail"/>
    <x v="14"/>
    <s v="Components"/>
    <s v="CMP-6811"/>
    <n v="901.19"/>
    <n v="2125.44"/>
    <n v="7.0999999999999994E-2"/>
    <n v="12"/>
    <s v="Valid"/>
    <n v="2125.44"/>
    <b v="0"/>
    <n v="7.0999999999999994E-2"/>
    <n v="15"/>
    <d v="2024-05-16T00:00:00"/>
    <n v="15"/>
    <n v="2548717.12512"/>
    <n v="25505.279999999999"/>
    <n v="2523211.8451200002"/>
    <n v="0.98999289495541842"/>
    <s v="May-2024"/>
    <s v="Q2-2024"/>
    <s v="Asia → India → Bengaluru"/>
    <s v="Support"/>
    <s v="Medium"/>
    <s v="INDIA"/>
    <d v="2023-01-29T00:00:00"/>
    <s v="Jan-2023"/>
    <d v="2024-05-31T00:00:00"/>
    <n v="0"/>
    <n v="0"/>
  </r>
  <r>
    <s v="ORD-2025-417942"/>
    <d v="2025-06-09T00:00:00"/>
    <d v="2025-06-24T00:00:00"/>
    <x v="2"/>
    <s v="Japan"/>
    <s v="Nagoya"/>
    <s v="Corporate"/>
    <s v="Direct"/>
    <x v="4"/>
    <s v="Phones"/>
    <s v="PHN-5675"/>
    <n v="400.39"/>
    <n v="712.75"/>
    <n v="0.115"/>
    <n v="19"/>
    <s v="Valid"/>
    <n v="712.75"/>
    <b v="0"/>
    <n v="0.115"/>
    <n v="15"/>
    <d v="2025-06-24T00:00:00"/>
    <n v="15"/>
    <n v="1352667.6412500001"/>
    <n v="13542.25"/>
    <n v="1339125.3912500001"/>
    <n v="0.98998848675977369"/>
    <s v="Jun-2025"/>
    <s v="Q2-2025"/>
    <s v="Asia → Japan → Nagoya"/>
    <s v="Devices"/>
    <s v="High"/>
    <s v="JAPAN"/>
    <d v="2023-03-03T00:00:00"/>
    <s v="Mar-2023"/>
    <d v="2025-06-30T00:00:00"/>
    <n v="0"/>
    <n v="0"/>
  </r>
  <r>
    <s v="ORD-2023-172095"/>
    <d v="2023-05-24T00:00:00"/>
    <d v="2023-06-21T00:00:00"/>
    <x v="1"/>
    <s v="USA"/>
    <s v="Austin"/>
    <s v="Small Business"/>
    <s v="Marketplace"/>
    <x v="3"/>
    <s v="Monitors"/>
    <s v="MON-6882"/>
    <n v="813.97"/>
    <n v="1568.83"/>
    <n v="1.7000000000000001E-2"/>
    <n v="15"/>
    <s v="Valid"/>
    <n v="1568.83"/>
    <b v="0"/>
    <n v="1.7000000000000001E-2"/>
    <n v="28"/>
    <d v="2023-06-21T00:00:00"/>
    <n v="28"/>
    <n v="2352844.9483499997"/>
    <n v="23532.449999999997"/>
    <n v="2329312.4983499995"/>
    <n v="0.98999829971095077"/>
    <s v="May-2023"/>
    <s v="Q2-2023"/>
    <s v="Americas → USA → Austin"/>
    <s v="Peripherals"/>
    <s v="Low"/>
    <s v="USA"/>
    <d v="2023-01-13T00:00:00"/>
    <s v="Jan-2023"/>
    <d v="2023-05-31T00:00:00"/>
    <n v="0"/>
    <n v="0"/>
  </r>
  <r>
    <s v="ORD-2024-257550"/>
    <d v="2024-12-27T00:00:00"/>
    <d v="2024-12-29T00:00:00"/>
    <x v="1"/>
    <s v="Canada"/>
    <s v="Vancouver"/>
    <s v="Enterprise"/>
    <s v="Marketplace"/>
    <x v="0"/>
    <s v="Accessories"/>
    <s v="ACC-8620"/>
    <n v="1146.72"/>
    <n v="2074.34"/>
    <n v="0.111"/>
    <n v="8"/>
    <s v="Valid"/>
    <n v="2074.34"/>
    <b v="0"/>
    <n v="0.111"/>
    <n v="2"/>
    <d v="2024-12-29T00:00:00"/>
    <n v="2"/>
    <n v="1657629.9860799999"/>
    <n v="16594.72"/>
    <n v="1641035.26608"/>
    <n v="0.98998888766530846"/>
    <s v="Dec-2024"/>
    <s v="Q4-2024"/>
    <s v="Americas → Canada → Vancouver"/>
    <s v="Support"/>
    <s v="High"/>
    <s v="CANADA"/>
    <d v="2023-01-02T00:00:00"/>
    <s v="Jan-2023"/>
    <d v="2024-12-31T00:00:00"/>
    <n v="1"/>
    <n v="0"/>
  </r>
  <r>
    <s v="ORD-2023-581799"/>
    <d v="2023-12-05T00:00:00"/>
    <d v="2023-12-12T00:00:00"/>
    <x v="1"/>
    <s v="Brazil"/>
    <s v="Brasília"/>
    <s v="Corporate"/>
    <s v="Direct"/>
    <x v="8"/>
    <s v="Phones"/>
    <s v="PHN-6506"/>
    <n v="307.43"/>
    <n v="495.19"/>
    <n v="0"/>
    <n v="42"/>
    <s v="Valid"/>
    <n v="495.19"/>
    <b v="0"/>
    <n v="0"/>
    <n v="7"/>
    <d v="2023-12-12T00:00:00"/>
    <n v="7"/>
    <n v="2079798"/>
    <n v="20797.98"/>
    <n v="2059000.02"/>
    <n v="0.99"/>
    <s v="Dec-2023"/>
    <s v="Q4-2023"/>
    <s v="Americas → Brazil → Brasília"/>
    <s v="Devices"/>
    <s v="Medium"/>
    <s v="BRAZIL"/>
    <d v="2023-01-29T00:00:00"/>
    <s v="Jan-2023"/>
    <d v="2023-12-31T00:00:00"/>
    <n v="1"/>
    <n v="0"/>
  </r>
  <r>
    <s v="ORD-2023-880296"/>
    <d v="2023-05-02T00:00:00"/>
    <d v="2023-05-19T00:00:00"/>
    <x v="2"/>
    <s v="China"/>
    <s v="Shanghai"/>
    <s v="Non-Profit"/>
    <s v="Direct"/>
    <x v="1"/>
    <s v="Monitors"/>
    <s v="MON-5086"/>
    <n v="714.28"/>
    <n v="757.59"/>
    <n v="0.13600000000000001"/>
    <n v="12"/>
    <s v="Valid"/>
    <n v="757.59"/>
    <b v="0"/>
    <n v="0.13600000000000001"/>
    <n v="17"/>
    <d v="2023-05-19T00:00:00"/>
    <n v="17"/>
    <n v="907871.61311999999"/>
    <n v="9091.08"/>
    <n v="898780.53312000004"/>
    <n v="0.98998638147881124"/>
    <s v="May-2023"/>
    <s v="Q2-2023"/>
    <s v="Asia → China → Shanghai"/>
    <s v="Peripherals"/>
    <s v="Low"/>
    <s v="CHINA"/>
    <d v="2023-01-12T00:00:00"/>
    <s v="Jan-2023"/>
    <d v="2023-05-31T00:00:00"/>
    <n v="0"/>
    <n v="0"/>
  </r>
  <r>
    <s v="ORD-2023-191563"/>
    <d v="2023-11-30T00:00:00"/>
    <d v="2023-12-10T00:00:00"/>
    <x v="3"/>
    <s v="Germany"/>
    <s v="Munich"/>
    <s v="Small Business"/>
    <s v="Direct"/>
    <x v="8"/>
    <s v="Laptops"/>
    <s v="LAP-4899"/>
    <n v="174.74"/>
    <n v="415.96"/>
    <n v="0.125"/>
    <n v="21"/>
    <s v="Valid"/>
    <n v="415.96"/>
    <b v="0"/>
    <n v="0.125"/>
    <n v="10"/>
    <d v="2023-12-10T00:00:00"/>
    <n v="10"/>
    <n v="872424.10499999998"/>
    <n v="8735.16"/>
    <n v="863688.94499999995"/>
    <n v="0.98998748435544426"/>
    <s v="Nov-2023"/>
    <s v="Q4-2023"/>
    <s v="Europe → Germany → Munich"/>
    <s v="Devices"/>
    <s v="Low"/>
    <s v="GERMANY"/>
    <d v="2023-01-22T00:00:00"/>
    <s v="Jan-2023"/>
    <d v="2023-11-30T00:00:00"/>
    <n v="0"/>
    <n v="0"/>
  </r>
  <r>
    <s v="ORD-2024-202166"/>
    <d v="2024-05-05T00:00:00"/>
    <d v="2024-05-18T00:00:00"/>
    <x v="3"/>
    <s v="France"/>
    <s v="Marseille"/>
    <s v="Corporate"/>
    <s v="Marketplace"/>
    <x v="7"/>
    <s v="Components"/>
    <s v="CMP-3313"/>
    <n v="1264.04"/>
    <n v="1870.89"/>
    <n v="0"/>
    <n v="13"/>
    <s v="Valid"/>
    <n v="1870.89"/>
    <b v="0"/>
    <n v="0"/>
    <n v="13"/>
    <d v="2024-05-18T00:00:00"/>
    <n v="13"/>
    <n v="2432157"/>
    <n v="24321.57"/>
    <n v="2407835.4300000002"/>
    <n v="0.9900000000000001"/>
    <s v="May-2024"/>
    <s v="Q2-2024"/>
    <s v="Europe → France → Marseille"/>
    <s v="Support"/>
    <s v="Medium"/>
    <s v="FRANCE"/>
    <d v="2023-01-10T00:00:00"/>
    <s v="Jan-2023"/>
    <d v="2024-05-31T00:00:00"/>
    <n v="0"/>
    <n v="0"/>
  </r>
  <r>
    <s v="ORD-2023-539967"/>
    <d v="2023-07-09T00:00:00"/>
    <d v="2023-07-19T00:00:00"/>
    <x v="2"/>
    <s v="Japan"/>
    <s v="Tokyo"/>
    <s v="Enterprise"/>
    <s v="Distributor"/>
    <x v="12"/>
    <s v="Components"/>
    <s v="CMP-6649"/>
    <n v="141.26"/>
    <n v="206.88"/>
    <n v="0.107"/>
    <n v="9"/>
    <s v="Valid"/>
    <n v="206.88"/>
    <b v="0"/>
    <n v="0.107"/>
    <n v="10"/>
    <d v="2023-07-19T00:00:00"/>
    <n v="10"/>
    <n v="185992.77456000002"/>
    <n v="1861.92"/>
    <n v="184130.85456000001"/>
    <n v="0.98998928853873636"/>
    <s v="Jul-2023"/>
    <s v="Q3-2023"/>
    <s v="Asia → Japan → Tokyo"/>
    <s v="Support"/>
    <s v="Low"/>
    <s v="JAPAN"/>
    <d v="2023-03-03T00:00:00"/>
    <s v="Mar-2023"/>
    <d v="2023-07-31T00:00:00"/>
    <n v="0"/>
    <n v="0"/>
  </r>
  <r>
    <s v="ORD-2023-704111"/>
    <d v="2023-05-17T00:00:00"/>
    <d v="2023-06-15T00:00:00"/>
    <x v="0"/>
    <s v="South Africa"/>
    <s v="Durban"/>
    <s v="Enterprise"/>
    <s v="Retail"/>
    <x v="10"/>
    <s v="Accessories"/>
    <s v="ACC-5206"/>
    <n v="40.89"/>
    <n v="62.82"/>
    <n v="0.129"/>
    <n v="17"/>
    <s v="Valid"/>
    <n v="62.82"/>
    <b v="0"/>
    <n v="0.129"/>
    <n v="29"/>
    <d v="2023-06-15T00:00:00"/>
    <n v="29"/>
    <n v="106656.23574"/>
    <n v="1067.94"/>
    <n v="105588.29574"/>
    <n v="0.9899870833375054"/>
    <s v="May-2023"/>
    <s v="Q2-2023"/>
    <s v="Africa → South Africa → Durban"/>
    <s v="Support"/>
    <s v="Low"/>
    <s v="SOUTH AFRICA"/>
    <d v="2023-01-07T00:00:00"/>
    <s v="Jan-2023"/>
    <d v="2023-05-31T00:00:00"/>
    <n v="0"/>
    <n v="0"/>
  </r>
  <r>
    <s v="ORD-2024-356812"/>
    <d v="2024-03-07T00:00:00"/>
    <d v="2024-04-03T00:00:00"/>
    <x v="3"/>
    <s v="Germany"/>
    <s v="Frankfurt"/>
    <s v="Corporate"/>
    <s v="Direct"/>
    <x v="11"/>
    <s v="Printers"/>
    <s v="PRN-6911"/>
    <n v="738.16"/>
    <n v="956.49"/>
    <n v="0.152"/>
    <n v="5"/>
    <s v="Valid"/>
    <n v="956.49"/>
    <b v="0"/>
    <n v="0.152"/>
    <n v="27"/>
    <d v="2024-04-03T00:00:00"/>
    <n v="27"/>
    <n v="477518.06759999995"/>
    <n v="4782.45"/>
    <n v="472735.61759999994"/>
    <n v="0.98998477686082842"/>
    <s v="Mar-2024"/>
    <s v="Q1-2024"/>
    <s v="Europe → Germany → Frankfurt"/>
    <s v="Peripherals"/>
    <s v="Medium"/>
    <s v="GERMANY"/>
    <d v="2023-01-22T00:00:00"/>
    <s v="Jan-2023"/>
    <d v="2024-03-31T00:00:00"/>
    <n v="0"/>
    <n v="0"/>
  </r>
  <r>
    <s v="ORD-2025-306251"/>
    <d v="2025-04-10T00:00:00"/>
    <d v="2025-04-19T00:00:00"/>
    <x v="0"/>
    <s v="South Africa"/>
    <s v="Durban"/>
    <s v="Enterprise"/>
    <s v="Unknown Channel "/>
    <x v="3"/>
    <s v="Networking"/>
    <s v="NET-5270"/>
    <n v="113.74"/>
    <n v="165.7"/>
    <n v="0.124"/>
    <n v="13"/>
    <s v="Valid"/>
    <n v="165.7"/>
    <b v="0"/>
    <n v="0.124"/>
    <n v="9"/>
    <d v="2025-04-19T00:00:00"/>
    <n v="9"/>
    <n v="215142.8916"/>
    <n v="2154.1"/>
    <n v="212988.7916"/>
    <n v="0.9899875846049101"/>
    <s v="Apr-2025"/>
    <s v="Q2-2025"/>
    <s v="Africa → South Africa → Durban"/>
    <s v="Support"/>
    <s v="High"/>
    <s v="SOUTH AFRICA"/>
    <d v="2023-01-07T00:00:00"/>
    <s v="Jan-2023"/>
    <d v="2025-04-30T00:00:00"/>
    <n v="0"/>
    <n v="0"/>
  </r>
  <r>
    <s v="ORD-2025-496178"/>
    <d v="2025-07-27T00:00:00"/>
    <d v="2025-08-15T00:00:00"/>
    <x v="2"/>
    <s v="Japan"/>
    <s v="Tokyo"/>
    <s v="Small Business"/>
    <s v="Marketplace"/>
    <x v="1"/>
    <s v="Components"/>
    <s v="CMP-5658"/>
    <n v="275.43"/>
    <n v="608.36"/>
    <n v="0.25700000000000001"/>
    <n v="4"/>
    <s v="Valid"/>
    <n v="608.36"/>
    <b v="0"/>
    <n v="0.25700000000000001"/>
    <n v="19"/>
    <d v="2025-08-15T00:00:00"/>
    <n v="19"/>
    <n v="242718.60592"/>
    <n v="2433.44"/>
    <n v="240285.16592"/>
    <n v="0.98997423378081673"/>
    <s v="Jul-2025"/>
    <s v="Q3-2025"/>
    <s v="Asia → Japan → Tokyo"/>
    <s v="Support"/>
    <s v="High"/>
    <s v="JAPAN"/>
    <d v="2023-03-03T00:00:00"/>
    <s v="Mar-2023"/>
    <d v="2025-07-31T00:00:00"/>
    <n v="0"/>
    <n v="1"/>
  </r>
  <r>
    <s v="ORD-2024-508213"/>
    <d v="2024-11-22T00:00:00"/>
    <d v="2024-12-15T00:00:00"/>
    <x v="0"/>
    <s v="Kenya"/>
    <s v="Mombasa"/>
    <s v="Non-Profit"/>
    <s v="Distributor"/>
    <x v="0"/>
    <s v="Components"/>
    <s v="CMP-3938"/>
    <n v="1335.76"/>
    <n v="2665.91"/>
    <n v="0.21099999999999999"/>
    <n v="40"/>
    <s v="Valid"/>
    <n v="2665.91"/>
    <b v="0"/>
    <n v="0.21099999999999999"/>
    <n v="23"/>
    <d v="2024-12-15T00:00:00"/>
    <n v="23"/>
    <n v="10641139.719599999"/>
    <n v="106636.4"/>
    <n v="10534503.319599999"/>
    <n v="0.98997885538486208"/>
    <s v="Nov-2024"/>
    <s v="Q4-2024"/>
    <s v="Africa → Kenya → Mombasa"/>
    <s v="Support"/>
    <s v="High"/>
    <s v="KENYA"/>
    <d v="2023-01-20T00:00:00"/>
    <s v="Jan-2023"/>
    <d v="2024-11-30T00:00:00"/>
    <n v="0"/>
    <n v="1"/>
  </r>
  <r>
    <s v="ORD-2024-787018"/>
    <d v="2024-06-23T00:00:00"/>
    <d v="2024-06-28T00:00:00"/>
    <x v="0"/>
    <s v="Nigeria"/>
    <s v="Port Harcourt"/>
    <s v="Non-Profit"/>
    <s v="Direct"/>
    <x v="11"/>
    <s v="Accessories"/>
    <s v="ACC-7671"/>
    <n v="242.31"/>
    <n v="587.95000000000005"/>
    <n v="0.22900000000000001"/>
    <n v="6"/>
    <s v="Valid"/>
    <n v="587.95000000000005"/>
    <b v="0"/>
    <n v="0.22900000000000001"/>
    <n v="5"/>
    <d v="2024-06-28T00:00:00"/>
    <n v="5"/>
    <n v="351962.15670000005"/>
    <n v="3527.7000000000003"/>
    <n v="348434.45670000004"/>
    <n v="0.98997704743863446"/>
    <s v="Jun-2024"/>
    <s v="Q2-2024"/>
    <s v="Africa → Nigeria → Port Harcourt"/>
    <s v="Support"/>
    <s v="Medium"/>
    <s v="NIGERIA"/>
    <d v="2023-01-15T00:00:00"/>
    <s v="Jan-2023"/>
    <d v="2024-06-30T00:00:00"/>
    <n v="1"/>
    <n v="1"/>
  </r>
  <r>
    <s v="ORD-2023-728177"/>
    <d v="2023-12-18T00:00:00"/>
    <d v="2024-01-14T00:00:00"/>
    <x v="2"/>
    <s v="India"/>
    <s v="Mumbai"/>
    <s v="Consumer"/>
    <s v="Distributor"/>
    <x v="13"/>
    <s v="Networking"/>
    <s v="NET-6014"/>
    <n v="1408.3"/>
    <n v="2193.13"/>
    <n v="7.0999999999999994E-2"/>
    <n v="7"/>
    <s v="Valid"/>
    <n v="2193.13"/>
    <b v="0"/>
    <n v="7.0999999999999994E-2"/>
    <n v="27"/>
    <d v="2024-01-14T00:00:00"/>
    <n v="27"/>
    <n v="1534101.0143899999"/>
    <n v="15351.91"/>
    <n v="1518749.10439"/>
    <n v="0.98999289495541842"/>
    <s v="Dec-2023"/>
    <s v="Q4-2023"/>
    <s v="Asia → India → Mumbai"/>
    <s v="Support"/>
    <s v="Medium"/>
    <s v="INDIA"/>
    <d v="2023-01-29T00:00:00"/>
    <s v="Jan-2023"/>
    <d v="2023-12-31T00:00:00"/>
    <n v="0"/>
    <n v="0"/>
  </r>
  <r>
    <s v="ORD-2025-795385"/>
    <d v="2025-06-01T00:00:00"/>
    <d v="2025-06-05T00:00:00"/>
    <x v="3"/>
    <s v="Germany"/>
    <s v="Munich"/>
    <s v="Enterprise"/>
    <s v="Direct"/>
    <x v="11"/>
    <s v="Components"/>
    <s v="CMP-4159"/>
    <n v="1171.42"/>
    <n v="2187.8000000000002"/>
    <n v="0.23"/>
    <n v="15"/>
    <s v="Valid"/>
    <n v="2187.8000000000002"/>
    <b v="0"/>
    <n v="0.23"/>
    <n v="4"/>
    <d v="2025-06-05T00:00:00"/>
    <n v="4"/>
    <n v="3274152.09"/>
    <n v="32817"/>
    <n v="3241335.09"/>
    <n v="0.9899769469780495"/>
    <s v="Jun-2025"/>
    <s v="Q2-2025"/>
    <s v="Europe → Germany → Munich"/>
    <s v="Support"/>
    <s v="High"/>
    <s v="GERMANY"/>
    <d v="2023-01-22T00:00:00"/>
    <s v="Jan-2023"/>
    <d v="2025-06-30T00:00:00"/>
    <n v="1"/>
    <n v="1"/>
  </r>
  <r>
    <s v="ORD-2025-947929"/>
    <d v="2025-03-23T00:00:00"/>
    <d v="2025-04-02T00:00:00"/>
    <x v="3"/>
    <s v="Germany"/>
    <s v="Berlin"/>
    <s v="Enterprise"/>
    <s v="Online"/>
    <x v="5"/>
    <s v="Printers"/>
    <s v="PRN-3159"/>
    <n v="663.61"/>
    <n v="1002.11"/>
    <n v="4.5999999999999999E-2"/>
    <n v="17"/>
    <s v="Valid"/>
    <n v="1002.11"/>
    <b v="0"/>
    <n v="4.5999999999999999E-2"/>
    <n v="10"/>
    <d v="2025-04-02T00:00:00"/>
    <n v="10"/>
    <n v="1702803.3499799997"/>
    <n v="17035.87"/>
    <n v="1685767.4799799996"/>
    <n v="0.98999539788302615"/>
    <s v="Mar-2025"/>
    <s v="Q1-2025"/>
    <s v="Europe → Germany → Berlin"/>
    <s v="Peripherals"/>
    <s v="High"/>
    <s v="GERMANY"/>
    <d v="2023-01-22T00:00:00"/>
    <s v="Jan-2023"/>
    <d v="2025-03-31T00:00:00"/>
    <n v="0"/>
    <n v="0"/>
  </r>
  <r>
    <s v="ORD-2023-931633"/>
    <d v="2023-05-14T00:00:00"/>
    <d v="2023-05-22T00:00:00"/>
    <x v="0"/>
    <s v="Kenya"/>
    <s v="Mombasa"/>
    <s v="Small Business"/>
    <s v="Distributor"/>
    <x v="8"/>
    <s v="Printers"/>
    <s v="PRN-9488"/>
    <n v="432.01"/>
    <n v="913.78"/>
    <n v="4.9000000000000002E-2"/>
    <n v="12"/>
    <s v="Valid"/>
    <n v="913.78"/>
    <b v="0"/>
    <n v="4.9000000000000002E-2"/>
    <n v="8"/>
    <d v="2023-05-22T00:00:00"/>
    <n v="8"/>
    <n v="1095998.6973599999"/>
    <n v="10965.36"/>
    <n v="1085033.3373599998"/>
    <n v="0.98999509759782289"/>
    <s v="May-2023"/>
    <s v="Q2-2023"/>
    <s v="Africa → Kenya → Mombasa"/>
    <s v="Peripherals"/>
    <s v="Low"/>
    <s v="KENYA"/>
    <d v="2023-01-20T00:00:00"/>
    <s v="Jan-2023"/>
    <d v="2023-05-31T00:00:00"/>
    <n v="0"/>
    <n v="0"/>
  </r>
  <r>
    <s v="ORD-2023-243704"/>
    <d v="2023-08-29T00:00:00"/>
    <d v="2023-09-19T00:00:00"/>
    <x v="3"/>
    <s v="France"/>
    <s v="Lyon"/>
    <s v="Small Business"/>
    <s v="Direct"/>
    <x v="4"/>
    <s v="Printers"/>
    <s v="PRN-7079"/>
    <n v="784.46"/>
    <n v="1843.51"/>
    <n v="0.13800000000000001"/>
    <n v="23"/>
    <s v="Valid"/>
    <n v="1843.51"/>
    <b v="0"/>
    <n v="0.13800000000000001"/>
    <n v="21"/>
    <d v="2023-09-19T00:00:00"/>
    <n v="21"/>
    <n v="4234221.6992600001"/>
    <n v="42400.73"/>
    <n v="4191820.9692600002"/>
    <n v="0.98998618092968294"/>
    <s v="Aug-2023"/>
    <s v="Q3-2023"/>
    <s v="Europe → France → Lyon"/>
    <s v="Peripherals"/>
    <s v="Low"/>
    <s v="FRANCE"/>
    <d v="2023-01-10T00:00:00"/>
    <s v="Jan-2023"/>
    <d v="2023-08-31T00:00:00"/>
    <n v="0"/>
    <n v="0"/>
  </r>
  <r>
    <s v="ORD-2025-779659"/>
    <d v="2025-07-03T00:00:00"/>
    <d v="2025-07-23T00:00:00"/>
    <x v="2"/>
    <s v="China"/>
    <s v="Beijing"/>
    <s v="Small Business"/>
    <s v="Online"/>
    <x v="11"/>
    <s v="Components"/>
    <s v="CMP-1220"/>
    <n v="647.36"/>
    <n v="1383.6"/>
    <n v="7.3999999999999996E-2"/>
    <n v="12"/>
    <s v="Valid"/>
    <n v="1383.6"/>
    <b v="0"/>
    <n v="7.3999999999999996E-2"/>
    <n v="20"/>
    <d v="2025-07-23T00:00:00"/>
    <n v="20"/>
    <n v="1659091.3631999998"/>
    <n v="16603.199999999997"/>
    <n v="1642488.1631999998"/>
    <n v="0.98999259451994481"/>
    <s v="Jul-2025"/>
    <s v="Q3-2025"/>
    <s v="Asia → China → Beijing"/>
    <s v="Support"/>
    <s v="High"/>
    <s v="CHINA"/>
    <d v="2023-01-12T00:00:00"/>
    <s v="Jan-2023"/>
    <d v="2025-07-31T00:00:00"/>
    <n v="0"/>
    <n v="0"/>
  </r>
  <r>
    <s v="ORD-2024-647571"/>
    <d v="2024-02-06T00:00:00"/>
    <d v="2024-02-28T00:00:00"/>
    <x v="0"/>
    <s v="Kenya"/>
    <s v="Kisumu"/>
    <s v="Non-Profit"/>
    <s v="Online"/>
    <x v="10"/>
    <s v="Monitors"/>
    <s v="MON-2462"/>
    <n v="834.93"/>
    <n v="1588.53"/>
    <n v="0.126"/>
    <n v="6"/>
    <s v="Valid"/>
    <n v="1588.53"/>
    <b v="0"/>
    <n v="0.126"/>
    <n v="22"/>
    <d v="2024-02-28T00:00:00"/>
    <n v="22"/>
    <n v="951917.07131999999"/>
    <n v="9531.18"/>
    <n v="942385.89131999994"/>
    <n v="0.98998738410397091"/>
    <s v="Feb-2024"/>
    <s v="Q1-2024"/>
    <s v="Africa → Kenya → Kisumu"/>
    <s v="Peripherals"/>
    <s v="Medium"/>
    <s v="KENYA"/>
    <d v="2023-01-20T00:00:00"/>
    <s v="Jan-2023"/>
    <d v="2024-02-29T00:00:00"/>
    <n v="0"/>
    <n v="0"/>
  </r>
  <r>
    <s v="ORD-2025-683043"/>
    <d v="2025-08-13T00:00:00"/>
    <d v="2025-09-03T00:00:00"/>
    <x v="3"/>
    <s v="France"/>
    <s v="Paris"/>
    <s v="Education"/>
    <s v="Retail"/>
    <x v="2"/>
    <s v="Phones"/>
    <s v="PHN-9465"/>
    <n v="603.47"/>
    <n v="1344.05"/>
    <n v="0.20499999999999999"/>
    <n v="18"/>
    <s v="Valid"/>
    <n v="1344.05"/>
    <b v="0"/>
    <n v="0.20499999999999999"/>
    <n v="21"/>
    <d v="2025-09-03T00:00:00"/>
    <n v="21"/>
    <n v="2414330.4554999997"/>
    <n v="24192.899999999998"/>
    <n v="2390137.5554999998"/>
    <n v="0.98997945788867181"/>
    <s v="Aug-2025"/>
    <s v="Q3-2025"/>
    <s v="Europe → France → Paris"/>
    <s v="Devices"/>
    <s v="High"/>
    <s v="FRANCE"/>
    <d v="2023-01-10T00:00:00"/>
    <s v="Jan-2023"/>
    <d v="2025-08-31T00:00:00"/>
    <n v="0"/>
    <n v="1"/>
  </r>
  <r>
    <s v="ORD-2023-588455"/>
    <d v="2023-05-23T00:00:00"/>
    <d v="2023-05-25T00:00:00"/>
    <x v="1"/>
    <s v="Brazil"/>
    <s v="Rio de Janeiro"/>
    <s v="Enterprise"/>
    <s v="Retail"/>
    <x v="11"/>
    <s v="Printers"/>
    <s v="PRN-1271"/>
    <n v="690.49"/>
    <n v="1290.29"/>
    <n v="4.2000000000000003E-2"/>
    <n v="22"/>
    <s v="Valid"/>
    <n v="1290.29"/>
    <b v="0"/>
    <n v="4.2000000000000003E-2"/>
    <n v="2"/>
    <d v="2023-05-25T00:00:00"/>
    <n v="2"/>
    <n v="2837445.7720399997"/>
    <n v="28386.379999999997"/>
    <n v="2809059.3920399998"/>
    <n v="0.98999579823525885"/>
    <s v="May-2023"/>
    <s v="Q2-2023"/>
    <s v="Americas → Brazil → Rio de Janeiro"/>
    <s v="Peripherals"/>
    <s v="Low"/>
    <s v="BRAZIL"/>
    <d v="2023-01-29T00:00:00"/>
    <s v="Jan-2023"/>
    <d v="2023-05-31T00:00:00"/>
    <n v="1"/>
    <n v="0"/>
  </r>
  <r>
    <s v="ORD-2024-641220"/>
    <d v="2024-05-10T00:00:00"/>
    <d v="2024-05-16T00:00:00"/>
    <x v="3"/>
    <s v="United Kingdom"/>
    <s v="Birmingham"/>
    <s v="Non-Profit"/>
    <s v="Direct"/>
    <x v="3"/>
    <s v="Laptops"/>
    <s v="LAP-1066"/>
    <n v="210.76"/>
    <n v="221.58"/>
    <n v="8.8999999999999996E-2"/>
    <n v="5"/>
    <s v="Valid"/>
    <n v="221.58"/>
    <b v="0"/>
    <n v="8.8999999999999996E-2"/>
    <n v="6"/>
    <d v="2024-05-16T00:00:00"/>
    <n v="6"/>
    <n v="110691.39690000001"/>
    <n v="1107.9000000000001"/>
    <n v="109583.49690000001"/>
    <n v="0.98999109207194413"/>
    <s v="May-2024"/>
    <s v="Q2-2024"/>
    <s v="Europe → United Kingdom → Birmingham"/>
    <s v="Devices"/>
    <s v="Medium"/>
    <s v="UNITED KINGDOM"/>
    <d v="2023-01-19T00:00:00"/>
    <s v="Jan-2023"/>
    <d v="2024-05-31T00:00:00"/>
    <n v="1"/>
    <n v="0"/>
  </r>
  <r>
    <s v="ORD-2023-799597"/>
    <d v="2023-03-14T00:00:00"/>
    <d v="2023-03-18T00:00:00"/>
    <x v="3"/>
    <s v="Germany"/>
    <s v="Frankfurt"/>
    <s v="Enterprise"/>
    <s v="Direct"/>
    <x v="7"/>
    <s v="Components"/>
    <s v="CMP-8675"/>
    <n v="472.33"/>
    <n v="360.34"/>
    <n v="0.16500000000000001"/>
    <n v="14"/>
    <s v="Valid"/>
    <n v="360.34"/>
    <b v="0"/>
    <n v="0.16500000000000001"/>
    <n v="4"/>
    <d v="2023-03-18T00:00:00"/>
    <n v="4"/>
    <n v="503643.61459999991"/>
    <n v="5044.7599999999993"/>
    <n v="498598.8545999999"/>
    <n v="0.98998347273000453"/>
    <s v="Mar-2023"/>
    <s v="Q1-2023"/>
    <s v="Europe → Germany → Frankfurt"/>
    <s v="Support"/>
    <s v="Low"/>
    <s v="GERMANY"/>
    <d v="2023-01-22T00:00:00"/>
    <s v="Jan-2023"/>
    <d v="2023-03-31T00:00:00"/>
    <n v="1"/>
    <n v="0"/>
  </r>
  <r>
    <s v="ORD-2023-569862"/>
    <d v="2023-07-16T00:00:00"/>
    <d v="2023-08-13T00:00:00"/>
    <x v="3"/>
    <s v="United Kingdom"/>
    <s v="Manchester"/>
    <s v="Non-Profit"/>
    <s v="Online"/>
    <x v="1"/>
    <s v="Laptops"/>
    <s v="LAP-1178"/>
    <n v="1039.03"/>
    <n v="2545.81"/>
    <n v="0.216"/>
    <n v="21"/>
    <s v="Valid"/>
    <n v="2545.81"/>
    <b v="0"/>
    <n v="0.216"/>
    <n v="28"/>
    <d v="2023-08-13T00:00:00"/>
    <n v="28"/>
    <n v="5334653.2058400009"/>
    <n v="53462.01"/>
    <n v="5281191.1958400011"/>
    <n v="0.98997835324300498"/>
    <s v="Jul-2023"/>
    <s v="Q3-2023"/>
    <s v="Europe → United Kingdom → Manchester"/>
    <s v="Devices"/>
    <s v="Low"/>
    <s v="UNITED KINGDOM"/>
    <d v="2023-01-19T00:00:00"/>
    <s v="Jan-2023"/>
    <d v="2023-07-31T00:00:00"/>
    <n v="0"/>
    <n v="1"/>
  </r>
  <r>
    <s v="ORD-2023-609394"/>
    <d v="2023-04-16T00:00:00"/>
    <d v="2023-04-19T00:00:00"/>
    <x v="3"/>
    <s v="Germany"/>
    <s v="Munich"/>
    <s v="Corporate"/>
    <s v="Direct"/>
    <x v="4"/>
    <s v="Accessories"/>
    <s v="ACC-1731"/>
    <n v="553.61"/>
    <n v="699.47"/>
    <n v="0.02"/>
    <n v="33"/>
    <s v="Valid"/>
    <n v="699.47"/>
    <b v="0"/>
    <n v="0.02"/>
    <n v="3"/>
    <d v="2023-04-19T00:00:00"/>
    <n v="3"/>
    <n v="2307789.3498000004"/>
    <n v="23082.510000000002"/>
    <n v="2284706.8398000007"/>
    <n v="0.98999799959992008"/>
    <s v="Apr-2023"/>
    <s v="Q2-2023"/>
    <s v="Europe → Germany → Munich"/>
    <s v="Support"/>
    <s v="Low"/>
    <s v="GERMANY"/>
    <d v="2023-01-22T00:00:00"/>
    <s v="Jan-2023"/>
    <d v="2023-04-30T00:00:00"/>
    <n v="1"/>
    <n v="0"/>
  </r>
  <r>
    <s v="ORD-2024-105586"/>
    <d v="2024-01-02T00:00:00"/>
    <d v="2024-01-15T00:00:00"/>
    <x v="2"/>
    <s v="Japan"/>
    <s v="Nagoya"/>
    <s v="Small Business"/>
    <s v="Marketplace"/>
    <x v="3"/>
    <s v="Networking"/>
    <s v="NET-1893"/>
    <n v="1219.06"/>
    <n v="2738.69"/>
    <n v="7.5999999999999998E-2"/>
    <n v="16"/>
    <s v="Valid"/>
    <n v="2738.69"/>
    <b v="0"/>
    <n v="7.5999999999999998E-2"/>
    <n v="13"/>
    <d v="2024-01-15T00:00:00"/>
    <n v="13"/>
    <n v="4378573.7529600002"/>
    <n v="43819.040000000001"/>
    <n v="4334754.7129600001"/>
    <n v="0.98999239421960694"/>
    <s v="Jan-2024"/>
    <s v="Q1-2024"/>
    <s v="Asia → Japan → Nagoya"/>
    <s v="Support"/>
    <s v="Medium"/>
    <s v="JAPAN"/>
    <d v="2023-03-03T00:00:00"/>
    <s v="Mar-2023"/>
    <d v="2024-01-31T00:00:00"/>
    <n v="0"/>
    <n v="0"/>
  </r>
  <r>
    <s v="ORD-2024-207792"/>
    <d v="2024-09-03T00:00:00"/>
    <d v="2024-09-07T00:00:00"/>
    <x v="2"/>
    <s v="Japan"/>
    <s v="Tokyo"/>
    <s v="Small Business"/>
    <s v="Distributor"/>
    <x v="12"/>
    <s v="Printers"/>
    <s v="PRN-3917"/>
    <n v="43.23"/>
    <n v="94.78"/>
    <n v="9.0999999999999998E-2"/>
    <n v="55"/>
    <s v="Valid"/>
    <n v="94.78"/>
    <b v="0"/>
    <n v="9.0999999999999998E-2"/>
    <n v="4"/>
    <d v="2024-09-07T00:00:00"/>
    <n v="4"/>
    <n v="520815.62609999999"/>
    <n v="5212.8999999999996"/>
    <n v="515602.72609999997"/>
    <n v="0.98999089171145738"/>
    <s v="Sep-2024"/>
    <s v="Q3-2024"/>
    <s v="Asia → Japan → Tokyo"/>
    <s v="Peripherals"/>
    <s v="Medium"/>
    <s v="JAPAN"/>
    <d v="2023-03-03T00:00:00"/>
    <s v="Mar-2023"/>
    <d v="2024-09-30T00:00:00"/>
    <n v="1"/>
    <n v="0"/>
  </r>
  <r>
    <s v="ORD-2025-417336"/>
    <d v="2025-08-30T00:00:00"/>
    <d v="2025-09-03T00:00:00"/>
    <x v="3"/>
    <s v="France"/>
    <s v="Marseille"/>
    <s v="Small Business"/>
    <s v="Marketplace"/>
    <x v="1"/>
    <s v="Laptops"/>
    <s v="LAP-3220"/>
    <n v="1286.56"/>
    <n v="2777.35"/>
    <n v="0.13200000000000001"/>
    <n v="15"/>
    <s v="Valid"/>
    <n v="2777.35"/>
    <b v="0"/>
    <n v="0.13200000000000001"/>
    <n v="4"/>
    <d v="2025-09-03T00:00:00"/>
    <n v="4"/>
    <n v="4160525.8469999996"/>
    <n v="41660.25"/>
    <n v="4118865.5969999996"/>
    <n v="0.9899867825529699"/>
    <s v="Aug-2025"/>
    <s v="Q3-2025"/>
    <s v="Europe → France → Marseille"/>
    <s v="Devices"/>
    <s v="High"/>
    <s v="FRANCE"/>
    <d v="2023-01-10T00:00:00"/>
    <s v="Jan-2023"/>
    <d v="2025-08-31T00:00:00"/>
    <n v="1"/>
    <n v="0"/>
  </r>
  <r>
    <s v="ORD-2025-252117"/>
    <d v="2025-04-28T00:00:00"/>
    <d v="2025-05-19T00:00:00"/>
    <x v="3"/>
    <s v="Germany"/>
    <s v="Berlin"/>
    <s v="Corporate"/>
    <s v="Distributor"/>
    <x v="4"/>
    <s v="Phones"/>
    <s v="PHN-2462"/>
    <n v="350.76"/>
    <n v="492.18"/>
    <n v="5.2999999999999999E-2"/>
    <n v="11"/>
    <s v="Valid"/>
    <n v="492.18"/>
    <b v="0"/>
    <n v="5.2999999999999999E-2"/>
    <n v="21"/>
    <d v="2025-05-19T00:00:00"/>
    <n v="21"/>
    <n v="541111.05906000012"/>
    <n v="5413.9800000000005"/>
    <n v="535697.07906000013"/>
    <n v="0.9899946971895105"/>
    <s v="Apr-2025"/>
    <s v="Q2-2025"/>
    <s v="Europe → Germany → Berlin"/>
    <s v="Devices"/>
    <s v="High"/>
    <s v="GERMANY"/>
    <d v="2023-01-22T00:00:00"/>
    <s v="Jan-2023"/>
    <d v="2025-04-30T00:00:00"/>
    <n v="0"/>
    <n v="0"/>
  </r>
  <r>
    <s v="ORD-2023-867175"/>
    <d v="2023-08-10T00:00:00"/>
    <d v="2023-08-15T00:00:00"/>
    <x v="1"/>
    <s v="Brazil"/>
    <s v="São Paulo"/>
    <s v="Education"/>
    <s v="Direct"/>
    <x v="3"/>
    <s v="Networking"/>
    <s v="NET-2894"/>
    <n v="1307.52"/>
    <n v="1921.65"/>
    <n v="0.123"/>
    <n v="13"/>
    <s v="Valid"/>
    <n v="1921.65"/>
    <b v="0"/>
    <n v="0.123"/>
    <n v="5"/>
    <d v="2023-08-15T00:00:00"/>
    <n v="5"/>
    <n v="2495072.2816499998"/>
    <n v="24981.45"/>
    <n v="2470090.8316499996"/>
    <n v="0.98998768485236832"/>
    <s v="Aug-2023"/>
    <s v="Q3-2023"/>
    <s v="Americas → Brazil → São Paulo"/>
    <s v="Support"/>
    <s v="Low"/>
    <s v="BRAZIL"/>
    <d v="2023-01-29T00:00:00"/>
    <s v="Jan-2023"/>
    <d v="2023-08-31T00:00:00"/>
    <n v="1"/>
    <n v="0"/>
  </r>
  <r>
    <s v="ORD-2024-382152"/>
    <d v="2024-12-08T00:00:00"/>
    <d v="2024-12-08T00:00:00"/>
    <x v="3"/>
    <s v="France"/>
    <s v="Lyon"/>
    <s v="Enterprise"/>
    <s v="Retail"/>
    <x v="9"/>
    <s v="Components"/>
    <s v="CMP-2335"/>
    <n v="257.44"/>
    <n v="290.33"/>
    <n v="9.1999999999999998E-2"/>
    <n v="23"/>
    <s v="Valid"/>
    <n v="290.33"/>
    <b v="0"/>
    <n v="9.1999999999999998E-2"/>
    <n v="0"/>
    <d v="2024-12-08T00:00:00"/>
    <n v="0"/>
    <n v="667144.66171999997"/>
    <n v="6677.5899999999992"/>
    <n v="660467.07172000001"/>
    <n v="0.98999079152820602"/>
    <s v="Dec-2024"/>
    <s v="Q4-2024"/>
    <s v="Europe → France → Lyon"/>
    <s v="Support"/>
    <s v="High"/>
    <s v="FRANCE"/>
    <d v="2023-01-10T00:00:00"/>
    <s v="Jan-2023"/>
    <d v="2024-12-31T00:00:00"/>
    <n v="1"/>
    <n v="0"/>
  </r>
  <r>
    <s v="ORD-2023-597666"/>
    <d v="2023-10-25T00:00:00"/>
    <d v="2023-11-24T00:00:00"/>
    <x v="3"/>
    <s v="France"/>
    <s v="Paris"/>
    <s v="Enterprise"/>
    <s v="Distributor"/>
    <x v="0"/>
    <s v="Phones"/>
    <s v="PHN-5938"/>
    <n v="287.85000000000002"/>
    <n v="602.91999999999996"/>
    <n v="0.222"/>
    <n v="11"/>
    <s v="Valid"/>
    <n v="602.91999999999996"/>
    <b v="0"/>
    <n v="0.222"/>
    <n v="30"/>
    <d v="2023-11-24T00:00:00"/>
    <n v="30"/>
    <n v="661739.66936000006"/>
    <n v="6632.12"/>
    <n v="655107.54936000006"/>
    <n v="0.98997775060634607"/>
    <s v="Oct-2023"/>
    <s v="Q4-2023"/>
    <s v="Europe → France → Paris"/>
    <s v="Devices"/>
    <s v="Low"/>
    <s v="FRANCE"/>
    <d v="2023-01-10T00:00:00"/>
    <s v="Jan-2023"/>
    <d v="2023-10-31T00:00:00"/>
    <n v="0"/>
    <n v="1"/>
  </r>
  <r>
    <s v="ORD-2024-371409"/>
    <d v="2024-11-17T00:00:00"/>
    <d v="2024-11-28T00:00:00"/>
    <x v="1"/>
    <s v="Canada"/>
    <s v="Unknown City "/>
    <s v="Consumer"/>
    <s v="Distributor"/>
    <x v="7"/>
    <s v="Printers"/>
    <s v="PRN-1371"/>
    <n v="1008.16"/>
    <n v="2077.5"/>
    <n v="7.3999999999999996E-2"/>
    <n v="15"/>
    <s v="Valid"/>
    <n v="2077.5"/>
    <b v="0"/>
    <n v="7.3999999999999996E-2"/>
    <n v="11"/>
    <d v="2024-11-28T00:00:00"/>
    <n v="11"/>
    <n v="3113943.9750000001"/>
    <n v="31162.5"/>
    <n v="3082781.4750000001"/>
    <n v="0.98999259451994481"/>
    <s v="Nov-2024"/>
    <s v="Q4-2024"/>
    <s v="Americas → Canada → Unknown City "/>
    <s v="Peripherals"/>
    <s v="High"/>
    <s v="CANADA"/>
    <d v="2023-01-02T00:00:00"/>
    <s v="Jan-2023"/>
    <d v="2024-11-30T00:00:00"/>
    <n v="0"/>
    <n v="0"/>
  </r>
  <r>
    <s v="ORD-2024-973420"/>
    <d v="2024-05-12T00:00:00"/>
    <d v="2024-05-24T00:00:00"/>
    <x v="3"/>
    <s v="United Kingdom"/>
    <s v="Manchester"/>
    <s v="Education"/>
    <s v="Marketplace"/>
    <x v="10"/>
    <s v="Printers"/>
    <s v="PRN-5813"/>
    <n v="111.02"/>
    <n v="172.88"/>
    <n v="0.19700000000000001"/>
    <n v="29"/>
    <s v="Valid"/>
    <n v="172.88"/>
    <b v="0"/>
    <n v="0.19700000000000001"/>
    <n v="12"/>
    <d v="2024-05-24T00:00:00"/>
    <n v="12"/>
    <n v="500364.33655999997"/>
    <n v="5013.5199999999995"/>
    <n v="495350.81655999995"/>
    <n v="0.9899802611143953"/>
    <s v="May-2024"/>
    <s v="Q2-2024"/>
    <s v="Europe → United Kingdom → Manchester"/>
    <s v="Peripherals"/>
    <s v="Medium"/>
    <s v="UNITED KINGDOM"/>
    <d v="2023-01-19T00:00:00"/>
    <s v="Jan-2023"/>
    <d v="2024-05-31T00:00:00"/>
    <n v="0"/>
    <n v="0"/>
  </r>
  <r>
    <s v="ORD-2025-254721"/>
    <d v="2025-05-15T00:00:00"/>
    <d v="2025-06-05T00:00:00"/>
    <x v="2"/>
    <s v="Japan"/>
    <s v="Osaka"/>
    <s v="Enterprise"/>
    <s v="Direct"/>
    <x v="9"/>
    <s v="Phones"/>
    <s v="PHN-6480"/>
    <n v="1466.5"/>
    <n v="2778.74"/>
    <n v="0.13500000000000001"/>
    <n v="4"/>
    <s v="Valid"/>
    <n v="2778.74"/>
    <b v="0"/>
    <n v="0.13500000000000001"/>
    <n v="21"/>
    <d v="2025-06-05T00:00:00"/>
    <n v="21"/>
    <n v="1109995.4803999998"/>
    <n v="11114.96"/>
    <n v="1098880.5203999998"/>
    <n v="0.98998648175036297"/>
    <s v="May-2025"/>
    <s v="Q2-2025"/>
    <s v="Asia → Japan → Osaka"/>
    <s v="Devices"/>
    <s v="High"/>
    <s v="JAPAN"/>
    <d v="2023-03-03T00:00:00"/>
    <s v="Mar-2023"/>
    <d v="2025-05-31T00:00:00"/>
    <n v="0"/>
    <n v="0"/>
  </r>
  <r>
    <s v="ORD-2024-247032"/>
    <d v="2024-04-21T00:00:00"/>
    <d v="2024-05-19T00:00:00"/>
    <x v="0"/>
    <s v="Nigeria"/>
    <s v="Lagos"/>
    <s v="Corporate"/>
    <s v="Distributor"/>
    <x v="7"/>
    <s v="Accessories"/>
    <s v="ACC-2990"/>
    <n v="187.22"/>
    <n v="309.47000000000003"/>
    <n v="0"/>
    <n v="5"/>
    <s v="Valid"/>
    <n v="309.47000000000003"/>
    <b v="0"/>
    <n v="0"/>
    <n v="28"/>
    <d v="2024-05-19T00:00:00"/>
    <n v="28"/>
    <n v="154735"/>
    <n v="1547.3500000000001"/>
    <n v="153187.65"/>
    <n v="0.99"/>
    <s v="Apr-2024"/>
    <s v="Q2-2024"/>
    <s v="Africa → Nigeria → Lagos"/>
    <s v="Support"/>
    <s v="Medium"/>
    <s v="NIGERIA"/>
    <d v="2023-01-15T00:00:00"/>
    <s v="Jan-2023"/>
    <d v="2024-04-30T00:00:00"/>
    <n v="0"/>
    <n v="0"/>
  </r>
  <r>
    <s v="ORD-2024-792353"/>
    <d v="2024-08-19T00:00:00"/>
    <d v="2024-09-07T00:00:00"/>
    <x v="3"/>
    <s v="France"/>
    <s v="Lyon"/>
    <s v="Corporate"/>
    <s v="Direct"/>
    <x v="1"/>
    <s v="Components"/>
    <s v="CMP-5435"/>
    <n v="297.58999999999997"/>
    <n v="666.41"/>
    <n v="0"/>
    <n v="10"/>
    <s v="Valid"/>
    <n v="666.41"/>
    <b v="0"/>
    <n v="0"/>
    <n v="19"/>
    <d v="2024-09-07T00:00:00"/>
    <n v="19"/>
    <n v="666410"/>
    <n v="6664.0999999999995"/>
    <n v="659745.9"/>
    <n v="0.99"/>
    <s v="Aug-2024"/>
    <s v="Q3-2024"/>
    <s v="Europe → France → Lyon"/>
    <s v="Support"/>
    <s v="Medium"/>
    <s v="FRANCE"/>
    <d v="2023-01-10T00:00:00"/>
    <s v="Jan-2023"/>
    <d v="2024-08-31T00:00:00"/>
    <n v="0"/>
    <n v="0"/>
  </r>
  <r>
    <s v="ORD-2025-703623"/>
    <d v="2025-07-23T00:00:00"/>
    <d v="2025-08-19T00:00:00"/>
    <x v="2"/>
    <s v="Japan"/>
    <s v="Nagoya"/>
    <s v="Consumer"/>
    <s v="Marketplace"/>
    <x v="4"/>
    <s v="Accessories"/>
    <s v="ACC-1596"/>
    <n v="896.09"/>
    <n v="744.27"/>
    <n v="8.3000000000000004E-2"/>
    <n v="11"/>
    <s v="Valid"/>
    <n v="744.27"/>
    <b v="0"/>
    <n v="8.3000000000000004E-2"/>
    <n v="27"/>
    <d v="2025-08-19T00:00:00"/>
    <n v="27"/>
    <n v="818017.48148999992"/>
    <n v="8186.9699999999993"/>
    <n v="809830.51148999995"/>
    <n v="0.98999169310527746"/>
    <s v="Jul-2025"/>
    <s v="Q3-2025"/>
    <s v="Asia → Japan → Nagoya"/>
    <s v="Support"/>
    <s v="High"/>
    <s v="JAPAN"/>
    <d v="2023-03-03T00:00:00"/>
    <s v="Mar-2023"/>
    <d v="2025-07-31T00:00:00"/>
    <n v="0"/>
    <n v="0"/>
  </r>
  <r>
    <s v="ORD-2024-516704"/>
    <d v="2024-03-01T00:00:00"/>
    <d v="2024-02-29T00:00:00"/>
    <x v="1"/>
    <s v="Brazil"/>
    <s v="São Paulo"/>
    <s v="Non-Profit"/>
    <s v="Direct"/>
    <x v="2"/>
    <s v="Phones"/>
    <s v="PHN-7852"/>
    <n v="5.34"/>
    <n v="12.69"/>
    <n v="0.13200000000000001"/>
    <n v="10"/>
    <s v="Valid"/>
    <n v="12.69"/>
    <b v="0"/>
    <n v="0.13200000000000001"/>
    <n v="-1"/>
    <d v="2024-03-08T00:00:00"/>
    <n v="7"/>
    <n v="12673.249199999998"/>
    <n v="126.89999999999999"/>
    <n v="12546.349199999999"/>
    <n v="0.9899867825529699"/>
    <s v="Mar-2024"/>
    <s v="Q1-2024"/>
    <s v="Americas → Brazil → São Paulo"/>
    <s v="Devices"/>
    <s v="Medium"/>
    <s v="BRAZIL"/>
    <d v="2023-01-29T00:00:00"/>
    <s v="Jan-2023"/>
    <d v="2024-03-31T00:00:00"/>
    <n v="1"/>
    <n v="0"/>
  </r>
  <r>
    <s v="ORD-2024-578646"/>
    <d v="2024-05-27T00:00:00"/>
    <d v="2024-06-17T00:00:00"/>
    <x v="2"/>
    <s v="India"/>
    <s v="Delhi"/>
    <s v="Small Business"/>
    <s v="Online"/>
    <x v="9"/>
    <s v="Accessories"/>
    <s v="ACC-7240"/>
    <n v="465.02"/>
    <n v="651.55999999999995"/>
    <n v="4.2000000000000003E-2"/>
    <n v="19"/>
    <s v="Valid"/>
    <n v="651.55999999999995"/>
    <b v="0"/>
    <n v="4.2000000000000003E-2"/>
    <n v="21"/>
    <d v="2024-06-17T00:00:00"/>
    <n v="21"/>
    <n v="1237444.0551199999"/>
    <n v="12379.64"/>
    <n v="1225064.41512"/>
    <n v="0.98999579823525885"/>
    <s v="May-2024"/>
    <s v="Q2-2024"/>
    <s v="Asia → India → Delhi"/>
    <s v="Support"/>
    <s v="Medium"/>
    <s v="INDIA"/>
    <d v="2023-01-29T00:00:00"/>
    <s v="Jan-2023"/>
    <d v="2024-05-31T00:00:00"/>
    <n v="0"/>
    <n v="0"/>
  </r>
  <r>
    <s v="ORD-2024-433936"/>
    <d v="2024-08-04T00:00:00"/>
    <d v="2024-08-17T00:00:00"/>
    <x v="1"/>
    <s v="USA"/>
    <s v="Austin"/>
    <s v="Consumer"/>
    <s v="Retail"/>
    <x v="13"/>
    <s v="Monitors"/>
    <s v="MON-8867"/>
    <n v="352.79"/>
    <n v="754.22"/>
    <n v="0.113"/>
    <n v="7"/>
    <s v="Valid"/>
    <n v="754.22"/>
    <b v="0"/>
    <n v="0.113"/>
    <n v="13"/>
    <d v="2024-08-17T00:00:00"/>
    <n v="13"/>
    <n v="527357.41197999998"/>
    <n v="5279.54"/>
    <n v="522077.87198"/>
    <n v="0.98998868721655475"/>
    <s v="Aug-2024"/>
    <s v="Q3-2024"/>
    <s v="Americas → USA → Austin"/>
    <s v="Peripherals"/>
    <s v="Medium"/>
    <s v="USA"/>
    <d v="2023-01-13T00:00:00"/>
    <s v="Jan-2023"/>
    <d v="2024-08-31T00:00:00"/>
    <n v="0"/>
    <n v="0"/>
  </r>
  <r>
    <s v="ORD-2023-434071"/>
    <d v="2023-06-20T00:00:00"/>
    <d v="2023-07-04T00:00:00"/>
    <x v="1"/>
    <s v="Brazil"/>
    <s v="Brasília"/>
    <s v="Non-Profit"/>
    <s v="Direct"/>
    <x v="0"/>
    <s v="Networking"/>
    <s v="NET-1228"/>
    <n v="1292.8599999999999"/>
    <n v="2981.01"/>
    <n v="0.14199999999999999"/>
    <n v="12"/>
    <s v="Valid"/>
    <n v="2981.01"/>
    <b v="0"/>
    <n v="0.14199999999999999"/>
    <n v="14"/>
    <d v="2023-07-04T00:00:00"/>
    <n v="14"/>
    <n v="3572132.3589600003"/>
    <n v="35772.120000000003"/>
    <n v="3536360.2389600002"/>
    <n v="0.98998577980732638"/>
    <s v="Jun-2023"/>
    <s v="Q2-2023"/>
    <s v="Americas → Brazil → Brasília"/>
    <s v="Support"/>
    <s v="Low"/>
    <s v="BRAZIL"/>
    <d v="2023-01-29T00:00:00"/>
    <s v="Jan-2023"/>
    <d v="2023-06-30T00:00:00"/>
    <n v="0"/>
    <n v="0"/>
  </r>
  <r>
    <s v="ORD-2024-728474"/>
    <d v="2024-09-09T00:00:00"/>
    <d v="2024-09-13T00:00:00"/>
    <x v="3"/>
    <s v="United Kingdom"/>
    <s v="London"/>
    <s v="Consumer"/>
    <s v="Marketplace"/>
    <x v="8"/>
    <s v="Networking"/>
    <s v="NET-1145"/>
    <n v="1133.08"/>
    <n v="976.17"/>
    <n v="4.2000000000000003E-2"/>
    <n v="27"/>
    <s v="Valid"/>
    <n v="976.17"/>
    <b v="0"/>
    <n v="4.2000000000000003E-2"/>
    <n v="4"/>
    <d v="2024-09-13T00:00:00"/>
    <n v="4"/>
    <n v="2634552.0232199999"/>
    <n v="26356.59"/>
    <n v="2608195.43322"/>
    <n v="0.98999579823525885"/>
    <s v="Sep-2024"/>
    <s v="Q3-2024"/>
    <s v="Europe → United Kingdom → London"/>
    <s v="Support"/>
    <s v="Medium"/>
    <s v="UNITED KINGDOM"/>
    <d v="2023-01-19T00:00:00"/>
    <s v="Jan-2023"/>
    <d v="2024-09-30T00:00:00"/>
    <n v="1"/>
    <n v="0"/>
  </r>
  <r>
    <s v="ORD-2023-406606"/>
    <d v="2023-10-25T00:00:00"/>
    <d v="2023-10-28T00:00:00"/>
    <x v="1"/>
    <s v="Brazil"/>
    <s v="Brasília"/>
    <s v="Corporate"/>
    <s v="Distributor"/>
    <x v="14"/>
    <s v="Accessories"/>
    <s v="ACC-2867"/>
    <n v="509.31"/>
    <n v="1145.9000000000001"/>
    <n v="5.7000000000000002E-2"/>
    <n v="8"/>
    <s v="Valid"/>
    <n v="1145.9000000000001"/>
    <b v="0"/>
    <n v="5.7000000000000002E-2"/>
    <n v="3"/>
    <d v="2023-10-28T00:00:00"/>
    <n v="3"/>
    <n v="916197.46960000007"/>
    <n v="9167.2000000000007"/>
    <n v="907030.26960000012"/>
    <n v="0.98999429674914707"/>
    <s v="Oct-2023"/>
    <s v="Q4-2023"/>
    <s v="Americas → Brazil → Brasília"/>
    <s v="Support"/>
    <s v="Low"/>
    <s v="BRAZIL"/>
    <d v="2023-01-29T00:00:00"/>
    <s v="Jan-2023"/>
    <d v="2023-10-31T00:00:00"/>
    <n v="1"/>
    <n v="0"/>
  </r>
  <r>
    <s v="ORD-2025-823055"/>
    <d v="2025-09-08T00:00:00"/>
    <d v="2025-10-05T00:00:00"/>
    <x v="1"/>
    <s v="Brazil"/>
    <s v="Rio de Janeiro"/>
    <s v="Education"/>
    <s v="Online"/>
    <x v="0"/>
    <s v="Monitors"/>
    <s v="MON-9274"/>
    <n v="660.78"/>
    <n v="1630.39"/>
    <n v="0.218"/>
    <n v="13"/>
    <s v="Valid"/>
    <n v="1630.39"/>
    <b v="0"/>
    <n v="0.218"/>
    <n v="27"/>
    <d v="2025-10-05T00:00:00"/>
    <n v="27"/>
    <n v="2114886.47474"/>
    <n v="21195.07"/>
    <n v="2093691.4047399999"/>
    <n v="0.98997815237217135"/>
    <s v="Sep-2025"/>
    <s v="Q3-2025"/>
    <s v="Americas → Brazil → Rio de Janeiro"/>
    <s v="Peripherals"/>
    <s v="High"/>
    <s v="BRAZIL"/>
    <d v="2023-01-29T00:00:00"/>
    <s v="Jan-2023"/>
    <d v="2025-09-30T00:00:00"/>
    <n v="0"/>
    <n v="1"/>
  </r>
  <r>
    <s v="ORD-2023-573656"/>
    <d v="2023-05-02T00:00:00"/>
    <d v="2023-05-16T00:00:00"/>
    <x v="2"/>
    <s v="India"/>
    <s v="Bengaluru"/>
    <s v="Non-Profit"/>
    <s v="Retail"/>
    <x v="14"/>
    <s v="Monitors"/>
    <s v="MON-4830"/>
    <n v="475.37"/>
    <n v="963.73"/>
    <n v="4.1000000000000002E-2"/>
    <n v="22"/>
    <s v="Valid"/>
    <n v="963.73"/>
    <b v="0"/>
    <n v="4.1000000000000002E-2"/>
    <n v="14"/>
    <d v="2023-05-16T00:00:00"/>
    <n v="14"/>
    <n v="2119336.7155400002"/>
    <n v="21202.06"/>
    <n v="2098134.6555400002"/>
    <n v="0.98999589831831047"/>
    <s v="May-2023"/>
    <s v="Q2-2023"/>
    <s v="Asia → India → Bengaluru"/>
    <s v="Peripherals"/>
    <s v="Low"/>
    <s v="INDIA"/>
    <d v="2023-01-29T00:00:00"/>
    <s v="Jan-2023"/>
    <d v="2023-05-31T00:00:00"/>
    <n v="0"/>
    <n v="0"/>
  </r>
  <r>
    <s v="ORD-2024-567435"/>
    <d v="2024-04-26T00:00:00"/>
    <d v="2024-04-24T00:00:00"/>
    <x v="3"/>
    <s v="United Kingdom"/>
    <s v="London"/>
    <s v="Non-Profit"/>
    <s v="Distributor"/>
    <x v="12"/>
    <s v="Phones"/>
    <s v="PHN-9107"/>
    <n v="1232.77"/>
    <n v="891.73"/>
    <n v="0.16700000000000001"/>
    <n v="10"/>
    <s v="Valid"/>
    <n v="891.73"/>
    <b v="0"/>
    <n v="0.16700000000000001"/>
    <n v="-2"/>
    <d v="2024-05-03T00:00:00"/>
    <n v="7"/>
    <n v="890240.81089999992"/>
    <n v="8917.2999999999993"/>
    <n v="881323.51089999988"/>
    <n v="0.98998327206434744"/>
    <s v="Apr-2024"/>
    <s v="Q2-2024"/>
    <s v="Europe → United Kingdom → London"/>
    <s v="Devices"/>
    <s v="Medium"/>
    <s v="UNITED KINGDOM"/>
    <d v="2023-01-19T00:00:00"/>
    <s v="Jan-2023"/>
    <d v="2024-04-30T00:00:00"/>
    <n v="1"/>
    <n v="0"/>
  </r>
  <r>
    <s v="ORD-2023-744942"/>
    <d v="2023-02-23T00:00:00"/>
    <d v="2023-03-18T00:00:00"/>
    <x v="2"/>
    <s v="China"/>
    <s v="Beijing"/>
    <s v="Education"/>
    <s v="Distributor"/>
    <x v="10"/>
    <s v="Printers"/>
    <s v="PRN-1060"/>
    <n v="770.11"/>
    <n v="1667.82"/>
    <n v="6.9000000000000006E-2"/>
    <n v="7"/>
    <s v="Valid"/>
    <n v="1667.82"/>
    <b v="0"/>
    <n v="6.9000000000000006E-2"/>
    <n v="23"/>
    <d v="2023-03-18T00:00:00"/>
    <n v="23"/>
    <n v="1166668.44294"/>
    <n v="11674.74"/>
    <n v="1154993.70294"/>
    <n v="0.98999309523571266"/>
    <s v="Feb-2023"/>
    <s v="Q1-2023"/>
    <s v="Asia → China → Beijing"/>
    <s v="Peripherals"/>
    <s v="Low"/>
    <s v="CHINA"/>
    <d v="2023-01-12T00:00:00"/>
    <s v="Jan-2023"/>
    <d v="2023-02-28T00:00:00"/>
    <n v="0"/>
    <n v="0"/>
  </r>
  <r>
    <s v="ORD-2025-331237"/>
    <d v="2025-03-24T00:00:00"/>
    <d v="2025-03-25T00:00:00"/>
    <x v="2"/>
    <s v="China"/>
    <s v="Beijing"/>
    <s v="Non-Profit"/>
    <s v="Online"/>
    <x v="3"/>
    <s v="Networking"/>
    <s v="NET-8329"/>
    <n v="1133.03"/>
    <n v="1921.51"/>
    <n v="0.10100000000000001"/>
    <n v="5"/>
    <s v="Valid"/>
    <n v="1921.51"/>
    <b v="0"/>
    <n v="0.10100000000000001"/>
    <n v="1"/>
    <d v="2025-03-25T00:00:00"/>
    <n v="1"/>
    <n v="959784.63744999992"/>
    <n v="9607.5499999999993"/>
    <n v="950177.08744999988"/>
    <n v="0.98998988978868652"/>
    <s v="Mar-2025"/>
    <s v="Q1-2025"/>
    <s v="Asia → China → Beijing"/>
    <s v="Support"/>
    <s v="High"/>
    <s v="CHINA"/>
    <d v="2023-01-12T00:00:00"/>
    <s v="Jan-2023"/>
    <d v="2025-03-31T00:00:00"/>
    <n v="1"/>
    <n v="0"/>
  </r>
  <r>
    <s v="ORD-2025-680118"/>
    <d v="2025-03-10T00:00:00"/>
    <d v="2025-03-27T00:00:00"/>
    <x v="1"/>
    <s v="Brazil"/>
    <s v="Rio de Janeiro"/>
    <s v="Enterprise"/>
    <s v="Direct"/>
    <x v="8"/>
    <s v="Networking"/>
    <s v="NET-6269"/>
    <n v="996.73"/>
    <n v="1217.43"/>
    <n v="7.0000000000000007E-2"/>
    <n v="9"/>
    <s v="Valid"/>
    <n v="1217.43"/>
    <b v="0"/>
    <n v="7.0000000000000007E-2"/>
    <n v="17"/>
    <d v="2025-03-27T00:00:00"/>
    <n v="17"/>
    <n v="1094920.0191000002"/>
    <n v="10956.87"/>
    <n v="1083963.1491"/>
    <n v="0.98999299509656746"/>
    <s v="Mar-2025"/>
    <s v="Q1-2025"/>
    <s v="Americas → Brazil → Rio de Janeiro"/>
    <s v="Support"/>
    <s v="High"/>
    <s v="BRAZIL"/>
    <d v="2023-01-29T00:00:00"/>
    <s v="Jan-2023"/>
    <d v="2025-03-31T00:00:00"/>
    <n v="0"/>
    <n v="0"/>
  </r>
  <r>
    <s v="ORD-2024-310809"/>
    <d v="2024-04-05T00:00:00"/>
    <d v="2024-04-09T00:00:00"/>
    <x v="0"/>
    <s v="Nigeria"/>
    <s v="Lagos"/>
    <s v="Non-Profit"/>
    <s v="Direct"/>
    <x v="10"/>
    <s v="Components"/>
    <s v="CMP-6529"/>
    <n v="395.07"/>
    <n v="970.27"/>
    <n v="0.123"/>
    <n v="38"/>
    <s v="Valid"/>
    <n v="970.27"/>
    <b v="0"/>
    <n v="0.123"/>
    <n v="4"/>
    <d v="2024-04-09T00:00:00"/>
    <n v="4"/>
    <n v="3682490.9580200003"/>
    <n v="36870.26"/>
    <n v="3645620.6980200005"/>
    <n v="0.98998768485236843"/>
    <s v="Apr-2024"/>
    <s v="Q2-2024"/>
    <s v="Africa → Nigeria → Lagos"/>
    <s v="Support"/>
    <s v="Medium"/>
    <s v="NIGERIA"/>
    <d v="2023-01-15T00:00:00"/>
    <s v="Jan-2023"/>
    <d v="2024-04-30T00:00:00"/>
    <n v="1"/>
    <n v="0"/>
  </r>
  <r>
    <s v="ORD-2025-474368"/>
    <d v="2025-04-27T00:00:00"/>
    <d v="2025-05-17T00:00:00"/>
    <x v="1"/>
    <s v="USA"/>
    <s v="Austin"/>
    <s v="Corporate"/>
    <s v="Direct"/>
    <x v="12"/>
    <s v="Phones"/>
    <s v="PHN-8776"/>
    <n v="932.26"/>
    <n v="1624.67"/>
    <n v="0.23499999999999999"/>
    <n v="28"/>
    <s v="Valid"/>
    <n v="1624.67"/>
    <b v="0"/>
    <n v="0.23499999999999999"/>
    <n v="20"/>
    <d v="2025-05-17T00:00:00"/>
    <n v="20"/>
    <n v="4538385.6714000003"/>
    <n v="45490.76"/>
    <n v="4492894.9114000006"/>
    <n v="0.98997644464491563"/>
    <s v="Apr-2025"/>
    <s v="Q2-2025"/>
    <s v="Americas → USA → Austin"/>
    <s v="Devices"/>
    <s v="High"/>
    <s v="USA"/>
    <d v="2023-01-13T00:00:00"/>
    <s v="Jan-2023"/>
    <d v="2025-04-30T00:00:00"/>
    <n v="0"/>
    <n v="1"/>
  </r>
  <r>
    <s v="ORD-2024-732543"/>
    <d v="2024-10-24T00:00:00"/>
    <d v="2024-10-28T00:00:00"/>
    <x v="2"/>
    <s v="China"/>
    <s v="Shanghai"/>
    <s v="Small Business"/>
    <s v="Distributor"/>
    <x v="2"/>
    <s v="Networking"/>
    <s v="NET-3728"/>
    <n v="1331.77"/>
    <n v="2606.11"/>
    <n v="0.02"/>
    <n v="6"/>
    <s v="Valid"/>
    <n v="2606.11"/>
    <b v="0"/>
    <n v="0.02"/>
    <n v="4"/>
    <d v="2024-10-28T00:00:00"/>
    <n v="4"/>
    <n v="1563353.2668000001"/>
    <n v="15636.66"/>
    <n v="1547716.6068000002"/>
    <n v="0.98999799959992008"/>
    <s v="Oct-2024"/>
    <s v="Q4-2024"/>
    <s v="Asia → China → Shanghai"/>
    <s v="Support"/>
    <s v="High"/>
    <s v="CHINA"/>
    <d v="2023-01-12T00:00:00"/>
    <s v="Jan-2023"/>
    <d v="2024-10-31T00:00:00"/>
    <n v="1"/>
    <n v="0"/>
  </r>
  <r>
    <s v="ORD-2023-867166"/>
    <d v="2023-04-13T00:00:00"/>
    <d v="2023-04-20T00:00:00"/>
    <x v="3"/>
    <s v="France"/>
    <s v="Lyon"/>
    <s v="Small Business"/>
    <s v="Online"/>
    <x v="7"/>
    <s v="Laptops"/>
    <s v="LAP-3565"/>
    <n v="227.02"/>
    <n v="434.72"/>
    <n v="9.8000000000000004E-2"/>
    <n v="10"/>
    <s v="Valid"/>
    <n v="434.72"/>
    <b v="0"/>
    <n v="9.8000000000000004E-2"/>
    <n v="7"/>
    <d v="2023-04-20T00:00:00"/>
    <n v="7"/>
    <n v="434293.97440000006"/>
    <n v="4347.2000000000007"/>
    <n v="429946.77440000005"/>
    <n v="0.98999019038657887"/>
    <s v="Apr-2023"/>
    <s v="Q2-2023"/>
    <s v="Europe → France → Lyon"/>
    <s v="Devices"/>
    <s v="Low"/>
    <s v="FRANCE"/>
    <d v="2023-01-10T00:00:00"/>
    <s v="Jan-2023"/>
    <d v="2023-04-30T00:00:00"/>
    <n v="1"/>
    <n v="0"/>
  </r>
  <r>
    <s v="ORD-2024-776337"/>
    <d v="2024-11-12T00:00:00"/>
    <d v="2024-11-21T00:00:00"/>
    <x v="2"/>
    <s v="India"/>
    <s v="Mumbai"/>
    <s v="Corporate"/>
    <s v="Direct"/>
    <x v="9"/>
    <s v="Laptops"/>
    <s v="LAP-5078"/>
    <n v="903.41"/>
    <n v="1860.41"/>
    <n v="0.108"/>
    <n v="5"/>
    <s v="Valid"/>
    <n v="1860.41"/>
    <b v="0"/>
    <n v="0.108"/>
    <n v="9"/>
    <d v="2024-11-21T00:00:00"/>
    <n v="9"/>
    <n v="929200.37860000005"/>
    <n v="9302.0500000000011"/>
    <n v="919898.32860000001"/>
    <n v="0.98998918832338922"/>
    <s v="Nov-2024"/>
    <s v="Q4-2024"/>
    <s v="Asia → India → Mumbai"/>
    <s v="Devices"/>
    <s v="High"/>
    <s v="INDIA"/>
    <d v="2023-01-29T00:00:00"/>
    <s v="Jan-2023"/>
    <d v="2024-11-30T00:00:00"/>
    <n v="0"/>
    <n v="0"/>
  </r>
  <r>
    <s v="ORD-2023-913592"/>
    <d v="2023-05-10T00:00:00"/>
    <d v="2023-05-14T00:00:00"/>
    <x v="2"/>
    <s v="India"/>
    <s v="Delhi"/>
    <s v="Non-Profit"/>
    <s v="Distributor"/>
    <x v="0"/>
    <s v="Monitors"/>
    <s v="MON-2465"/>
    <n v="622.6"/>
    <n v="833.69"/>
    <n v="0.20899999999999999"/>
    <n v="14"/>
    <s v="Valid"/>
    <n v="833.69"/>
    <b v="0"/>
    <n v="0.20899999999999999"/>
    <n v="4"/>
    <d v="2023-05-14T00:00:00"/>
    <n v="4"/>
    <n v="1164726.6230599999"/>
    <n v="11671.66"/>
    <n v="1153054.96306"/>
    <n v="0.98997905622751559"/>
    <s v="May-2023"/>
    <s v="Q2-2023"/>
    <s v="Asia → India → Delhi"/>
    <s v="Peripherals"/>
    <s v="Low"/>
    <s v="INDIA"/>
    <d v="2023-01-29T00:00:00"/>
    <s v="Jan-2023"/>
    <d v="2023-05-31T00:00:00"/>
    <n v="1"/>
    <n v="1"/>
  </r>
  <r>
    <s v="ORD-2024-961501"/>
    <d v="2024-03-02T00:00:00"/>
    <d v="2024-03-23T00:00:00"/>
    <x v="1"/>
    <s v="USA"/>
    <s v="Chicago"/>
    <s v="Small Business"/>
    <s v="Online"/>
    <x v="8"/>
    <s v="Components"/>
    <s v="CMP-3223"/>
    <n v="225.01"/>
    <n v="333.48"/>
    <n v="0.11899999999999999"/>
    <n v="12"/>
    <s v="Valid"/>
    <n v="333.48"/>
    <b v="0"/>
    <n v="0.11899999999999999"/>
    <n v="21"/>
    <d v="2024-03-23T00:00:00"/>
    <n v="21"/>
    <n v="399699.79055999999"/>
    <n v="4001.76"/>
    <n v="395698.03055999998"/>
    <n v="0.98998808582212827"/>
    <s v="Mar-2024"/>
    <s v="Q1-2024"/>
    <s v="Americas → USA → Chicago"/>
    <s v="Support"/>
    <s v="Medium"/>
    <s v="USA"/>
    <d v="2023-01-13T00:00:00"/>
    <s v="Jan-2023"/>
    <d v="2024-03-31T00:00:00"/>
    <n v="0"/>
    <n v="0"/>
  </r>
  <r>
    <s v="ORD-2024-964950"/>
    <d v="2024-10-10T00:00:00"/>
    <d v="2024-10-11T00:00:00"/>
    <x v="3"/>
    <s v="United Kingdom"/>
    <s v="Manchester"/>
    <s v="Non-Profit"/>
    <s v="Distributor"/>
    <x v="14"/>
    <s v="Components"/>
    <s v="CMP-8127"/>
    <n v="1389.46"/>
    <n v="1784.7"/>
    <n v="0.14599999999999999"/>
    <n v="33"/>
    <s v="Valid"/>
    <n v="1784.7"/>
    <b v="0"/>
    <n v="0.14599999999999999"/>
    <n v="1"/>
    <d v="2024-10-11T00:00:00"/>
    <n v="1"/>
    <n v="5880911.3153999997"/>
    <n v="58895.1"/>
    <n v="5822016.2154000001"/>
    <n v="0.9899853786528332"/>
    <s v="Oct-2024"/>
    <s v="Q4-2024"/>
    <s v="Europe → United Kingdom → Manchester"/>
    <s v="Support"/>
    <s v="Medium"/>
    <s v="UNITED KINGDOM"/>
    <d v="2023-01-19T00:00:00"/>
    <s v="Jan-2023"/>
    <d v="2024-10-31T00:00:00"/>
    <n v="1"/>
    <n v="0"/>
  </r>
  <r>
    <s v="ORD-2023-349264"/>
    <d v="2023-06-01T00:00:00"/>
    <d v="2023-06-08T00:00:00"/>
    <x v="3"/>
    <s v="Germany"/>
    <s v="Frankfurt"/>
    <s v="Consumer"/>
    <s v="Online"/>
    <x v="7"/>
    <s v="Phones"/>
    <s v="PHN-1924"/>
    <n v="804.17"/>
    <n v="1072.29"/>
    <n v="3.2000000000000001E-2"/>
    <n v="5"/>
    <s v="Valid"/>
    <n v="1072.29"/>
    <b v="0"/>
    <n v="3.2000000000000001E-2"/>
    <n v="7"/>
    <d v="2023-06-08T00:00:00"/>
    <n v="7"/>
    <n v="535973.43359999999"/>
    <n v="5361.45"/>
    <n v="530611.98360000004"/>
    <n v="0.98999679897567228"/>
    <s v="Jun-2023"/>
    <s v="Q2-2023"/>
    <s v="Europe → Germany → Frankfurt"/>
    <s v="Devices"/>
    <s v="Low"/>
    <s v="GERMANY"/>
    <d v="2023-01-22T00:00:00"/>
    <s v="Jan-2023"/>
    <d v="2023-06-30T00:00:00"/>
    <n v="1"/>
    <n v="0"/>
  </r>
  <r>
    <s v="ORD-2025-137394"/>
    <d v="2025-01-04T00:00:00"/>
    <d v="2025-01-05T00:00:00"/>
    <x v="2"/>
    <s v="India"/>
    <s v="Delhi"/>
    <s v="Education"/>
    <s v="Retail"/>
    <x v="2"/>
    <s v="Components"/>
    <s v="CMP-1156"/>
    <n v="1428.33"/>
    <n v="3028.05"/>
    <n v="0"/>
    <n v="11"/>
    <s v="Valid"/>
    <n v="3028.05"/>
    <b v="0"/>
    <n v="0"/>
    <n v="1"/>
    <d v="2025-01-05T00:00:00"/>
    <n v="1"/>
    <n v="3330855.0000000005"/>
    <n v="33308.550000000003"/>
    <n v="3297546.4500000007"/>
    <n v="0.9900000000000001"/>
    <s v="Jan-2025"/>
    <s v="Q1-2025"/>
    <s v="Asia → India → Delhi"/>
    <s v="Support"/>
    <s v="High"/>
    <s v="INDIA"/>
    <d v="2023-01-29T00:00:00"/>
    <s v="Jan-2023"/>
    <d v="2025-01-31T00:00:00"/>
    <n v="1"/>
    <n v="0"/>
  </r>
  <r>
    <s v="ORD-2025-635337"/>
    <d v="2025-08-05T00:00:00"/>
    <d v="2025-08-28T00:00:00"/>
    <x v="2"/>
    <s v="India"/>
    <s v="Mumbai"/>
    <s v="Non-Profit"/>
    <s v="Distributor"/>
    <x v="12"/>
    <s v="Laptops"/>
    <s v="LAP-3905"/>
    <n v="638.54"/>
    <n v="987.24"/>
    <n v="0"/>
    <n v="11"/>
    <s v="Valid"/>
    <n v="987.24"/>
    <b v="0"/>
    <n v="0"/>
    <n v="23"/>
    <d v="2025-08-28T00:00:00"/>
    <n v="23"/>
    <n v="1085964"/>
    <n v="10859.64"/>
    <n v="1075104.3600000001"/>
    <n v="0.9900000000000001"/>
    <s v="Aug-2025"/>
    <s v="Q3-2025"/>
    <s v="Asia → India → Mumbai"/>
    <s v="Devices"/>
    <s v="High"/>
    <s v="INDIA"/>
    <d v="2023-01-29T00:00:00"/>
    <s v="Jan-2023"/>
    <d v="2025-08-31T00:00:00"/>
    <n v="0"/>
    <n v="0"/>
  </r>
  <r>
    <s v="ORD-2023-568013"/>
    <d v="2023-09-30T00:00:00"/>
    <d v="2023-10-30T00:00:00"/>
    <x v="2"/>
    <s v="Japan"/>
    <s v="Tokyo"/>
    <s v="Enterprise"/>
    <s v="Online"/>
    <x v="13"/>
    <s v="Printers"/>
    <s v="PRN-1786"/>
    <n v="649.13"/>
    <n v="975.43"/>
    <n v="0.157"/>
    <n v="27"/>
    <s v="Valid"/>
    <n v="975.43"/>
    <b v="0"/>
    <n v="0.157"/>
    <n v="30"/>
    <d v="2023-10-30T00:00:00"/>
    <n v="30"/>
    <n v="2629526.1522299997"/>
    <n v="26336.609999999997"/>
    <n v="2603189.5422299998"/>
    <n v="0.98998427531224031"/>
    <s v="Sep-2023"/>
    <s v="Q3-2023"/>
    <s v="Asia → Japan → Tokyo"/>
    <s v="Peripherals"/>
    <s v="Low"/>
    <s v="JAPAN"/>
    <d v="2023-03-03T00:00:00"/>
    <s v="Mar-2023"/>
    <d v="2023-09-30T00:00:00"/>
    <n v="0"/>
    <n v="0"/>
  </r>
  <r>
    <s v="ORD-2025-828263"/>
    <d v="2025-05-17T00:00:00"/>
    <d v="2025-05-30T00:00:00"/>
    <x v="0"/>
    <s v="Nigeria"/>
    <s v="Lagos"/>
    <s v="Consumer"/>
    <s v="Distributor"/>
    <x v="8"/>
    <s v="Accessories"/>
    <s v="ACC-3349"/>
    <n v="66.400000000000006"/>
    <n v="141.43"/>
    <n v="0.107"/>
    <n v="8"/>
    <s v="Valid"/>
    <n v="141.43"/>
    <b v="0"/>
    <n v="0.107"/>
    <n v="13"/>
    <d v="2025-05-30T00:00:00"/>
    <n v="13"/>
    <n v="113022.93592"/>
    <n v="1131.44"/>
    <n v="111891.49592"/>
    <n v="0.98998928853873647"/>
    <s v="May-2025"/>
    <s v="Q2-2025"/>
    <s v="Africa → Nigeria → Lagos"/>
    <s v="Support"/>
    <s v="High"/>
    <s v="NIGERIA"/>
    <d v="2023-01-15T00:00:00"/>
    <s v="Jan-2023"/>
    <d v="2025-05-31T00:00:00"/>
    <n v="0"/>
    <n v="0"/>
  </r>
  <r>
    <s v="ORD-2024-402240"/>
    <d v="2024-05-01T00:00:00"/>
    <d v="2024-05-26T00:00:00"/>
    <x v="3"/>
    <s v="Germany"/>
    <s v="Berlin"/>
    <s v="Non-Profit"/>
    <s v="Retail"/>
    <x v="4"/>
    <s v="Networking"/>
    <s v="NET-4228"/>
    <n v="930.71"/>
    <n v="1625.42"/>
    <n v="0.13800000000000001"/>
    <n v="7"/>
    <s v="Valid"/>
    <n v="1625.42"/>
    <b v="0"/>
    <n v="0.13800000000000001"/>
    <n v="25"/>
    <d v="2024-05-26T00:00:00"/>
    <n v="25"/>
    <n v="1136223.8442800001"/>
    <n v="11377.94"/>
    <n v="1124845.9042800001"/>
    <n v="0.98998618092968305"/>
    <s v="May-2024"/>
    <s v="Q2-2024"/>
    <s v="Europe → Germany → Berlin"/>
    <s v="Support"/>
    <s v="Medium"/>
    <s v="GERMANY"/>
    <d v="2023-01-22T00:00:00"/>
    <s v="Jan-2023"/>
    <d v="2024-05-31T00:00:00"/>
    <n v="0"/>
    <n v="0"/>
  </r>
  <r>
    <s v="ORD-2023-125739"/>
    <d v="2023-05-01T00:00:00"/>
    <d v="2023-05-18T00:00:00"/>
    <x v="0"/>
    <s v="Nigeria"/>
    <s v="Port Harcourt"/>
    <s v="Corporate"/>
    <s v="Direct"/>
    <x v="8"/>
    <s v="Components"/>
    <s v="CMP-5633"/>
    <n v="327.97"/>
    <n v="299.94"/>
    <n v="4.9000000000000002E-2"/>
    <n v="3"/>
    <s v="Valid"/>
    <n v="299.94"/>
    <b v="0"/>
    <n v="4.9000000000000002E-2"/>
    <n v="17"/>
    <d v="2023-05-18T00:00:00"/>
    <n v="17"/>
    <n v="89937.908819999982"/>
    <n v="899.81999999999994"/>
    <n v="89038.088819999975"/>
    <n v="0.98999509759782289"/>
    <s v="May-2023"/>
    <s v="Q2-2023"/>
    <s v="Africa → Nigeria → Port Harcourt"/>
    <s v="Support"/>
    <s v="Low"/>
    <s v="NIGERIA"/>
    <d v="2023-01-15T00:00:00"/>
    <s v="Jan-2023"/>
    <d v="2023-05-31T00:00:00"/>
    <n v="0"/>
    <n v="0"/>
  </r>
  <r>
    <s v="ORD-2024-892879"/>
    <d v="2024-07-09T00:00:00"/>
    <d v="2024-08-08T00:00:00"/>
    <x v="3"/>
    <s v="France"/>
    <s v="Marseille"/>
    <s v="Corporate"/>
    <s v="Direct"/>
    <x v="1"/>
    <s v="Components"/>
    <s v="CMP-5825"/>
    <n v="1062.3800000000001"/>
    <n v="1503.96"/>
    <n v="0.18"/>
    <n v="6"/>
    <s v="Valid"/>
    <n v="1503.96"/>
    <b v="0"/>
    <n v="0.18"/>
    <n v="30"/>
    <d v="2024-08-08T00:00:00"/>
    <n v="30"/>
    <n v="900751.72320000001"/>
    <n v="9023.76"/>
    <n v="891727.9632"/>
    <n v="0.98998196754157486"/>
    <s v="Jul-2024"/>
    <s v="Q3-2024"/>
    <s v="Europe → France → Marseille"/>
    <s v="Support"/>
    <s v="Medium"/>
    <s v="FRANCE"/>
    <d v="2023-01-10T00:00:00"/>
    <s v="Jan-2023"/>
    <d v="2024-07-31T00:00:00"/>
    <n v="0"/>
    <n v="0"/>
  </r>
  <r>
    <s v="ORD-2023-472050"/>
    <d v="2023-05-10T00:00:00"/>
    <d v="2023-05-27T00:00:00"/>
    <x v="2"/>
    <s v="India"/>
    <s v="Mumbai"/>
    <s v="Consumer"/>
    <s v="Retail"/>
    <x v="11"/>
    <s v="Laptops"/>
    <s v="LAP-6499"/>
    <n v="1286.1600000000001"/>
    <n v="3101.11"/>
    <n v="0.1"/>
    <n v="23"/>
    <s v="Valid"/>
    <n v="3101.11"/>
    <b v="0"/>
    <n v="0.1"/>
    <n v="17"/>
    <d v="2023-05-27T00:00:00"/>
    <n v="17"/>
    <n v="7125420.4470000006"/>
    <n v="71325.53"/>
    <n v="7054094.9170000004"/>
    <n v="0.98998998998998999"/>
    <s v="May-2023"/>
    <s v="Q2-2023"/>
    <s v="Asia → India → Mumbai"/>
    <s v="Devices"/>
    <s v="Low"/>
    <s v="INDIA"/>
    <d v="2023-01-29T00:00:00"/>
    <s v="Jan-2023"/>
    <d v="2023-05-31T00:00:00"/>
    <n v="0"/>
    <n v="0"/>
  </r>
  <r>
    <s v="ORD-2024-468615"/>
    <d v="2024-07-09T00:00:00"/>
    <d v="2024-07-12T00:00:00"/>
    <x v="2"/>
    <s v="China"/>
    <s v="Shanghai"/>
    <s v="Small Business"/>
    <s v="Retail"/>
    <x v="13"/>
    <s v="Accessories"/>
    <s v="ACC-3721"/>
    <n v="748.39"/>
    <n v="979.42"/>
    <n v="0"/>
    <n v="23"/>
    <s v="Valid"/>
    <n v="979.42"/>
    <b v="0"/>
    <n v="0"/>
    <n v="3"/>
    <d v="2024-07-12T00:00:00"/>
    <n v="3"/>
    <n v="2252666"/>
    <n v="22526.66"/>
    <n v="2230139.34"/>
    <n v="0.98999999999999988"/>
    <s v="Jul-2024"/>
    <s v="Q3-2024"/>
    <s v="Asia → China → Shanghai"/>
    <s v="Support"/>
    <s v="Medium"/>
    <s v="CHINA"/>
    <d v="2023-01-12T00:00:00"/>
    <s v="Jan-2023"/>
    <d v="2024-07-31T00:00:00"/>
    <n v="1"/>
    <n v="0"/>
  </r>
  <r>
    <s v="ORD-2024-833375"/>
    <d v="2024-04-24T00:00:00"/>
    <d v="2024-05-10T00:00:00"/>
    <x v="0"/>
    <s v="Kenya"/>
    <s v="Kisumu"/>
    <s v="Non-Profit"/>
    <s v="Online"/>
    <x v="12"/>
    <s v="Monitors"/>
    <s v="MON-6190"/>
    <n v="513.30999999999995"/>
    <n v="1186.26"/>
    <n v="9.4E-2"/>
    <n v="15"/>
    <s v="Valid"/>
    <n v="1186.26"/>
    <b v="0"/>
    <n v="9.4E-2"/>
    <n v="16"/>
    <d v="2024-05-10T00:00:00"/>
    <n v="16"/>
    <n v="1777717.3734000002"/>
    <n v="17793.900000000001"/>
    <n v="1759923.4734000002"/>
    <n v="0.98999059115568644"/>
    <s v="Apr-2024"/>
    <s v="Q2-2024"/>
    <s v="Africa → Kenya → Kisumu"/>
    <s v="Peripherals"/>
    <s v="Medium"/>
    <s v="KENYA"/>
    <d v="2023-01-20T00:00:00"/>
    <s v="Jan-2023"/>
    <d v="2024-04-30T00:00:00"/>
    <n v="0"/>
    <n v="0"/>
  </r>
  <r>
    <s v="ORD-2024-206311"/>
    <d v="2024-01-13T00:00:00"/>
    <d v="2024-01-15T00:00:00"/>
    <x v="1"/>
    <s v="USA"/>
    <s v="San Francisco"/>
    <s v="Non-Profit"/>
    <s v="Direct"/>
    <x v="5"/>
    <s v="Components"/>
    <s v="CMP-2410"/>
    <n v="1061.3699999999999"/>
    <n v="1938.33"/>
    <n v="0.17"/>
    <n v="4"/>
    <s v="Valid"/>
    <n v="1938.33"/>
    <b v="0"/>
    <n v="0.17"/>
    <n v="2"/>
    <d v="2024-01-15T00:00:00"/>
    <n v="2"/>
    <n v="774013.93559999997"/>
    <n v="7753.32"/>
    <n v="766260.61560000002"/>
    <n v="0.98998297105078636"/>
    <s v="Jan-2024"/>
    <s v="Q1-2024"/>
    <s v="Americas → USA → San Francisco"/>
    <s v="Support"/>
    <s v="Medium"/>
    <s v="USA"/>
    <d v="2023-01-13T00:00:00"/>
    <s v="Jan-2023"/>
    <d v="2024-01-31T00:00:00"/>
    <n v="1"/>
    <n v="0"/>
  </r>
  <r>
    <s v="ORD-2024-364080"/>
    <d v="2024-04-16T00:00:00"/>
    <d v="2024-04-27T00:00:00"/>
    <x v="0"/>
    <s v="Kenya"/>
    <s v="Nakuru"/>
    <s v="Enterprise"/>
    <s v="Online"/>
    <x v="13"/>
    <s v="Printers"/>
    <s v="PRN-2641"/>
    <n v="401.3"/>
    <n v="826.47"/>
    <n v="0.22500000000000001"/>
    <n v="13"/>
    <s v="Valid"/>
    <n v="826.47"/>
    <b v="0"/>
    <n v="0.22500000000000001"/>
    <n v="11"/>
    <d v="2024-04-27T00:00:00"/>
    <n v="11"/>
    <n v="1071993.5752500002"/>
    <n v="10744.11"/>
    <n v="1061249.4652500001"/>
    <n v="0.98997744926083675"/>
    <s v="Apr-2024"/>
    <s v="Q2-2024"/>
    <s v="Africa → Kenya → Nakuru"/>
    <s v="Peripherals"/>
    <s v="Medium"/>
    <s v="KENYA"/>
    <d v="2023-01-20T00:00:00"/>
    <s v="Jan-2023"/>
    <d v="2024-04-30T00:00:00"/>
    <n v="0"/>
    <n v="1"/>
  </r>
  <r>
    <s v="ORD-2025-460466"/>
    <d v="2025-02-07T00:00:00"/>
    <d v="2025-02-16T00:00:00"/>
    <x v="0"/>
    <s v="Nigeria"/>
    <s v="Lagos"/>
    <s v="Small Business"/>
    <s v="Distributor"/>
    <x v="0"/>
    <s v="Printers"/>
    <s v="PRN-1882"/>
    <n v="90.68"/>
    <n v="118.17"/>
    <n v="0.13500000000000001"/>
    <n v="21"/>
    <s v="Valid"/>
    <n v="118.17"/>
    <b v="0"/>
    <n v="0.13500000000000001"/>
    <n v="9"/>
    <d v="2025-02-16T00:00:00"/>
    <n v="9"/>
    <n v="247821.98805000001"/>
    <n v="2481.5700000000002"/>
    <n v="245340.41805000001"/>
    <n v="0.98998648175036297"/>
    <s v="Feb-2025"/>
    <s v="Q1-2025"/>
    <s v="Africa → Nigeria → Lagos"/>
    <s v="Peripherals"/>
    <s v="High"/>
    <s v="NIGERIA"/>
    <d v="2023-01-15T00:00:00"/>
    <s v="Jan-2023"/>
    <d v="2025-02-28T00:00:00"/>
    <n v="0"/>
    <n v="0"/>
  </r>
  <r>
    <s v="ORD-2023-700699"/>
    <d v="2023-01-12T00:00:00"/>
    <d v="2023-01-26T00:00:00"/>
    <x v="2"/>
    <s v="China"/>
    <s v="Shenzhen"/>
    <s v="Non-Profit"/>
    <s v="Retail"/>
    <x v="11"/>
    <s v="Printers"/>
    <s v="PRN-1641"/>
    <n v="1083.0899999999999"/>
    <n v="1425.87"/>
    <n v="0"/>
    <n v="8"/>
    <s v="Valid"/>
    <n v="1425.87"/>
    <b v="0"/>
    <n v="0"/>
    <n v="14"/>
    <d v="2023-01-26T00:00:00"/>
    <n v="14"/>
    <n v="1140696"/>
    <n v="11406.96"/>
    <n v="1129289.04"/>
    <n v="0.99"/>
    <s v="Jan-2023"/>
    <s v="Q1-2023"/>
    <s v="Asia → China → Shenzhen"/>
    <s v="Peripherals"/>
    <s v="Low"/>
    <s v="CHINA"/>
    <d v="2023-01-12T00:00:00"/>
    <s v="Jan-2023"/>
    <d v="2023-01-31T00:00:00"/>
    <n v="0"/>
    <n v="0"/>
  </r>
  <r>
    <s v="ORD-2024-713332"/>
    <d v="2024-06-05T00:00:00"/>
    <d v="2024-06-23T00:00:00"/>
    <x v="0"/>
    <s v="Kenya"/>
    <s v="Nairobi"/>
    <s v="Consumer"/>
    <s v="Distributor"/>
    <x v="13"/>
    <s v="Laptops"/>
    <s v="LAP-1739"/>
    <n v="1208.74"/>
    <n v="1594.78"/>
    <n v="5.8999999999999997E-2"/>
    <n v="39"/>
    <s v="Valid"/>
    <n v="1594.78"/>
    <b v="0"/>
    <n v="5.8999999999999997E-2"/>
    <n v="18"/>
    <d v="2024-06-23T00:00:00"/>
    <n v="18"/>
    <n v="6215972.4112200001"/>
    <n v="62196.42"/>
    <n v="6153775.9912200002"/>
    <n v="0.98999409651694503"/>
    <s v="Jun-2024"/>
    <s v="Q2-2024"/>
    <s v="Africa → Kenya → Nairobi"/>
    <s v="Devices"/>
    <s v="Medium"/>
    <s v="KENYA"/>
    <d v="2023-01-20T00:00:00"/>
    <s v="Jan-2023"/>
    <d v="2024-06-30T00:00:00"/>
    <n v="0"/>
    <n v="0"/>
  </r>
  <r>
    <s v="ORD-2023-640022"/>
    <d v="2023-08-24T00:00:00"/>
    <d v="2023-09-20T00:00:00"/>
    <x v="0"/>
    <s v="South Africa"/>
    <s v="Durban"/>
    <s v="Small Business"/>
    <s v="Marketplace"/>
    <x v="11"/>
    <s v="Printers"/>
    <s v="PRN-4732"/>
    <n v="1399.64"/>
    <n v="3342.11"/>
    <n v="0"/>
    <n v="10"/>
    <s v="Valid"/>
    <n v="3342.11"/>
    <b v="0"/>
    <n v="0"/>
    <n v="27"/>
    <d v="2023-09-20T00:00:00"/>
    <n v="27"/>
    <n v="3342110"/>
    <n v="33421.1"/>
    <n v="3308688.9"/>
    <n v="0.99"/>
    <s v="Aug-2023"/>
    <s v="Q3-2023"/>
    <s v="Africa → South Africa → Durban"/>
    <s v="Peripherals"/>
    <s v="Low"/>
    <s v="SOUTH AFRICA"/>
    <d v="2023-01-07T00:00:00"/>
    <s v="Jan-2023"/>
    <d v="2023-08-31T00:00:00"/>
    <n v="0"/>
    <n v="0"/>
  </r>
  <r>
    <s v="ORD-2024-532184"/>
    <d v="2024-01-25T00:00:00"/>
    <d v="2024-02-08T00:00:00"/>
    <x v="2"/>
    <s v="Japan"/>
    <s v="Osaka"/>
    <s v="Consumer"/>
    <s v="Marketplace"/>
    <x v="2"/>
    <s v="Networking"/>
    <s v="NET-9569"/>
    <n v="937.16"/>
    <n v="1069.77"/>
    <n v="3.7999999999999999E-2"/>
    <n v="9"/>
    <s v="Valid"/>
    <n v="1069.77"/>
    <b v="0"/>
    <n v="3.7999999999999999E-2"/>
    <n v="14"/>
    <d v="2024-02-08T00:00:00"/>
    <n v="14"/>
    <n v="962427.13866000006"/>
    <n v="9627.93"/>
    <n v="952799.20866"/>
    <n v="0.98999619855545107"/>
    <s v="Jan-2024"/>
    <s v="Q1-2024"/>
    <s v="Asia → Japan → Osaka"/>
    <s v="Support"/>
    <s v="Medium"/>
    <s v="JAPAN"/>
    <d v="2023-03-03T00:00:00"/>
    <s v="Mar-2023"/>
    <d v="2024-01-31T00:00:00"/>
    <n v="0"/>
    <n v="0"/>
  </r>
  <r>
    <s v="ORD-2025-926547"/>
    <d v="2025-03-11T00:00:00"/>
    <d v="2025-03-26T00:00:00"/>
    <x v="3"/>
    <s v="Germany"/>
    <s v="Berlin"/>
    <s v="Small Business"/>
    <s v="Online"/>
    <x v="2"/>
    <s v="Phones"/>
    <s v="PHN-3007"/>
    <n v="116.97"/>
    <n v="140.82"/>
    <n v="0.122"/>
    <n v="5"/>
    <s v="Valid"/>
    <n v="140.82"/>
    <b v="0"/>
    <n v="0.122"/>
    <n v="15"/>
    <d v="2025-03-26T00:00:00"/>
    <n v="15"/>
    <n v="70324.099799999996"/>
    <n v="704.09999999999991"/>
    <n v="69619.999799999991"/>
    <n v="0.98998778509781926"/>
    <s v="Mar-2025"/>
    <s v="Q1-2025"/>
    <s v="Europe → Germany → Berlin"/>
    <s v="Devices"/>
    <s v="High"/>
    <s v="GERMANY"/>
    <d v="2023-01-22T00:00:00"/>
    <s v="Jan-2023"/>
    <d v="2025-03-31T00:00:00"/>
    <n v="0"/>
    <n v="0"/>
  </r>
  <r>
    <s v="ORD-2025-778145"/>
    <d v="2025-04-22T00:00:00"/>
    <d v="2025-05-12T00:00:00"/>
    <x v="3"/>
    <s v="France"/>
    <s v="Lyon"/>
    <s v="Enterprise"/>
    <s v="Marketplace"/>
    <x v="10"/>
    <s v="Monitors"/>
    <s v="MON-9216"/>
    <n v="59.51"/>
    <n v="67.040000000000006"/>
    <n v="0.114"/>
    <n v="9"/>
    <s v="Valid"/>
    <n v="67.040000000000006"/>
    <b v="0"/>
    <n v="0.114"/>
    <n v="20"/>
    <d v="2025-05-12T00:00:00"/>
    <n v="20"/>
    <n v="60267.216959999998"/>
    <n v="603.36"/>
    <n v="59663.856959999997"/>
    <n v="0.9899885869891677"/>
    <s v="Apr-2025"/>
    <s v="Q2-2025"/>
    <s v="Europe → France → Lyon"/>
    <s v="Peripherals"/>
    <s v="High"/>
    <s v="FRANCE"/>
    <d v="2023-01-10T00:00:00"/>
    <s v="Jan-2023"/>
    <d v="2025-04-30T00:00:00"/>
    <n v="0"/>
    <n v="0"/>
  </r>
  <r>
    <s v="ORD-2023-525643"/>
    <d v="2023-08-17T00:00:00"/>
    <d v="2023-09-03T00:00:00"/>
    <x v="0"/>
    <s v="South Africa"/>
    <s v="Durban"/>
    <s v="Enterprise"/>
    <s v="Retail"/>
    <x v="7"/>
    <s v="Phones"/>
    <s v="PHN-8072"/>
    <n v="676.37"/>
    <n v="1276.67"/>
    <n v="6.6000000000000003E-2"/>
    <n v="10"/>
    <s v="Valid"/>
    <n v="1276.67"/>
    <b v="0"/>
    <n v="6.6000000000000003E-2"/>
    <n v="17"/>
    <d v="2023-09-03T00:00:00"/>
    <n v="17"/>
    <n v="1275827.3978000002"/>
    <n v="12766.7"/>
    <n v="1263060.6978000002"/>
    <n v="0.98999339564112321"/>
    <s v="Aug-2023"/>
    <s v="Q3-2023"/>
    <s v="Africa → South Africa → Durban"/>
    <s v="Devices"/>
    <s v="Low"/>
    <s v="SOUTH AFRICA"/>
    <d v="2023-01-07T00:00:00"/>
    <s v="Jan-2023"/>
    <d v="2023-08-31T00:00:00"/>
    <n v="0"/>
    <n v="0"/>
  </r>
  <r>
    <s v="ORD-2025-312803"/>
    <d v="2025-06-24T00:00:00"/>
    <d v="2025-07-14T00:00:00"/>
    <x v="0"/>
    <s v="South Africa"/>
    <s v="Johannesburg"/>
    <s v="Enterprise"/>
    <s v="Marketplace"/>
    <x v="1"/>
    <s v="Laptops"/>
    <s v="LAP-1308"/>
    <n v="1151.06"/>
    <n v="2821.36"/>
    <n v="0.248"/>
    <n v="20"/>
    <s v="Valid"/>
    <n v="2821.36"/>
    <b v="0"/>
    <n v="0.248"/>
    <n v="20"/>
    <d v="2025-07-14T00:00:00"/>
    <n v="20"/>
    <n v="5628726.0543999998"/>
    <n v="56427.200000000004"/>
    <n v="5572298.8543999996"/>
    <n v="0.98997513834309081"/>
    <s v="Jun-2025"/>
    <s v="Q2-2025"/>
    <s v="Africa → South Africa → Johannesburg"/>
    <s v="Devices"/>
    <s v="High"/>
    <s v="SOUTH AFRICA"/>
    <d v="2023-01-07T00:00:00"/>
    <s v="Jan-2023"/>
    <d v="2025-06-30T00:00:00"/>
    <n v="0"/>
    <n v="1"/>
  </r>
  <r>
    <s v="ORD-2025-149156"/>
    <d v="2025-01-10T00:00:00"/>
    <d v="2025-02-06T00:00:00"/>
    <x v="1"/>
    <s v="Brazil"/>
    <s v="Brasília"/>
    <s v="Non-Profit"/>
    <s v="Retail"/>
    <x v="4"/>
    <s v="Laptops"/>
    <s v="LAP-7353"/>
    <n v="725.62"/>
    <n v="1559.19"/>
    <n v="0.19"/>
    <n v="12"/>
    <s v="Valid"/>
    <n v="1559.19"/>
    <b v="0"/>
    <n v="0.19"/>
    <n v="27"/>
    <d v="2025-02-06T00:00:00"/>
    <n v="27"/>
    <n v="1867473.0467999999"/>
    <n v="18710.28"/>
    <n v="1848762.7667999999"/>
    <n v="0.98998096383127943"/>
    <s v="Jan-2025"/>
    <s v="Q1-2025"/>
    <s v="Americas → Brazil → Brasília"/>
    <s v="Devices"/>
    <s v="High"/>
    <s v="BRAZIL"/>
    <d v="2023-01-29T00:00:00"/>
    <s v="Jan-2023"/>
    <d v="2025-01-31T00:00:00"/>
    <n v="0"/>
    <n v="0"/>
  </r>
  <r>
    <s v="ORD-2023-215819"/>
    <d v="2023-07-01T00:00:00"/>
    <d v="2023-07-11T00:00:00"/>
    <x v="3"/>
    <s v="France"/>
    <s v="Paris"/>
    <s v="Corporate"/>
    <s v="Direct"/>
    <x v="8"/>
    <s v="Networking"/>
    <s v="NET-6533"/>
    <n v="479.5"/>
    <n v="656.66"/>
    <n v="0.14899999999999999"/>
    <n v="14"/>
    <s v="Valid"/>
    <n v="656.66"/>
    <b v="0"/>
    <n v="0.14899999999999999"/>
    <n v="10"/>
    <d v="2023-07-11T00:00:00"/>
    <n v="10"/>
    <n v="917954.20724000002"/>
    <n v="9193.24"/>
    <n v="908760.96724000003"/>
    <n v="0.98998507776587119"/>
    <s v="Jul-2023"/>
    <s v="Q3-2023"/>
    <s v="Europe → France → Paris"/>
    <s v="Support"/>
    <s v="Low"/>
    <s v="FRANCE"/>
    <d v="2023-01-10T00:00:00"/>
    <s v="Jan-2023"/>
    <d v="2023-07-31T00:00:00"/>
    <n v="0"/>
    <n v="0"/>
  </r>
  <r>
    <s v="ORD-2024-353078"/>
    <d v="2024-08-16T00:00:00"/>
    <d v="2024-08-26T00:00:00"/>
    <x v="1"/>
    <s v="USA"/>
    <s v="Chicago"/>
    <s v="Corporate"/>
    <s v="Distributor"/>
    <x v="14"/>
    <s v="Laptops"/>
    <s v="LAP-5763"/>
    <n v="1291.7"/>
    <n v="2657.84"/>
    <n v="8.6999999999999994E-2"/>
    <n v="21"/>
    <s v="Valid"/>
    <n v="2657.84"/>
    <b v="0"/>
    <n v="8.6999999999999994E-2"/>
    <n v="10"/>
    <d v="2024-08-26T00:00:00"/>
    <n v="10"/>
    <n v="5576608.1263199998"/>
    <n v="55814.64"/>
    <n v="5520793.4863200001"/>
    <n v="0.98999129242440931"/>
    <s v="Aug-2024"/>
    <s v="Q3-2024"/>
    <s v="Americas → USA → Chicago"/>
    <s v="Devices"/>
    <s v="Medium"/>
    <s v="USA"/>
    <d v="2023-01-13T00:00:00"/>
    <s v="Jan-2023"/>
    <d v="2024-08-31T00:00:00"/>
    <n v="0"/>
    <n v="0"/>
  </r>
  <r>
    <s v="ORD-2023-621393"/>
    <d v="2023-07-07T00:00:00"/>
    <d v="2023-07-13T00:00:00"/>
    <x v="0"/>
    <s v="South Africa"/>
    <s v="Cape Town"/>
    <s v="Small Business"/>
    <s v="Marketplace"/>
    <x v="4"/>
    <s v="Accessories"/>
    <s v="ACC-9445"/>
    <n v="612.59"/>
    <n v="1424.74"/>
    <n v="4.3999999999999997E-2"/>
    <n v="15"/>
    <s v="Valid"/>
    <n v="1424.74"/>
    <b v="0"/>
    <n v="4.3999999999999997E-2"/>
    <n v="6"/>
    <d v="2023-07-13T00:00:00"/>
    <n v="6"/>
    <n v="2136169.6716"/>
    <n v="21371.1"/>
    <n v="2114798.5715999999"/>
    <n v="0.98999559806314774"/>
    <s v="Jul-2023"/>
    <s v="Q3-2023"/>
    <s v="Africa → South Africa → Cape Town"/>
    <s v="Support"/>
    <s v="Low"/>
    <s v="SOUTH AFRICA"/>
    <d v="2023-01-07T00:00:00"/>
    <s v="Jan-2023"/>
    <d v="2023-07-31T00:00:00"/>
    <n v="1"/>
    <n v="0"/>
  </r>
  <r>
    <s v="ORD-2023-974506"/>
    <d v="2023-12-28T00:00:00"/>
    <d v="2024-01-01T00:00:00"/>
    <x v="0"/>
    <s v="South Africa"/>
    <s v="Cape Town"/>
    <s v="Education"/>
    <s v="Distributor"/>
    <x v="7"/>
    <s v="Printers"/>
    <s v="PRN-1654"/>
    <n v="1141.8"/>
    <n v="2318.7399999999998"/>
    <n v="0.107"/>
    <n v="32"/>
    <s v="Valid"/>
    <n v="2318.7399999999998"/>
    <b v="0"/>
    <n v="0.107"/>
    <n v="4"/>
    <d v="2024-01-01T00:00:00"/>
    <n v="4"/>
    <n v="7412028.6342399996"/>
    <n v="74199.679999999993"/>
    <n v="7337828.9542399999"/>
    <n v="0.98998928853873647"/>
    <s v="Dec-2023"/>
    <s v="Q4-2023"/>
    <s v="Africa → South Africa → Cape Town"/>
    <s v="Peripherals"/>
    <s v="Medium"/>
    <s v="SOUTH AFRICA"/>
    <d v="2023-01-07T00:00:00"/>
    <s v="Jan-2023"/>
    <d v="2023-12-31T00:00:00"/>
    <n v="1"/>
    <n v="0"/>
  </r>
  <r>
    <s v="ORD-2023-811823"/>
    <d v="2023-01-26T00:00:00"/>
    <d v="2023-02-15T00:00:00"/>
    <x v="3"/>
    <s v="Germany"/>
    <s v="Berlin"/>
    <s v="Small Business"/>
    <s v="Online"/>
    <x v="6"/>
    <s v="Networking"/>
    <s v="NET-8787"/>
    <n v="492.62"/>
    <n v="366.7"/>
    <n v="8.8999999999999996E-2"/>
    <n v="10"/>
    <s v="Valid"/>
    <n v="366.7"/>
    <b v="0"/>
    <n v="8.8999999999999996E-2"/>
    <n v="20"/>
    <d v="2023-02-15T00:00:00"/>
    <n v="20"/>
    <n v="366373.63699999999"/>
    <n v="3667"/>
    <n v="362706.63699999999"/>
    <n v="0.98999109207194402"/>
    <s v="Jan-2023"/>
    <s v="Q1-2023"/>
    <s v="Europe → Germany → Berlin"/>
    <s v="Support"/>
    <s v="Low"/>
    <s v="GERMANY"/>
    <d v="2023-01-22T00:00:00"/>
    <s v="Jan-2023"/>
    <d v="2023-01-31T00:00:00"/>
    <n v="0"/>
    <n v="0"/>
  </r>
  <r>
    <s v="ORD-2023-286720"/>
    <d v="2023-07-08T00:00:00"/>
    <d v="2023-07-09T00:00:00"/>
    <x v="0"/>
    <s v="Kenya"/>
    <s v="Nairobi"/>
    <s v="Consumer"/>
    <s v="Online"/>
    <x v="13"/>
    <s v="Laptops"/>
    <s v="LAP-1989"/>
    <n v="1258.72"/>
    <n v="2797.41"/>
    <n v="0"/>
    <n v="7"/>
    <s v="Valid"/>
    <n v="2797.41"/>
    <b v="0"/>
    <n v="0"/>
    <n v="1"/>
    <d v="2023-07-09T00:00:00"/>
    <n v="1"/>
    <n v="1958187"/>
    <n v="19581.87"/>
    <n v="1938605.13"/>
    <n v="0.99"/>
    <s v="Jul-2023"/>
    <s v="Q3-2023"/>
    <s v="Africa → Kenya → Nairobi"/>
    <s v="Devices"/>
    <s v="Low"/>
    <s v="KENYA"/>
    <d v="2023-01-20T00:00:00"/>
    <s v="Jan-2023"/>
    <d v="2023-07-31T00:00:00"/>
    <n v="1"/>
    <n v="0"/>
  </r>
  <r>
    <s v="ORD-2024-626925"/>
    <d v="2024-06-07T00:00:00"/>
    <d v="2024-06-09T00:00:00"/>
    <x v="2"/>
    <s v="China"/>
    <s v="Shanghai"/>
    <s v="Corporate"/>
    <s v="Retail"/>
    <x v="6"/>
    <s v="Monitors"/>
    <s v="MON-8688"/>
    <n v="1370.28"/>
    <n v="2209.66"/>
    <n v="0.13300000000000001"/>
    <n v="16"/>
    <s v="Valid"/>
    <n v="2209.66"/>
    <b v="0"/>
    <n v="0.13300000000000001"/>
    <n v="2"/>
    <d v="2024-06-09T00:00:00"/>
    <n v="2"/>
    <n v="3530753.8435200001"/>
    <n v="35354.559999999998"/>
    <n v="3495399.2835200001"/>
    <n v="0.98998668228744224"/>
    <s v="Jun-2024"/>
    <s v="Q2-2024"/>
    <s v="Asia → China → Shanghai"/>
    <s v="Peripherals"/>
    <s v="Medium"/>
    <s v="CHINA"/>
    <d v="2023-01-12T00:00:00"/>
    <s v="Jan-2023"/>
    <d v="2024-06-30T00:00:00"/>
    <n v="1"/>
    <n v="0"/>
  </r>
  <r>
    <s v="ORD-2023-960380"/>
    <d v="2023-02-11T00:00:00"/>
    <d v="2023-02-12T00:00:00"/>
    <x v="0"/>
    <s v="Nigeria"/>
    <s v="Port Harcourt"/>
    <s v="Non-Profit"/>
    <s v="Direct"/>
    <x v="13"/>
    <s v="Accessories"/>
    <s v="ACC-8242"/>
    <n v="944.61"/>
    <n v="839.04"/>
    <n v="5.8999999999999997E-2"/>
    <n v="6"/>
    <s v="Valid"/>
    <n v="839.04"/>
    <b v="0"/>
    <n v="5.8999999999999997E-2"/>
    <n v="1"/>
    <d v="2023-02-12T00:00:00"/>
    <n v="1"/>
    <n v="503126.97983999999"/>
    <n v="5034.24"/>
    <n v="498092.73983999999"/>
    <n v="0.98999409651694503"/>
    <s v="Feb-2023"/>
    <s v="Q1-2023"/>
    <s v="Africa → Nigeria → Port Harcourt"/>
    <s v="Support"/>
    <s v="Low"/>
    <s v="NIGERIA"/>
    <d v="2023-01-15T00:00:00"/>
    <s v="Jan-2023"/>
    <d v="2023-02-28T00:00:00"/>
    <n v="1"/>
    <n v="0"/>
  </r>
  <r>
    <s v="ORD-2023-453699"/>
    <d v="2023-07-01T00:00:00"/>
    <d v="2023-07-08T00:00:00"/>
    <x v="3"/>
    <s v="Germany"/>
    <s v="Frankfurt"/>
    <s v="Small Business"/>
    <s v="Distributor"/>
    <x v="12"/>
    <s v="Laptops"/>
    <s v="LAP-4666"/>
    <n v="460.21"/>
    <n v="1139.1500000000001"/>
    <n v="0.115"/>
    <n v="14"/>
    <s v="Valid"/>
    <n v="1139.1500000000001"/>
    <b v="0"/>
    <n v="0.115"/>
    <n v="7"/>
    <d v="2023-07-08T00:00:00"/>
    <n v="7"/>
    <n v="1592975.9685000002"/>
    <n v="15948.100000000002"/>
    <n v="1577027.8685000001"/>
    <n v="0.98998848675977369"/>
    <s v="Jul-2023"/>
    <s v="Q3-2023"/>
    <s v="Europe → Germany → Frankfurt"/>
    <s v="Devices"/>
    <s v="Low"/>
    <s v="GERMANY"/>
    <d v="2023-01-22T00:00:00"/>
    <s v="Jan-2023"/>
    <d v="2023-07-31T00:00:00"/>
    <n v="1"/>
    <n v="0"/>
  </r>
  <r>
    <s v="ORD-2025-960931"/>
    <d v="2025-08-20T00:00:00"/>
    <d v="2025-08-26T00:00:00"/>
    <x v="1"/>
    <s v="USA"/>
    <s v="New York"/>
    <s v="Corporate"/>
    <s v="Retail"/>
    <x v="11"/>
    <s v="Networking"/>
    <s v="NET-5196"/>
    <n v="1304.95"/>
    <n v="1712.03"/>
    <n v="0.21199999999999999"/>
    <n v="8"/>
    <s v="Valid"/>
    <n v="1712.03"/>
    <b v="0"/>
    <n v="0.21199999999999999"/>
    <n v="6"/>
    <d v="2025-08-26T00:00:00"/>
    <n v="6"/>
    <n v="1366720.3971199999"/>
    <n v="13696.24"/>
    <n v="1353024.1571199999"/>
    <n v="0.98997875496051635"/>
    <s v="Aug-2025"/>
    <s v="Q3-2025"/>
    <s v="Americas → USA → New York"/>
    <s v="Support"/>
    <s v="High"/>
    <s v="USA"/>
    <d v="2023-01-13T00:00:00"/>
    <s v="Jan-2023"/>
    <d v="2025-08-31T00:00:00"/>
    <n v="1"/>
    <n v="1"/>
  </r>
  <r>
    <s v="ORD-2024-419248"/>
    <d v="2024-03-04T00:00:00"/>
    <d v="2024-03-16T00:00:00"/>
    <x v="0"/>
    <s v="South Africa"/>
    <s v="Johannesburg"/>
    <s v="Enterprise"/>
    <s v="Distributor"/>
    <x v="11"/>
    <s v="Monitors"/>
    <s v="MON-8422"/>
    <n v="441.08"/>
    <n v="1054.29"/>
    <n v="0.23699999999999999"/>
    <n v="6"/>
    <s v="Valid"/>
    <n v="1054.29"/>
    <b v="0"/>
    <n v="0.23699999999999999"/>
    <n v="12"/>
    <d v="2024-03-16T00:00:00"/>
    <n v="12"/>
    <n v="631074.79962000006"/>
    <n v="6325.74"/>
    <n v="624749.05962000007"/>
    <n v="0.98997624369756321"/>
    <s v="Mar-2024"/>
    <s v="Q1-2024"/>
    <s v="Africa → South Africa → Johannesburg"/>
    <s v="Peripherals"/>
    <s v="Medium"/>
    <s v="SOUTH AFRICA"/>
    <d v="2023-01-07T00:00:00"/>
    <s v="Jan-2023"/>
    <d v="2024-03-31T00:00:00"/>
    <n v="0"/>
    <n v="1"/>
  </r>
  <r>
    <s v="ORD-2023-488227"/>
    <d v="2023-09-08T00:00:00"/>
    <d v="2023-10-02T00:00:00"/>
    <x v="1"/>
    <s v="Canada"/>
    <s v="Toronto"/>
    <s v="Education"/>
    <s v="Direct"/>
    <x v="7"/>
    <s v="Accessories"/>
    <s v="ACC-3415"/>
    <n v="1299.03"/>
    <n v="2451.2199999999998"/>
    <n v="0.20799999999999999"/>
    <n v="8"/>
    <s v="Valid"/>
    <n v="2451.2199999999998"/>
    <b v="0"/>
    <n v="0.20799999999999999"/>
    <n v="24"/>
    <d v="2023-10-02T00:00:00"/>
    <n v="24"/>
    <n v="1956897.1699199998"/>
    <n v="19609.759999999998"/>
    <n v="1937287.4099199998"/>
    <n v="0.98997915664582326"/>
    <s v="Sep-2023"/>
    <s v="Q3-2023"/>
    <s v="Americas → Canada → Toronto"/>
    <s v="Support"/>
    <s v="Low"/>
    <s v="CANADA"/>
    <d v="2023-01-02T00:00:00"/>
    <s v="Jan-2023"/>
    <d v="2023-09-30T00:00:00"/>
    <n v="0"/>
    <n v="1"/>
  </r>
  <r>
    <s v="ORD-2023-472078"/>
    <d v="2023-02-28T00:00:00"/>
    <d v="2023-03-06T00:00:00"/>
    <x v="3"/>
    <s v="Germany"/>
    <s v="Frankfurt"/>
    <s v="Small Business"/>
    <s v="Marketplace"/>
    <x v="13"/>
    <s v="Printers"/>
    <s v="PRN-9624"/>
    <n v="880.02"/>
    <n v="1251.21"/>
    <n v="0.123"/>
    <n v="29"/>
    <s v="Valid"/>
    <n v="1251.21"/>
    <b v="0"/>
    <n v="0.123"/>
    <n v="6"/>
    <d v="2023-03-06T00:00:00"/>
    <n v="6"/>
    <n v="3624045.9339300003"/>
    <n v="36285.090000000004"/>
    <n v="3587760.8439300004"/>
    <n v="0.98998768485236843"/>
    <s v="Feb-2023"/>
    <s v="Q1-2023"/>
    <s v="Europe → Germany → Frankfurt"/>
    <s v="Peripherals"/>
    <s v="Low"/>
    <s v="GERMANY"/>
    <d v="2023-01-22T00:00:00"/>
    <s v="Jan-2023"/>
    <d v="2023-02-28T00:00:00"/>
    <n v="1"/>
    <n v="0"/>
  </r>
  <r>
    <s v="ORD-2024-202877"/>
    <d v="2024-07-13T00:00:00"/>
    <d v="2024-08-03T00:00:00"/>
    <x v="1"/>
    <s v="Brazil"/>
    <s v="Rio de Janeiro"/>
    <s v="Corporate"/>
    <s v="Marketplace"/>
    <x v="11"/>
    <s v="Monitors"/>
    <s v="MON-6287"/>
    <n v="702.98"/>
    <n v="1104.8"/>
    <n v="0.17499999999999999"/>
    <n v="12"/>
    <s v="Valid"/>
    <n v="1104.8"/>
    <b v="0"/>
    <n v="0.17499999999999999"/>
    <n v="21"/>
    <d v="2024-08-03T00:00:00"/>
    <n v="21"/>
    <n v="1323439.92"/>
    <n v="13257.599999999999"/>
    <n v="1310182.3199999998"/>
    <n v="0.98998246932131218"/>
    <s v="Jul-2024"/>
    <s v="Q3-2024"/>
    <s v="Americas → Brazil → Rio de Janeiro"/>
    <s v="Peripherals"/>
    <s v="Medium"/>
    <s v="BRAZIL"/>
    <d v="2023-01-29T00:00:00"/>
    <s v="Jan-2023"/>
    <d v="2024-07-31T00:00:00"/>
    <n v="0"/>
    <n v="0"/>
  </r>
  <r>
    <s v="ORD-2024-140633"/>
    <d v="2024-12-07T00:00:00"/>
    <d v="2024-12-26T00:00:00"/>
    <x v="3"/>
    <s v="United Kingdom"/>
    <s v="London"/>
    <s v="Enterprise"/>
    <s v="Online"/>
    <x v="13"/>
    <s v="Networking"/>
    <s v="NET-4491"/>
    <n v="1035.24"/>
    <n v="2383.41"/>
    <n v="0.17"/>
    <n v="15"/>
    <s v="Valid"/>
    <n v="2383.41"/>
    <b v="0"/>
    <n v="0.17"/>
    <n v="19"/>
    <d v="2024-12-26T00:00:00"/>
    <n v="19"/>
    <n v="3569037.3044999992"/>
    <n v="35751.149999999994"/>
    <n v="3533286.1544999992"/>
    <n v="0.98998297105078636"/>
    <s v="Dec-2024"/>
    <s v="Q4-2024"/>
    <s v="Europe → United Kingdom → London"/>
    <s v="Support"/>
    <s v="High"/>
    <s v="UNITED KINGDOM"/>
    <d v="2023-01-19T00:00:00"/>
    <s v="Jan-2023"/>
    <d v="2024-12-31T00:00:00"/>
    <n v="0"/>
    <n v="0"/>
  </r>
  <r>
    <s v="ORD-2025-419532"/>
    <d v="2025-08-06T00:00:00"/>
    <d v="2025-08-23T00:00:00"/>
    <x v="1"/>
    <s v="Brazil"/>
    <s v="Brasília"/>
    <s v="Consumer"/>
    <s v="Distributor"/>
    <x v="7"/>
    <s v="Monitors"/>
    <s v="MON-4317"/>
    <n v="86.64"/>
    <n v="213.06"/>
    <n v="0.21199999999999999"/>
    <n v="11"/>
    <s v="Valid"/>
    <n v="213.06"/>
    <b v="0"/>
    <n v="0.21199999999999999"/>
    <n v="17"/>
    <d v="2025-08-23T00:00:00"/>
    <n v="17"/>
    <n v="233869.14407999997"/>
    <n v="2343.66"/>
    <n v="231525.48407999997"/>
    <n v="0.98997875496051624"/>
    <s v="Aug-2025"/>
    <s v="Q3-2025"/>
    <s v="Americas → Brazil → Brasília"/>
    <s v="Peripherals"/>
    <s v="High"/>
    <s v="BRAZIL"/>
    <d v="2023-01-29T00:00:00"/>
    <s v="Jan-2023"/>
    <d v="2025-08-31T00:00:00"/>
    <n v="0"/>
    <n v="1"/>
  </r>
  <r>
    <s v="ORD-2023-139236"/>
    <d v="2023-03-03T00:00:00"/>
    <d v="2023-03-20T00:00:00"/>
    <x v="2"/>
    <s v="Japan"/>
    <s v="Nagoya"/>
    <s v="Small Business"/>
    <s v="Online"/>
    <x v="13"/>
    <s v="Networking"/>
    <s v="NET-7349"/>
    <n v="1171.17"/>
    <n v="2030.64"/>
    <n v="0.157"/>
    <n v="11"/>
    <s v="Valid"/>
    <n v="2030.64"/>
    <b v="0"/>
    <n v="0.157"/>
    <n v="17"/>
    <d v="2023-03-20T00:00:00"/>
    <n v="17"/>
    <n v="2230197.0847200002"/>
    <n v="22337.040000000001"/>
    <n v="2207860.0447200001"/>
    <n v="0.9899842753122402"/>
    <s v="Mar-2023"/>
    <s v="Q1-2023"/>
    <s v="Asia → Japan → Nagoya"/>
    <s v="Support"/>
    <s v="Low"/>
    <s v="JAPAN"/>
    <d v="2023-03-03T00:00:00"/>
    <s v="Mar-2023"/>
    <d v="2023-03-31T00:00:00"/>
    <n v="0"/>
    <n v="0"/>
  </r>
  <r>
    <s v="ORD-2025-337268"/>
    <d v="2025-02-16T00:00:00"/>
    <d v="2025-03-17T00:00:00"/>
    <x v="3"/>
    <s v="Germany"/>
    <s v="Munich"/>
    <s v="Consumer"/>
    <s v="Retail"/>
    <x v="14"/>
    <s v="Accessories"/>
    <s v="ACC-5150"/>
    <n v="730.42"/>
    <n v="956.7"/>
    <n v="4.2000000000000003E-2"/>
    <n v="22"/>
    <s v="Valid"/>
    <n v="956.7"/>
    <b v="0"/>
    <n v="4.2000000000000003E-2"/>
    <n v="29"/>
    <d v="2025-03-17T00:00:00"/>
    <n v="29"/>
    <n v="2103856.0092000002"/>
    <n v="21047.4"/>
    <n v="2082808.6092000003"/>
    <n v="0.98999579823525885"/>
    <s v="Feb-2025"/>
    <s v="Q1-2025"/>
    <s v="Europe → Germany → Munich"/>
    <s v="Support"/>
    <s v="High"/>
    <s v="GERMANY"/>
    <d v="2023-01-22T00:00:00"/>
    <s v="Jan-2023"/>
    <d v="2025-02-28T00:00:00"/>
    <n v="0"/>
    <n v="0"/>
  </r>
  <r>
    <s v="ORD-2025-332931"/>
    <d v="2025-02-15T00:00:00"/>
    <d v="2025-03-01T00:00:00"/>
    <x v="0"/>
    <s v="Kenya"/>
    <s v="Mombasa"/>
    <s v="Education"/>
    <s v="Direct"/>
    <x v="14"/>
    <s v="Accessories"/>
    <s v="ACC-5144"/>
    <n v="1162.8599999999999"/>
    <n v="1447.68"/>
    <n v="8.6999999999999994E-2"/>
    <n v="12"/>
    <s v="Valid"/>
    <n v="1447.68"/>
    <b v="0"/>
    <n v="8.6999999999999994E-2"/>
    <n v="14"/>
    <d v="2025-03-01T00:00:00"/>
    <n v="14"/>
    <n v="1735704.6220799999"/>
    <n v="17372.16"/>
    <n v="1718332.46208"/>
    <n v="0.98999129242440931"/>
    <s v="Feb-2025"/>
    <s v="Q1-2025"/>
    <s v="Africa → Kenya → Mombasa"/>
    <s v="Support"/>
    <s v="High"/>
    <s v="KENYA"/>
    <d v="2023-01-20T00:00:00"/>
    <s v="Jan-2023"/>
    <d v="2025-02-28T00:00:00"/>
    <n v="0"/>
    <n v="0"/>
  </r>
  <r>
    <s v="ORD-2024-536442"/>
    <d v="2024-08-31T00:00:00"/>
    <d v="2024-09-26T00:00:00"/>
    <x v="2"/>
    <s v="Japan"/>
    <s v="Tokyo"/>
    <s v="Education"/>
    <s v="Online"/>
    <x v="2"/>
    <s v="Phones"/>
    <s v="PHN-6111"/>
    <n v="1189.03"/>
    <n v="2949.62"/>
    <n v="0.125"/>
    <n v="13"/>
    <s v="Valid"/>
    <n v="2949.62"/>
    <b v="0"/>
    <n v="0.125"/>
    <n v="26"/>
    <d v="2024-09-26T00:00:00"/>
    <n v="26"/>
    <n v="3829712.8674999997"/>
    <n v="38345.06"/>
    <n v="3791367.8074999996"/>
    <n v="0.98998748435544426"/>
    <s v="Aug-2024"/>
    <s v="Q3-2024"/>
    <s v="Asia → Japan → Tokyo"/>
    <s v="Devices"/>
    <s v="Medium"/>
    <s v="JAPAN"/>
    <d v="2023-03-03T00:00:00"/>
    <s v="Mar-2023"/>
    <d v="2024-08-31T00:00:00"/>
    <n v="0"/>
    <n v="0"/>
  </r>
  <r>
    <s v="ORD-2023-957692"/>
    <d v="2023-05-07T00:00:00"/>
    <d v="2023-05-20T00:00:00"/>
    <x v="2"/>
    <s v="India"/>
    <s v="Mumbai"/>
    <s v="Enterprise"/>
    <s v="Retail"/>
    <x v="13"/>
    <s v="Accessories"/>
    <s v="ACC-9283"/>
    <n v="1443.28"/>
    <n v="2580.5700000000002"/>
    <n v="0"/>
    <n v="18"/>
    <s v="Valid"/>
    <n v="2580.5700000000002"/>
    <b v="0"/>
    <n v="0"/>
    <n v="13"/>
    <d v="2023-05-20T00:00:00"/>
    <n v="13"/>
    <n v="4645026"/>
    <n v="46450.26"/>
    <n v="4598575.74"/>
    <n v="0.9900000000000001"/>
    <s v="May-2023"/>
    <s v="Q2-2023"/>
    <s v="Asia → India → Mumbai"/>
    <s v="Support"/>
    <s v="Low"/>
    <s v="INDIA"/>
    <d v="2023-01-29T00:00:00"/>
    <s v="Jan-2023"/>
    <d v="2023-05-31T00:00:00"/>
    <n v="0"/>
    <n v="0"/>
  </r>
  <r>
    <s v="ORD-2025-874124"/>
    <d v="2025-05-14T00:00:00"/>
    <d v="2025-05-12T00:00:00"/>
    <x v="1"/>
    <s v="Canada"/>
    <s v="Vancouver"/>
    <s v="Non-Profit"/>
    <s v="Distributor"/>
    <x v="8"/>
    <s v="Printers"/>
    <s v="PRN-2407"/>
    <n v="883.5"/>
    <n v="1978.91"/>
    <n v="5.3999999999999999E-2"/>
    <n v="27"/>
    <s v="Valid"/>
    <n v="1978.91"/>
    <b v="0"/>
    <n v="5.3999999999999999E-2"/>
    <n v="-2"/>
    <d v="2025-05-21T00:00:00"/>
    <n v="7"/>
    <n v="5340171.7492199996"/>
    <n v="53430.57"/>
    <n v="5286741.1792199994"/>
    <n v="0.98999459708242443"/>
    <s v="May-2025"/>
    <s v="Q2-2025"/>
    <s v="Americas → Canada → Vancouver"/>
    <s v="Peripherals"/>
    <s v="High"/>
    <s v="CANADA"/>
    <d v="2023-01-02T00:00:00"/>
    <s v="Jan-2023"/>
    <d v="2025-05-31T00:00:00"/>
    <n v="1"/>
    <n v="0"/>
  </r>
  <r>
    <s v="ORD-2024-687073"/>
    <d v="2024-03-11T00:00:00"/>
    <d v="2024-03-29T00:00:00"/>
    <x v="1"/>
    <s v="USA"/>
    <s v="New York"/>
    <s v="Corporate"/>
    <s v="Retail"/>
    <x v="11"/>
    <s v="Monitors"/>
    <s v="MON-7099"/>
    <n v="710.98"/>
    <n v="1481.45"/>
    <n v="0.21099999999999999"/>
    <n v="9"/>
    <s v="Valid"/>
    <n v="1481.45"/>
    <b v="0"/>
    <n v="0.21099999999999999"/>
    <n v="18"/>
    <d v="2024-03-29T00:00:00"/>
    <n v="18"/>
    <n v="1330491.7264500002"/>
    <n v="13333.050000000001"/>
    <n v="1317158.6764500001"/>
    <n v="0.98997885538486208"/>
    <s v="Mar-2024"/>
    <s v="Q1-2024"/>
    <s v="Americas → USA → New York"/>
    <s v="Peripherals"/>
    <s v="Medium"/>
    <s v="USA"/>
    <d v="2023-01-13T00:00:00"/>
    <s v="Jan-2023"/>
    <d v="2024-03-31T00:00:00"/>
    <n v="0"/>
    <n v="1"/>
  </r>
  <r>
    <s v="ORD-2024-555229"/>
    <d v="2024-05-18T00:00:00"/>
    <d v="2024-05-22T00:00:00"/>
    <x v="0"/>
    <s v="Kenya"/>
    <s v="Nairobi"/>
    <s v="Corporate"/>
    <s v="Direct"/>
    <x v="9"/>
    <s v="Accessories"/>
    <s v="ACC-7354"/>
    <n v="857.42"/>
    <n v="1658.92"/>
    <n v="0.122"/>
    <n v="9"/>
    <s v="Valid"/>
    <n v="1658.92"/>
    <b v="0"/>
    <n v="0.122"/>
    <n v="4"/>
    <d v="2024-05-22T00:00:00"/>
    <n v="4"/>
    <n v="1491206.50584"/>
    <n v="14930.28"/>
    <n v="1476276.22584"/>
    <n v="0.98998778509781937"/>
    <s v="May-2024"/>
    <s v="Q2-2024"/>
    <s v="Africa → Kenya → Nairobi"/>
    <s v="Support"/>
    <s v="Medium"/>
    <s v="KENYA"/>
    <d v="2023-01-20T00:00:00"/>
    <s v="Jan-2023"/>
    <d v="2024-05-31T00:00:00"/>
    <n v="1"/>
    <n v="0"/>
  </r>
  <r>
    <s v="ORD-2024-872291"/>
    <d v="2024-01-08T00:00:00"/>
    <d v="2024-01-12T00:00:00"/>
    <x v="2"/>
    <s v="India"/>
    <s v="Bengaluru"/>
    <s v="Corporate"/>
    <s v="Direct"/>
    <x v="5"/>
    <s v="Printers"/>
    <s v="PRN-6585"/>
    <n v="802.32"/>
    <n v="602.34"/>
    <n v="0.12"/>
    <n v="25"/>
    <s v="Valid"/>
    <n v="602.34"/>
    <b v="0"/>
    <n v="0.12"/>
    <n v="4"/>
    <d v="2024-01-12T00:00:00"/>
    <n v="4"/>
    <n v="1504042.98"/>
    <n v="15058.5"/>
    <n v="1488984.48"/>
    <n v="0.98998798558269929"/>
    <s v="Jan-2024"/>
    <s v="Q1-2024"/>
    <s v="Asia → India → Bengaluru"/>
    <s v="Peripherals"/>
    <s v="Medium"/>
    <s v="INDIA"/>
    <d v="2023-01-29T00:00:00"/>
    <s v="Jan-2023"/>
    <d v="2024-01-31T00:00:00"/>
    <n v="1"/>
    <n v="0"/>
  </r>
  <r>
    <s v="ORD-2024-250862"/>
    <d v="2024-10-25T00:00:00"/>
    <d v="2024-11-05T00:00:00"/>
    <x v="1"/>
    <s v="USA"/>
    <s v="New York"/>
    <s v="Corporate"/>
    <s v="Distributor"/>
    <x v="12"/>
    <s v="Components"/>
    <s v="CMP-9498"/>
    <n v="446.66"/>
    <n v="527.64"/>
    <n v="0.14499999999999999"/>
    <n v="15"/>
    <s v="Valid"/>
    <n v="527.64"/>
    <b v="0"/>
    <n v="0.14499999999999999"/>
    <n v="11"/>
    <d v="2024-11-05T00:00:00"/>
    <n v="11"/>
    <n v="790312.38300000003"/>
    <n v="7914.5999999999995"/>
    <n v="782397.78300000005"/>
    <n v="0.98998547894446953"/>
    <s v="Oct-2024"/>
    <s v="Q4-2024"/>
    <s v="Americas → USA → New York"/>
    <s v="Support"/>
    <s v="High"/>
    <s v="USA"/>
    <d v="2023-01-13T00:00:00"/>
    <s v="Jan-2023"/>
    <d v="2024-10-31T00:00:00"/>
    <n v="0"/>
    <n v="0"/>
  </r>
  <r>
    <s v="ORD-2024-331226"/>
    <d v="2024-11-30T00:00:00"/>
    <d v="2024-12-19T00:00:00"/>
    <x v="0"/>
    <s v="Kenya"/>
    <s v="Kisumu"/>
    <s v="Corporate"/>
    <s v="Online"/>
    <x v="14"/>
    <s v="Phones"/>
    <s v="PHN-1919"/>
    <n v="1195.98"/>
    <n v="1841.9"/>
    <n v="5.5E-2"/>
    <n v="19"/>
    <s v="Valid"/>
    <n v="1841.9"/>
    <b v="0"/>
    <n v="5.5E-2"/>
    <n v="19"/>
    <d v="2024-12-19T00:00:00"/>
    <n v="19"/>
    <n v="3497685.2144999998"/>
    <n v="34996.1"/>
    <n v="3462689.1144999997"/>
    <n v="0.9899944969733353"/>
    <s v="Nov-2024"/>
    <s v="Q4-2024"/>
    <s v="Africa → Kenya → Kisumu"/>
    <s v="Devices"/>
    <s v="High"/>
    <s v="KENYA"/>
    <d v="2023-01-20T00:00:00"/>
    <s v="Jan-2023"/>
    <d v="2024-11-30T00:00:00"/>
    <n v="0"/>
    <n v="0"/>
  </r>
  <r>
    <s v="ORD-2023-356427"/>
    <d v="2023-04-13T00:00:00"/>
    <d v="2023-05-02T00:00:00"/>
    <x v="1"/>
    <s v="Canada"/>
    <s v="Montreal"/>
    <s v="Consumer"/>
    <s v="Distributor"/>
    <x v="5"/>
    <s v="Monitors"/>
    <s v="MON-6053"/>
    <n v="671.05"/>
    <n v="1645.48"/>
    <n v="0.13700000000000001"/>
    <n v="6"/>
    <s v="Valid"/>
    <n v="1645.48"/>
    <b v="0"/>
    <n v="0.13700000000000001"/>
    <n v="19"/>
    <d v="2023-05-02T00:00:00"/>
    <n v="19"/>
    <n v="985935.41544000013"/>
    <n v="9872.880000000001"/>
    <n v="976062.53544000012"/>
    <n v="0.98998628120525123"/>
    <s v="Apr-2023"/>
    <s v="Q2-2023"/>
    <s v="Americas → Canada → Montreal"/>
    <s v="Peripherals"/>
    <s v="Low"/>
    <s v="CANADA"/>
    <d v="2023-01-02T00:00:00"/>
    <s v="Jan-2023"/>
    <d v="2023-04-30T00:00:00"/>
    <n v="0"/>
    <n v="0"/>
  </r>
  <r>
    <s v="ORD-2025-659650"/>
    <d v="2025-02-04T00:00:00"/>
    <d v="2025-02-08T00:00:00"/>
    <x v="3"/>
    <s v="United Kingdom"/>
    <s v="Manchester"/>
    <s v="Enterprise"/>
    <s v="Marketplace"/>
    <x v="14"/>
    <s v="Networking"/>
    <s v="NET-2502"/>
    <n v="586.21"/>
    <n v="727.22"/>
    <n v="6.8000000000000005E-2"/>
    <n v="15"/>
    <s v="Valid"/>
    <n v="727.22"/>
    <b v="0"/>
    <n v="6.8000000000000005E-2"/>
    <n v="4"/>
    <d v="2025-02-08T00:00:00"/>
    <n v="4"/>
    <n v="1090088.2356000002"/>
    <n v="10908.300000000001"/>
    <n v="1079179.9356000002"/>
    <n v="0.98999319537285346"/>
    <s v="Feb-2025"/>
    <s v="Q1-2025"/>
    <s v="Europe → United Kingdom → Manchester"/>
    <s v="Support"/>
    <s v="High"/>
    <s v="UNITED KINGDOM"/>
    <d v="2023-01-19T00:00:00"/>
    <s v="Jan-2023"/>
    <d v="2025-02-28T00:00:00"/>
    <n v="1"/>
    <n v="0"/>
  </r>
  <r>
    <s v="ORD-2024-207669"/>
    <d v="2024-01-24T00:00:00"/>
    <d v="2024-02-04T00:00:00"/>
    <x v="3"/>
    <s v="United Kingdom"/>
    <s v="Manchester"/>
    <s v="Consumer"/>
    <s v="Retail"/>
    <x v="4"/>
    <s v="Laptops"/>
    <s v="LAP-5689"/>
    <n v="525.34"/>
    <n v="1233.79"/>
    <n v="0.14299999999999999"/>
    <n v="4"/>
    <s v="Valid"/>
    <n v="1233.79"/>
    <b v="0"/>
    <n v="0.14299999999999999"/>
    <n v="11"/>
    <d v="2024-02-04T00:00:00"/>
    <n v="11"/>
    <n v="492810.27211999998"/>
    <n v="4935.16"/>
    <n v="487875.11212000001"/>
    <n v="0.98998567952171612"/>
    <s v="Jan-2024"/>
    <s v="Q1-2024"/>
    <s v="Europe → United Kingdom → Manchester"/>
    <s v="Devices"/>
    <s v="Medium"/>
    <s v="UNITED KINGDOM"/>
    <d v="2023-01-19T00:00:00"/>
    <s v="Jan-2023"/>
    <d v="2024-01-31T00:00:00"/>
    <n v="0"/>
    <n v="0"/>
  </r>
  <r>
    <s v="ORD-2024-979401"/>
    <d v="2024-02-08T00:00:00"/>
    <d v="2024-02-09T00:00:00"/>
    <x v="0"/>
    <s v="Kenya"/>
    <s v="Mombasa"/>
    <s v="Corporate"/>
    <s v="Direct"/>
    <x v="8"/>
    <s v="Components"/>
    <s v="CMP-5911"/>
    <n v="1233.52"/>
    <n v="1543.76"/>
    <n v="0.126"/>
    <n v="13"/>
    <s v="Valid"/>
    <n v="1543.76"/>
    <b v="0"/>
    <n v="0.126"/>
    <n v="1"/>
    <d v="2024-02-09T00:00:00"/>
    <n v="1"/>
    <n v="2004359.32112"/>
    <n v="20068.88"/>
    <n v="1984290.4411200001"/>
    <n v="0.98998738410397102"/>
    <s v="Feb-2024"/>
    <s v="Q1-2024"/>
    <s v="Africa → Kenya → Mombasa"/>
    <s v="Support"/>
    <s v="Medium"/>
    <s v="KENYA"/>
    <d v="2023-01-20T00:00:00"/>
    <s v="Jan-2023"/>
    <d v="2024-02-29T00:00:00"/>
    <n v="1"/>
    <n v="0"/>
  </r>
  <r>
    <s v="ORD-2025-929414"/>
    <d v="2025-06-26T00:00:00"/>
    <d v="2025-07-11T00:00:00"/>
    <x v="0"/>
    <s v="Nigeria"/>
    <s v="Port Harcourt"/>
    <s v="Small Business"/>
    <s v="Online"/>
    <x v="7"/>
    <s v="Laptops"/>
    <s v="LAP-7523"/>
    <n v="1170.1500000000001"/>
    <n v="2115.19"/>
    <n v="9.1999999999999998E-2"/>
    <n v="23"/>
    <s v="Valid"/>
    <n v="2115.19"/>
    <b v="0"/>
    <n v="9.1999999999999998E-2"/>
    <n v="15"/>
    <d v="2025-07-11T00:00:00"/>
    <n v="15"/>
    <n v="4860461.2579600001"/>
    <n v="48649.37"/>
    <n v="4811811.88796"/>
    <n v="0.9899907915282059"/>
    <s v="Jun-2025"/>
    <s v="Q2-2025"/>
    <s v="Africa → Nigeria → Port Harcourt"/>
    <s v="Devices"/>
    <s v="High"/>
    <s v="NIGERIA"/>
    <d v="2023-01-15T00:00:00"/>
    <s v="Jan-2023"/>
    <d v="2025-06-30T00:00:00"/>
    <n v="0"/>
    <n v="0"/>
  </r>
  <r>
    <s v="ORD-2024-766980"/>
    <d v="2024-11-04T00:00:00"/>
    <d v="2024-11-07T00:00:00"/>
    <x v="3"/>
    <s v="France"/>
    <s v="Lyon"/>
    <s v="Corporate"/>
    <s v="Online"/>
    <x v="6"/>
    <s v="Monitors"/>
    <s v="MON-1118"/>
    <n v="740.68"/>
    <n v="1837.19"/>
    <n v="0.19700000000000001"/>
    <n v="17"/>
    <s v="Valid"/>
    <n v="1837.19"/>
    <b v="0"/>
    <n v="0.19700000000000001"/>
    <n v="3"/>
    <d v="2024-11-07T00:00:00"/>
    <n v="3"/>
    <n v="3117070.2506899997"/>
    <n v="31232.23"/>
    <n v="3085838.0206899997"/>
    <n v="0.98998026111439541"/>
    <s v="Nov-2024"/>
    <s v="Q4-2024"/>
    <s v="Europe → France → Lyon"/>
    <s v="Peripherals"/>
    <s v="High"/>
    <s v="FRANCE"/>
    <d v="2023-01-10T00:00:00"/>
    <s v="Jan-2023"/>
    <d v="2024-11-30T00:00:00"/>
    <n v="1"/>
    <n v="0"/>
  </r>
  <r>
    <s v="ORD-2024-437164"/>
    <d v="2024-02-20T00:00:00"/>
    <d v="2024-02-20T00:00:00"/>
    <x v="1"/>
    <s v="USA"/>
    <s v="New York"/>
    <s v="Enterprise"/>
    <s v="Online"/>
    <x v="0"/>
    <s v="Networking"/>
    <s v="NET-9177"/>
    <n v="1407.05"/>
    <n v="2858.93"/>
    <n v="0"/>
    <n v="12"/>
    <s v="Valid"/>
    <n v="2858.93"/>
    <b v="0"/>
    <n v="0"/>
    <n v="0"/>
    <d v="2024-02-20T00:00:00"/>
    <n v="0"/>
    <n v="3430715.9999999995"/>
    <n v="34307.159999999996"/>
    <n v="3396408.8399999994"/>
    <n v="0.99"/>
    <s v="Feb-2024"/>
    <s v="Q1-2024"/>
    <s v="Americas → USA → New York"/>
    <s v="Support"/>
    <s v="Medium"/>
    <s v="USA"/>
    <d v="2023-01-13T00:00:00"/>
    <s v="Jan-2023"/>
    <d v="2024-02-29T00:00:00"/>
    <n v="1"/>
    <n v="0"/>
  </r>
  <r>
    <s v="ORD-2025-169093"/>
    <d v="2025-04-13T00:00:00"/>
    <d v="2025-04-14T00:00:00"/>
    <x v="2"/>
    <s v="Japan"/>
    <s v="Osaka"/>
    <s v="Enterprise"/>
    <s v="Online"/>
    <x v="3"/>
    <s v="Components"/>
    <s v="CMP-6495"/>
    <n v="138.9"/>
    <n v="289.92"/>
    <n v="2.9000000000000001E-2"/>
    <n v="12"/>
    <s v="Valid"/>
    <n v="289.92"/>
    <b v="0"/>
    <n v="2.9000000000000001E-2"/>
    <n v="1"/>
    <d v="2025-04-14T00:00:00"/>
    <n v="1"/>
    <n v="347803.10784000001"/>
    <n v="3479.04"/>
    <n v="344324.06784000003"/>
    <n v="0.98999709915875611"/>
    <s v="Apr-2025"/>
    <s v="Q2-2025"/>
    <s v="Asia → Japan → Osaka"/>
    <s v="Support"/>
    <s v="High"/>
    <s v="JAPAN"/>
    <d v="2023-03-03T00:00:00"/>
    <s v="Mar-2023"/>
    <d v="2025-04-30T00:00:00"/>
    <n v="1"/>
    <n v="0"/>
  </r>
  <r>
    <s v="ORD-2023-868460"/>
    <d v="2023-06-01T00:00:00"/>
    <d v="2023-06-01T00:00:00"/>
    <x v="2"/>
    <s v="India"/>
    <s v="Bengaluru"/>
    <s v="Corporate"/>
    <s v="Retail"/>
    <x v="5"/>
    <s v="Accessories"/>
    <s v="ACC-4587"/>
    <n v="669.37"/>
    <n v="997.2"/>
    <n v="8.2000000000000003E-2"/>
    <n v="5"/>
    <s v="Valid"/>
    <n v="997.2"/>
    <b v="0"/>
    <n v="8.2000000000000003E-2"/>
    <n v="0"/>
    <d v="2023-06-01T00:00:00"/>
    <n v="0"/>
    <n v="498191.14800000004"/>
    <n v="4986"/>
    <n v="493205.14800000004"/>
    <n v="0.98999179327048181"/>
    <s v="Jun-2023"/>
    <s v="Q2-2023"/>
    <s v="Asia → India → Bengaluru"/>
    <s v="Support"/>
    <s v="Low"/>
    <s v="INDIA"/>
    <d v="2023-01-29T00:00:00"/>
    <s v="Jan-2023"/>
    <d v="2023-06-30T00:00:00"/>
    <n v="1"/>
    <n v="0"/>
  </r>
  <r>
    <s v="ORD-2025-177994"/>
    <d v="2025-03-24T00:00:00"/>
    <d v="2025-04-04T00:00:00"/>
    <x v="2"/>
    <s v="India"/>
    <s v="Mumbai"/>
    <s v="Education"/>
    <s v="Marketplace"/>
    <x v="1"/>
    <s v="Phones"/>
    <s v="PHN-4395"/>
    <n v="23.83"/>
    <n v="47.29"/>
    <n v="6.4000000000000001E-2"/>
    <n v="19"/>
    <s v="Valid"/>
    <n v="47.29"/>
    <b v="0"/>
    <n v="6.4000000000000001E-2"/>
    <n v="11"/>
    <d v="2025-04-04T00:00:00"/>
    <n v="11"/>
    <n v="89793.495360000001"/>
    <n v="898.51"/>
    <n v="88894.985360000006"/>
    <n v="0.98999359590137692"/>
    <s v="Mar-2025"/>
    <s v="Q1-2025"/>
    <s v="Asia → India → Mumbai"/>
    <s v="Devices"/>
    <s v="High"/>
    <s v="INDIA"/>
    <d v="2023-01-29T00:00:00"/>
    <s v="Jan-2023"/>
    <d v="2025-03-31T00:00:00"/>
    <n v="0"/>
    <n v="0"/>
  </r>
  <r>
    <s v="ORD-2024-355095"/>
    <d v="2024-01-02T00:00:00"/>
    <d v="2024-01-02T00:00:00"/>
    <x v="1"/>
    <s v="Canada"/>
    <s v="Vancouver"/>
    <s v="Education"/>
    <s v="Direct"/>
    <x v="7"/>
    <s v="Laptops"/>
    <s v="LAP-3581"/>
    <n v="444.41"/>
    <n v="754.24"/>
    <n v="0.20699999999999999"/>
    <n v="32"/>
    <s v="Valid"/>
    <n v="754.24"/>
    <b v="0"/>
    <n v="0.20699999999999999"/>
    <n v="0"/>
    <d v="2024-01-02T00:00:00"/>
    <n v="0"/>
    <n v="2408571.9142400003"/>
    <n v="24135.68"/>
    <n v="2384436.2342400001"/>
    <n v="0.98997925706211853"/>
    <s v="Jan-2024"/>
    <s v="Q1-2024"/>
    <s v="Americas → Canada → Vancouver"/>
    <s v="Devices"/>
    <s v="Medium"/>
    <s v="CANADA"/>
    <d v="2023-01-02T00:00:00"/>
    <s v="Jan-2023"/>
    <d v="2024-01-31T00:00:00"/>
    <n v="1"/>
    <n v="1"/>
  </r>
  <r>
    <s v="ORD-2023-126505"/>
    <d v="2023-12-19T00:00:00"/>
    <d v="2024-01-01T00:00:00"/>
    <x v="1"/>
    <s v="Canada"/>
    <s v="Toronto"/>
    <s v="Enterprise"/>
    <s v="Retail"/>
    <x v="10"/>
    <s v="Monitors"/>
    <s v="MON-6065"/>
    <n v="856.1"/>
    <n v="901.48"/>
    <n v="5.6000000000000001E-2"/>
    <n v="17"/>
    <s v="Valid"/>
    <n v="901.48"/>
    <b v="0"/>
    <n v="5.6000000000000001E-2"/>
    <n v="13"/>
    <d v="2024-01-01T00:00:00"/>
    <n v="13"/>
    <n v="1531657.79104"/>
    <n v="15325.16"/>
    <n v="1516332.6310400001"/>
    <n v="0.98999439686224289"/>
    <s v="Dec-2023"/>
    <s v="Q4-2023"/>
    <s v="Americas → Canada → Toronto"/>
    <s v="Peripherals"/>
    <s v="Medium"/>
    <s v="CANADA"/>
    <d v="2023-01-02T00:00:00"/>
    <s v="Jan-2023"/>
    <d v="2023-12-31T00:00:00"/>
    <n v="0"/>
    <n v="0"/>
  </r>
  <r>
    <s v="ORD-2023-340056"/>
    <d v="2023-04-26T00:00:00"/>
    <d v="2023-04-26T00:00:00"/>
    <x v="3"/>
    <s v="France"/>
    <s v="Marseille"/>
    <s v="Consumer"/>
    <s v="Direct"/>
    <x v="11"/>
    <s v="Components"/>
    <s v="CMP-4945"/>
    <n v="81.489999999999995"/>
    <n v="113.08"/>
    <n v="0.121"/>
    <n v="5"/>
    <s v="Valid"/>
    <n v="113.08"/>
    <b v="0"/>
    <n v="0.121"/>
    <n v="0"/>
    <d v="2023-04-26T00:00:00"/>
    <n v="0"/>
    <n v="56471.586600000002"/>
    <n v="565.4"/>
    <n v="55906.186600000001"/>
    <n v="0.98998788534126292"/>
    <s v="Apr-2023"/>
    <s v="Q2-2023"/>
    <s v="Europe → France → Marseille"/>
    <s v="Support"/>
    <s v="Low"/>
    <s v="FRANCE"/>
    <d v="2023-01-10T00:00:00"/>
    <s v="Jan-2023"/>
    <d v="2023-04-30T00:00:00"/>
    <n v="1"/>
    <n v="0"/>
  </r>
  <r>
    <s v="ORD-2025-281413"/>
    <d v="2025-08-03T00:00:00"/>
    <d v="2025-08-16T00:00:00"/>
    <x v="1"/>
    <s v="Canada"/>
    <s v="Montreal"/>
    <s v="Enterprise"/>
    <s v="Distributor"/>
    <x v="6"/>
    <s v="Networking"/>
    <s v="NET-3785"/>
    <n v="698.66"/>
    <n v="868.62"/>
    <n v="7.1999999999999995E-2"/>
    <n v="15"/>
    <s v="Valid"/>
    <n v="868.62"/>
    <b v="0"/>
    <n v="7.1999999999999995E-2"/>
    <n v="13"/>
    <d v="2025-08-16T00:00:00"/>
    <n v="13"/>
    <n v="1301991.8903999999"/>
    <n v="13029.3"/>
    <n v="1288962.5903999999"/>
    <n v="0.98999279481226476"/>
    <s v="Aug-2025"/>
    <s v="Q3-2025"/>
    <s v="Americas → Canada → Montreal"/>
    <s v="Support"/>
    <s v="High"/>
    <s v="CANADA"/>
    <d v="2023-01-02T00:00:00"/>
    <s v="Jan-2023"/>
    <d v="2025-08-31T00:00:00"/>
    <n v="0"/>
    <n v="0"/>
  </r>
  <r>
    <s v="ORD-2023-713614"/>
    <d v="2023-08-02T00:00:00"/>
    <d v="2023-08-19T00:00:00"/>
    <x v="1"/>
    <s v="Canada"/>
    <s v="Vancouver"/>
    <s v="Corporate"/>
    <s v="Online"/>
    <x v="8"/>
    <s v="Networking"/>
    <s v="NET-3689"/>
    <n v="175.38"/>
    <n v="347.9"/>
    <n v="7.1999999999999995E-2"/>
    <n v="43"/>
    <s v="Valid"/>
    <n v="347.9"/>
    <b v="0"/>
    <n v="7.1999999999999995E-2"/>
    <n v="17"/>
    <d v="2023-08-19T00:00:00"/>
    <n v="17"/>
    <n v="1494892.9015999998"/>
    <n v="14959.699999999999"/>
    <n v="1479933.2015999998"/>
    <n v="0.98999279481226488"/>
    <s v="Aug-2023"/>
    <s v="Q3-2023"/>
    <s v="Americas → Canada → Vancouver"/>
    <s v="Support"/>
    <s v="Low"/>
    <s v="CANADA"/>
    <d v="2023-01-02T00:00:00"/>
    <s v="Jan-2023"/>
    <d v="2023-08-31T00:00:00"/>
    <n v="0"/>
    <n v="0"/>
  </r>
  <r>
    <s v="ORD-2023-173313"/>
    <d v="2023-06-15T00:00:00"/>
    <d v="2023-07-12T00:00:00"/>
    <x v="3"/>
    <s v="United Kingdom"/>
    <s v="Manchester"/>
    <s v="Consumer"/>
    <s v="Direct"/>
    <x v="2"/>
    <s v="Accessories"/>
    <s v="ACC-3833"/>
    <n v="751.28"/>
    <n v="1111.8800000000001"/>
    <n v="0.13500000000000001"/>
    <n v="7"/>
    <s v="Valid"/>
    <n v="1111.8800000000001"/>
    <b v="0"/>
    <n v="0.13500000000000001"/>
    <n v="27"/>
    <d v="2023-07-12T00:00:00"/>
    <n v="27"/>
    <n v="777265.27340000006"/>
    <n v="7783.1600000000008"/>
    <n v="769482.11340000003"/>
    <n v="0.98998648175036297"/>
    <s v="Jun-2023"/>
    <s v="Q2-2023"/>
    <s v="Europe → United Kingdom → Manchester"/>
    <s v="Support"/>
    <s v="Low"/>
    <s v="UNITED KINGDOM"/>
    <d v="2023-01-19T00:00:00"/>
    <s v="Jan-2023"/>
    <d v="2023-06-30T00:00:00"/>
    <n v="0"/>
    <n v="0"/>
  </r>
  <r>
    <s v="ORD-2024-496601"/>
    <d v="2024-11-11T00:00:00"/>
    <d v="2024-11-24T00:00:00"/>
    <x v="3"/>
    <s v="United Kingdom"/>
    <s v="London"/>
    <s v="Corporate"/>
    <s v="Retail"/>
    <x v="5"/>
    <s v="Networking"/>
    <s v="NET-2932"/>
    <n v="164.53"/>
    <n v="327.72"/>
    <n v="6.7000000000000004E-2"/>
    <n v="14"/>
    <s v="Valid"/>
    <n v="327.72"/>
    <b v="0"/>
    <n v="6.7000000000000004E-2"/>
    <n v="13"/>
    <d v="2024-11-24T00:00:00"/>
    <n v="13"/>
    <n v="458500.59864000004"/>
    <n v="4588.08"/>
    <n v="453912.51864000002"/>
    <n v="0.98999329550799031"/>
    <s v="Nov-2024"/>
    <s v="Q4-2024"/>
    <s v="Europe → United Kingdom → London"/>
    <s v="Support"/>
    <s v="High"/>
    <s v="UNITED KINGDOM"/>
    <d v="2023-01-19T00:00:00"/>
    <s v="Jan-2023"/>
    <d v="2024-11-30T00:00:00"/>
    <n v="0"/>
    <n v="0"/>
  </r>
  <r>
    <s v="ORD-2025-155182"/>
    <d v="2025-07-11T00:00:00"/>
    <d v="2025-08-03T00:00:00"/>
    <x v="0"/>
    <s v="Kenya"/>
    <s v="Nakuru"/>
    <s v="Small Business"/>
    <s v="Retail"/>
    <x v="0"/>
    <s v="Phones"/>
    <s v="PHN-7636"/>
    <n v="389.93"/>
    <n v="486.13"/>
    <n v="0.13200000000000001"/>
    <n v="17"/>
    <s v="Valid"/>
    <n v="486.13"/>
    <b v="0"/>
    <n v="0.13200000000000001"/>
    <n v="23"/>
    <d v="2025-08-03T00:00:00"/>
    <n v="23"/>
    <n v="825330.12427999987"/>
    <n v="8264.2099999999991"/>
    <n v="817065.91427999991"/>
    <n v="0.98998678255297001"/>
    <s v="Jul-2025"/>
    <s v="Q3-2025"/>
    <s v="Africa → Kenya → Nakuru"/>
    <s v="Devices"/>
    <s v="High"/>
    <s v="KENYA"/>
    <d v="2023-01-20T00:00:00"/>
    <s v="Jan-2023"/>
    <d v="2025-07-31T00:00:00"/>
    <n v="0"/>
    <n v="0"/>
  </r>
  <r>
    <s v="ORD-2023-244375"/>
    <d v="2023-06-03T00:00:00"/>
    <d v="2023-07-01T00:00:00"/>
    <x v="1"/>
    <s v="Brazil"/>
    <s v="Brasília"/>
    <s v="Small Business"/>
    <s v="Marketplace"/>
    <x v="7"/>
    <s v="Components"/>
    <s v="CMP-1223"/>
    <n v="860.4"/>
    <n v="2066.6"/>
    <n v="0.01"/>
    <n v="3"/>
    <s v="Valid"/>
    <n v="2066.6"/>
    <b v="0"/>
    <n v="0.01"/>
    <n v="28"/>
    <d v="2023-07-01T00:00:00"/>
    <n v="28"/>
    <n v="619918.00199999986"/>
    <n v="6199.7999999999993"/>
    <n v="613718.20199999982"/>
    <n v="0.98999899989998996"/>
    <s v="Jun-2023"/>
    <s v="Q2-2023"/>
    <s v="Americas → Brazil → Brasília"/>
    <s v="Support"/>
    <s v="Low"/>
    <s v="BRAZIL"/>
    <d v="2023-01-29T00:00:00"/>
    <s v="Jan-2023"/>
    <d v="2023-06-30T00:00:00"/>
    <n v="0"/>
    <n v="0"/>
  </r>
  <r>
    <s v="ORD-2023-856322"/>
    <d v="2023-01-29T00:00:00"/>
    <d v="2023-02-06T00:00:00"/>
    <x v="1"/>
    <s v="Brazil"/>
    <s v="Brasília"/>
    <s v="Corporate"/>
    <s v="Marketplace"/>
    <x v="13"/>
    <s v="Monitors"/>
    <s v="MON-7207"/>
    <n v="41.84"/>
    <n v="86.2"/>
    <n v="0.22600000000000001"/>
    <n v="27"/>
    <s v="Valid"/>
    <n v="86.2"/>
    <b v="0"/>
    <n v="0.22600000000000001"/>
    <n v="8"/>
    <d v="2023-02-06T00:00:00"/>
    <n v="8"/>
    <n v="232214.00760000001"/>
    <n v="2327.4"/>
    <n v="229886.60760000002"/>
    <n v="0.98997734880830679"/>
    <s v="Jan-2023"/>
    <s v="Q1-2023"/>
    <s v="Americas → Brazil → Brasília"/>
    <s v="Peripherals"/>
    <s v="Low"/>
    <s v="BRAZIL"/>
    <d v="2023-01-29T00:00:00"/>
    <s v="Jan-2023"/>
    <d v="2023-01-31T00:00:00"/>
    <n v="0"/>
    <n v="1"/>
  </r>
  <r>
    <s v="ORD-2024-594527"/>
    <d v="2024-09-06T00:00:00"/>
    <d v="2024-09-04T00:00:00"/>
    <x v="2"/>
    <s v="Japan"/>
    <s v="Osaka"/>
    <s v="Corporate"/>
    <s v="Direct"/>
    <x v="7"/>
    <s v="Laptops"/>
    <s v="LAP-4483"/>
    <n v="1368.17"/>
    <n v="2307.75"/>
    <n v="0.16300000000000001"/>
    <n v="21"/>
    <s v="Valid"/>
    <n v="2307.75"/>
    <b v="0"/>
    <n v="0.16300000000000001"/>
    <n v="-2"/>
    <d v="2024-09-13T00:00:00"/>
    <n v="7"/>
    <n v="4838375.5717500001"/>
    <n v="48462.75"/>
    <n v="4789912.8217500001"/>
    <n v="0.98998367338762183"/>
    <s v="Sep-2024"/>
    <s v="Q3-2024"/>
    <s v="Asia → Japan → Osaka"/>
    <s v="Devices"/>
    <s v="Medium"/>
    <s v="JAPAN"/>
    <d v="2023-03-03T00:00:00"/>
    <s v="Mar-2023"/>
    <d v="2024-09-30T00:00:00"/>
    <n v="1"/>
    <n v="0"/>
  </r>
  <r>
    <s v="ORD-2024-689872"/>
    <d v="2024-08-03T00:00:00"/>
    <d v="2024-08-09T00:00:00"/>
    <x v="0"/>
    <s v="Kenya"/>
    <s v="Mombasa"/>
    <s v="Consumer"/>
    <s v="Marketplace"/>
    <x v="9"/>
    <s v="Laptops"/>
    <s v="LAP-1969"/>
    <n v="643.21"/>
    <n v="1112.81"/>
    <n v="0.14099999999999999"/>
    <n v="4"/>
    <s v="Valid"/>
    <n v="1112.81"/>
    <b v="0"/>
    <n v="0.14099999999999999"/>
    <n v="6"/>
    <d v="2024-08-09T00:00:00"/>
    <n v="6"/>
    <n v="444496.37515999994"/>
    <n v="4451.24"/>
    <n v="440045.13515999995"/>
    <n v="0.98998588009092825"/>
    <s v="Aug-2024"/>
    <s v="Q3-2024"/>
    <s v="Africa → Kenya → Mombasa"/>
    <s v="Devices"/>
    <s v="Medium"/>
    <s v="KENYA"/>
    <d v="2023-01-20T00:00:00"/>
    <s v="Jan-2023"/>
    <d v="2024-08-31T00:00:00"/>
    <n v="1"/>
    <n v="0"/>
  </r>
  <r>
    <s v="ORD-2025-246692"/>
    <d v="2025-04-17T00:00:00"/>
    <d v="2025-04-17T00:00:00"/>
    <x v="1"/>
    <s v="Brazil"/>
    <s v="São Paulo"/>
    <s v="Corporate"/>
    <s v="Distributor"/>
    <x v="14"/>
    <s v="Phones"/>
    <s v="PHN-4566"/>
    <n v="719.41"/>
    <n v="1125.99"/>
    <n v="4.1000000000000002E-2"/>
    <n v="21"/>
    <s v="Valid"/>
    <n v="1125.99"/>
    <b v="0"/>
    <n v="4.1000000000000002E-2"/>
    <n v="0"/>
    <d v="2025-04-17T00:00:00"/>
    <n v="0"/>
    <n v="2363609.5226100003"/>
    <n v="23645.79"/>
    <n v="2339963.7326100003"/>
    <n v="0.98999589831831047"/>
    <s v="Apr-2025"/>
    <s v="Q2-2025"/>
    <s v="Americas → Brazil → São Paulo"/>
    <s v="Devices"/>
    <s v="High"/>
    <s v="BRAZIL"/>
    <d v="2023-01-29T00:00:00"/>
    <s v="Jan-2023"/>
    <d v="2025-04-30T00:00:00"/>
    <n v="1"/>
    <n v="0"/>
  </r>
  <r>
    <s v="ORD-2023-378676"/>
    <d v="2023-05-03T00:00:00"/>
    <d v="2023-05-16T00:00:00"/>
    <x v="1"/>
    <s v="USA"/>
    <s v="New York"/>
    <s v="Corporate"/>
    <s v="Marketplace"/>
    <x v="14"/>
    <s v="Phones"/>
    <s v="PHN-5366"/>
    <n v="64.5"/>
    <n v="123.62"/>
    <n v="0"/>
    <n v="3"/>
    <s v="Valid"/>
    <n v="123.62"/>
    <b v="0"/>
    <n v="0"/>
    <n v="13"/>
    <d v="2023-05-16T00:00:00"/>
    <n v="13"/>
    <n v="37086"/>
    <n v="370.86"/>
    <n v="36715.14"/>
    <n v="0.99"/>
    <s v="May-2023"/>
    <s v="Q2-2023"/>
    <s v="Americas → USA → New York"/>
    <s v="Devices"/>
    <s v="Low"/>
    <s v="USA"/>
    <d v="2023-01-13T00:00:00"/>
    <s v="Jan-2023"/>
    <d v="2023-05-31T00:00:00"/>
    <n v="0"/>
    <n v="0"/>
  </r>
  <r>
    <s v="ORD-2024-243988"/>
    <d v="2024-03-13T00:00:00"/>
    <d v="2024-04-06T00:00:00"/>
    <x v="0"/>
    <s v="Nigeria"/>
    <s v="Abuja"/>
    <s v="Consumer"/>
    <s v="Distributor"/>
    <x v="14"/>
    <s v="Components"/>
    <s v="CMP-9001"/>
    <n v="1232.78"/>
    <n v="1731.75"/>
    <n v="9.2999999999999999E-2"/>
    <n v="16"/>
    <s v="Valid"/>
    <n v="1731.75"/>
    <b v="0"/>
    <n v="9.2999999999999999E-2"/>
    <n v="24"/>
    <d v="2024-04-06T00:00:00"/>
    <n v="24"/>
    <n v="2768223.156"/>
    <n v="27708"/>
    <n v="2740515.156"/>
    <n v="0.98999069134294893"/>
    <s v="Mar-2024"/>
    <s v="Q1-2024"/>
    <s v="Africa → Nigeria → Abuja"/>
    <s v="Support"/>
    <s v="Medium"/>
    <s v="NIGERIA"/>
    <d v="2023-01-15T00:00:00"/>
    <s v="Jan-2023"/>
    <d v="2024-03-31T00:00:00"/>
    <n v="0"/>
    <n v="0"/>
  </r>
  <r>
    <s v="ORD-2024-572312"/>
    <d v="2024-06-16T00:00:00"/>
    <d v="2024-06-21T00:00:00"/>
    <x v="2"/>
    <s v="Japan"/>
    <s v="Tokyo"/>
    <s v="Small Business"/>
    <s v="Distributor"/>
    <x v="8"/>
    <s v="Phones"/>
    <s v="PHN-9677"/>
    <n v="1367.13"/>
    <n v="3062.01"/>
    <n v="0.10299999999999999"/>
    <n v="25"/>
    <s v="Valid"/>
    <n v="3062.01"/>
    <b v="0"/>
    <n v="0.10299999999999999"/>
    <n v="5"/>
    <d v="2024-06-21T00:00:00"/>
    <n v="5"/>
    <n v="7647140.3242500005"/>
    <n v="76550.25"/>
    <n v="7570590.0742500005"/>
    <n v="0.98998968938006149"/>
    <s v="Jun-2024"/>
    <s v="Q2-2024"/>
    <s v="Asia → Japan → Tokyo"/>
    <s v="Devices"/>
    <s v="Medium"/>
    <s v="JAPAN"/>
    <d v="2023-03-03T00:00:00"/>
    <s v="Mar-2023"/>
    <d v="2024-06-30T00:00:00"/>
    <n v="1"/>
    <n v="0"/>
  </r>
  <r>
    <s v="ORD-2025-281062"/>
    <d v="2025-02-15T00:00:00"/>
    <d v="2025-02-27T00:00:00"/>
    <x v="3"/>
    <s v="France"/>
    <s v="Lyon"/>
    <s v="Non-Profit"/>
    <s v="Direct"/>
    <x v="10"/>
    <s v="Accessories"/>
    <s v="ACC-1604"/>
    <n v="1027.26"/>
    <n v="2200.41"/>
    <n v="8.7999999999999995E-2"/>
    <n v="6"/>
    <s v="Valid"/>
    <n v="2200.41"/>
    <b v="0"/>
    <n v="8.7999999999999995E-2"/>
    <n v="12"/>
    <d v="2025-02-27T00:00:00"/>
    <n v="12"/>
    <n v="1319084.18352"/>
    <n v="13202.46"/>
    <n v="1305881.72352"/>
    <n v="0.98999119224917931"/>
    <s v="Feb-2025"/>
    <s v="Q1-2025"/>
    <s v="Europe → France → Lyon"/>
    <s v="Support"/>
    <s v="High"/>
    <s v="FRANCE"/>
    <d v="2023-01-10T00:00:00"/>
    <s v="Jan-2023"/>
    <d v="2025-02-28T00:00:00"/>
    <n v="0"/>
    <n v="0"/>
  </r>
  <r>
    <s v="ORD-2023-727290"/>
    <d v="2023-04-03T00:00:00"/>
    <d v="2023-04-16T00:00:00"/>
    <x v="3"/>
    <s v="France"/>
    <s v="Marseille"/>
    <s v="Non-Profit"/>
    <s v="Marketplace"/>
    <x v="11"/>
    <s v="Accessories"/>
    <s v="ACC-4815"/>
    <n v="790.54"/>
    <n v="601.49"/>
    <n v="0"/>
    <n v="15"/>
    <s v="Valid"/>
    <n v="601.49"/>
    <b v="0"/>
    <n v="0"/>
    <n v="13"/>
    <d v="2023-04-16T00:00:00"/>
    <n v="13"/>
    <n v="902235"/>
    <n v="9022.35"/>
    <n v="893212.65"/>
    <n v="0.99"/>
    <s v="Apr-2023"/>
    <s v="Q2-2023"/>
    <s v="Europe → France → Marseille"/>
    <s v="Support"/>
    <s v="Low"/>
    <s v="FRANCE"/>
    <d v="2023-01-10T00:00:00"/>
    <s v="Jan-2023"/>
    <d v="2023-04-30T00:00:00"/>
    <n v="0"/>
    <n v="0"/>
  </r>
  <r>
    <s v="ORD-2025-993993"/>
    <d v="2025-08-30T00:00:00"/>
    <d v="2025-09-22T00:00:00"/>
    <x v="3"/>
    <s v="France"/>
    <s v="Marseille"/>
    <s v="Corporate"/>
    <s v="Direct"/>
    <x v="5"/>
    <s v="Components"/>
    <s v="CMP-5311"/>
    <n v="663.9"/>
    <n v="947.77"/>
    <n v="0.17399999999999999"/>
    <n v="15"/>
    <s v="Valid"/>
    <n v="947.77"/>
    <b v="0"/>
    <n v="0.17399999999999999"/>
    <n v="23"/>
    <d v="2025-09-22T00:00:00"/>
    <n v="23"/>
    <n v="1419181.3202999998"/>
    <n v="14216.55"/>
    <n v="1404964.7702999997"/>
    <n v="0.98998256967122789"/>
    <s v="Aug-2025"/>
    <s v="Q3-2025"/>
    <s v="Europe → France → Marseille"/>
    <s v="Support"/>
    <s v="High"/>
    <s v="FRANCE"/>
    <d v="2023-01-10T00:00:00"/>
    <s v="Jan-2023"/>
    <d v="2025-08-31T00:00:00"/>
    <n v="0"/>
    <n v="0"/>
  </r>
  <r>
    <s v="ORD-2023-619493"/>
    <d v="2023-02-27T00:00:00"/>
    <d v="2023-02-26T00:00:00"/>
    <x v="1"/>
    <s v="USA"/>
    <s v="San Francisco"/>
    <s v="Non-Profit"/>
    <s v="Online"/>
    <x v="14"/>
    <s v="Networking"/>
    <s v="NET-1282"/>
    <n v="1015.91"/>
    <n v="2331.48"/>
    <n v="0.14599999999999999"/>
    <n v="26"/>
    <s v="Valid"/>
    <n v="2331.48"/>
    <b v="0"/>
    <n v="0.14599999999999999"/>
    <n v="-1"/>
    <d v="2023-03-06T00:00:00"/>
    <n v="7"/>
    <n v="6052997.7019199999"/>
    <n v="60618.48"/>
    <n v="5992379.2219199995"/>
    <n v="0.98998537865283309"/>
    <s v="Feb-2023"/>
    <s v="Q1-2023"/>
    <s v="Americas → USA → San Francisco"/>
    <s v="Support"/>
    <s v="Low"/>
    <s v="USA"/>
    <d v="2023-01-13T00:00:00"/>
    <s v="Jan-2023"/>
    <d v="2023-02-28T00:00:00"/>
    <n v="1"/>
    <n v="0"/>
  </r>
  <r>
    <s v="ORD-2024-947056"/>
    <d v="2024-07-31T00:00:00"/>
    <d v="2024-08-15T00:00:00"/>
    <x v="2"/>
    <s v="Japan"/>
    <s v="Tokyo"/>
    <s v="Corporate"/>
    <s v="Marketplace"/>
    <x v="8"/>
    <s v="Monitors"/>
    <s v="MON-1564"/>
    <n v="1252.52"/>
    <n v="1417.24"/>
    <n v="0.192"/>
    <n v="5"/>
    <s v="Valid"/>
    <n v="1417.24"/>
    <b v="0"/>
    <n v="0.192"/>
    <n v="15"/>
    <d v="2024-08-15T00:00:00"/>
    <n v="15"/>
    <n v="707259.44960000005"/>
    <n v="7086.2"/>
    <n v="700173.2496000001"/>
    <n v="0.98998076306508498"/>
    <s v="Jul-2024"/>
    <s v="Q3-2024"/>
    <s v="Asia → Japan → Tokyo"/>
    <s v="Peripherals"/>
    <s v="Medium"/>
    <s v="JAPAN"/>
    <d v="2023-03-03T00:00:00"/>
    <s v="Mar-2023"/>
    <d v="2024-07-31T00:00:00"/>
    <n v="0"/>
    <n v="0"/>
  </r>
  <r>
    <s v="ORD-2025-856556"/>
    <d v="2025-06-15T00:00:00"/>
    <d v="2025-07-12T00:00:00"/>
    <x v="3"/>
    <s v="France"/>
    <s v="Marseille"/>
    <s v="Consumer"/>
    <s v="Direct"/>
    <x v="0"/>
    <s v="Accessories"/>
    <s v="ACC-7906"/>
    <n v="318.83"/>
    <n v="699.5"/>
    <n v="0.08"/>
    <n v="13"/>
    <s v="Valid"/>
    <n v="699.5"/>
    <b v="0"/>
    <n v="0.08"/>
    <n v="27"/>
    <d v="2025-07-12T00:00:00"/>
    <n v="27"/>
    <n v="908622.52"/>
    <n v="9093.5"/>
    <n v="899529.02"/>
    <n v="0.98999199359487589"/>
    <s v="Jun-2025"/>
    <s v="Q2-2025"/>
    <s v="Europe → France → Marseille"/>
    <s v="Support"/>
    <s v="High"/>
    <s v="FRANCE"/>
    <d v="2023-01-10T00:00:00"/>
    <s v="Jan-2023"/>
    <d v="2025-06-30T00:00:00"/>
    <n v="0"/>
    <n v="0"/>
  </r>
  <r>
    <s v="ORD-2024-442776"/>
    <d v="2024-06-30T00:00:00"/>
    <d v="2024-07-21T00:00:00"/>
    <x v="0"/>
    <s v="Kenya"/>
    <s v="Kisumu"/>
    <s v="Small Business"/>
    <s v="Retail"/>
    <x v="10"/>
    <s v="Laptops"/>
    <s v="LAP-6577"/>
    <n v="753.43"/>
    <n v="1787.2"/>
    <n v="7.2999999999999995E-2"/>
    <n v="9"/>
    <s v="Valid"/>
    <n v="1787.2"/>
    <b v="0"/>
    <n v="7.2999999999999995E-2"/>
    <n v="21"/>
    <d v="2024-07-21T00:00:00"/>
    <n v="21"/>
    <n v="1607305.8096000003"/>
    <n v="16084.800000000001"/>
    <n v="1591221.0096000002"/>
    <n v="0.98999269466710693"/>
    <s v="Jun-2024"/>
    <s v="Q2-2024"/>
    <s v="Africa → Kenya → Kisumu"/>
    <s v="Devices"/>
    <s v="Medium"/>
    <s v="KENYA"/>
    <d v="2023-01-20T00:00:00"/>
    <s v="Jan-2023"/>
    <d v="2024-06-30T00:00:00"/>
    <n v="0"/>
    <n v="0"/>
  </r>
  <r>
    <s v="ORD-2025-705398"/>
    <d v="2025-02-17T00:00:00"/>
    <d v="2025-02-15T00:00:00"/>
    <x v="1"/>
    <s v="Canada"/>
    <s v="Toronto"/>
    <s v="Small Business"/>
    <s v="Retail"/>
    <x v="13"/>
    <s v="Components"/>
    <s v="CMP-5065"/>
    <n v="1133.47"/>
    <n v="1698.75"/>
    <n v="4.2999999999999997E-2"/>
    <n v="5"/>
    <s v="Valid"/>
    <n v="1698.75"/>
    <b v="0"/>
    <n v="4.2999999999999997E-2"/>
    <n v="-2"/>
    <d v="2025-02-24T00:00:00"/>
    <n v="7"/>
    <n v="849009.76874999993"/>
    <n v="8493.75"/>
    <n v="840516.01874999993"/>
    <n v="0.98999569815020461"/>
    <s v="Feb-2025"/>
    <s v="Q1-2025"/>
    <s v="Americas → Canada → Toronto"/>
    <s v="Support"/>
    <s v="High"/>
    <s v="CANADA"/>
    <d v="2023-01-02T00:00:00"/>
    <s v="Jan-2023"/>
    <d v="2025-02-28T00:00:00"/>
    <n v="1"/>
    <n v="0"/>
  </r>
  <r>
    <s v="ORD-2023-689428"/>
    <d v="2023-01-07T00:00:00"/>
    <d v="2023-01-30T00:00:00"/>
    <x v="0"/>
    <s v="South Africa"/>
    <s v="Cape Town"/>
    <s v="Consumer"/>
    <s v="Online"/>
    <x v="7"/>
    <s v="Printers"/>
    <s v="PRN-4787"/>
    <n v="299.02"/>
    <n v="724.7"/>
    <n v="0.14000000000000001"/>
    <n v="5"/>
    <s v="Valid"/>
    <n v="724.7"/>
    <b v="0"/>
    <n v="0.14000000000000001"/>
    <n v="23"/>
    <d v="2023-01-30T00:00:00"/>
    <n v="23"/>
    <n v="361842.71"/>
    <n v="3623.5"/>
    <n v="358219.21"/>
    <n v="0.9899859803725215"/>
    <s v="Jan-2023"/>
    <s v="Q1-2023"/>
    <s v="Africa → South Africa → Cape Town"/>
    <s v="Peripherals"/>
    <s v="Low"/>
    <s v="SOUTH AFRICA"/>
    <d v="2023-01-07T00:00:00"/>
    <s v="Jan-2023"/>
    <d v="2023-01-31T00:00:00"/>
    <n v="0"/>
    <n v="0"/>
  </r>
  <r>
    <s v="ORD-2025-683247"/>
    <d v="2025-03-10T00:00:00"/>
    <d v="2025-04-04T00:00:00"/>
    <x v="2"/>
    <s v="Japan"/>
    <s v="Osaka"/>
    <s v="Corporate"/>
    <s v="Direct"/>
    <x v="9"/>
    <s v="Printers"/>
    <s v="PRN-9867"/>
    <n v="783.72"/>
    <n v="1355.94"/>
    <n v="0.187"/>
    <n v="4"/>
    <s v="Valid"/>
    <n v="1355.94"/>
    <b v="0"/>
    <n v="0.187"/>
    <n v="25"/>
    <d v="2025-04-04T00:00:00"/>
    <n v="25"/>
    <n v="541361.75688"/>
    <n v="5423.76"/>
    <n v="535937.99687999999"/>
    <n v="0.98998126496548544"/>
    <s v="Mar-2025"/>
    <s v="Q1-2025"/>
    <s v="Asia → Japan → Osaka"/>
    <s v="Peripherals"/>
    <s v="High"/>
    <s v="JAPAN"/>
    <d v="2023-03-03T00:00:00"/>
    <s v="Mar-2023"/>
    <d v="2025-03-31T00:00:00"/>
    <n v="0"/>
    <n v="0"/>
  </r>
  <r>
    <s v="ORD-2024-585443"/>
    <d v="2024-08-17T00:00:00"/>
    <d v="2024-08-15T00:00:00"/>
    <x v="1"/>
    <s v="Brazil"/>
    <s v="Rio de Janeiro"/>
    <s v="Consumer"/>
    <s v="Direct"/>
    <x v="11"/>
    <s v="Monitors"/>
    <s v="MON-2849"/>
    <n v="165.3"/>
    <n v="275.07"/>
    <n v="0.13300000000000001"/>
    <n v="25"/>
    <s v="Valid"/>
    <n v="275.07"/>
    <b v="0"/>
    <n v="0.13300000000000001"/>
    <n v="-2"/>
    <d v="2024-08-24T00:00:00"/>
    <n v="7"/>
    <n v="686760.39225000003"/>
    <n v="6876.75"/>
    <n v="679883.64225000003"/>
    <n v="0.98998668228744224"/>
    <s v="Aug-2024"/>
    <s v="Q3-2024"/>
    <s v="Americas → Brazil → Rio de Janeiro"/>
    <s v="Peripherals"/>
    <s v="Medium"/>
    <s v="BRAZIL"/>
    <d v="2023-01-29T00:00:00"/>
    <s v="Jan-2023"/>
    <d v="2024-08-31T00:00:00"/>
    <n v="1"/>
    <n v="0"/>
  </r>
  <r>
    <s v="ORD-2024-907733"/>
    <d v="2024-03-09T00:00:00"/>
    <d v="2024-03-22T00:00:00"/>
    <x v="3"/>
    <s v="United Kingdom"/>
    <s v="Manchester"/>
    <s v="Consumer"/>
    <s v="Online"/>
    <x v="5"/>
    <s v="Laptops"/>
    <s v="LAP-8633"/>
    <n v="985.45"/>
    <n v="1802.44"/>
    <n v="8.9999999999999993E-3"/>
    <n v="19"/>
    <s v="Valid"/>
    <n v="1802.44"/>
    <b v="0"/>
    <n v="8.9999999999999993E-3"/>
    <n v="13"/>
    <d v="2024-03-22T00:00:00"/>
    <n v="13"/>
    <n v="3424327.7827599999"/>
    <n v="34246.36"/>
    <n v="3390081.42276"/>
    <n v="0.98999909991899271"/>
    <s v="Mar-2024"/>
    <s v="Q1-2024"/>
    <s v="Europe → United Kingdom → Manchester"/>
    <s v="Devices"/>
    <s v="Medium"/>
    <s v="UNITED KINGDOM"/>
    <d v="2023-01-19T00:00:00"/>
    <s v="Jan-2023"/>
    <d v="2024-03-31T00:00:00"/>
    <n v="0"/>
    <n v="0"/>
  </r>
  <r>
    <s v="ORD-2024-550400"/>
    <d v="2024-08-19T00:00:00"/>
    <d v="2024-09-02T00:00:00"/>
    <x v="1"/>
    <s v="Canada"/>
    <s v="Toronto"/>
    <s v="Consumer"/>
    <s v="Distributor"/>
    <x v="0"/>
    <s v="Printers"/>
    <s v="PRN-9793"/>
    <n v="1337.01"/>
    <n v="1269.78"/>
    <n v="0.16"/>
    <n v="7"/>
    <s v="Valid"/>
    <n v="1269.78"/>
    <b v="0"/>
    <n v="0.16"/>
    <n v="14"/>
    <d v="2024-09-02T00:00:00"/>
    <n v="14"/>
    <n v="887423.84639999992"/>
    <n v="8888.4599999999991"/>
    <n v="878535.38639999996"/>
    <n v="0.98998397435897445"/>
    <s v="Aug-2024"/>
    <s v="Q3-2024"/>
    <s v="Americas → Canada → Toronto"/>
    <s v="Peripherals"/>
    <s v="Medium"/>
    <s v="CANADA"/>
    <d v="2023-01-02T00:00:00"/>
    <s v="Jan-2023"/>
    <d v="2024-08-31T00:00:00"/>
    <n v="0"/>
    <n v="0"/>
  </r>
  <r>
    <s v="ORD-2025-189846"/>
    <d v="2025-08-11T00:00:00"/>
    <d v="2025-08-28T00:00:00"/>
    <x v="3"/>
    <s v="France"/>
    <s v="Paris"/>
    <s v="Education"/>
    <s v="Online"/>
    <x v="8"/>
    <s v="Networking"/>
    <s v="NET-6218"/>
    <n v="416.16"/>
    <n v="571.9"/>
    <n v="7.0999999999999994E-2"/>
    <n v="2"/>
    <s v="Valid"/>
    <n v="571.9"/>
    <b v="0"/>
    <n v="7.0999999999999994E-2"/>
    <n v="17"/>
    <d v="2025-08-28T00:00:00"/>
    <n v="17"/>
    <n v="114298.7902"/>
    <n v="1143.8"/>
    <n v="113154.9902"/>
    <n v="0.98999289495541831"/>
    <s v="Aug-2025"/>
    <s v="Q3-2025"/>
    <s v="Europe → France → Paris"/>
    <s v="Support"/>
    <s v="High"/>
    <s v="FRANCE"/>
    <d v="2023-01-10T00:00:00"/>
    <s v="Jan-2023"/>
    <d v="2025-08-31T00:00:00"/>
    <n v="0"/>
    <n v="0"/>
  </r>
  <r>
    <s v="ORD-2025-752192"/>
    <d v="2025-05-16T00:00:00"/>
    <d v="2025-05-18T00:00:00"/>
    <x v="2"/>
    <s v="Japan"/>
    <s v="Tokyo"/>
    <s v="Enterprise"/>
    <s v="Retail"/>
    <x v="1"/>
    <s v="Printers"/>
    <s v="PRN-6131"/>
    <n v="1144.3800000000001"/>
    <n v="2755.04"/>
    <n v="0.15"/>
    <n v="17"/>
    <s v="Valid"/>
    <n v="2755.04"/>
    <b v="0"/>
    <n v="0.15"/>
    <n v="2"/>
    <d v="2025-05-18T00:00:00"/>
    <n v="2"/>
    <n v="4676542.648"/>
    <n v="46835.68"/>
    <n v="4629706.9680000003"/>
    <n v="0.9899849774661994"/>
    <s v="May-2025"/>
    <s v="Q2-2025"/>
    <s v="Asia → Japan → Tokyo"/>
    <s v="Peripherals"/>
    <s v="High"/>
    <s v="JAPAN"/>
    <d v="2023-03-03T00:00:00"/>
    <s v="Mar-2023"/>
    <d v="2025-05-31T00:00:00"/>
    <n v="1"/>
    <n v="0"/>
  </r>
  <r>
    <s v="ORD-2023-294716"/>
    <d v="2023-04-10T00:00:00"/>
    <d v="2023-04-25T00:00:00"/>
    <x v="3"/>
    <s v="United Kingdom"/>
    <s v="London"/>
    <s v="Small Business"/>
    <s v="Retail"/>
    <x v="13"/>
    <s v="Printers"/>
    <s v="PRN-5067"/>
    <n v="405.66"/>
    <n v="962.51"/>
    <n v="0.19"/>
    <n v="7"/>
    <s v="Valid"/>
    <n v="962.51"/>
    <b v="0"/>
    <n v="0.19"/>
    <n v="15"/>
    <d v="2023-04-25T00:00:00"/>
    <n v="15"/>
    <n v="672476.86170000001"/>
    <n v="6737.57"/>
    <n v="665739.29170000006"/>
    <n v="0.98998096383127954"/>
    <s v="Apr-2023"/>
    <s v="Q2-2023"/>
    <s v="Europe → United Kingdom → London"/>
    <s v="Peripherals"/>
    <s v="Low"/>
    <s v="UNITED KINGDOM"/>
    <d v="2023-01-19T00:00:00"/>
    <s v="Jan-2023"/>
    <d v="2023-04-30T00:00:00"/>
    <n v="0"/>
    <n v="0"/>
  </r>
  <r>
    <s v="ORD-2023-552115"/>
    <d v="2023-09-17T00:00:00"/>
    <d v="2023-10-02T00:00:00"/>
    <x v="1"/>
    <s v="Brazil"/>
    <s v="Rio de Janeiro"/>
    <s v="Small Business"/>
    <s v="Retail"/>
    <x v="4"/>
    <s v="Laptops"/>
    <s v="LAP-4932"/>
    <n v="689.33"/>
    <n v="668.27"/>
    <n v="0.186"/>
    <n v="13"/>
    <s v="Valid"/>
    <n v="668.27"/>
    <b v="0"/>
    <n v="0.186"/>
    <n v="15"/>
    <d v="2023-10-02T00:00:00"/>
    <n v="15"/>
    <n v="867135.12313999992"/>
    <n v="8687.51"/>
    <n v="858447.61313999991"/>
    <n v="0.98998136533953152"/>
    <s v="Sep-2023"/>
    <s v="Q3-2023"/>
    <s v="Americas → Brazil → Rio de Janeiro"/>
    <s v="Devices"/>
    <s v="Low"/>
    <s v="BRAZIL"/>
    <d v="2023-01-29T00:00:00"/>
    <s v="Jan-2023"/>
    <d v="2023-09-30T00:00:00"/>
    <n v="0"/>
    <n v="0"/>
  </r>
  <r>
    <s v="ORD-2023-107265"/>
    <d v="2023-04-22T00:00:00"/>
    <d v="2023-05-14T00:00:00"/>
    <x v="2"/>
    <s v="Japan"/>
    <s v="Nagoya"/>
    <s v="Enterprise"/>
    <s v="Retail"/>
    <x v="7"/>
    <s v="Accessories"/>
    <s v="ACC-7713"/>
    <n v="1209.22"/>
    <n v="1404.33"/>
    <n v="0.10299999999999999"/>
    <n v="11"/>
    <s v="Valid"/>
    <n v="1404.33"/>
    <b v="0"/>
    <n v="0.10299999999999999"/>
    <n v="22"/>
    <d v="2023-05-14T00:00:00"/>
    <n v="22"/>
    <n v="1543171.89411"/>
    <n v="15447.63"/>
    <n v="1527724.2641100001"/>
    <n v="0.98998968938006149"/>
    <s v="Apr-2023"/>
    <s v="Q2-2023"/>
    <s v="Asia → Japan → Nagoya"/>
    <s v="Support"/>
    <s v="Low"/>
    <s v="JAPAN"/>
    <d v="2023-03-03T00:00:00"/>
    <s v="Mar-2023"/>
    <d v="2023-04-30T00:00:00"/>
    <n v="0"/>
    <n v="0"/>
  </r>
  <r>
    <s v="ORD-2025-262434"/>
    <d v="2025-06-19T00:00:00"/>
    <d v="2025-06-21T00:00:00"/>
    <x v="0"/>
    <s v="South Africa"/>
    <s v="Johannesburg"/>
    <s v="Small Business"/>
    <s v="Unknown Channel "/>
    <x v="9"/>
    <s v="Phones"/>
    <s v="PHN-7379"/>
    <n v="1466.27"/>
    <n v="3589.89"/>
    <n v="9.7000000000000003E-2"/>
    <n v="9"/>
    <s v="Valid"/>
    <n v="3589.89"/>
    <b v="0"/>
    <n v="9.7000000000000003E-2"/>
    <n v="2"/>
    <d v="2025-06-21T00:00:00"/>
    <n v="2"/>
    <n v="3227767.0260299998"/>
    <n v="32309.01"/>
    <n v="3195458.0160300001"/>
    <n v="0.9899902905818645"/>
    <s v="Jun-2025"/>
    <s v="Q2-2025"/>
    <s v="Africa → South Africa → Johannesburg"/>
    <s v="Devices"/>
    <s v="High"/>
    <s v="SOUTH AFRICA"/>
    <d v="2023-01-07T00:00:00"/>
    <s v="Jan-2023"/>
    <d v="2025-06-30T00:00:00"/>
    <n v="1"/>
    <n v="0"/>
  </r>
  <r>
    <s v="ORD-2024-266562"/>
    <d v="2024-11-27T00:00:00"/>
    <d v="2024-12-24T00:00:00"/>
    <x v="0"/>
    <s v="Kenya"/>
    <s v="Mombasa"/>
    <s v="Corporate"/>
    <s v="Distributor"/>
    <x v="4"/>
    <s v="Printers"/>
    <s v="PRN-5569"/>
    <n v="143.33000000000001"/>
    <n v="233.51"/>
    <n v="0.16300000000000001"/>
    <n v="14"/>
    <s v="Valid"/>
    <n v="233.51"/>
    <b v="0"/>
    <n v="0.16300000000000001"/>
    <n v="27"/>
    <d v="2024-12-24T00:00:00"/>
    <n v="27"/>
    <n v="326381.13017999998"/>
    <n v="3269.14"/>
    <n v="323111.99017999996"/>
    <n v="0.98998367338762183"/>
    <s v="Nov-2024"/>
    <s v="Q4-2024"/>
    <s v="Africa → Kenya → Mombasa"/>
    <s v="Peripherals"/>
    <s v="High"/>
    <s v="KENYA"/>
    <d v="2023-01-20T00:00:00"/>
    <s v="Jan-2023"/>
    <d v="2024-11-30T00:00:00"/>
    <n v="0"/>
    <n v="0"/>
  </r>
  <r>
    <s v="ORD-2024-838925"/>
    <d v="2024-01-28T00:00:00"/>
    <d v="2024-01-27T00:00:00"/>
    <x v="0"/>
    <s v="South Africa"/>
    <s v="Cape Town"/>
    <s v="Enterprise"/>
    <s v="Direct"/>
    <x v="6"/>
    <s v="Components"/>
    <s v="CMP-1470"/>
    <n v="109.75"/>
    <n v="124.25"/>
    <n v="0.12"/>
    <n v="19"/>
    <s v="Valid"/>
    <n v="124.25"/>
    <b v="0"/>
    <n v="0.12"/>
    <n v="-1"/>
    <d v="2024-02-04T00:00:00"/>
    <n v="7"/>
    <n v="235791.71"/>
    <n v="2360.75"/>
    <n v="233430.96"/>
    <n v="0.98998798558269929"/>
    <s v="Jan-2024"/>
    <s v="Q1-2024"/>
    <s v="Africa → South Africa → Cape Town"/>
    <s v="Support"/>
    <s v="Medium"/>
    <s v="SOUTH AFRICA"/>
    <d v="2023-01-07T00:00:00"/>
    <s v="Jan-2023"/>
    <d v="2024-01-31T00:00:00"/>
    <n v="1"/>
    <n v="0"/>
  </r>
  <r>
    <s v="ORD-2023-664790"/>
    <d v="2023-04-16T00:00:00"/>
    <d v="2023-04-23T00:00:00"/>
    <x v="1"/>
    <s v="USA"/>
    <s v="Austin"/>
    <s v="Corporate"/>
    <s v="Distributor"/>
    <x v="6"/>
    <s v="Printers"/>
    <s v="PRN-9249"/>
    <n v="1099.1500000000001"/>
    <n v="1431.37"/>
    <n v="0.104"/>
    <n v="8"/>
    <s v="Valid"/>
    <n v="1431.37"/>
    <b v="0"/>
    <n v="0.104"/>
    <n v="7"/>
    <d v="2023-04-23T00:00:00"/>
    <n v="7"/>
    <n v="1143905.1001599999"/>
    <n v="11450.96"/>
    <n v="1132454.14016"/>
    <n v="0.98998958917273971"/>
    <s v="Apr-2023"/>
    <s v="Q2-2023"/>
    <s v="Americas → USA → Austin"/>
    <s v="Peripherals"/>
    <s v="Low"/>
    <s v="USA"/>
    <d v="2023-01-13T00:00:00"/>
    <s v="Jan-2023"/>
    <d v="2023-04-30T00:00:00"/>
    <n v="1"/>
    <n v="0"/>
  </r>
  <r>
    <s v="ORD-2024-331408"/>
    <d v="2024-02-01T00:00:00"/>
    <d v="2024-02-01T00:00:00"/>
    <x v="1"/>
    <s v="USA"/>
    <s v="Austin"/>
    <s v="Consumer"/>
    <s v="Distributor"/>
    <x v="9"/>
    <s v="Printers"/>
    <s v="PRN-4906"/>
    <n v="714.43"/>
    <n v="1595.52"/>
    <n v="0.19400000000000001"/>
    <n v="14"/>
    <s v="Valid"/>
    <n v="1595.52"/>
    <b v="0"/>
    <n v="0.19400000000000001"/>
    <n v="0"/>
    <d v="2024-02-01T00:00:00"/>
    <n v="0"/>
    <n v="2229394.5676799999"/>
    <n v="22337.279999999999"/>
    <n v="2207057.2876800001"/>
    <n v="0.9899805622908443"/>
    <s v="Feb-2024"/>
    <s v="Q1-2024"/>
    <s v="Americas → USA → Austin"/>
    <s v="Peripherals"/>
    <s v="Medium"/>
    <s v="USA"/>
    <d v="2023-01-13T00:00:00"/>
    <s v="Jan-2023"/>
    <d v="2024-02-29T00:00:00"/>
    <n v="1"/>
    <n v="0"/>
  </r>
  <r>
    <s v="ORD-2024-741404"/>
    <d v="2024-10-19T00:00:00"/>
    <d v="2024-11-06T00:00:00"/>
    <x v="1"/>
    <s v="USA"/>
    <s v="Chicago"/>
    <s v="Education"/>
    <s v="Unknown Channel "/>
    <x v="0"/>
    <s v="Monitors"/>
    <s v="MON-8129"/>
    <n v="942.02"/>
    <n v="1028.46"/>
    <n v="0"/>
    <n v="9"/>
    <s v="Valid"/>
    <n v="1028.46"/>
    <b v="0"/>
    <n v="0"/>
    <n v="18"/>
    <d v="2024-11-06T00:00:00"/>
    <n v="18"/>
    <n v="925614"/>
    <n v="9256.14"/>
    <n v="916357.86"/>
    <n v="0.99"/>
    <s v="Oct-2024"/>
    <s v="Q4-2024"/>
    <s v="Americas → USA → Chicago"/>
    <s v="Peripherals"/>
    <s v="Medium"/>
    <s v="USA"/>
    <d v="2023-01-13T00:00:00"/>
    <s v="Jan-2023"/>
    <d v="2024-10-31T00:00:00"/>
    <n v="0"/>
    <n v="0"/>
  </r>
  <r>
    <s v="ORD-2024-341535"/>
    <d v="2024-06-25T00:00:00"/>
    <d v="2024-06-30T00:00:00"/>
    <x v="0"/>
    <s v="Kenya"/>
    <s v="Kisumu"/>
    <s v="Education"/>
    <s v="Direct"/>
    <x v="11"/>
    <s v="Networking"/>
    <s v="NET-5987"/>
    <n v="1323.55"/>
    <n v="3230.35"/>
    <n v="2.1999999999999999E-2"/>
    <n v="26"/>
    <s v="Valid"/>
    <n v="3230.35"/>
    <b v="0"/>
    <n v="2.1999999999999999E-2"/>
    <n v="5"/>
    <d v="2024-06-30T00:00:00"/>
    <n v="5"/>
    <n v="8397062.2397999987"/>
    <n v="83989.099999999991"/>
    <n v="8313073.1397999991"/>
    <n v="0.98999779951589351"/>
    <s v="Jun-2024"/>
    <s v="Q2-2024"/>
    <s v="Africa → Kenya → Kisumu"/>
    <s v="Support"/>
    <s v="Medium"/>
    <s v="KENYA"/>
    <d v="2023-01-20T00:00:00"/>
    <s v="Jan-2023"/>
    <d v="2024-06-30T00:00:00"/>
    <n v="1"/>
    <n v="0"/>
  </r>
  <r>
    <s v="ORD-2023-451931"/>
    <d v="2023-07-30T00:00:00"/>
    <d v="2023-08-19T00:00:00"/>
    <x v="3"/>
    <s v="France"/>
    <s v="Paris"/>
    <s v="Enterprise"/>
    <s v="Marketplace"/>
    <x v="3"/>
    <s v="Networking"/>
    <s v="NET-5423"/>
    <n v="1418.51"/>
    <n v="2789.61"/>
    <n v="0.17100000000000001"/>
    <n v="8"/>
    <s v="Valid"/>
    <n v="2789.61"/>
    <b v="0"/>
    <n v="0.17100000000000001"/>
    <n v="20"/>
    <d v="2023-08-19T00:00:00"/>
    <n v="20"/>
    <n v="2227871.8135199999"/>
    <n v="22316.880000000001"/>
    <n v="2205554.93352"/>
    <n v="0.98998287070891233"/>
    <s v="Jul-2023"/>
    <s v="Q3-2023"/>
    <s v="Europe → France → Paris"/>
    <s v="Support"/>
    <s v="Low"/>
    <s v="FRANCE"/>
    <d v="2023-01-10T00:00:00"/>
    <s v="Jan-2023"/>
    <d v="2023-07-31T00:00:00"/>
    <n v="0"/>
    <n v="0"/>
  </r>
  <r>
    <s v="ORD-2025-532859"/>
    <d v="2025-03-11T00:00:00"/>
    <d v="2025-03-27T00:00:00"/>
    <x v="2"/>
    <s v="Japan"/>
    <s v="Tokyo"/>
    <s v="Enterprise"/>
    <s v="Distributor"/>
    <x v="4"/>
    <s v="Printers"/>
    <s v="PRN-5264"/>
    <n v="1317.58"/>
    <n v="1897.74"/>
    <n v="8.1000000000000003E-2"/>
    <n v="6"/>
    <s v="Valid"/>
    <n v="1897.74"/>
    <b v="0"/>
    <n v="8.1000000000000003E-2"/>
    <n v="16"/>
    <d v="2025-03-27T00:00:00"/>
    <n v="16"/>
    <n v="1137721.69836"/>
    <n v="11386.44"/>
    <n v="1126335.2583600001"/>
    <n v="0.98999189343368132"/>
    <s v="Mar-2025"/>
    <s v="Q1-2025"/>
    <s v="Asia → Japan → Tokyo"/>
    <s v="Peripherals"/>
    <s v="High"/>
    <s v="JAPAN"/>
    <d v="2023-03-03T00:00:00"/>
    <s v="Mar-2023"/>
    <d v="2025-03-31T00:00:00"/>
    <n v="0"/>
    <n v="0"/>
  </r>
  <r>
    <s v="ORD-2023-502205"/>
    <d v="2023-10-09T00:00:00"/>
    <d v="2023-10-11T00:00:00"/>
    <x v="0"/>
    <s v="Nigeria"/>
    <s v="Port Harcourt"/>
    <s v="Education"/>
    <s v="Marketplace"/>
    <x v="10"/>
    <s v="Networking"/>
    <s v="NET-8856"/>
    <n v="391.16"/>
    <n v="902.47"/>
    <n v="4.0000000000000001E-3"/>
    <n v="12"/>
    <s v="Valid"/>
    <n v="902.47"/>
    <b v="0"/>
    <n v="4.0000000000000001E-3"/>
    <n v="2"/>
    <d v="2023-10-11T00:00:00"/>
    <n v="2"/>
    <n v="1082920.68144"/>
    <n v="10829.64"/>
    <n v="1072091.0414400001"/>
    <n v="0.98999959998399945"/>
    <s v="Oct-2023"/>
    <s v="Q4-2023"/>
    <s v="Africa → Nigeria → Port Harcourt"/>
    <s v="Support"/>
    <s v="Low"/>
    <s v="NIGERIA"/>
    <d v="2023-01-15T00:00:00"/>
    <s v="Jan-2023"/>
    <d v="2023-10-31T00:00:00"/>
    <n v="1"/>
    <n v="0"/>
  </r>
  <r>
    <s v="ORD-2024-930679"/>
    <d v="2024-12-17T00:00:00"/>
    <d v="2025-01-16T00:00:00"/>
    <x v="3"/>
    <s v="United Kingdom"/>
    <s v="Manchester"/>
    <s v="Corporate"/>
    <s v="Retail"/>
    <x v="13"/>
    <s v="Monitors"/>
    <s v="MON-4215"/>
    <n v="722.87"/>
    <n v="-33.659999999999997"/>
    <n v="0.10199999999999999"/>
    <n v="28"/>
    <b v="0"/>
    <n v="33.659999999999997"/>
    <b v="0"/>
    <n v="0.10199999999999999"/>
    <n v="30"/>
    <d v="2025-01-16T00:00:00"/>
    <n v="30"/>
    <n v="94151.867039999983"/>
    <n v="942.4799999999999"/>
    <n v="93209.387039999987"/>
    <n v="0.98998978958537709"/>
    <s v="Dec-2024"/>
    <s v="Q4-2024"/>
    <s v="Europe → United Kingdom → Manchester"/>
    <s v="Peripherals"/>
    <s v="High"/>
    <s v="UNITED KINGDOM"/>
    <d v="2023-01-19T00:00:00"/>
    <s v="Jan-2023"/>
    <d v="2024-12-31T00:00:00"/>
    <n v="0"/>
    <n v="0"/>
  </r>
  <r>
    <s v="ORD-2025-150713"/>
    <d v="2025-07-11T00:00:00"/>
    <d v="2025-07-16T00:00:00"/>
    <x v="3"/>
    <s v="United Kingdom"/>
    <s v="London"/>
    <s v="Enterprise"/>
    <s v="Online"/>
    <x v="10"/>
    <s v="Printers"/>
    <s v="PRN-5753"/>
    <n v="930.03"/>
    <n v="1086.68"/>
    <n v="0.109"/>
    <n v="26"/>
    <s v="Valid"/>
    <n v="1086.68"/>
    <b v="0"/>
    <n v="0.109"/>
    <n v="5"/>
    <d v="2025-07-16T00:00:00"/>
    <n v="5"/>
    <n v="2822288.3488800004"/>
    <n v="28253.68"/>
    <n v="2794034.6688800002"/>
    <n v="0.98998908810603548"/>
    <s v="Jul-2025"/>
    <s v="Q3-2025"/>
    <s v="Europe → United Kingdom → London"/>
    <s v="Peripherals"/>
    <s v="High"/>
    <s v="UNITED KINGDOM"/>
    <d v="2023-01-19T00:00:00"/>
    <s v="Jan-2023"/>
    <d v="2025-07-31T00:00:00"/>
    <n v="1"/>
    <n v="0"/>
  </r>
  <r>
    <s v="ORD-2024-756884"/>
    <d v="2024-10-13T00:00:00"/>
    <d v="2024-10-24T00:00:00"/>
    <x v="3"/>
    <s v="France"/>
    <s v="Paris"/>
    <s v="Education"/>
    <s v="Distributor"/>
    <x v="8"/>
    <s v="Components"/>
    <s v="CMP-5006"/>
    <n v="816.7"/>
    <n v="1010.75"/>
    <n v="4.7E-2"/>
    <n v="43"/>
    <s v="Valid"/>
    <n v="1010.75"/>
    <b v="0"/>
    <n v="4.7E-2"/>
    <n v="11"/>
    <d v="2024-10-24T00:00:00"/>
    <n v="11"/>
    <n v="4344182.2742499998"/>
    <n v="43462.25"/>
    <n v="4300720.0242499998"/>
    <n v="0.98999529778996131"/>
    <s v="Oct-2024"/>
    <s v="Q4-2024"/>
    <s v="Europe → France → Paris"/>
    <s v="Support"/>
    <s v="Medium"/>
    <s v="FRANCE"/>
    <d v="2023-01-10T00:00:00"/>
    <s v="Jan-2023"/>
    <d v="2024-10-31T00:00:00"/>
    <n v="0"/>
    <n v="0"/>
  </r>
  <r>
    <s v="ORD-2023-755337"/>
    <d v="2023-09-08T00:00:00"/>
    <d v="2023-09-14T00:00:00"/>
    <x v="0"/>
    <s v="Kenya"/>
    <s v="Nakuru"/>
    <s v="Education"/>
    <s v="Direct"/>
    <x v="2"/>
    <s v="Accessories"/>
    <s v="ACC-4766"/>
    <n v="251.03"/>
    <n v="411.48"/>
    <n v="0.16500000000000001"/>
    <n v="3"/>
    <s v="Valid"/>
    <n v="411.48"/>
    <b v="0"/>
    <n v="0.16500000000000001"/>
    <n v="6"/>
    <d v="2023-09-14T00:00:00"/>
    <n v="6"/>
    <n v="123240.3174"/>
    <n v="1234.44"/>
    <n v="122005.8774"/>
    <n v="0.98998347273000453"/>
    <s v="Sep-2023"/>
    <s v="Q3-2023"/>
    <s v="Africa → Kenya → Nakuru"/>
    <s v="Support"/>
    <s v="Low"/>
    <s v="KENYA"/>
    <d v="2023-01-20T00:00:00"/>
    <s v="Jan-2023"/>
    <d v="2023-09-30T00:00:00"/>
    <n v="1"/>
    <n v="0"/>
  </r>
  <r>
    <s v="ORD-2025-907040"/>
    <d v="2025-04-17T00:00:00"/>
    <d v="2025-05-03T00:00:00"/>
    <x v="1"/>
    <s v="Brazil"/>
    <s v="Rio de Janeiro"/>
    <s v="Consumer"/>
    <s v="Marketplace"/>
    <x v="1"/>
    <s v="Networking"/>
    <s v="NET-8610"/>
    <n v="168.68"/>
    <n v="413.34"/>
    <n v="0.186"/>
    <n v="7"/>
    <s v="Valid"/>
    <n v="413.34"/>
    <b v="0"/>
    <n v="0.186"/>
    <n v="16"/>
    <d v="2025-05-03T00:00:00"/>
    <n v="16"/>
    <n v="288799.83131999994"/>
    <n v="2893.3799999999997"/>
    <n v="285906.45131999993"/>
    <n v="0.98998136533953152"/>
    <s v="Apr-2025"/>
    <s v="Q2-2025"/>
    <s v="Americas → Brazil → Rio de Janeiro"/>
    <s v="Support"/>
    <s v="High"/>
    <s v="BRAZIL"/>
    <d v="2023-01-29T00:00:00"/>
    <s v="Jan-2023"/>
    <d v="2025-04-30T00:00:00"/>
    <n v="0"/>
    <n v="0"/>
  </r>
  <r>
    <s v="ORD-2024-817997"/>
    <d v="2024-07-28T00:00:00"/>
    <d v="2024-08-23T00:00:00"/>
    <x v="2"/>
    <s v="India"/>
    <s v="Hyderabad"/>
    <s v="Corporate"/>
    <s v="Retail"/>
    <x v="1"/>
    <s v="Networking"/>
    <s v="NET-4675"/>
    <n v="1339.24"/>
    <n v="1558.89"/>
    <n v="0.192"/>
    <n v="24"/>
    <s v="Valid"/>
    <n v="1558.89"/>
    <b v="0"/>
    <n v="0.192"/>
    <n v="26"/>
    <d v="2024-08-23T00:00:00"/>
    <n v="26"/>
    <n v="3734152.6348800003"/>
    <n v="37413.360000000001"/>
    <n v="3696739.2748800004"/>
    <n v="0.98998076306508498"/>
    <s v="Jul-2024"/>
    <s v="Q3-2024"/>
    <s v="Asia → India → Hyderabad"/>
    <s v="Support"/>
    <s v="Medium"/>
    <s v="INDIA"/>
    <d v="2023-01-29T00:00:00"/>
    <s v="Jan-2023"/>
    <d v="2024-07-31T00:00:00"/>
    <n v="0"/>
    <n v="0"/>
  </r>
  <r>
    <s v="ORD-2025-649633"/>
    <d v="2025-07-19T00:00:00"/>
    <d v="2025-07-31T00:00:00"/>
    <x v="0"/>
    <s v="Kenya"/>
    <s v="Nairobi"/>
    <s v="Small Business"/>
    <s v="Marketplace"/>
    <x v="6"/>
    <s v="Accessories"/>
    <s v="ACC-1028"/>
    <n v="619.64"/>
    <n v="861.16"/>
    <n v="0.113"/>
    <n v="14"/>
    <s v="Valid"/>
    <n v="861.16"/>
    <b v="0"/>
    <n v="0.113"/>
    <n v="12"/>
    <d v="2025-07-31T00:00:00"/>
    <n v="12"/>
    <n v="1204261.64488"/>
    <n v="12056.24"/>
    <n v="1192205.40488"/>
    <n v="0.98998868721655475"/>
    <s v="Jul-2025"/>
    <s v="Q3-2025"/>
    <s v="Africa → Kenya → Nairobi"/>
    <s v="Support"/>
    <s v="High"/>
    <s v="KENYA"/>
    <d v="2023-01-20T00:00:00"/>
    <s v="Jan-2023"/>
    <d v="2025-07-31T00:00:00"/>
    <n v="0"/>
    <n v="0"/>
  </r>
  <r>
    <s v="ORD-2023-885216"/>
    <d v="2023-08-03T00:00:00"/>
    <d v="2023-08-02T00:00:00"/>
    <x v="2"/>
    <s v="China"/>
    <s v="Shanghai"/>
    <s v="Non-Profit"/>
    <s v="Direct"/>
    <x v="1"/>
    <s v="Networking"/>
    <s v="NET-4735"/>
    <n v="1021.97"/>
    <n v="2296.25"/>
    <n v="0.161"/>
    <n v="26"/>
    <s v="Valid"/>
    <n v="2296.25"/>
    <b v="0"/>
    <n v="0.161"/>
    <n v="-1"/>
    <d v="2023-08-10T00:00:00"/>
    <n v="7"/>
    <n v="5960637.8975"/>
    <n v="59702.5"/>
    <n v="5900935.3975"/>
    <n v="0.9899838740371999"/>
    <s v="Aug-2023"/>
    <s v="Q3-2023"/>
    <s v="Asia → China → Shanghai"/>
    <s v="Support"/>
    <s v="Low"/>
    <s v="CHINA"/>
    <d v="2023-01-12T00:00:00"/>
    <s v="Jan-2023"/>
    <d v="2023-08-31T00:00:00"/>
    <n v="1"/>
    <n v="0"/>
  </r>
  <r>
    <s v="ORD-2023-561823"/>
    <d v="2023-11-19T00:00:00"/>
    <d v="2023-12-12T00:00:00"/>
    <x v="2"/>
    <s v="India"/>
    <s v="Delhi"/>
    <s v="Small Business"/>
    <s v="Direct"/>
    <x v="0"/>
    <s v="Networking"/>
    <s v="NET-2460"/>
    <n v="1349.04"/>
    <n v="2636.6"/>
    <n v="0.114"/>
    <n v="14"/>
    <s v="Valid"/>
    <n v="2636.6"/>
    <b v="0"/>
    <n v="0.114"/>
    <n v="23"/>
    <d v="2023-12-12T00:00:00"/>
    <n v="23"/>
    <n v="3687031.9863999998"/>
    <n v="36912.400000000001"/>
    <n v="3650119.5863999999"/>
    <n v="0.9899885869891677"/>
    <s v="Nov-2023"/>
    <s v="Q4-2023"/>
    <s v="Asia → India → Delhi"/>
    <s v="Support"/>
    <s v="Low"/>
    <s v="INDIA"/>
    <d v="2023-01-29T00:00:00"/>
    <s v="Jan-2023"/>
    <d v="2023-11-30T00:00:00"/>
    <n v="0"/>
    <n v="0"/>
  </r>
  <r>
    <s v="ORD-2023-249805"/>
    <d v="2023-12-22T00:00:00"/>
    <d v="2024-01-16T00:00:00"/>
    <x v="2"/>
    <s v="India"/>
    <s v="Hyderabad"/>
    <s v="Small Business"/>
    <s v="Retail"/>
    <x v="7"/>
    <s v="Components"/>
    <s v="CMP-1555"/>
    <n v="1346.81"/>
    <n v="978.09"/>
    <n v="0.159"/>
    <n v="17"/>
    <s v="Valid"/>
    <n v="978.09"/>
    <b v="0"/>
    <n v="0.159"/>
    <n v="25"/>
    <d v="2024-01-16T00:00:00"/>
    <n v="25"/>
    <n v="1660109.2227299998"/>
    <n v="16627.53"/>
    <n v="1643481.6927299998"/>
    <n v="0.98998407467873917"/>
    <s v="Dec-2023"/>
    <s v="Q4-2023"/>
    <s v="Asia → India → Hyderabad"/>
    <s v="Support"/>
    <s v="Medium"/>
    <s v="INDIA"/>
    <d v="2023-01-29T00:00:00"/>
    <s v="Jan-2023"/>
    <d v="2023-12-31T00:00:00"/>
    <n v="0"/>
    <n v="0"/>
  </r>
  <r>
    <s v="ORD-2023-548934"/>
    <d v="2023-08-03T00:00:00"/>
    <d v="2023-08-30T00:00:00"/>
    <x v="2"/>
    <s v="China"/>
    <s v="Shanghai"/>
    <s v="Consumer"/>
    <s v="Distributor"/>
    <x v="12"/>
    <s v="Monitors"/>
    <s v="MON-3773"/>
    <n v="226.04"/>
    <n v="545.72"/>
    <n v="0.151"/>
    <n v="11"/>
    <s v="Valid"/>
    <n v="545.72"/>
    <b v="0"/>
    <n v="0.151"/>
    <n v="27"/>
    <d v="2023-08-30T00:00:00"/>
    <n v="27"/>
    <n v="599385.55908000004"/>
    <n v="6002.92"/>
    <n v="593382.63907999999"/>
    <n v="0.98998487716451833"/>
    <s v="Aug-2023"/>
    <s v="Q3-2023"/>
    <s v="Asia → China → Shanghai"/>
    <s v="Peripherals"/>
    <s v="Low"/>
    <s v="CHINA"/>
    <d v="2023-01-12T00:00:00"/>
    <s v="Jan-2023"/>
    <d v="2023-08-31T00:00:00"/>
    <n v="0"/>
    <n v="0"/>
  </r>
  <r>
    <s v="ORD-2023-921939"/>
    <d v="2023-06-23T00:00:00"/>
    <d v="2023-07-18T00:00:00"/>
    <x v="1"/>
    <s v="Canada"/>
    <s v="Vancouver"/>
    <s v="Enterprise"/>
    <s v="Online"/>
    <x v="12"/>
    <s v="Phones"/>
    <s v="PHN-4677"/>
    <n v="807.02"/>
    <n v="1435.54"/>
    <n v="0"/>
    <n v="23"/>
    <s v="Valid"/>
    <n v="1435.54"/>
    <b v="0"/>
    <n v="0"/>
    <n v="25"/>
    <d v="2023-07-18T00:00:00"/>
    <n v="25"/>
    <n v="3301742"/>
    <n v="33017.42"/>
    <n v="3268724.58"/>
    <n v="0.99"/>
    <s v="Jun-2023"/>
    <s v="Q2-2023"/>
    <s v="Americas → Canada → Vancouver"/>
    <s v="Devices"/>
    <s v="Low"/>
    <s v="CANADA"/>
    <d v="2023-01-02T00:00:00"/>
    <s v="Jan-2023"/>
    <d v="2023-06-30T00:00:00"/>
    <n v="0"/>
    <n v="0"/>
  </r>
  <r>
    <s v="ORD-2023-961864"/>
    <d v="2023-12-07T00:00:00"/>
    <d v="2024-01-02T00:00:00"/>
    <x v="3"/>
    <s v="Germany"/>
    <s v="Frankfurt"/>
    <s v="Enterprise"/>
    <s v="Distributor"/>
    <x v="5"/>
    <s v="Components"/>
    <s v="CMP-1940"/>
    <n v="1071.99"/>
    <n v="2397.3000000000002"/>
    <n v="6.2E-2"/>
    <n v="18"/>
    <s v="Valid"/>
    <n v="2397.3000000000002"/>
    <b v="0"/>
    <n v="6.2E-2"/>
    <n v="26"/>
    <d v="2024-01-02T00:00:00"/>
    <n v="26"/>
    <n v="4312464.6132000005"/>
    <n v="43151.4"/>
    <n v="4269313.2132000001"/>
    <n v="0.98999379615361516"/>
    <s v="Dec-2023"/>
    <s v="Q4-2023"/>
    <s v="Europe → Germany → Frankfurt"/>
    <s v="Support"/>
    <s v="Medium"/>
    <s v="GERMANY"/>
    <d v="2023-01-22T00:00:00"/>
    <s v="Jan-2023"/>
    <d v="2023-12-31T00:00:00"/>
    <n v="0"/>
    <n v="0"/>
  </r>
  <r>
    <s v="ORD-2023-455933"/>
    <d v="2023-11-19T00:00:00"/>
    <d v="2023-12-19T00:00:00"/>
    <x v="2"/>
    <s v="Japan"/>
    <s v="Nagoya"/>
    <s v="Consumer"/>
    <s v="Retail"/>
    <x v="15"/>
    <s v="Phones"/>
    <s v="PHN-9184"/>
    <n v="807.11"/>
    <n v="1853.86"/>
    <n v="0.13900000000000001"/>
    <n v="8"/>
    <s v="Valid"/>
    <n v="1853.86"/>
    <b v="0"/>
    <n v="0.13900000000000001"/>
    <n v="30"/>
    <d v="2023-12-19T00:00:00"/>
    <n v="30"/>
    <n v="1481026.50768"/>
    <n v="14830.88"/>
    <n v="1466195.6276800002"/>
    <n v="0.98998608065210647"/>
    <s v="Nov-2023"/>
    <s v="Q4-2023"/>
    <s v="Asia → Japan → Nagoya"/>
    <s v="Devices"/>
    <s v="Low"/>
    <s v="JAPAN"/>
    <d v="2023-03-03T00:00:00"/>
    <s v="Mar-2023"/>
    <d v="2023-11-30T00:00:00"/>
    <n v="0"/>
    <n v="0"/>
  </r>
  <r>
    <s v="ORD-2025-728935"/>
    <d v="2025-02-28T00:00:00"/>
    <d v="2025-03-10T00:00:00"/>
    <x v="2"/>
    <s v="Japan"/>
    <s v="Osaka"/>
    <s v="Education"/>
    <s v="Distributor"/>
    <x v="12"/>
    <s v="Laptops"/>
    <s v="LAP-3017"/>
    <n v="51.86"/>
    <n v="45.98"/>
    <n v="0.17299999999999999"/>
    <n v="7"/>
    <s v="Valid"/>
    <n v="45.98"/>
    <b v="0"/>
    <n v="0.17299999999999999"/>
    <n v="10"/>
    <d v="2025-03-10T00:00:00"/>
    <n v="10"/>
    <n v="32130.318219999994"/>
    <n v="321.85999999999996"/>
    <n v="31808.458219999993"/>
    <n v="0.98998267001913309"/>
    <s v="Feb-2025"/>
    <s v="Q1-2025"/>
    <s v="Asia → Japan → Osaka"/>
    <s v="Devices"/>
    <s v="High"/>
    <s v="JAPAN"/>
    <d v="2023-03-03T00:00:00"/>
    <s v="Mar-2023"/>
    <d v="2025-02-28T00:00:0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31"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4294967295"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3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  <x v="1"/>
    <x v="1"/>
    <x v="0"/>
    <x v="1"/>
    <x v="0"/>
    <x v="1"/>
    <x v="1"/>
    <x v="1"/>
    <x v="1"/>
    <x v="1"/>
    <x v="1"/>
    <x v="1"/>
    <x v="1"/>
    <x v="1"/>
    <x v="1"/>
    <x v="1"/>
    <x v="1"/>
    <x v="0"/>
    <x v="1"/>
    <x v="1"/>
    <x v="0"/>
    <x v="1"/>
    <x v="1"/>
    <x v="1"/>
    <x v="1"/>
    <x v="1"/>
    <x v="1"/>
    <x v="1"/>
    <x v="1"/>
  </r>
  <r>
    <x v="2"/>
    <x v="2"/>
    <x v="2"/>
    <x v="0"/>
    <x v="0"/>
    <x v="2"/>
    <x v="0"/>
    <x v="0"/>
    <x v="2"/>
    <x v="2"/>
    <x v="2"/>
    <x v="2"/>
    <x v="2"/>
    <x v="2"/>
    <x v="2"/>
    <x v="1"/>
    <x v="2"/>
    <x v="0"/>
    <x v="2"/>
    <x v="2"/>
    <x v="2"/>
    <x v="2"/>
    <x v="2"/>
    <x v="2"/>
    <x v="2"/>
    <x v="2"/>
    <x v="2"/>
    <x v="2"/>
    <x v="2"/>
    <x v="0"/>
    <x v="1"/>
    <x v="0"/>
    <x v="0"/>
    <x v="0"/>
    <x v="2"/>
    <x v="0"/>
    <x v="0"/>
    <x v="2"/>
    <x v="2"/>
    <x v="2"/>
    <x v="2"/>
    <x v="2"/>
  </r>
  <r>
    <x v="3"/>
    <x v="3"/>
    <x v="3"/>
    <x v="0"/>
    <x v="1"/>
    <x v="3"/>
    <x v="2"/>
    <x v="2"/>
    <x v="3"/>
    <x v="3"/>
    <x v="3"/>
    <x v="3"/>
    <x v="3"/>
    <x v="3"/>
    <x v="3"/>
    <x v="0"/>
    <x v="3"/>
    <x v="0"/>
    <x v="3"/>
    <x v="3"/>
    <x v="3"/>
    <x v="3"/>
    <x v="3"/>
    <x v="3"/>
    <x v="3"/>
    <x v="3"/>
    <x v="3"/>
    <x v="3"/>
    <x v="3"/>
    <x v="2"/>
    <x v="2"/>
    <x v="1"/>
    <x v="1"/>
    <x v="0"/>
    <x v="3"/>
    <x v="1"/>
    <x v="0"/>
    <x v="3"/>
    <x v="3"/>
    <x v="3"/>
    <x v="3"/>
    <x v="3"/>
  </r>
  <r>
    <x v="4"/>
    <x v="4"/>
    <x v="4"/>
    <x v="1"/>
    <x v="2"/>
    <x v="4"/>
    <x v="0"/>
    <x v="3"/>
    <x v="4"/>
    <x v="4"/>
    <x v="4"/>
    <x v="4"/>
    <x v="4"/>
    <x v="4"/>
    <x v="4"/>
    <x v="0"/>
    <x v="4"/>
    <x v="0"/>
    <x v="4"/>
    <x v="4"/>
    <x v="4"/>
    <x v="4"/>
    <x v="4"/>
    <x v="4"/>
    <x v="4"/>
    <x v="4"/>
    <x v="4"/>
    <x v="2"/>
    <x v="4"/>
    <x v="2"/>
    <x v="1"/>
    <x v="2"/>
    <x v="2"/>
    <x v="0"/>
    <x v="4"/>
    <x v="1"/>
    <x v="0"/>
    <x v="4"/>
    <x v="4"/>
    <x v="4"/>
    <x v="4"/>
    <x v="4"/>
  </r>
  <r>
    <x v="5"/>
    <x v="5"/>
    <x v="5"/>
    <x v="2"/>
    <x v="3"/>
    <x v="5"/>
    <x v="3"/>
    <x v="2"/>
    <x v="5"/>
    <x v="5"/>
    <x v="5"/>
    <x v="5"/>
    <x v="5"/>
    <x v="5"/>
    <x v="5"/>
    <x v="0"/>
    <x v="5"/>
    <x v="0"/>
    <x v="5"/>
    <x v="5"/>
    <x v="5"/>
    <x v="5"/>
    <x v="5"/>
    <x v="5"/>
    <x v="5"/>
    <x v="5"/>
    <x v="5"/>
    <x v="1"/>
    <x v="5"/>
    <x v="1"/>
    <x v="2"/>
    <x v="3"/>
    <x v="3"/>
    <x v="0"/>
    <x v="5"/>
    <x v="0"/>
    <x v="0"/>
    <x v="5"/>
    <x v="5"/>
    <x v="5"/>
    <x v="5"/>
    <x v="5"/>
  </r>
  <r>
    <x v="6"/>
    <x v="6"/>
    <x v="6"/>
    <x v="0"/>
    <x v="1"/>
    <x v="6"/>
    <x v="1"/>
    <x v="1"/>
    <x v="6"/>
    <x v="1"/>
    <x v="6"/>
    <x v="6"/>
    <x v="6"/>
    <x v="6"/>
    <x v="6"/>
    <x v="0"/>
    <x v="6"/>
    <x v="0"/>
    <x v="6"/>
    <x v="6"/>
    <x v="6"/>
    <x v="1"/>
    <x v="6"/>
    <x v="6"/>
    <x v="6"/>
    <x v="6"/>
    <x v="4"/>
    <x v="2"/>
    <x v="6"/>
    <x v="1"/>
    <x v="1"/>
    <x v="1"/>
    <x v="1"/>
    <x v="0"/>
    <x v="4"/>
    <x v="1"/>
    <x v="0"/>
    <x v="6"/>
    <x v="6"/>
    <x v="6"/>
    <x v="6"/>
    <x v="6"/>
  </r>
  <r>
    <x v="7"/>
    <x v="7"/>
    <x v="7"/>
    <x v="0"/>
    <x v="1"/>
    <x v="6"/>
    <x v="2"/>
    <x v="2"/>
    <x v="6"/>
    <x v="5"/>
    <x v="7"/>
    <x v="7"/>
    <x v="7"/>
    <x v="7"/>
    <x v="7"/>
    <x v="0"/>
    <x v="7"/>
    <x v="0"/>
    <x v="7"/>
    <x v="2"/>
    <x v="7"/>
    <x v="2"/>
    <x v="7"/>
    <x v="7"/>
    <x v="7"/>
    <x v="7"/>
    <x v="6"/>
    <x v="4"/>
    <x v="6"/>
    <x v="1"/>
    <x v="0"/>
    <x v="1"/>
    <x v="1"/>
    <x v="0"/>
    <x v="6"/>
    <x v="0"/>
    <x v="0"/>
    <x v="7"/>
    <x v="7"/>
    <x v="7"/>
    <x v="7"/>
    <x v="7"/>
  </r>
  <r>
    <x v="8"/>
    <x v="8"/>
    <x v="8"/>
    <x v="1"/>
    <x v="4"/>
    <x v="7"/>
    <x v="2"/>
    <x v="1"/>
    <x v="7"/>
    <x v="0"/>
    <x v="8"/>
    <x v="8"/>
    <x v="8"/>
    <x v="8"/>
    <x v="1"/>
    <x v="0"/>
    <x v="8"/>
    <x v="0"/>
    <x v="8"/>
    <x v="7"/>
    <x v="8"/>
    <x v="6"/>
    <x v="8"/>
    <x v="8"/>
    <x v="8"/>
    <x v="8"/>
    <x v="7"/>
    <x v="5"/>
    <x v="7"/>
    <x v="0"/>
    <x v="2"/>
    <x v="4"/>
    <x v="3"/>
    <x v="0"/>
    <x v="7"/>
    <x v="0"/>
    <x v="0"/>
    <x v="8"/>
    <x v="8"/>
    <x v="1"/>
    <x v="8"/>
    <x v="8"/>
  </r>
  <r>
    <x v="9"/>
    <x v="9"/>
    <x v="9"/>
    <x v="3"/>
    <x v="5"/>
    <x v="8"/>
    <x v="0"/>
    <x v="1"/>
    <x v="3"/>
    <x v="6"/>
    <x v="9"/>
    <x v="9"/>
    <x v="9"/>
    <x v="9"/>
    <x v="8"/>
    <x v="0"/>
    <x v="9"/>
    <x v="0"/>
    <x v="9"/>
    <x v="8"/>
    <x v="9"/>
    <x v="7"/>
    <x v="9"/>
    <x v="9"/>
    <x v="9"/>
    <x v="9"/>
    <x v="8"/>
    <x v="0"/>
    <x v="8"/>
    <x v="0"/>
    <x v="0"/>
    <x v="5"/>
    <x v="4"/>
    <x v="0"/>
    <x v="8"/>
    <x v="0"/>
    <x v="0"/>
    <x v="9"/>
    <x v="9"/>
    <x v="8"/>
    <x v="9"/>
    <x v="9"/>
  </r>
  <r>
    <x v="10"/>
    <x v="10"/>
    <x v="10"/>
    <x v="2"/>
    <x v="6"/>
    <x v="9"/>
    <x v="0"/>
    <x v="3"/>
    <x v="8"/>
    <x v="3"/>
    <x v="10"/>
    <x v="10"/>
    <x v="10"/>
    <x v="10"/>
    <x v="9"/>
    <x v="0"/>
    <x v="10"/>
    <x v="0"/>
    <x v="10"/>
    <x v="9"/>
    <x v="10"/>
    <x v="8"/>
    <x v="10"/>
    <x v="10"/>
    <x v="10"/>
    <x v="10"/>
    <x v="9"/>
    <x v="3"/>
    <x v="9"/>
    <x v="2"/>
    <x v="2"/>
    <x v="6"/>
    <x v="5"/>
    <x v="1"/>
    <x v="9"/>
    <x v="0"/>
    <x v="1"/>
    <x v="10"/>
    <x v="10"/>
    <x v="9"/>
    <x v="10"/>
    <x v="10"/>
  </r>
  <r>
    <x v="11"/>
    <x v="11"/>
    <x v="11"/>
    <x v="1"/>
    <x v="4"/>
    <x v="10"/>
    <x v="2"/>
    <x v="1"/>
    <x v="1"/>
    <x v="0"/>
    <x v="11"/>
    <x v="11"/>
    <x v="11"/>
    <x v="11"/>
    <x v="10"/>
    <x v="0"/>
    <x v="11"/>
    <x v="0"/>
    <x v="11"/>
    <x v="2"/>
    <x v="11"/>
    <x v="2"/>
    <x v="11"/>
    <x v="11"/>
    <x v="11"/>
    <x v="11"/>
    <x v="3"/>
    <x v="3"/>
    <x v="10"/>
    <x v="0"/>
    <x v="2"/>
    <x v="4"/>
    <x v="3"/>
    <x v="0"/>
    <x v="3"/>
    <x v="0"/>
    <x v="0"/>
    <x v="11"/>
    <x v="11"/>
    <x v="10"/>
    <x v="11"/>
    <x v="11"/>
  </r>
  <r>
    <x v="12"/>
    <x v="12"/>
    <x v="12"/>
    <x v="3"/>
    <x v="7"/>
    <x v="11"/>
    <x v="0"/>
    <x v="0"/>
    <x v="9"/>
    <x v="1"/>
    <x v="12"/>
    <x v="12"/>
    <x v="12"/>
    <x v="4"/>
    <x v="11"/>
    <x v="0"/>
    <x v="12"/>
    <x v="0"/>
    <x v="4"/>
    <x v="10"/>
    <x v="12"/>
    <x v="9"/>
    <x v="12"/>
    <x v="12"/>
    <x v="12"/>
    <x v="4"/>
    <x v="8"/>
    <x v="0"/>
    <x v="11"/>
    <x v="1"/>
    <x v="0"/>
    <x v="7"/>
    <x v="6"/>
    <x v="0"/>
    <x v="8"/>
    <x v="0"/>
    <x v="0"/>
    <x v="4"/>
    <x v="12"/>
    <x v="11"/>
    <x v="12"/>
    <x v="12"/>
  </r>
  <r>
    <x v="13"/>
    <x v="13"/>
    <x v="13"/>
    <x v="1"/>
    <x v="4"/>
    <x v="10"/>
    <x v="1"/>
    <x v="0"/>
    <x v="10"/>
    <x v="6"/>
    <x v="13"/>
    <x v="13"/>
    <x v="13"/>
    <x v="4"/>
    <x v="2"/>
    <x v="0"/>
    <x v="13"/>
    <x v="0"/>
    <x v="4"/>
    <x v="11"/>
    <x v="13"/>
    <x v="10"/>
    <x v="13"/>
    <x v="13"/>
    <x v="13"/>
    <x v="4"/>
    <x v="10"/>
    <x v="6"/>
    <x v="10"/>
    <x v="0"/>
    <x v="2"/>
    <x v="4"/>
    <x v="3"/>
    <x v="0"/>
    <x v="10"/>
    <x v="0"/>
    <x v="0"/>
    <x v="4"/>
    <x v="13"/>
    <x v="2"/>
    <x v="13"/>
    <x v="13"/>
  </r>
  <r>
    <x v="14"/>
    <x v="14"/>
    <x v="14"/>
    <x v="0"/>
    <x v="0"/>
    <x v="2"/>
    <x v="3"/>
    <x v="4"/>
    <x v="5"/>
    <x v="4"/>
    <x v="14"/>
    <x v="14"/>
    <x v="14"/>
    <x v="12"/>
    <x v="0"/>
    <x v="0"/>
    <x v="14"/>
    <x v="0"/>
    <x v="12"/>
    <x v="12"/>
    <x v="14"/>
    <x v="1"/>
    <x v="14"/>
    <x v="14"/>
    <x v="14"/>
    <x v="12"/>
    <x v="11"/>
    <x v="7"/>
    <x v="2"/>
    <x v="2"/>
    <x v="1"/>
    <x v="0"/>
    <x v="0"/>
    <x v="0"/>
    <x v="11"/>
    <x v="1"/>
    <x v="0"/>
    <x v="12"/>
    <x v="14"/>
    <x v="0"/>
    <x v="14"/>
    <x v="14"/>
  </r>
  <r>
    <x v="15"/>
    <x v="15"/>
    <x v="15"/>
    <x v="3"/>
    <x v="7"/>
    <x v="11"/>
    <x v="3"/>
    <x v="0"/>
    <x v="10"/>
    <x v="1"/>
    <x v="15"/>
    <x v="15"/>
    <x v="15"/>
    <x v="13"/>
    <x v="12"/>
    <x v="0"/>
    <x v="15"/>
    <x v="0"/>
    <x v="13"/>
    <x v="11"/>
    <x v="15"/>
    <x v="10"/>
    <x v="15"/>
    <x v="15"/>
    <x v="15"/>
    <x v="13"/>
    <x v="5"/>
    <x v="1"/>
    <x v="11"/>
    <x v="1"/>
    <x v="2"/>
    <x v="7"/>
    <x v="6"/>
    <x v="0"/>
    <x v="5"/>
    <x v="0"/>
    <x v="0"/>
    <x v="13"/>
    <x v="15"/>
    <x v="12"/>
    <x v="15"/>
    <x v="15"/>
  </r>
  <r>
    <x v="16"/>
    <x v="16"/>
    <x v="16"/>
    <x v="2"/>
    <x v="6"/>
    <x v="9"/>
    <x v="0"/>
    <x v="3"/>
    <x v="0"/>
    <x v="3"/>
    <x v="16"/>
    <x v="16"/>
    <x v="16"/>
    <x v="14"/>
    <x v="13"/>
    <x v="0"/>
    <x v="16"/>
    <x v="0"/>
    <x v="14"/>
    <x v="13"/>
    <x v="16"/>
    <x v="11"/>
    <x v="16"/>
    <x v="16"/>
    <x v="16"/>
    <x v="14"/>
    <x v="10"/>
    <x v="6"/>
    <x v="9"/>
    <x v="2"/>
    <x v="2"/>
    <x v="6"/>
    <x v="5"/>
    <x v="1"/>
    <x v="10"/>
    <x v="0"/>
    <x v="0"/>
    <x v="14"/>
    <x v="16"/>
    <x v="13"/>
    <x v="16"/>
    <x v="16"/>
  </r>
  <r>
    <x v="17"/>
    <x v="17"/>
    <x v="17"/>
    <x v="1"/>
    <x v="4"/>
    <x v="10"/>
    <x v="4"/>
    <x v="2"/>
    <x v="3"/>
    <x v="6"/>
    <x v="17"/>
    <x v="17"/>
    <x v="17"/>
    <x v="13"/>
    <x v="6"/>
    <x v="0"/>
    <x v="17"/>
    <x v="0"/>
    <x v="13"/>
    <x v="14"/>
    <x v="17"/>
    <x v="12"/>
    <x v="17"/>
    <x v="17"/>
    <x v="17"/>
    <x v="13"/>
    <x v="12"/>
    <x v="6"/>
    <x v="10"/>
    <x v="0"/>
    <x v="2"/>
    <x v="4"/>
    <x v="3"/>
    <x v="0"/>
    <x v="12"/>
    <x v="0"/>
    <x v="0"/>
    <x v="13"/>
    <x v="17"/>
    <x v="6"/>
    <x v="17"/>
    <x v="17"/>
  </r>
  <r>
    <x v="18"/>
    <x v="8"/>
    <x v="18"/>
    <x v="3"/>
    <x v="8"/>
    <x v="12"/>
    <x v="4"/>
    <x v="1"/>
    <x v="11"/>
    <x v="4"/>
    <x v="18"/>
    <x v="18"/>
    <x v="18"/>
    <x v="15"/>
    <x v="14"/>
    <x v="0"/>
    <x v="18"/>
    <x v="0"/>
    <x v="15"/>
    <x v="6"/>
    <x v="18"/>
    <x v="1"/>
    <x v="18"/>
    <x v="18"/>
    <x v="18"/>
    <x v="15"/>
    <x v="7"/>
    <x v="5"/>
    <x v="12"/>
    <x v="2"/>
    <x v="2"/>
    <x v="8"/>
    <x v="7"/>
    <x v="0"/>
    <x v="7"/>
    <x v="1"/>
    <x v="0"/>
    <x v="15"/>
    <x v="18"/>
    <x v="14"/>
    <x v="18"/>
    <x v="18"/>
  </r>
  <r>
    <x v="19"/>
    <x v="18"/>
    <x v="19"/>
    <x v="0"/>
    <x v="0"/>
    <x v="13"/>
    <x v="2"/>
    <x v="4"/>
    <x v="1"/>
    <x v="4"/>
    <x v="19"/>
    <x v="19"/>
    <x v="19"/>
    <x v="3"/>
    <x v="4"/>
    <x v="0"/>
    <x v="19"/>
    <x v="0"/>
    <x v="3"/>
    <x v="12"/>
    <x v="19"/>
    <x v="1"/>
    <x v="19"/>
    <x v="19"/>
    <x v="19"/>
    <x v="3"/>
    <x v="13"/>
    <x v="8"/>
    <x v="13"/>
    <x v="2"/>
    <x v="0"/>
    <x v="0"/>
    <x v="0"/>
    <x v="0"/>
    <x v="13"/>
    <x v="1"/>
    <x v="0"/>
    <x v="3"/>
    <x v="19"/>
    <x v="4"/>
    <x v="19"/>
    <x v="19"/>
  </r>
  <r>
    <x v="20"/>
    <x v="19"/>
    <x v="20"/>
    <x v="2"/>
    <x v="9"/>
    <x v="14"/>
    <x v="4"/>
    <x v="2"/>
    <x v="5"/>
    <x v="2"/>
    <x v="20"/>
    <x v="20"/>
    <x v="20"/>
    <x v="16"/>
    <x v="15"/>
    <x v="0"/>
    <x v="20"/>
    <x v="0"/>
    <x v="16"/>
    <x v="15"/>
    <x v="20"/>
    <x v="13"/>
    <x v="20"/>
    <x v="20"/>
    <x v="20"/>
    <x v="16"/>
    <x v="14"/>
    <x v="7"/>
    <x v="14"/>
    <x v="0"/>
    <x v="1"/>
    <x v="9"/>
    <x v="8"/>
    <x v="0"/>
    <x v="14"/>
    <x v="0"/>
    <x v="0"/>
    <x v="16"/>
    <x v="20"/>
    <x v="15"/>
    <x v="20"/>
    <x v="20"/>
  </r>
  <r>
    <x v="21"/>
    <x v="20"/>
    <x v="21"/>
    <x v="0"/>
    <x v="1"/>
    <x v="1"/>
    <x v="5"/>
    <x v="2"/>
    <x v="11"/>
    <x v="6"/>
    <x v="21"/>
    <x v="21"/>
    <x v="21"/>
    <x v="17"/>
    <x v="10"/>
    <x v="0"/>
    <x v="21"/>
    <x v="0"/>
    <x v="17"/>
    <x v="16"/>
    <x v="21"/>
    <x v="14"/>
    <x v="21"/>
    <x v="21"/>
    <x v="21"/>
    <x v="17"/>
    <x v="15"/>
    <x v="5"/>
    <x v="1"/>
    <x v="0"/>
    <x v="2"/>
    <x v="1"/>
    <x v="1"/>
    <x v="0"/>
    <x v="15"/>
    <x v="0"/>
    <x v="0"/>
    <x v="17"/>
    <x v="21"/>
    <x v="10"/>
    <x v="21"/>
    <x v="21"/>
  </r>
  <r>
    <x v="22"/>
    <x v="21"/>
    <x v="22"/>
    <x v="1"/>
    <x v="10"/>
    <x v="15"/>
    <x v="4"/>
    <x v="0"/>
    <x v="9"/>
    <x v="4"/>
    <x v="22"/>
    <x v="22"/>
    <x v="22"/>
    <x v="18"/>
    <x v="15"/>
    <x v="0"/>
    <x v="22"/>
    <x v="0"/>
    <x v="18"/>
    <x v="17"/>
    <x v="22"/>
    <x v="15"/>
    <x v="22"/>
    <x v="22"/>
    <x v="22"/>
    <x v="18"/>
    <x v="6"/>
    <x v="4"/>
    <x v="15"/>
    <x v="2"/>
    <x v="0"/>
    <x v="10"/>
    <x v="9"/>
    <x v="0"/>
    <x v="6"/>
    <x v="1"/>
    <x v="0"/>
    <x v="18"/>
    <x v="22"/>
    <x v="15"/>
    <x v="22"/>
    <x v="22"/>
  </r>
  <r>
    <x v="23"/>
    <x v="22"/>
    <x v="23"/>
    <x v="1"/>
    <x v="4"/>
    <x v="7"/>
    <x v="1"/>
    <x v="1"/>
    <x v="12"/>
    <x v="0"/>
    <x v="23"/>
    <x v="23"/>
    <x v="23"/>
    <x v="19"/>
    <x v="2"/>
    <x v="0"/>
    <x v="23"/>
    <x v="0"/>
    <x v="19"/>
    <x v="17"/>
    <x v="23"/>
    <x v="15"/>
    <x v="23"/>
    <x v="23"/>
    <x v="23"/>
    <x v="19"/>
    <x v="2"/>
    <x v="2"/>
    <x v="7"/>
    <x v="0"/>
    <x v="1"/>
    <x v="4"/>
    <x v="3"/>
    <x v="0"/>
    <x v="2"/>
    <x v="1"/>
    <x v="0"/>
    <x v="19"/>
    <x v="23"/>
    <x v="2"/>
    <x v="23"/>
    <x v="23"/>
  </r>
  <r>
    <x v="24"/>
    <x v="23"/>
    <x v="24"/>
    <x v="1"/>
    <x v="4"/>
    <x v="10"/>
    <x v="1"/>
    <x v="0"/>
    <x v="0"/>
    <x v="6"/>
    <x v="24"/>
    <x v="24"/>
    <x v="24"/>
    <x v="20"/>
    <x v="5"/>
    <x v="0"/>
    <x v="24"/>
    <x v="0"/>
    <x v="20"/>
    <x v="18"/>
    <x v="24"/>
    <x v="16"/>
    <x v="24"/>
    <x v="24"/>
    <x v="24"/>
    <x v="20"/>
    <x v="16"/>
    <x v="4"/>
    <x v="10"/>
    <x v="0"/>
    <x v="0"/>
    <x v="4"/>
    <x v="3"/>
    <x v="0"/>
    <x v="16"/>
    <x v="0"/>
    <x v="0"/>
    <x v="20"/>
    <x v="24"/>
    <x v="5"/>
    <x v="24"/>
    <x v="24"/>
  </r>
  <r>
    <x v="25"/>
    <x v="24"/>
    <x v="25"/>
    <x v="3"/>
    <x v="7"/>
    <x v="11"/>
    <x v="5"/>
    <x v="2"/>
    <x v="8"/>
    <x v="1"/>
    <x v="25"/>
    <x v="25"/>
    <x v="25"/>
    <x v="4"/>
    <x v="10"/>
    <x v="0"/>
    <x v="25"/>
    <x v="0"/>
    <x v="4"/>
    <x v="19"/>
    <x v="25"/>
    <x v="17"/>
    <x v="25"/>
    <x v="25"/>
    <x v="25"/>
    <x v="4"/>
    <x v="17"/>
    <x v="1"/>
    <x v="11"/>
    <x v="1"/>
    <x v="2"/>
    <x v="7"/>
    <x v="6"/>
    <x v="0"/>
    <x v="17"/>
    <x v="0"/>
    <x v="0"/>
    <x v="4"/>
    <x v="25"/>
    <x v="10"/>
    <x v="25"/>
    <x v="25"/>
  </r>
  <r>
    <x v="26"/>
    <x v="25"/>
    <x v="26"/>
    <x v="0"/>
    <x v="0"/>
    <x v="0"/>
    <x v="3"/>
    <x v="0"/>
    <x v="7"/>
    <x v="3"/>
    <x v="26"/>
    <x v="26"/>
    <x v="26"/>
    <x v="21"/>
    <x v="7"/>
    <x v="0"/>
    <x v="26"/>
    <x v="0"/>
    <x v="21"/>
    <x v="20"/>
    <x v="26"/>
    <x v="18"/>
    <x v="26"/>
    <x v="26"/>
    <x v="26"/>
    <x v="21"/>
    <x v="13"/>
    <x v="8"/>
    <x v="0"/>
    <x v="2"/>
    <x v="0"/>
    <x v="0"/>
    <x v="0"/>
    <x v="0"/>
    <x v="13"/>
    <x v="1"/>
    <x v="0"/>
    <x v="21"/>
    <x v="26"/>
    <x v="7"/>
    <x v="26"/>
    <x v="26"/>
  </r>
  <r>
    <x v="27"/>
    <x v="26"/>
    <x v="27"/>
    <x v="0"/>
    <x v="0"/>
    <x v="16"/>
    <x v="5"/>
    <x v="2"/>
    <x v="11"/>
    <x v="3"/>
    <x v="27"/>
    <x v="27"/>
    <x v="27"/>
    <x v="4"/>
    <x v="0"/>
    <x v="0"/>
    <x v="27"/>
    <x v="0"/>
    <x v="4"/>
    <x v="19"/>
    <x v="27"/>
    <x v="17"/>
    <x v="27"/>
    <x v="27"/>
    <x v="27"/>
    <x v="4"/>
    <x v="11"/>
    <x v="7"/>
    <x v="16"/>
    <x v="2"/>
    <x v="1"/>
    <x v="0"/>
    <x v="0"/>
    <x v="0"/>
    <x v="11"/>
    <x v="0"/>
    <x v="0"/>
    <x v="4"/>
    <x v="27"/>
    <x v="0"/>
    <x v="27"/>
    <x v="27"/>
  </r>
  <r>
    <x v="28"/>
    <x v="27"/>
    <x v="28"/>
    <x v="3"/>
    <x v="7"/>
    <x v="17"/>
    <x v="1"/>
    <x v="0"/>
    <x v="5"/>
    <x v="2"/>
    <x v="28"/>
    <x v="28"/>
    <x v="28"/>
    <x v="22"/>
    <x v="16"/>
    <x v="0"/>
    <x v="28"/>
    <x v="0"/>
    <x v="22"/>
    <x v="3"/>
    <x v="28"/>
    <x v="3"/>
    <x v="28"/>
    <x v="28"/>
    <x v="28"/>
    <x v="22"/>
    <x v="18"/>
    <x v="5"/>
    <x v="17"/>
    <x v="0"/>
    <x v="2"/>
    <x v="7"/>
    <x v="6"/>
    <x v="0"/>
    <x v="18"/>
    <x v="1"/>
    <x v="0"/>
    <x v="22"/>
    <x v="28"/>
    <x v="16"/>
    <x v="28"/>
    <x v="28"/>
  </r>
  <r>
    <x v="29"/>
    <x v="5"/>
    <x v="29"/>
    <x v="2"/>
    <x v="3"/>
    <x v="18"/>
    <x v="2"/>
    <x v="3"/>
    <x v="3"/>
    <x v="0"/>
    <x v="29"/>
    <x v="29"/>
    <x v="29"/>
    <x v="23"/>
    <x v="17"/>
    <x v="0"/>
    <x v="29"/>
    <x v="0"/>
    <x v="23"/>
    <x v="7"/>
    <x v="29"/>
    <x v="6"/>
    <x v="29"/>
    <x v="29"/>
    <x v="29"/>
    <x v="23"/>
    <x v="5"/>
    <x v="1"/>
    <x v="18"/>
    <x v="0"/>
    <x v="2"/>
    <x v="3"/>
    <x v="3"/>
    <x v="0"/>
    <x v="5"/>
    <x v="0"/>
    <x v="0"/>
    <x v="23"/>
    <x v="29"/>
    <x v="17"/>
    <x v="29"/>
    <x v="29"/>
  </r>
  <r>
    <x v="30"/>
    <x v="28"/>
    <x v="2"/>
    <x v="1"/>
    <x v="2"/>
    <x v="19"/>
    <x v="4"/>
    <x v="1"/>
    <x v="13"/>
    <x v="3"/>
    <x v="30"/>
    <x v="30"/>
    <x v="30"/>
    <x v="24"/>
    <x v="13"/>
    <x v="0"/>
    <x v="30"/>
    <x v="0"/>
    <x v="24"/>
    <x v="19"/>
    <x v="2"/>
    <x v="17"/>
    <x v="30"/>
    <x v="30"/>
    <x v="30"/>
    <x v="24"/>
    <x v="2"/>
    <x v="2"/>
    <x v="19"/>
    <x v="2"/>
    <x v="1"/>
    <x v="2"/>
    <x v="2"/>
    <x v="0"/>
    <x v="2"/>
    <x v="0"/>
    <x v="0"/>
    <x v="24"/>
    <x v="30"/>
    <x v="13"/>
    <x v="30"/>
    <x v="30"/>
  </r>
  <r>
    <x v="31"/>
    <x v="29"/>
    <x v="30"/>
    <x v="0"/>
    <x v="11"/>
    <x v="20"/>
    <x v="1"/>
    <x v="2"/>
    <x v="13"/>
    <x v="2"/>
    <x v="31"/>
    <x v="31"/>
    <x v="31"/>
    <x v="25"/>
    <x v="5"/>
    <x v="0"/>
    <x v="31"/>
    <x v="0"/>
    <x v="25"/>
    <x v="21"/>
    <x v="30"/>
    <x v="19"/>
    <x v="31"/>
    <x v="31"/>
    <x v="31"/>
    <x v="25"/>
    <x v="12"/>
    <x v="6"/>
    <x v="20"/>
    <x v="0"/>
    <x v="2"/>
    <x v="11"/>
    <x v="10"/>
    <x v="0"/>
    <x v="12"/>
    <x v="0"/>
    <x v="0"/>
    <x v="25"/>
    <x v="31"/>
    <x v="5"/>
    <x v="31"/>
    <x v="31"/>
  </r>
  <r>
    <x v="32"/>
    <x v="30"/>
    <x v="31"/>
    <x v="3"/>
    <x v="8"/>
    <x v="21"/>
    <x v="2"/>
    <x v="5"/>
    <x v="13"/>
    <x v="4"/>
    <x v="32"/>
    <x v="32"/>
    <x v="32"/>
    <x v="4"/>
    <x v="10"/>
    <x v="0"/>
    <x v="32"/>
    <x v="0"/>
    <x v="4"/>
    <x v="9"/>
    <x v="31"/>
    <x v="8"/>
    <x v="32"/>
    <x v="32"/>
    <x v="32"/>
    <x v="4"/>
    <x v="19"/>
    <x v="4"/>
    <x v="21"/>
    <x v="2"/>
    <x v="0"/>
    <x v="8"/>
    <x v="7"/>
    <x v="0"/>
    <x v="19"/>
    <x v="0"/>
    <x v="0"/>
    <x v="4"/>
    <x v="32"/>
    <x v="10"/>
    <x v="32"/>
    <x v="32"/>
  </r>
  <r>
    <x v="33"/>
    <x v="31"/>
    <x v="32"/>
    <x v="0"/>
    <x v="11"/>
    <x v="20"/>
    <x v="1"/>
    <x v="0"/>
    <x v="5"/>
    <x v="0"/>
    <x v="33"/>
    <x v="33"/>
    <x v="33"/>
    <x v="4"/>
    <x v="0"/>
    <x v="0"/>
    <x v="33"/>
    <x v="0"/>
    <x v="4"/>
    <x v="6"/>
    <x v="32"/>
    <x v="1"/>
    <x v="33"/>
    <x v="33"/>
    <x v="33"/>
    <x v="4"/>
    <x v="20"/>
    <x v="8"/>
    <x v="20"/>
    <x v="0"/>
    <x v="0"/>
    <x v="11"/>
    <x v="10"/>
    <x v="0"/>
    <x v="20"/>
    <x v="1"/>
    <x v="0"/>
    <x v="4"/>
    <x v="33"/>
    <x v="0"/>
    <x v="33"/>
    <x v="33"/>
  </r>
  <r>
    <x v="34"/>
    <x v="32"/>
    <x v="14"/>
    <x v="2"/>
    <x v="3"/>
    <x v="18"/>
    <x v="2"/>
    <x v="2"/>
    <x v="1"/>
    <x v="1"/>
    <x v="34"/>
    <x v="34"/>
    <x v="34"/>
    <x v="26"/>
    <x v="18"/>
    <x v="0"/>
    <x v="34"/>
    <x v="0"/>
    <x v="26"/>
    <x v="0"/>
    <x v="33"/>
    <x v="0"/>
    <x v="34"/>
    <x v="34"/>
    <x v="34"/>
    <x v="26"/>
    <x v="21"/>
    <x v="2"/>
    <x v="18"/>
    <x v="1"/>
    <x v="1"/>
    <x v="3"/>
    <x v="3"/>
    <x v="0"/>
    <x v="21"/>
    <x v="0"/>
    <x v="0"/>
    <x v="26"/>
    <x v="34"/>
    <x v="18"/>
    <x v="34"/>
    <x v="34"/>
  </r>
  <r>
    <x v="35"/>
    <x v="33"/>
    <x v="33"/>
    <x v="3"/>
    <x v="5"/>
    <x v="22"/>
    <x v="0"/>
    <x v="1"/>
    <x v="4"/>
    <x v="0"/>
    <x v="35"/>
    <x v="35"/>
    <x v="35"/>
    <x v="27"/>
    <x v="19"/>
    <x v="0"/>
    <x v="35"/>
    <x v="0"/>
    <x v="27"/>
    <x v="5"/>
    <x v="34"/>
    <x v="5"/>
    <x v="35"/>
    <x v="35"/>
    <x v="35"/>
    <x v="27"/>
    <x v="0"/>
    <x v="0"/>
    <x v="22"/>
    <x v="0"/>
    <x v="0"/>
    <x v="5"/>
    <x v="4"/>
    <x v="0"/>
    <x v="0"/>
    <x v="0"/>
    <x v="1"/>
    <x v="27"/>
    <x v="35"/>
    <x v="19"/>
    <x v="35"/>
    <x v="35"/>
  </r>
  <r>
    <x v="36"/>
    <x v="34"/>
    <x v="34"/>
    <x v="2"/>
    <x v="9"/>
    <x v="23"/>
    <x v="4"/>
    <x v="4"/>
    <x v="12"/>
    <x v="0"/>
    <x v="36"/>
    <x v="36"/>
    <x v="36"/>
    <x v="28"/>
    <x v="15"/>
    <x v="0"/>
    <x v="36"/>
    <x v="0"/>
    <x v="28"/>
    <x v="14"/>
    <x v="35"/>
    <x v="12"/>
    <x v="36"/>
    <x v="36"/>
    <x v="36"/>
    <x v="28"/>
    <x v="15"/>
    <x v="5"/>
    <x v="23"/>
    <x v="0"/>
    <x v="2"/>
    <x v="9"/>
    <x v="8"/>
    <x v="0"/>
    <x v="15"/>
    <x v="0"/>
    <x v="0"/>
    <x v="28"/>
    <x v="36"/>
    <x v="15"/>
    <x v="36"/>
    <x v="36"/>
  </r>
  <r>
    <x v="37"/>
    <x v="35"/>
    <x v="35"/>
    <x v="0"/>
    <x v="1"/>
    <x v="1"/>
    <x v="2"/>
    <x v="1"/>
    <x v="7"/>
    <x v="1"/>
    <x v="37"/>
    <x v="37"/>
    <x v="37"/>
    <x v="29"/>
    <x v="20"/>
    <x v="0"/>
    <x v="37"/>
    <x v="0"/>
    <x v="29"/>
    <x v="15"/>
    <x v="36"/>
    <x v="13"/>
    <x v="37"/>
    <x v="37"/>
    <x v="37"/>
    <x v="29"/>
    <x v="19"/>
    <x v="4"/>
    <x v="1"/>
    <x v="1"/>
    <x v="0"/>
    <x v="1"/>
    <x v="1"/>
    <x v="0"/>
    <x v="19"/>
    <x v="0"/>
    <x v="0"/>
    <x v="29"/>
    <x v="37"/>
    <x v="20"/>
    <x v="37"/>
    <x v="37"/>
  </r>
  <r>
    <x v="38"/>
    <x v="36"/>
    <x v="36"/>
    <x v="1"/>
    <x v="10"/>
    <x v="24"/>
    <x v="0"/>
    <x v="0"/>
    <x v="2"/>
    <x v="1"/>
    <x v="38"/>
    <x v="38"/>
    <x v="38"/>
    <x v="30"/>
    <x v="0"/>
    <x v="0"/>
    <x v="38"/>
    <x v="0"/>
    <x v="30"/>
    <x v="22"/>
    <x v="37"/>
    <x v="1"/>
    <x v="38"/>
    <x v="38"/>
    <x v="38"/>
    <x v="30"/>
    <x v="22"/>
    <x v="7"/>
    <x v="24"/>
    <x v="1"/>
    <x v="1"/>
    <x v="10"/>
    <x v="9"/>
    <x v="0"/>
    <x v="22"/>
    <x v="1"/>
    <x v="0"/>
    <x v="30"/>
    <x v="38"/>
    <x v="0"/>
    <x v="38"/>
    <x v="38"/>
  </r>
  <r>
    <x v="39"/>
    <x v="37"/>
    <x v="37"/>
    <x v="3"/>
    <x v="5"/>
    <x v="8"/>
    <x v="3"/>
    <x v="4"/>
    <x v="13"/>
    <x v="5"/>
    <x v="39"/>
    <x v="39"/>
    <x v="39"/>
    <x v="31"/>
    <x v="19"/>
    <x v="0"/>
    <x v="39"/>
    <x v="0"/>
    <x v="31"/>
    <x v="23"/>
    <x v="38"/>
    <x v="20"/>
    <x v="39"/>
    <x v="39"/>
    <x v="39"/>
    <x v="31"/>
    <x v="20"/>
    <x v="8"/>
    <x v="8"/>
    <x v="1"/>
    <x v="0"/>
    <x v="5"/>
    <x v="4"/>
    <x v="0"/>
    <x v="20"/>
    <x v="0"/>
    <x v="0"/>
    <x v="31"/>
    <x v="39"/>
    <x v="19"/>
    <x v="39"/>
    <x v="39"/>
  </r>
  <r>
    <x v="40"/>
    <x v="38"/>
    <x v="38"/>
    <x v="0"/>
    <x v="11"/>
    <x v="25"/>
    <x v="5"/>
    <x v="1"/>
    <x v="10"/>
    <x v="2"/>
    <x v="40"/>
    <x v="40"/>
    <x v="40"/>
    <x v="4"/>
    <x v="7"/>
    <x v="0"/>
    <x v="40"/>
    <x v="0"/>
    <x v="4"/>
    <x v="24"/>
    <x v="39"/>
    <x v="21"/>
    <x v="40"/>
    <x v="40"/>
    <x v="40"/>
    <x v="4"/>
    <x v="8"/>
    <x v="0"/>
    <x v="25"/>
    <x v="0"/>
    <x v="0"/>
    <x v="11"/>
    <x v="10"/>
    <x v="0"/>
    <x v="8"/>
    <x v="0"/>
    <x v="0"/>
    <x v="4"/>
    <x v="40"/>
    <x v="7"/>
    <x v="40"/>
    <x v="40"/>
  </r>
  <r>
    <x v="41"/>
    <x v="39"/>
    <x v="39"/>
    <x v="0"/>
    <x v="0"/>
    <x v="13"/>
    <x v="0"/>
    <x v="4"/>
    <x v="9"/>
    <x v="1"/>
    <x v="41"/>
    <x v="41"/>
    <x v="41"/>
    <x v="32"/>
    <x v="16"/>
    <x v="0"/>
    <x v="41"/>
    <x v="1"/>
    <x v="32"/>
    <x v="9"/>
    <x v="40"/>
    <x v="8"/>
    <x v="41"/>
    <x v="41"/>
    <x v="41"/>
    <x v="32"/>
    <x v="1"/>
    <x v="1"/>
    <x v="13"/>
    <x v="1"/>
    <x v="2"/>
    <x v="0"/>
    <x v="0"/>
    <x v="0"/>
    <x v="1"/>
    <x v="0"/>
    <x v="1"/>
    <x v="10"/>
    <x v="41"/>
    <x v="16"/>
    <x v="41"/>
    <x v="41"/>
  </r>
  <r>
    <x v="42"/>
    <x v="40"/>
    <x v="40"/>
    <x v="3"/>
    <x v="5"/>
    <x v="8"/>
    <x v="0"/>
    <x v="4"/>
    <x v="7"/>
    <x v="1"/>
    <x v="42"/>
    <x v="42"/>
    <x v="42"/>
    <x v="33"/>
    <x v="21"/>
    <x v="0"/>
    <x v="42"/>
    <x v="0"/>
    <x v="33"/>
    <x v="24"/>
    <x v="41"/>
    <x v="21"/>
    <x v="42"/>
    <x v="42"/>
    <x v="42"/>
    <x v="33"/>
    <x v="7"/>
    <x v="5"/>
    <x v="8"/>
    <x v="1"/>
    <x v="2"/>
    <x v="5"/>
    <x v="4"/>
    <x v="0"/>
    <x v="7"/>
    <x v="0"/>
    <x v="0"/>
    <x v="32"/>
    <x v="42"/>
    <x v="21"/>
    <x v="42"/>
    <x v="42"/>
  </r>
  <r>
    <x v="43"/>
    <x v="41"/>
    <x v="41"/>
    <x v="1"/>
    <x v="2"/>
    <x v="26"/>
    <x v="4"/>
    <x v="2"/>
    <x v="10"/>
    <x v="0"/>
    <x v="43"/>
    <x v="43"/>
    <x v="43"/>
    <x v="34"/>
    <x v="3"/>
    <x v="0"/>
    <x v="43"/>
    <x v="0"/>
    <x v="34"/>
    <x v="21"/>
    <x v="42"/>
    <x v="19"/>
    <x v="43"/>
    <x v="43"/>
    <x v="43"/>
    <x v="34"/>
    <x v="6"/>
    <x v="4"/>
    <x v="26"/>
    <x v="0"/>
    <x v="0"/>
    <x v="2"/>
    <x v="2"/>
    <x v="0"/>
    <x v="6"/>
    <x v="0"/>
    <x v="0"/>
    <x v="33"/>
    <x v="43"/>
    <x v="3"/>
    <x v="43"/>
    <x v="43"/>
  </r>
  <r>
    <x v="44"/>
    <x v="42"/>
    <x v="42"/>
    <x v="2"/>
    <x v="3"/>
    <x v="18"/>
    <x v="3"/>
    <x v="0"/>
    <x v="7"/>
    <x v="2"/>
    <x v="44"/>
    <x v="44"/>
    <x v="44"/>
    <x v="35"/>
    <x v="12"/>
    <x v="0"/>
    <x v="44"/>
    <x v="0"/>
    <x v="35"/>
    <x v="25"/>
    <x v="14"/>
    <x v="22"/>
    <x v="44"/>
    <x v="44"/>
    <x v="44"/>
    <x v="35"/>
    <x v="11"/>
    <x v="7"/>
    <x v="18"/>
    <x v="0"/>
    <x v="1"/>
    <x v="3"/>
    <x v="3"/>
    <x v="0"/>
    <x v="11"/>
    <x v="0"/>
    <x v="0"/>
    <x v="34"/>
    <x v="44"/>
    <x v="12"/>
    <x v="44"/>
    <x v="44"/>
  </r>
  <r>
    <x v="45"/>
    <x v="43"/>
    <x v="43"/>
    <x v="0"/>
    <x v="1"/>
    <x v="6"/>
    <x v="5"/>
    <x v="1"/>
    <x v="1"/>
    <x v="1"/>
    <x v="45"/>
    <x v="45"/>
    <x v="45"/>
    <x v="4"/>
    <x v="20"/>
    <x v="0"/>
    <x v="45"/>
    <x v="0"/>
    <x v="4"/>
    <x v="26"/>
    <x v="43"/>
    <x v="23"/>
    <x v="45"/>
    <x v="45"/>
    <x v="45"/>
    <x v="4"/>
    <x v="22"/>
    <x v="7"/>
    <x v="6"/>
    <x v="1"/>
    <x v="1"/>
    <x v="1"/>
    <x v="1"/>
    <x v="0"/>
    <x v="22"/>
    <x v="0"/>
    <x v="0"/>
    <x v="4"/>
    <x v="45"/>
    <x v="20"/>
    <x v="45"/>
    <x v="45"/>
  </r>
  <r>
    <x v="46"/>
    <x v="44"/>
    <x v="44"/>
    <x v="3"/>
    <x v="8"/>
    <x v="12"/>
    <x v="5"/>
    <x v="0"/>
    <x v="4"/>
    <x v="2"/>
    <x v="46"/>
    <x v="46"/>
    <x v="46"/>
    <x v="4"/>
    <x v="1"/>
    <x v="0"/>
    <x v="46"/>
    <x v="0"/>
    <x v="4"/>
    <x v="18"/>
    <x v="44"/>
    <x v="16"/>
    <x v="46"/>
    <x v="46"/>
    <x v="46"/>
    <x v="4"/>
    <x v="6"/>
    <x v="4"/>
    <x v="12"/>
    <x v="0"/>
    <x v="0"/>
    <x v="8"/>
    <x v="7"/>
    <x v="0"/>
    <x v="6"/>
    <x v="0"/>
    <x v="0"/>
    <x v="4"/>
    <x v="46"/>
    <x v="1"/>
    <x v="46"/>
    <x v="46"/>
  </r>
  <r>
    <x v="47"/>
    <x v="45"/>
    <x v="45"/>
    <x v="0"/>
    <x v="1"/>
    <x v="3"/>
    <x v="4"/>
    <x v="1"/>
    <x v="6"/>
    <x v="2"/>
    <x v="47"/>
    <x v="47"/>
    <x v="47"/>
    <x v="36"/>
    <x v="22"/>
    <x v="0"/>
    <x v="47"/>
    <x v="0"/>
    <x v="36"/>
    <x v="2"/>
    <x v="45"/>
    <x v="2"/>
    <x v="47"/>
    <x v="47"/>
    <x v="47"/>
    <x v="36"/>
    <x v="1"/>
    <x v="1"/>
    <x v="3"/>
    <x v="0"/>
    <x v="0"/>
    <x v="1"/>
    <x v="1"/>
    <x v="0"/>
    <x v="1"/>
    <x v="0"/>
    <x v="0"/>
    <x v="35"/>
    <x v="47"/>
    <x v="22"/>
    <x v="47"/>
    <x v="47"/>
  </r>
  <r>
    <x v="48"/>
    <x v="46"/>
    <x v="46"/>
    <x v="3"/>
    <x v="7"/>
    <x v="11"/>
    <x v="5"/>
    <x v="2"/>
    <x v="4"/>
    <x v="1"/>
    <x v="48"/>
    <x v="48"/>
    <x v="48"/>
    <x v="37"/>
    <x v="3"/>
    <x v="0"/>
    <x v="48"/>
    <x v="0"/>
    <x v="37"/>
    <x v="24"/>
    <x v="46"/>
    <x v="21"/>
    <x v="48"/>
    <x v="48"/>
    <x v="48"/>
    <x v="37"/>
    <x v="23"/>
    <x v="9"/>
    <x v="11"/>
    <x v="1"/>
    <x v="1"/>
    <x v="7"/>
    <x v="6"/>
    <x v="0"/>
    <x v="23"/>
    <x v="0"/>
    <x v="0"/>
    <x v="36"/>
    <x v="48"/>
    <x v="3"/>
    <x v="48"/>
    <x v="48"/>
  </r>
  <r>
    <x v="49"/>
    <x v="47"/>
    <x v="47"/>
    <x v="1"/>
    <x v="2"/>
    <x v="4"/>
    <x v="2"/>
    <x v="3"/>
    <x v="13"/>
    <x v="6"/>
    <x v="49"/>
    <x v="49"/>
    <x v="49"/>
    <x v="38"/>
    <x v="15"/>
    <x v="0"/>
    <x v="49"/>
    <x v="0"/>
    <x v="38"/>
    <x v="14"/>
    <x v="47"/>
    <x v="12"/>
    <x v="49"/>
    <x v="49"/>
    <x v="49"/>
    <x v="38"/>
    <x v="17"/>
    <x v="1"/>
    <x v="4"/>
    <x v="0"/>
    <x v="2"/>
    <x v="2"/>
    <x v="2"/>
    <x v="0"/>
    <x v="17"/>
    <x v="0"/>
    <x v="1"/>
    <x v="10"/>
    <x v="49"/>
    <x v="15"/>
    <x v="49"/>
    <x v="49"/>
  </r>
  <r>
    <x v="50"/>
    <x v="48"/>
    <x v="48"/>
    <x v="2"/>
    <x v="3"/>
    <x v="5"/>
    <x v="4"/>
    <x v="3"/>
    <x v="6"/>
    <x v="5"/>
    <x v="50"/>
    <x v="50"/>
    <x v="50"/>
    <x v="39"/>
    <x v="15"/>
    <x v="0"/>
    <x v="50"/>
    <x v="0"/>
    <x v="39"/>
    <x v="9"/>
    <x v="48"/>
    <x v="8"/>
    <x v="50"/>
    <x v="50"/>
    <x v="50"/>
    <x v="39"/>
    <x v="1"/>
    <x v="1"/>
    <x v="5"/>
    <x v="1"/>
    <x v="0"/>
    <x v="3"/>
    <x v="3"/>
    <x v="0"/>
    <x v="1"/>
    <x v="0"/>
    <x v="1"/>
    <x v="10"/>
    <x v="50"/>
    <x v="15"/>
    <x v="50"/>
    <x v="50"/>
  </r>
  <r>
    <x v="51"/>
    <x v="49"/>
    <x v="49"/>
    <x v="0"/>
    <x v="0"/>
    <x v="16"/>
    <x v="1"/>
    <x v="2"/>
    <x v="4"/>
    <x v="4"/>
    <x v="51"/>
    <x v="51"/>
    <x v="51"/>
    <x v="4"/>
    <x v="11"/>
    <x v="0"/>
    <x v="51"/>
    <x v="0"/>
    <x v="4"/>
    <x v="17"/>
    <x v="49"/>
    <x v="15"/>
    <x v="51"/>
    <x v="51"/>
    <x v="51"/>
    <x v="4"/>
    <x v="21"/>
    <x v="2"/>
    <x v="16"/>
    <x v="2"/>
    <x v="1"/>
    <x v="0"/>
    <x v="0"/>
    <x v="0"/>
    <x v="21"/>
    <x v="1"/>
    <x v="0"/>
    <x v="4"/>
    <x v="51"/>
    <x v="11"/>
    <x v="51"/>
    <x v="51"/>
  </r>
  <r>
    <x v="52"/>
    <x v="50"/>
    <x v="50"/>
    <x v="3"/>
    <x v="7"/>
    <x v="17"/>
    <x v="0"/>
    <x v="3"/>
    <x v="6"/>
    <x v="4"/>
    <x v="52"/>
    <x v="52"/>
    <x v="52"/>
    <x v="34"/>
    <x v="20"/>
    <x v="0"/>
    <x v="52"/>
    <x v="0"/>
    <x v="34"/>
    <x v="0"/>
    <x v="50"/>
    <x v="0"/>
    <x v="52"/>
    <x v="52"/>
    <x v="52"/>
    <x v="34"/>
    <x v="9"/>
    <x v="3"/>
    <x v="17"/>
    <x v="2"/>
    <x v="2"/>
    <x v="7"/>
    <x v="6"/>
    <x v="0"/>
    <x v="9"/>
    <x v="0"/>
    <x v="0"/>
    <x v="33"/>
    <x v="52"/>
    <x v="20"/>
    <x v="52"/>
    <x v="52"/>
  </r>
  <r>
    <x v="53"/>
    <x v="51"/>
    <x v="51"/>
    <x v="3"/>
    <x v="5"/>
    <x v="22"/>
    <x v="0"/>
    <x v="4"/>
    <x v="12"/>
    <x v="2"/>
    <x v="53"/>
    <x v="53"/>
    <x v="53"/>
    <x v="40"/>
    <x v="7"/>
    <x v="0"/>
    <x v="53"/>
    <x v="0"/>
    <x v="40"/>
    <x v="27"/>
    <x v="51"/>
    <x v="24"/>
    <x v="53"/>
    <x v="53"/>
    <x v="53"/>
    <x v="40"/>
    <x v="24"/>
    <x v="9"/>
    <x v="22"/>
    <x v="0"/>
    <x v="1"/>
    <x v="5"/>
    <x v="4"/>
    <x v="0"/>
    <x v="24"/>
    <x v="1"/>
    <x v="0"/>
    <x v="37"/>
    <x v="53"/>
    <x v="7"/>
    <x v="53"/>
    <x v="53"/>
  </r>
  <r>
    <x v="54"/>
    <x v="52"/>
    <x v="52"/>
    <x v="1"/>
    <x v="4"/>
    <x v="10"/>
    <x v="1"/>
    <x v="1"/>
    <x v="10"/>
    <x v="5"/>
    <x v="54"/>
    <x v="54"/>
    <x v="54"/>
    <x v="5"/>
    <x v="23"/>
    <x v="0"/>
    <x v="54"/>
    <x v="0"/>
    <x v="5"/>
    <x v="10"/>
    <x v="52"/>
    <x v="9"/>
    <x v="54"/>
    <x v="54"/>
    <x v="54"/>
    <x v="5"/>
    <x v="18"/>
    <x v="5"/>
    <x v="10"/>
    <x v="1"/>
    <x v="2"/>
    <x v="4"/>
    <x v="3"/>
    <x v="0"/>
    <x v="18"/>
    <x v="0"/>
    <x v="0"/>
    <x v="5"/>
    <x v="54"/>
    <x v="23"/>
    <x v="54"/>
    <x v="54"/>
  </r>
  <r>
    <x v="55"/>
    <x v="53"/>
    <x v="53"/>
    <x v="1"/>
    <x v="4"/>
    <x v="7"/>
    <x v="0"/>
    <x v="3"/>
    <x v="4"/>
    <x v="4"/>
    <x v="55"/>
    <x v="55"/>
    <x v="55"/>
    <x v="41"/>
    <x v="21"/>
    <x v="0"/>
    <x v="55"/>
    <x v="0"/>
    <x v="41"/>
    <x v="9"/>
    <x v="53"/>
    <x v="8"/>
    <x v="55"/>
    <x v="55"/>
    <x v="55"/>
    <x v="41"/>
    <x v="25"/>
    <x v="3"/>
    <x v="7"/>
    <x v="2"/>
    <x v="2"/>
    <x v="4"/>
    <x v="3"/>
    <x v="0"/>
    <x v="25"/>
    <x v="0"/>
    <x v="0"/>
    <x v="38"/>
    <x v="55"/>
    <x v="21"/>
    <x v="55"/>
    <x v="55"/>
  </r>
  <r>
    <x v="56"/>
    <x v="54"/>
    <x v="54"/>
    <x v="3"/>
    <x v="5"/>
    <x v="22"/>
    <x v="1"/>
    <x v="0"/>
    <x v="14"/>
    <x v="6"/>
    <x v="56"/>
    <x v="56"/>
    <x v="56"/>
    <x v="5"/>
    <x v="15"/>
    <x v="0"/>
    <x v="56"/>
    <x v="0"/>
    <x v="5"/>
    <x v="28"/>
    <x v="54"/>
    <x v="25"/>
    <x v="56"/>
    <x v="56"/>
    <x v="56"/>
    <x v="5"/>
    <x v="5"/>
    <x v="1"/>
    <x v="22"/>
    <x v="0"/>
    <x v="2"/>
    <x v="5"/>
    <x v="4"/>
    <x v="0"/>
    <x v="5"/>
    <x v="1"/>
    <x v="0"/>
    <x v="5"/>
    <x v="56"/>
    <x v="15"/>
    <x v="56"/>
    <x v="56"/>
  </r>
  <r>
    <x v="57"/>
    <x v="55"/>
    <x v="55"/>
    <x v="3"/>
    <x v="7"/>
    <x v="11"/>
    <x v="3"/>
    <x v="2"/>
    <x v="9"/>
    <x v="6"/>
    <x v="57"/>
    <x v="57"/>
    <x v="57"/>
    <x v="42"/>
    <x v="24"/>
    <x v="1"/>
    <x v="57"/>
    <x v="0"/>
    <x v="42"/>
    <x v="29"/>
    <x v="55"/>
    <x v="26"/>
    <x v="57"/>
    <x v="57"/>
    <x v="57"/>
    <x v="42"/>
    <x v="15"/>
    <x v="5"/>
    <x v="11"/>
    <x v="0"/>
    <x v="2"/>
    <x v="7"/>
    <x v="6"/>
    <x v="0"/>
    <x v="15"/>
    <x v="0"/>
    <x v="0"/>
    <x v="39"/>
    <x v="57"/>
    <x v="24"/>
    <x v="57"/>
    <x v="57"/>
  </r>
  <r>
    <x v="58"/>
    <x v="56"/>
    <x v="56"/>
    <x v="0"/>
    <x v="0"/>
    <x v="16"/>
    <x v="3"/>
    <x v="1"/>
    <x v="7"/>
    <x v="6"/>
    <x v="58"/>
    <x v="58"/>
    <x v="58"/>
    <x v="43"/>
    <x v="5"/>
    <x v="0"/>
    <x v="58"/>
    <x v="0"/>
    <x v="43"/>
    <x v="25"/>
    <x v="56"/>
    <x v="22"/>
    <x v="58"/>
    <x v="58"/>
    <x v="58"/>
    <x v="43"/>
    <x v="7"/>
    <x v="5"/>
    <x v="16"/>
    <x v="0"/>
    <x v="2"/>
    <x v="0"/>
    <x v="0"/>
    <x v="0"/>
    <x v="7"/>
    <x v="0"/>
    <x v="1"/>
    <x v="40"/>
    <x v="58"/>
    <x v="5"/>
    <x v="58"/>
    <x v="58"/>
  </r>
  <r>
    <x v="59"/>
    <x v="57"/>
    <x v="57"/>
    <x v="3"/>
    <x v="7"/>
    <x v="17"/>
    <x v="0"/>
    <x v="4"/>
    <x v="2"/>
    <x v="0"/>
    <x v="59"/>
    <x v="59"/>
    <x v="59"/>
    <x v="44"/>
    <x v="9"/>
    <x v="0"/>
    <x v="59"/>
    <x v="0"/>
    <x v="44"/>
    <x v="19"/>
    <x v="57"/>
    <x v="17"/>
    <x v="59"/>
    <x v="59"/>
    <x v="59"/>
    <x v="44"/>
    <x v="0"/>
    <x v="0"/>
    <x v="17"/>
    <x v="0"/>
    <x v="0"/>
    <x v="7"/>
    <x v="6"/>
    <x v="0"/>
    <x v="0"/>
    <x v="0"/>
    <x v="0"/>
    <x v="41"/>
    <x v="59"/>
    <x v="9"/>
    <x v="59"/>
    <x v="59"/>
  </r>
  <r>
    <x v="60"/>
    <x v="58"/>
    <x v="58"/>
    <x v="2"/>
    <x v="6"/>
    <x v="27"/>
    <x v="5"/>
    <x v="1"/>
    <x v="6"/>
    <x v="0"/>
    <x v="60"/>
    <x v="60"/>
    <x v="60"/>
    <x v="45"/>
    <x v="2"/>
    <x v="0"/>
    <x v="60"/>
    <x v="0"/>
    <x v="45"/>
    <x v="27"/>
    <x v="58"/>
    <x v="24"/>
    <x v="60"/>
    <x v="60"/>
    <x v="60"/>
    <x v="45"/>
    <x v="10"/>
    <x v="6"/>
    <x v="27"/>
    <x v="0"/>
    <x v="2"/>
    <x v="6"/>
    <x v="5"/>
    <x v="1"/>
    <x v="10"/>
    <x v="1"/>
    <x v="0"/>
    <x v="42"/>
    <x v="60"/>
    <x v="2"/>
    <x v="60"/>
    <x v="60"/>
  </r>
  <r>
    <x v="61"/>
    <x v="59"/>
    <x v="59"/>
    <x v="3"/>
    <x v="7"/>
    <x v="28"/>
    <x v="3"/>
    <x v="2"/>
    <x v="2"/>
    <x v="3"/>
    <x v="61"/>
    <x v="61"/>
    <x v="61"/>
    <x v="46"/>
    <x v="21"/>
    <x v="0"/>
    <x v="61"/>
    <x v="0"/>
    <x v="46"/>
    <x v="30"/>
    <x v="59"/>
    <x v="27"/>
    <x v="61"/>
    <x v="61"/>
    <x v="61"/>
    <x v="46"/>
    <x v="18"/>
    <x v="5"/>
    <x v="28"/>
    <x v="2"/>
    <x v="2"/>
    <x v="7"/>
    <x v="6"/>
    <x v="0"/>
    <x v="18"/>
    <x v="0"/>
    <x v="0"/>
    <x v="43"/>
    <x v="61"/>
    <x v="21"/>
    <x v="61"/>
    <x v="61"/>
  </r>
  <r>
    <x v="62"/>
    <x v="60"/>
    <x v="60"/>
    <x v="2"/>
    <x v="3"/>
    <x v="29"/>
    <x v="3"/>
    <x v="3"/>
    <x v="6"/>
    <x v="5"/>
    <x v="62"/>
    <x v="62"/>
    <x v="62"/>
    <x v="47"/>
    <x v="25"/>
    <x v="0"/>
    <x v="62"/>
    <x v="0"/>
    <x v="47"/>
    <x v="14"/>
    <x v="60"/>
    <x v="12"/>
    <x v="62"/>
    <x v="62"/>
    <x v="62"/>
    <x v="47"/>
    <x v="17"/>
    <x v="1"/>
    <x v="29"/>
    <x v="1"/>
    <x v="2"/>
    <x v="3"/>
    <x v="3"/>
    <x v="0"/>
    <x v="17"/>
    <x v="0"/>
    <x v="1"/>
    <x v="10"/>
    <x v="62"/>
    <x v="25"/>
    <x v="62"/>
    <x v="62"/>
  </r>
  <r>
    <x v="63"/>
    <x v="61"/>
    <x v="61"/>
    <x v="0"/>
    <x v="11"/>
    <x v="20"/>
    <x v="2"/>
    <x v="0"/>
    <x v="10"/>
    <x v="4"/>
    <x v="63"/>
    <x v="63"/>
    <x v="63"/>
    <x v="48"/>
    <x v="26"/>
    <x v="0"/>
    <x v="63"/>
    <x v="0"/>
    <x v="48"/>
    <x v="25"/>
    <x v="61"/>
    <x v="22"/>
    <x v="63"/>
    <x v="63"/>
    <x v="63"/>
    <x v="48"/>
    <x v="2"/>
    <x v="2"/>
    <x v="20"/>
    <x v="2"/>
    <x v="1"/>
    <x v="11"/>
    <x v="10"/>
    <x v="0"/>
    <x v="2"/>
    <x v="0"/>
    <x v="0"/>
    <x v="44"/>
    <x v="63"/>
    <x v="26"/>
    <x v="63"/>
    <x v="63"/>
  </r>
  <r>
    <x v="64"/>
    <x v="62"/>
    <x v="62"/>
    <x v="1"/>
    <x v="4"/>
    <x v="30"/>
    <x v="1"/>
    <x v="0"/>
    <x v="6"/>
    <x v="3"/>
    <x v="64"/>
    <x v="64"/>
    <x v="64"/>
    <x v="49"/>
    <x v="20"/>
    <x v="0"/>
    <x v="64"/>
    <x v="0"/>
    <x v="49"/>
    <x v="23"/>
    <x v="62"/>
    <x v="20"/>
    <x v="64"/>
    <x v="64"/>
    <x v="64"/>
    <x v="49"/>
    <x v="26"/>
    <x v="10"/>
    <x v="30"/>
    <x v="2"/>
    <x v="1"/>
    <x v="4"/>
    <x v="3"/>
    <x v="0"/>
    <x v="26"/>
    <x v="0"/>
    <x v="0"/>
    <x v="45"/>
    <x v="64"/>
    <x v="20"/>
    <x v="64"/>
    <x v="64"/>
  </r>
  <r>
    <x v="65"/>
    <x v="63"/>
    <x v="63"/>
    <x v="3"/>
    <x v="8"/>
    <x v="31"/>
    <x v="5"/>
    <x v="0"/>
    <x v="14"/>
    <x v="6"/>
    <x v="65"/>
    <x v="65"/>
    <x v="65"/>
    <x v="50"/>
    <x v="13"/>
    <x v="0"/>
    <x v="65"/>
    <x v="0"/>
    <x v="50"/>
    <x v="31"/>
    <x v="63"/>
    <x v="28"/>
    <x v="65"/>
    <x v="65"/>
    <x v="65"/>
    <x v="50"/>
    <x v="21"/>
    <x v="2"/>
    <x v="31"/>
    <x v="0"/>
    <x v="1"/>
    <x v="8"/>
    <x v="7"/>
    <x v="0"/>
    <x v="21"/>
    <x v="0"/>
    <x v="0"/>
    <x v="46"/>
    <x v="65"/>
    <x v="13"/>
    <x v="65"/>
    <x v="65"/>
  </r>
  <r>
    <x v="66"/>
    <x v="64"/>
    <x v="64"/>
    <x v="2"/>
    <x v="6"/>
    <x v="32"/>
    <x v="0"/>
    <x v="3"/>
    <x v="0"/>
    <x v="5"/>
    <x v="66"/>
    <x v="66"/>
    <x v="66"/>
    <x v="51"/>
    <x v="20"/>
    <x v="0"/>
    <x v="66"/>
    <x v="0"/>
    <x v="51"/>
    <x v="16"/>
    <x v="64"/>
    <x v="14"/>
    <x v="66"/>
    <x v="66"/>
    <x v="66"/>
    <x v="51"/>
    <x v="6"/>
    <x v="4"/>
    <x v="32"/>
    <x v="1"/>
    <x v="0"/>
    <x v="6"/>
    <x v="5"/>
    <x v="1"/>
    <x v="6"/>
    <x v="0"/>
    <x v="0"/>
    <x v="47"/>
    <x v="66"/>
    <x v="20"/>
    <x v="66"/>
    <x v="66"/>
  </r>
  <r>
    <x v="67"/>
    <x v="65"/>
    <x v="65"/>
    <x v="0"/>
    <x v="11"/>
    <x v="20"/>
    <x v="4"/>
    <x v="0"/>
    <x v="13"/>
    <x v="5"/>
    <x v="67"/>
    <x v="67"/>
    <x v="67"/>
    <x v="52"/>
    <x v="6"/>
    <x v="0"/>
    <x v="67"/>
    <x v="0"/>
    <x v="52"/>
    <x v="7"/>
    <x v="65"/>
    <x v="6"/>
    <x v="67"/>
    <x v="67"/>
    <x v="67"/>
    <x v="52"/>
    <x v="24"/>
    <x v="9"/>
    <x v="20"/>
    <x v="1"/>
    <x v="1"/>
    <x v="11"/>
    <x v="10"/>
    <x v="0"/>
    <x v="24"/>
    <x v="0"/>
    <x v="1"/>
    <x v="48"/>
    <x v="67"/>
    <x v="6"/>
    <x v="67"/>
    <x v="67"/>
  </r>
  <r>
    <x v="68"/>
    <x v="66"/>
    <x v="66"/>
    <x v="2"/>
    <x v="9"/>
    <x v="23"/>
    <x v="0"/>
    <x v="0"/>
    <x v="7"/>
    <x v="0"/>
    <x v="68"/>
    <x v="68"/>
    <x v="68"/>
    <x v="53"/>
    <x v="27"/>
    <x v="0"/>
    <x v="68"/>
    <x v="0"/>
    <x v="53"/>
    <x v="7"/>
    <x v="66"/>
    <x v="6"/>
    <x v="68"/>
    <x v="68"/>
    <x v="68"/>
    <x v="53"/>
    <x v="11"/>
    <x v="7"/>
    <x v="23"/>
    <x v="0"/>
    <x v="1"/>
    <x v="9"/>
    <x v="8"/>
    <x v="0"/>
    <x v="11"/>
    <x v="0"/>
    <x v="0"/>
    <x v="49"/>
    <x v="68"/>
    <x v="27"/>
    <x v="68"/>
    <x v="68"/>
  </r>
  <r>
    <x v="69"/>
    <x v="67"/>
    <x v="67"/>
    <x v="3"/>
    <x v="5"/>
    <x v="22"/>
    <x v="3"/>
    <x v="1"/>
    <x v="11"/>
    <x v="6"/>
    <x v="69"/>
    <x v="69"/>
    <x v="69"/>
    <x v="54"/>
    <x v="0"/>
    <x v="0"/>
    <x v="69"/>
    <x v="0"/>
    <x v="54"/>
    <x v="4"/>
    <x v="67"/>
    <x v="4"/>
    <x v="69"/>
    <x v="69"/>
    <x v="69"/>
    <x v="54"/>
    <x v="0"/>
    <x v="0"/>
    <x v="22"/>
    <x v="0"/>
    <x v="0"/>
    <x v="5"/>
    <x v="4"/>
    <x v="0"/>
    <x v="0"/>
    <x v="1"/>
    <x v="0"/>
    <x v="50"/>
    <x v="69"/>
    <x v="0"/>
    <x v="69"/>
    <x v="69"/>
  </r>
  <r>
    <x v="70"/>
    <x v="68"/>
    <x v="68"/>
    <x v="1"/>
    <x v="4"/>
    <x v="10"/>
    <x v="4"/>
    <x v="2"/>
    <x v="8"/>
    <x v="4"/>
    <x v="70"/>
    <x v="70"/>
    <x v="70"/>
    <x v="55"/>
    <x v="2"/>
    <x v="0"/>
    <x v="70"/>
    <x v="0"/>
    <x v="55"/>
    <x v="32"/>
    <x v="68"/>
    <x v="29"/>
    <x v="70"/>
    <x v="70"/>
    <x v="70"/>
    <x v="55"/>
    <x v="18"/>
    <x v="5"/>
    <x v="10"/>
    <x v="2"/>
    <x v="2"/>
    <x v="4"/>
    <x v="3"/>
    <x v="0"/>
    <x v="18"/>
    <x v="0"/>
    <x v="0"/>
    <x v="51"/>
    <x v="70"/>
    <x v="2"/>
    <x v="70"/>
    <x v="70"/>
  </r>
  <r>
    <x v="71"/>
    <x v="69"/>
    <x v="69"/>
    <x v="0"/>
    <x v="11"/>
    <x v="20"/>
    <x v="1"/>
    <x v="3"/>
    <x v="7"/>
    <x v="4"/>
    <x v="71"/>
    <x v="71"/>
    <x v="71"/>
    <x v="56"/>
    <x v="17"/>
    <x v="0"/>
    <x v="71"/>
    <x v="0"/>
    <x v="56"/>
    <x v="2"/>
    <x v="69"/>
    <x v="2"/>
    <x v="71"/>
    <x v="71"/>
    <x v="71"/>
    <x v="56"/>
    <x v="19"/>
    <x v="4"/>
    <x v="20"/>
    <x v="2"/>
    <x v="0"/>
    <x v="11"/>
    <x v="10"/>
    <x v="0"/>
    <x v="19"/>
    <x v="0"/>
    <x v="0"/>
    <x v="52"/>
    <x v="71"/>
    <x v="17"/>
    <x v="71"/>
    <x v="71"/>
  </r>
  <r>
    <x v="72"/>
    <x v="70"/>
    <x v="70"/>
    <x v="2"/>
    <x v="9"/>
    <x v="14"/>
    <x v="3"/>
    <x v="4"/>
    <x v="1"/>
    <x v="2"/>
    <x v="72"/>
    <x v="72"/>
    <x v="72"/>
    <x v="57"/>
    <x v="6"/>
    <x v="0"/>
    <x v="72"/>
    <x v="0"/>
    <x v="57"/>
    <x v="17"/>
    <x v="70"/>
    <x v="15"/>
    <x v="72"/>
    <x v="72"/>
    <x v="72"/>
    <x v="57"/>
    <x v="5"/>
    <x v="1"/>
    <x v="14"/>
    <x v="0"/>
    <x v="2"/>
    <x v="9"/>
    <x v="8"/>
    <x v="0"/>
    <x v="5"/>
    <x v="1"/>
    <x v="0"/>
    <x v="53"/>
    <x v="72"/>
    <x v="6"/>
    <x v="72"/>
    <x v="72"/>
  </r>
  <r>
    <x v="73"/>
    <x v="71"/>
    <x v="71"/>
    <x v="0"/>
    <x v="11"/>
    <x v="25"/>
    <x v="0"/>
    <x v="3"/>
    <x v="7"/>
    <x v="0"/>
    <x v="73"/>
    <x v="73"/>
    <x v="73"/>
    <x v="58"/>
    <x v="27"/>
    <x v="0"/>
    <x v="73"/>
    <x v="1"/>
    <x v="32"/>
    <x v="6"/>
    <x v="71"/>
    <x v="1"/>
    <x v="73"/>
    <x v="73"/>
    <x v="73"/>
    <x v="32"/>
    <x v="14"/>
    <x v="7"/>
    <x v="25"/>
    <x v="0"/>
    <x v="1"/>
    <x v="11"/>
    <x v="10"/>
    <x v="0"/>
    <x v="14"/>
    <x v="1"/>
    <x v="1"/>
    <x v="10"/>
    <x v="73"/>
    <x v="27"/>
    <x v="73"/>
    <x v="73"/>
  </r>
  <r>
    <x v="74"/>
    <x v="72"/>
    <x v="72"/>
    <x v="2"/>
    <x v="3"/>
    <x v="18"/>
    <x v="3"/>
    <x v="4"/>
    <x v="4"/>
    <x v="0"/>
    <x v="74"/>
    <x v="74"/>
    <x v="74"/>
    <x v="59"/>
    <x v="4"/>
    <x v="0"/>
    <x v="74"/>
    <x v="0"/>
    <x v="58"/>
    <x v="9"/>
    <x v="72"/>
    <x v="8"/>
    <x v="74"/>
    <x v="74"/>
    <x v="74"/>
    <x v="58"/>
    <x v="27"/>
    <x v="9"/>
    <x v="18"/>
    <x v="0"/>
    <x v="1"/>
    <x v="3"/>
    <x v="3"/>
    <x v="0"/>
    <x v="27"/>
    <x v="0"/>
    <x v="0"/>
    <x v="54"/>
    <x v="74"/>
    <x v="4"/>
    <x v="74"/>
    <x v="74"/>
  </r>
  <r>
    <x v="75"/>
    <x v="73"/>
    <x v="73"/>
    <x v="1"/>
    <x v="4"/>
    <x v="30"/>
    <x v="2"/>
    <x v="1"/>
    <x v="15"/>
    <x v="6"/>
    <x v="75"/>
    <x v="75"/>
    <x v="75"/>
    <x v="60"/>
    <x v="20"/>
    <x v="0"/>
    <x v="75"/>
    <x v="0"/>
    <x v="59"/>
    <x v="30"/>
    <x v="73"/>
    <x v="27"/>
    <x v="75"/>
    <x v="75"/>
    <x v="75"/>
    <x v="59"/>
    <x v="20"/>
    <x v="8"/>
    <x v="30"/>
    <x v="0"/>
    <x v="0"/>
    <x v="4"/>
    <x v="3"/>
    <x v="0"/>
    <x v="20"/>
    <x v="0"/>
    <x v="0"/>
    <x v="55"/>
    <x v="75"/>
    <x v="20"/>
    <x v="75"/>
    <x v="75"/>
  </r>
  <r>
    <x v="76"/>
    <x v="23"/>
    <x v="74"/>
    <x v="1"/>
    <x v="4"/>
    <x v="30"/>
    <x v="3"/>
    <x v="4"/>
    <x v="14"/>
    <x v="6"/>
    <x v="76"/>
    <x v="76"/>
    <x v="76"/>
    <x v="3"/>
    <x v="17"/>
    <x v="0"/>
    <x v="76"/>
    <x v="0"/>
    <x v="3"/>
    <x v="6"/>
    <x v="74"/>
    <x v="1"/>
    <x v="76"/>
    <x v="76"/>
    <x v="76"/>
    <x v="3"/>
    <x v="16"/>
    <x v="4"/>
    <x v="30"/>
    <x v="0"/>
    <x v="0"/>
    <x v="4"/>
    <x v="3"/>
    <x v="0"/>
    <x v="16"/>
    <x v="1"/>
    <x v="0"/>
    <x v="3"/>
    <x v="76"/>
    <x v="17"/>
    <x v="76"/>
    <x v="76"/>
  </r>
  <r>
    <x v="77"/>
    <x v="74"/>
    <x v="75"/>
    <x v="3"/>
    <x v="8"/>
    <x v="31"/>
    <x v="2"/>
    <x v="4"/>
    <x v="10"/>
    <x v="0"/>
    <x v="77"/>
    <x v="77"/>
    <x v="77"/>
    <x v="61"/>
    <x v="9"/>
    <x v="0"/>
    <x v="77"/>
    <x v="0"/>
    <x v="60"/>
    <x v="27"/>
    <x v="75"/>
    <x v="24"/>
    <x v="77"/>
    <x v="77"/>
    <x v="77"/>
    <x v="60"/>
    <x v="22"/>
    <x v="7"/>
    <x v="31"/>
    <x v="0"/>
    <x v="1"/>
    <x v="8"/>
    <x v="7"/>
    <x v="0"/>
    <x v="22"/>
    <x v="1"/>
    <x v="1"/>
    <x v="10"/>
    <x v="77"/>
    <x v="9"/>
    <x v="77"/>
    <x v="77"/>
  </r>
  <r>
    <x v="78"/>
    <x v="75"/>
    <x v="76"/>
    <x v="3"/>
    <x v="7"/>
    <x v="11"/>
    <x v="3"/>
    <x v="4"/>
    <x v="2"/>
    <x v="5"/>
    <x v="78"/>
    <x v="78"/>
    <x v="78"/>
    <x v="62"/>
    <x v="28"/>
    <x v="0"/>
    <x v="78"/>
    <x v="0"/>
    <x v="61"/>
    <x v="19"/>
    <x v="76"/>
    <x v="17"/>
    <x v="78"/>
    <x v="78"/>
    <x v="78"/>
    <x v="61"/>
    <x v="17"/>
    <x v="1"/>
    <x v="11"/>
    <x v="1"/>
    <x v="2"/>
    <x v="7"/>
    <x v="6"/>
    <x v="0"/>
    <x v="17"/>
    <x v="0"/>
    <x v="0"/>
    <x v="56"/>
    <x v="78"/>
    <x v="28"/>
    <x v="78"/>
    <x v="78"/>
  </r>
  <r>
    <x v="79"/>
    <x v="76"/>
    <x v="77"/>
    <x v="0"/>
    <x v="11"/>
    <x v="33"/>
    <x v="0"/>
    <x v="4"/>
    <x v="11"/>
    <x v="2"/>
    <x v="79"/>
    <x v="79"/>
    <x v="79"/>
    <x v="63"/>
    <x v="29"/>
    <x v="0"/>
    <x v="79"/>
    <x v="0"/>
    <x v="62"/>
    <x v="4"/>
    <x v="77"/>
    <x v="4"/>
    <x v="79"/>
    <x v="79"/>
    <x v="79"/>
    <x v="62"/>
    <x v="2"/>
    <x v="2"/>
    <x v="33"/>
    <x v="0"/>
    <x v="1"/>
    <x v="11"/>
    <x v="10"/>
    <x v="0"/>
    <x v="2"/>
    <x v="1"/>
    <x v="0"/>
    <x v="57"/>
    <x v="79"/>
    <x v="29"/>
    <x v="79"/>
    <x v="79"/>
  </r>
  <r>
    <x v="80"/>
    <x v="65"/>
    <x v="78"/>
    <x v="1"/>
    <x v="2"/>
    <x v="26"/>
    <x v="4"/>
    <x v="0"/>
    <x v="2"/>
    <x v="1"/>
    <x v="80"/>
    <x v="80"/>
    <x v="80"/>
    <x v="64"/>
    <x v="13"/>
    <x v="0"/>
    <x v="80"/>
    <x v="0"/>
    <x v="63"/>
    <x v="10"/>
    <x v="78"/>
    <x v="9"/>
    <x v="80"/>
    <x v="80"/>
    <x v="80"/>
    <x v="63"/>
    <x v="24"/>
    <x v="9"/>
    <x v="26"/>
    <x v="1"/>
    <x v="1"/>
    <x v="2"/>
    <x v="2"/>
    <x v="0"/>
    <x v="24"/>
    <x v="0"/>
    <x v="1"/>
    <x v="58"/>
    <x v="80"/>
    <x v="13"/>
    <x v="80"/>
    <x v="80"/>
  </r>
  <r>
    <x v="81"/>
    <x v="77"/>
    <x v="79"/>
    <x v="3"/>
    <x v="7"/>
    <x v="28"/>
    <x v="3"/>
    <x v="2"/>
    <x v="10"/>
    <x v="0"/>
    <x v="81"/>
    <x v="81"/>
    <x v="81"/>
    <x v="25"/>
    <x v="11"/>
    <x v="0"/>
    <x v="81"/>
    <x v="0"/>
    <x v="25"/>
    <x v="26"/>
    <x v="79"/>
    <x v="23"/>
    <x v="81"/>
    <x v="81"/>
    <x v="81"/>
    <x v="25"/>
    <x v="7"/>
    <x v="5"/>
    <x v="28"/>
    <x v="0"/>
    <x v="2"/>
    <x v="7"/>
    <x v="6"/>
    <x v="0"/>
    <x v="7"/>
    <x v="0"/>
    <x v="0"/>
    <x v="25"/>
    <x v="81"/>
    <x v="11"/>
    <x v="81"/>
    <x v="81"/>
  </r>
  <r>
    <x v="82"/>
    <x v="78"/>
    <x v="80"/>
    <x v="1"/>
    <x v="10"/>
    <x v="24"/>
    <x v="2"/>
    <x v="3"/>
    <x v="13"/>
    <x v="5"/>
    <x v="82"/>
    <x v="82"/>
    <x v="82"/>
    <x v="65"/>
    <x v="11"/>
    <x v="0"/>
    <x v="82"/>
    <x v="0"/>
    <x v="64"/>
    <x v="12"/>
    <x v="52"/>
    <x v="1"/>
    <x v="82"/>
    <x v="82"/>
    <x v="82"/>
    <x v="64"/>
    <x v="18"/>
    <x v="5"/>
    <x v="24"/>
    <x v="1"/>
    <x v="2"/>
    <x v="10"/>
    <x v="9"/>
    <x v="0"/>
    <x v="18"/>
    <x v="1"/>
    <x v="1"/>
    <x v="59"/>
    <x v="82"/>
    <x v="11"/>
    <x v="82"/>
    <x v="82"/>
  </r>
  <r>
    <x v="83"/>
    <x v="79"/>
    <x v="81"/>
    <x v="3"/>
    <x v="8"/>
    <x v="21"/>
    <x v="5"/>
    <x v="0"/>
    <x v="9"/>
    <x v="2"/>
    <x v="83"/>
    <x v="83"/>
    <x v="83"/>
    <x v="66"/>
    <x v="20"/>
    <x v="0"/>
    <x v="83"/>
    <x v="0"/>
    <x v="65"/>
    <x v="23"/>
    <x v="80"/>
    <x v="20"/>
    <x v="83"/>
    <x v="83"/>
    <x v="83"/>
    <x v="65"/>
    <x v="3"/>
    <x v="3"/>
    <x v="21"/>
    <x v="0"/>
    <x v="2"/>
    <x v="8"/>
    <x v="7"/>
    <x v="0"/>
    <x v="3"/>
    <x v="0"/>
    <x v="0"/>
    <x v="60"/>
    <x v="83"/>
    <x v="20"/>
    <x v="83"/>
    <x v="83"/>
  </r>
  <r>
    <x v="84"/>
    <x v="80"/>
    <x v="82"/>
    <x v="0"/>
    <x v="11"/>
    <x v="33"/>
    <x v="2"/>
    <x v="2"/>
    <x v="13"/>
    <x v="0"/>
    <x v="84"/>
    <x v="84"/>
    <x v="84"/>
    <x v="67"/>
    <x v="21"/>
    <x v="0"/>
    <x v="84"/>
    <x v="0"/>
    <x v="66"/>
    <x v="28"/>
    <x v="81"/>
    <x v="25"/>
    <x v="84"/>
    <x v="84"/>
    <x v="84"/>
    <x v="66"/>
    <x v="26"/>
    <x v="10"/>
    <x v="33"/>
    <x v="0"/>
    <x v="0"/>
    <x v="11"/>
    <x v="10"/>
    <x v="0"/>
    <x v="26"/>
    <x v="1"/>
    <x v="0"/>
    <x v="61"/>
    <x v="84"/>
    <x v="21"/>
    <x v="84"/>
    <x v="84"/>
  </r>
  <r>
    <x v="85"/>
    <x v="81"/>
    <x v="83"/>
    <x v="2"/>
    <x v="9"/>
    <x v="23"/>
    <x v="0"/>
    <x v="0"/>
    <x v="10"/>
    <x v="0"/>
    <x v="85"/>
    <x v="85"/>
    <x v="85"/>
    <x v="68"/>
    <x v="10"/>
    <x v="0"/>
    <x v="85"/>
    <x v="0"/>
    <x v="67"/>
    <x v="7"/>
    <x v="82"/>
    <x v="6"/>
    <x v="85"/>
    <x v="85"/>
    <x v="85"/>
    <x v="67"/>
    <x v="19"/>
    <x v="4"/>
    <x v="23"/>
    <x v="0"/>
    <x v="0"/>
    <x v="9"/>
    <x v="8"/>
    <x v="0"/>
    <x v="19"/>
    <x v="0"/>
    <x v="0"/>
    <x v="62"/>
    <x v="85"/>
    <x v="10"/>
    <x v="85"/>
    <x v="85"/>
  </r>
  <r>
    <x v="86"/>
    <x v="82"/>
    <x v="84"/>
    <x v="0"/>
    <x v="0"/>
    <x v="16"/>
    <x v="0"/>
    <x v="5"/>
    <x v="11"/>
    <x v="0"/>
    <x v="86"/>
    <x v="86"/>
    <x v="86"/>
    <x v="69"/>
    <x v="28"/>
    <x v="0"/>
    <x v="86"/>
    <x v="0"/>
    <x v="68"/>
    <x v="8"/>
    <x v="83"/>
    <x v="7"/>
    <x v="86"/>
    <x v="86"/>
    <x v="86"/>
    <x v="68"/>
    <x v="28"/>
    <x v="6"/>
    <x v="16"/>
    <x v="0"/>
    <x v="2"/>
    <x v="0"/>
    <x v="0"/>
    <x v="0"/>
    <x v="28"/>
    <x v="0"/>
    <x v="0"/>
    <x v="63"/>
    <x v="86"/>
    <x v="28"/>
    <x v="86"/>
    <x v="86"/>
  </r>
  <r>
    <x v="87"/>
    <x v="83"/>
    <x v="85"/>
    <x v="2"/>
    <x v="3"/>
    <x v="18"/>
    <x v="5"/>
    <x v="4"/>
    <x v="0"/>
    <x v="5"/>
    <x v="87"/>
    <x v="87"/>
    <x v="87"/>
    <x v="70"/>
    <x v="21"/>
    <x v="0"/>
    <x v="87"/>
    <x v="0"/>
    <x v="69"/>
    <x v="3"/>
    <x v="84"/>
    <x v="3"/>
    <x v="87"/>
    <x v="87"/>
    <x v="87"/>
    <x v="69"/>
    <x v="8"/>
    <x v="0"/>
    <x v="18"/>
    <x v="1"/>
    <x v="0"/>
    <x v="3"/>
    <x v="3"/>
    <x v="0"/>
    <x v="8"/>
    <x v="1"/>
    <x v="0"/>
    <x v="64"/>
    <x v="87"/>
    <x v="21"/>
    <x v="87"/>
    <x v="87"/>
  </r>
  <r>
    <x v="88"/>
    <x v="84"/>
    <x v="86"/>
    <x v="2"/>
    <x v="6"/>
    <x v="32"/>
    <x v="1"/>
    <x v="2"/>
    <x v="8"/>
    <x v="5"/>
    <x v="88"/>
    <x v="88"/>
    <x v="88"/>
    <x v="71"/>
    <x v="15"/>
    <x v="0"/>
    <x v="88"/>
    <x v="0"/>
    <x v="70"/>
    <x v="4"/>
    <x v="85"/>
    <x v="4"/>
    <x v="88"/>
    <x v="88"/>
    <x v="88"/>
    <x v="70"/>
    <x v="22"/>
    <x v="7"/>
    <x v="32"/>
    <x v="1"/>
    <x v="1"/>
    <x v="6"/>
    <x v="5"/>
    <x v="1"/>
    <x v="22"/>
    <x v="1"/>
    <x v="0"/>
    <x v="65"/>
    <x v="88"/>
    <x v="15"/>
    <x v="88"/>
    <x v="88"/>
  </r>
  <r>
    <x v="89"/>
    <x v="85"/>
    <x v="87"/>
    <x v="2"/>
    <x v="6"/>
    <x v="32"/>
    <x v="1"/>
    <x v="4"/>
    <x v="12"/>
    <x v="2"/>
    <x v="89"/>
    <x v="89"/>
    <x v="89"/>
    <x v="12"/>
    <x v="4"/>
    <x v="0"/>
    <x v="89"/>
    <x v="0"/>
    <x v="12"/>
    <x v="15"/>
    <x v="86"/>
    <x v="13"/>
    <x v="89"/>
    <x v="89"/>
    <x v="89"/>
    <x v="12"/>
    <x v="18"/>
    <x v="5"/>
    <x v="32"/>
    <x v="0"/>
    <x v="2"/>
    <x v="6"/>
    <x v="5"/>
    <x v="1"/>
    <x v="18"/>
    <x v="0"/>
    <x v="0"/>
    <x v="12"/>
    <x v="89"/>
    <x v="4"/>
    <x v="89"/>
    <x v="89"/>
  </r>
  <r>
    <x v="90"/>
    <x v="55"/>
    <x v="88"/>
    <x v="2"/>
    <x v="3"/>
    <x v="34"/>
    <x v="4"/>
    <x v="3"/>
    <x v="11"/>
    <x v="3"/>
    <x v="90"/>
    <x v="90"/>
    <x v="90"/>
    <x v="40"/>
    <x v="30"/>
    <x v="0"/>
    <x v="90"/>
    <x v="0"/>
    <x v="40"/>
    <x v="14"/>
    <x v="87"/>
    <x v="12"/>
    <x v="90"/>
    <x v="90"/>
    <x v="90"/>
    <x v="40"/>
    <x v="15"/>
    <x v="5"/>
    <x v="34"/>
    <x v="2"/>
    <x v="2"/>
    <x v="3"/>
    <x v="3"/>
    <x v="0"/>
    <x v="15"/>
    <x v="0"/>
    <x v="0"/>
    <x v="37"/>
    <x v="90"/>
    <x v="30"/>
    <x v="90"/>
    <x v="90"/>
  </r>
  <r>
    <x v="91"/>
    <x v="86"/>
    <x v="89"/>
    <x v="1"/>
    <x v="4"/>
    <x v="30"/>
    <x v="2"/>
    <x v="0"/>
    <x v="5"/>
    <x v="1"/>
    <x v="91"/>
    <x v="91"/>
    <x v="91"/>
    <x v="72"/>
    <x v="15"/>
    <x v="0"/>
    <x v="91"/>
    <x v="0"/>
    <x v="71"/>
    <x v="12"/>
    <x v="88"/>
    <x v="1"/>
    <x v="91"/>
    <x v="91"/>
    <x v="91"/>
    <x v="71"/>
    <x v="22"/>
    <x v="7"/>
    <x v="30"/>
    <x v="1"/>
    <x v="1"/>
    <x v="4"/>
    <x v="3"/>
    <x v="0"/>
    <x v="22"/>
    <x v="1"/>
    <x v="0"/>
    <x v="66"/>
    <x v="91"/>
    <x v="15"/>
    <x v="91"/>
    <x v="91"/>
  </r>
  <r>
    <x v="92"/>
    <x v="87"/>
    <x v="90"/>
    <x v="0"/>
    <x v="1"/>
    <x v="6"/>
    <x v="0"/>
    <x v="3"/>
    <x v="8"/>
    <x v="6"/>
    <x v="92"/>
    <x v="92"/>
    <x v="92"/>
    <x v="73"/>
    <x v="8"/>
    <x v="0"/>
    <x v="92"/>
    <x v="0"/>
    <x v="72"/>
    <x v="11"/>
    <x v="89"/>
    <x v="10"/>
    <x v="92"/>
    <x v="92"/>
    <x v="92"/>
    <x v="72"/>
    <x v="1"/>
    <x v="1"/>
    <x v="6"/>
    <x v="0"/>
    <x v="0"/>
    <x v="1"/>
    <x v="1"/>
    <x v="0"/>
    <x v="1"/>
    <x v="0"/>
    <x v="0"/>
    <x v="67"/>
    <x v="92"/>
    <x v="8"/>
    <x v="92"/>
    <x v="92"/>
  </r>
  <r>
    <x v="93"/>
    <x v="58"/>
    <x v="13"/>
    <x v="0"/>
    <x v="0"/>
    <x v="13"/>
    <x v="0"/>
    <x v="4"/>
    <x v="14"/>
    <x v="3"/>
    <x v="93"/>
    <x v="93"/>
    <x v="93"/>
    <x v="74"/>
    <x v="7"/>
    <x v="0"/>
    <x v="93"/>
    <x v="0"/>
    <x v="73"/>
    <x v="9"/>
    <x v="13"/>
    <x v="8"/>
    <x v="93"/>
    <x v="93"/>
    <x v="93"/>
    <x v="73"/>
    <x v="10"/>
    <x v="6"/>
    <x v="13"/>
    <x v="2"/>
    <x v="2"/>
    <x v="0"/>
    <x v="0"/>
    <x v="0"/>
    <x v="10"/>
    <x v="0"/>
    <x v="0"/>
    <x v="68"/>
    <x v="93"/>
    <x v="7"/>
    <x v="93"/>
    <x v="93"/>
  </r>
  <r>
    <x v="94"/>
    <x v="88"/>
    <x v="91"/>
    <x v="3"/>
    <x v="8"/>
    <x v="31"/>
    <x v="4"/>
    <x v="3"/>
    <x v="2"/>
    <x v="1"/>
    <x v="94"/>
    <x v="94"/>
    <x v="94"/>
    <x v="75"/>
    <x v="6"/>
    <x v="0"/>
    <x v="94"/>
    <x v="0"/>
    <x v="74"/>
    <x v="31"/>
    <x v="90"/>
    <x v="28"/>
    <x v="94"/>
    <x v="94"/>
    <x v="94"/>
    <x v="74"/>
    <x v="11"/>
    <x v="7"/>
    <x v="31"/>
    <x v="1"/>
    <x v="1"/>
    <x v="8"/>
    <x v="7"/>
    <x v="0"/>
    <x v="11"/>
    <x v="0"/>
    <x v="0"/>
    <x v="69"/>
    <x v="94"/>
    <x v="6"/>
    <x v="94"/>
    <x v="94"/>
  </r>
  <r>
    <x v="95"/>
    <x v="89"/>
    <x v="92"/>
    <x v="2"/>
    <x v="3"/>
    <x v="35"/>
    <x v="4"/>
    <x v="4"/>
    <x v="6"/>
    <x v="5"/>
    <x v="95"/>
    <x v="95"/>
    <x v="95"/>
    <x v="33"/>
    <x v="7"/>
    <x v="0"/>
    <x v="95"/>
    <x v="0"/>
    <x v="33"/>
    <x v="16"/>
    <x v="91"/>
    <x v="14"/>
    <x v="95"/>
    <x v="95"/>
    <x v="95"/>
    <x v="33"/>
    <x v="28"/>
    <x v="6"/>
    <x v="35"/>
    <x v="1"/>
    <x v="2"/>
    <x v="3"/>
    <x v="3"/>
    <x v="0"/>
    <x v="28"/>
    <x v="0"/>
    <x v="0"/>
    <x v="32"/>
    <x v="95"/>
    <x v="7"/>
    <x v="95"/>
    <x v="95"/>
  </r>
  <r>
    <x v="96"/>
    <x v="90"/>
    <x v="93"/>
    <x v="0"/>
    <x v="1"/>
    <x v="6"/>
    <x v="4"/>
    <x v="1"/>
    <x v="8"/>
    <x v="6"/>
    <x v="96"/>
    <x v="96"/>
    <x v="96"/>
    <x v="4"/>
    <x v="6"/>
    <x v="0"/>
    <x v="96"/>
    <x v="0"/>
    <x v="4"/>
    <x v="6"/>
    <x v="92"/>
    <x v="1"/>
    <x v="96"/>
    <x v="96"/>
    <x v="96"/>
    <x v="4"/>
    <x v="6"/>
    <x v="4"/>
    <x v="6"/>
    <x v="0"/>
    <x v="0"/>
    <x v="1"/>
    <x v="1"/>
    <x v="0"/>
    <x v="6"/>
    <x v="1"/>
    <x v="0"/>
    <x v="4"/>
    <x v="96"/>
    <x v="6"/>
    <x v="96"/>
    <x v="96"/>
  </r>
  <r>
    <x v="97"/>
    <x v="91"/>
    <x v="94"/>
    <x v="2"/>
    <x v="9"/>
    <x v="14"/>
    <x v="2"/>
    <x v="2"/>
    <x v="11"/>
    <x v="2"/>
    <x v="97"/>
    <x v="97"/>
    <x v="97"/>
    <x v="76"/>
    <x v="16"/>
    <x v="0"/>
    <x v="97"/>
    <x v="0"/>
    <x v="75"/>
    <x v="32"/>
    <x v="93"/>
    <x v="29"/>
    <x v="97"/>
    <x v="97"/>
    <x v="97"/>
    <x v="75"/>
    <x v="12"/>
    <x v="6"/>
    <x v="14"/>
    <x v="0"/>
    <x v="2"/>
    <x v="9"/>
    <x v="8"/>
    <x v="0"/>
    <x v="12"/>
    <x v="0"/>
    <x v="0"/>
    <x v="70"/>
    <x v="97"/>
    <x v="16"/>
    <x v="97"/>
    <x v="97"/>
  </r>
  <r>
    <x v="98"/>
    <x v="2"/>
    <x v="95"/>
    <x v="3"/>
    <x v="5"/>
    <x v="8"/>
    <x v="3"/>
    <x v="4"/>
    <x v="9"/>
    <x v="4"/>
    <x v="98"/>
    <x v="98"/>
    <x v="98"/>
    <x v="38"/>
    <x v="6"/>
    <x v="0"/>
    <x v="98"/>
    <x v="0"/>
    <x v="38"/>
    <x v="9"/>
    <x v="94"/>
    <x v="8"/>
    <x v="98"/>
    <x v="98"/>
    <x v="98"/>
    <x v="38"/>
    <x v="2"/>
    <x v="2"/>
    <x v="8"/>
    <x v="2"/>
    <x v="1"/>
    <x v="5"/>
    <x v="4"/>
    <x v="0"/>
    <x v="2"/>
    <x v="0"/>
    <x v="1"/>
    <x v="10"/>
    <x v="98"/>
    <x v="6"/>
    <x v="98"/>
    <x v="98"/>
  </r>
  <r>
    <x v="99"/>
    <x v="92"/>
    <x v="96"/>
    <x v="2"/>
    <x v="9"/>
    <x v="14"/>
    <x v="2"/>
    <x v="4"/>
    <x v="14"/>
    <x v="3"/>
    <x v="99"/>
    <x v="99"/>
    <x v="99"/>
    <x v="4"/>
    <x v="17"/>
    <x v="0"/>
    <x v="99"/>
    <x v="0"/>
    <x v="4"/>
    <x v="7"/>
    <x v="95"/>
    <x v="6"/>
    <x v="99"/>
    <x v="99"/>
    <x v="99"/>
    <x v="4"/>
    <x v="9"/>
    <x v="3"/>
    <x v="14"/>
    <x v="2"/>
    <x v="2"/>
    <x v="9"/>
    <x v="8"/>
    <x v="0"/>
    <x v="9"/>
    <x v="0"/>
    <x v="0"/>
    <x v="4"/>
    <x v="99"/>
    <x v="17"/>
    <x v="99"/>
    <x v="99"/>
  </r>
  <r>
    <x v="100"/>
    <x v="93"/>
    <x v="97"/>
    <x v="2"/>
    <x v="3"/>
    <x v="29"/>
    <x v="4"/>
    <x v="2"/>
    <x v="1"/>
    <x v="0"/>
    <x v="100"/>
    <x v="100"/>
    <x v="100"/>
    <x v="77"/>
    <x v="3"/>
    <x v="0"/>
    <x v="100"/>
    <x v="0"/>
    <x v="76"/>
    <x v="29"/>
    <x v="96"/>
    <x v="26"/>
    <x v="100"/>
    <x v="100"/>
    <x v="100"/>
    <x v="76"/>
    <x v="8"/>
    <x v="0"/>
    <x v="29"/>
    <x v="0"/>
    <x v="0"/>
    <x v="3"/>
    <x v="3"/>
    <x v="0"/>
    <x v="8"/>
    <x v="0"/>
    <x v="0"/>
    <x v="71"/>
    <x v="100"/>
    <x v="3"/>
    <x v="100"/>
    <x v="100"/>
  </r>
  <r>
    <x v="101"/>
    <x v="94"/>
    <x v="98"/>
    <x v="0"/>
    <x v="0"/>
    <x v="16"/>
    <x v="0"/>
    <x v="4"/>
    <x v="0"/>
    <x v="4"/>
    <x v="101"/>
    <x v="101"/>
    <x v="101"/>
    <x v="4"/>
    <x v="4"/>
    <x v="0"/>
    <x v="101"/>
    <x v="0"/>
    <x v="4"/>
    <x v="3"/>
    <x v="97"/>
    <x v="3"/>
    <x v="101"/>
    <x v="101"/>
    <x v="101"/>
    <x v="4"/>
    <x v="3"/>
    <x v="3"/>
    <x v="16"/>
    <x v="2"/>
    <x v="2"/>
    <x v="0"/>
    <x v="0"/>
    <x v="0"/>
    <x v="3"/>
    <x v="1"/>
    <x v="0"/>
    <x v="4"/>
    <x v="101"/>
    <x v="4"/>
    <x v="101"/>
    <x v="101"/>
  </r>
  <r>
    <x v="102"/>
    <x v="95"/>
    <x v="99"/>
    <x v="1"/>
    <x v="2"/>
    <x v="26"/>
    <x v="0"/>
    <x v="4"/>
    <x v="8"/>
    <x v="6"/>
    <x v="102"/>
    <x v="102"/>
    <x v="102"/>
    <x v="78"/>
    <x v="31"/>
    <x v="0"/>
    <x v="102"/>
    <x v="0"/>
    <x v="77"/>
    <x v="23"/>
    <x v="98"/>
    <x v="20"/>
    <x v="102"/>
    <x v="102"/>
    <x v="102"/>
    <x v="77"/>
    <x v="5"/>
    <x v="1"/>
    <x v="26"/>
    <x v="0"/>
    <x v="2"/>
    <x v="2"/>
    <x v="2"/>
    <x v="0"/>
    <x v="5"/>
    <x v="0"/>
    <x v="0"/>
    <x v="72"/>
    <x v="102"/>
    <x v="31"/>
    <x v="102"/>
    <x v="102"/>
  </r>
  <r>
    <x v="103"/>
    <x v="96"/>
    <x v="100"/>
    <x v="2"/>
    <x v="9"/>
    <x v="23"/>
    <x v="3"/>
    <x v="1"/>
    <x v="9"/>
    <x v="4"/>
    <x v="103"/>
    <x v="103"/>
    <x v="103"/>
    <x v="35"/>
    <x v="27"/>
    <x v="0"/>
    <x v="103"/>
    <x v="0"/>
    <x v="35"/>
    <x v="31"/>
    <x v="99"/>
    <x v="28"/>
    <x v="103"/>
    <x v="103"/>
    <x v="103"/>
    <x v="35"/>
    <x v="29"/>
    <x v="8"/>
    <x v="23"/>
    <x v="2"/>
    <x v="0"/>
    <x v="9"/>
    <x v="8"/>
    <x v="0"/>
    <x v="29"/>
    <x v="0"/>
    <x v="0"/>
    <x v="34"/>
    <x v="103"/>
    <x v="27"/>
    <x v="103"/>
    <x v="103"/>
  </r>
  <r>
    <x v="104"/>
    <x v="97"/>
    <x v="101"/>
    <x v="0"/>
    <x v="11"/>
    <x v="20"/>
    <x v="2"/>
    <x v="1"/>
    <x v="11"/>
    <x v="0"/>
    <x v="104"/>
    <x v="104"/>
    <x v="104"/>
    <x v="79"/>
    <x v="2"/>
    <x v="0"/>
    <x v="104"/>
    <x v="0"/>
    <x v="78"/>
    <x v="33"/>
    <x v="100"/>
    <x v="30"/>
    <x v="104"/>
    <x v="104"/>
    <x v="104"/>
    <x v="78"/>
    <x v="6"/>
    <x v="4"/>
    <x v="20"/>
    <x v="0"/>
    <x v="0"/>
    <x v="11"/>
    <x v="10"/>
    <x v="0"/>
    <x v="6"/>
    <x v="1"/>
    <x v="1"/>
    <x v="10"/>
    <x v="104"/>
    <x v="2"/>
    <x v="104"/>
    <x v="104"/>
  </r>
  <r>
    <x v="105"/>
    <x v="19"/>
    <x v="102"/>
    <x v="0"/>
    <x v="0"/>
    <x v="13"/>
    <x v="0"/>
    <x v="1"/>
    <x v="1"/>
    <x v="3"/>
    <x v="105"/>
    <x v="105"/>
    <x v="105"/>
    <x v="80"/>
    <x v="32"/>
    <x v="0"/>
    <x v="105"/>
    <x v="0"/>
    <x v="79"/>
    <x v="32"/>
    <x v="101"/>
    <x v="29"/>
    <x v="105"/>
    <x v="105"/>
    <x v="105"/>
    <x v="79"/>
    <x v="14"/>
    <x v="7"/>
    <x v="13"/>
    <x v="2"/>
    <x v="1"/>
    <x v="0"/>
    <x v="0"/>
    <x v="0"/>
    <x v="14"/>
    <x v="0"/>
    <x v="0"/>
    <x v="73"/>
    <x v="105"/>
    <x v="32"/>
    <x v="105"/>
    <x v="105"/>
  </r>
  <r>
    <x v="106"/>
    <x v="98"/>
    <x v="103"/>
    <x v="3"/>
    <x v="8"/>
    <x v="31"/>
    <x v="2"/>
    <x v="1"/>
    <x v="1"/>
    <x v="3"/>
    <x v="106"/>
    <x v="106"/>
    <x v="106"/>
    <x v="81"/>
    <x v="2"/>
    <x v="0"/>
    <x v="106"/>
    <x v="0"/>
    <x v="80"/>
    <x v="31"/>
    <x v="102"/>
    <x v="28"/>
    <x v="106"/>
    <x v="106"/>
    <x v="106"/>
    <x v="80"/>
    <x v="20"/>
    <x v="8"/>
    <x v="31"/>
    <x v="2"/>
    <x v="0"/>
    <x v="8"/>
    <x v="7"/>
    <x v="0"/>
    <x v="20"/>
    <x v="0"/>
    <x v="0"/>
    <x v="74"/>
    <x v="106"/>
    <x v="2"/>
    <x v="106"/>
    <x v="106"/>
  </r>
  <r>
    <x v="107"/>
    <x v="99"/>
    <x v="45"/>
    <x v="2"/>
    <x v="6"/>
    <x v="9"/>
    <x v="3"/>
    <x v="0"/>
    <x v="1"/>
    <x v="2"/>
    <x v="107"/>
    <x v="107"/>
    <x v="107"/>
    <x v="4"/>
    <x v="10"/>
    <x v="0"/>
    <x v="107"/>
    <x v="0"/>
    <x v="4"/>
    <x v="23"/>
    <x v="45"/>
    <x v="20"/>
    <x v="107"/>
    <x v="107"/>
    <x v="107"/>
    <x v="4"/>
    <x v="1"/>
    <x v="1"/>
    <x v="9"/>
    <x v="0"/>
    <x v="0"/>
    <x v="6"/>
    <x v="5"/>
    <x v="1"/>
    <x v="1"/>
    <x v="0"/>
    <x v="0"/>
    <x v="4"/>
    <x v="107"/>
    <x v="10"/>
    <x v="107"/>
    <x v="107"/>
  </r>
  <r>
    <x v="108"/>
    <x v="100"/>
    <x v="104"/>
    <x v="0"/>
    <x v="0"/>
    <x v="0"/>
    <x v="5"/>
    <x v="2"/>
    <x v="7"/>
    <x v="6"/>
    <x v="108"/>
    <x v="108"/>
    <x v="108"/>
    <x v="82"/>
    <x v="33"/>
    <x v="0"/>
    <x v="108"/>
    <x v="0"/>
    <x v="81"/>
    <x v="33"/>
    <x v="103"/>
    <x v="30"/>
    <x v="108"/>
    <x v="108"/>
    <x v="108"/>
    <x v="81"/>
    <x v="16"/>
    <x v="4"/>
    <x v="0"/>
    <x v="0"/>
    <x v="0"/>
    <x v="0"/>
    <x v="0"/>
    <x v="0"/>
    <x v="16"/>
    <x v="1"/>
    <x v="1"/>
    <x v="75"/>
    <x v="108"/>
    <x v="33"/>
    <x v="108"/>
    <x v="108"/>
  </r>
  <r>
    <x v="109"/>
    <x v="101"/>
    <x v="105"/>
    <x v="2"/>
    <x v="9"/>
    <x v="14"/>
    <x v="0"/>
    <x v="1"/>
    <x v="1"/>
    <x v="0"/>
    <x v="109"/>
    <x v="109"/>
    <x v="109"/>
    <x v="4"/>
    <x v="19"/>
    <x v="0"/>
    <x v="109"/>
    <x v="0"/>
    <x v="4"/>
    <x v="30"/>
    <x v="74"/>
    <x v="27"/>
    <x v="109"/>
    <x v="109"/>
    <x v="109"/>
    <x v="4"/>
    <x v="16"/>
    <x v="4"/>
    <x v="14"/>
    <x v="0"/>
    <x v="0"/>
    <x v="9"/>
    <x v="8"/>
    <x v="0"/>
    <x v="16"/>
    <x v="0"/>
    <x v="0"/>
    <x v="4"/>
    <x v="109"/>
    <x v="19"/>
    <x v="109"/>
    <x v="109"/>
  </r>
  <r>
    <x v="110"/>
    <x v="102"/>
    <x v="106"/>
    <x v="3"/>
    <x v="8"/>
    <x v="12"/>
    <x v="3"/>
    <x v="2"/>
    <x v="11"/>
    <x v="4"/>
    <x v="110"/>
    <x v="110"/>
    <x v="110"/>
    <x v="83"/>
    <x v="17"/>
    <x v="0"/>
    <x v="110"/>
    <x v="0"/>
    <x v="82"/>
    <x v="28"/>
    <x v="104"/>
    <x v="25"/>
    <x v="110"/>
    <x v="110"/>
    <x v="110"/>
    <x v="82"/>
    <x v="16"/>
    <x v="4"/>
    <x v="12"/>
    <x v="2"/>
    <x v="0"/>
    <x v="8"/>
    <x v="7"/>
    <x v="0"/>
    <x v="16"/>
    <x v="1"/>
    <x v="0"/>
    <x v="76"/>
    <x v="110"/>
    <x v="17"/>
    <x v="110"/>
    <x v="110"/>
  </r>
  <r>
    <x v="111"/>
    <x v="103"/>
    <x v="107"/>
    <x v="0"/>
    <x v="11"/>
    <x v="25"/>
    <x v="4"/>
    <x v="3"/>
    <x v="4"/>
    <x v="2"/>
    <x v="111"/>
    <x v="111"/>
    <x v="111"/>
    <x v="84"/>
    <x v="0"/>
    <x v="0"/>
    <x v="111"/>
    <x v="0"/>
    <x v="83"/>
    <x v="32"/>
    <x v="105"/>
    <x v="29"/>
    <x v="111"/>
    <x v="111"/>
    <x v="111"/>
    <x v="83"/>
    <x v="16"/>
    <x v="4"/>
    <x v="25"/>
    <x v="0"/>
    <x v="0"/>
    <x v="11"/>
    <x v="10"/>
    <x v="0"/>
    <x v="16"/>
    <x v="0"/>
    <x v="0"/>
    <x v="77"/>
    <x v="111"/>
    <x v="0"/>
    <x v="111"/>
    <x v="111"/>
  </r>
  <r>
    <x v="112"/>
    <x v="104"/>
    <x v="108"/>
    <x v="1"/>
    <x v="10"/>
    <x v="36"/>
    <x v="4"/>
    <x v="1"/>
    <x v="3"/>
    <x v="6"/>
    <x v="112"/>
    <x v="112"/>
    <x v="112"/>
    <x v="44"/>
    <x v="21"/>
    <x v="0"/>
    <x v="112"/>
    <x v="0"/>
    <x v="44"/>
    <x v="22"/>
    <x v="106"/>
    <x v="1"/>
    <x v="112"/>
    <x v="112"/>
    <x v="112"/>
    <x v="44"/>
    <x v="9"/>
    <x v="3"/>
    <x v="36"/>
    <x v="0"/>
    <x v="2"/>
    <x v="10"/>
    <x v="9"/>
    <x v="0"/>
    <x v="9"/>
    <x v="1"/>
    <x v="0"/>
    <x v="41"/>
    <x v="112"/>
    <x v="21"/>
    <x v="112"/>
    <x v="112"/>
  </r>
  <r>
    <x v="113"/>
    <x v="105"/>
    <x v="109"/>
    <x v="2"/>
    <x v="6"/>
    <x v="27"/>
    <x v="4"/>
    <x v="0"/>
    <x v="14"/>
    <x v="2"/>
    <x v="113"/>
    <x v="113"/>
    <x v="113"/>
    <x v="4"/>
    <x v="7"/>
    <x v="0"/>
    <x v="113"/>
    <x v="0"/>
    <x v="4"/>
    <x v="16"/>
    <x v="107"/>
    <x v="14"/>
    <x v="113"/>
    <x v="113"/>
    <x v="113"/>
    <x v="4"/>
    <x v="30"/>
    <x v="10"/>
    <x v="27"/>
    <x v="0"/>
    <x v="1"/>
    <x v="6"/>
    <x v="5"/>
    <x v="1"/>
    <x v="30"/>
    <x v="0"/>
    <x v="0"/>
    <x v="4"/>
    <x v="113"/>
    <x v="7"/>
    <x v="113"/>
    <x v="113"/>
  </r>
  <r>
    <x v="114"/>
    <x v="106"/>
    <x v="110"/>
    <x v="1"/>
    <x v="4"/>
    <x v="10"/>
    <x v="4"/>
    <x v="4"/>
    <x v="3"/>
    <x v="5"/>
    <x v="114"/>
    <x v="114"/>
    <x v="114"/>
    <x v="85"/>
    <x v="15"/>
    <x v="0"/>
    <x v="114"/>
    <x v="0"/>
    <x v="84"/>
    <x v="4"/>
    <x v="108"/>
    <x v="4"/>
    <x v="114"/>
    <x v="114"/>
    <x v="114"/>
    <x v="84"/>
    <x v="21"/>
    <x v="2"/>
    <x v="10"/>
    <x v="1"/>
    <x v="1"/>
    <x v="4"/>
    <x v="3"/>
    <x v="0"/>
    <x v="21"/>
    <x v="1"/>
    <x v="0"/>
    <x v="78"/>
    <x v="114"/>
    <x v="15"/>
    <x v="114"/>
    <x v="114"/>
  </r>
  <r>
    <x v="115"/>
    <x v="107"/>
    <x v="111"/>
    <x v="1"/>
    <x v="2"/>
    <x v="4"/>
    <x v="5"/>
    <x v="3"/>
    <x v="6"/>
    <x v="1"/>
    <x v="115"/>
    <x v="115"/>
    <x v="115"/>
    <x v="86"/>
    <x v="17"/>
    <x v="0"/>
    <x v="115"/>
    <x v="0"/>
    <x v="85"/>
    <x v="22"/>
    <x v="109"/>
    <x v="1"/>
    <x v="115"/>
    <x v="115"/>
    <x v="115"/>
    <x v="85"/>
    <x v="15"/>
    <x v="5"/>
    <x v="4"/>
    <x v="1"/>
    <x v="2"/>
    <x v="2"/>
    <x v="2"/>
    <x v="0"/>
    <x v="15"/>
    <x v="1"/>
    <x v="0"/>
    <x v="79"/>
    <x v="115"/>
    <x v="17"/>
    <x v="115"/>
    <x v="115"/>
  </r>
  <r>
    <x v="116"/>
    <x v="5"/>
    <x v="112"/>
    <x v="3"/>
    <x v="5"/>
    <x v="37"/>
    <x v="1"/>
    <x v="4"/>
    <x v="8"/>
    <x v="4"/>
    <x v="116"/>
    <x v="116"/>
    <x v="116"/>
    <x v="49"/>
    <x v="8"/>
    <x v="0"/>
    <x v="116"/>
    <x v="0"/>
    <x v="49"/>
    <x v="33"/>
    <x v="110"/>
    <x v="30"/>
    <x v="116"/>
    <x v="116"/>
    <x v="116"/>
    <x v="49"/>
    <x v="5"/>
    <x v="1"/>
    <x v="37"/>
    <x v="2"/>
    <x v="2"/>
    <x v="5"/>
    <x v="4"/>
    <x v="0"/>
    <x v="5"/>
    <x v="1"/>
    <x v="0"/>
    <x v="45"/>
    <x v="116"/>
    <x v="8"/>
    <x v="116"/>
    <x v="116"/>
  </r>
  <r>
    <x v="117"/>
    <x v="108"/>
    <x v="113"/>
    <x v="2"/>
    <x v="9"/>
    <x v="38"/>
    <x v="4"/>
    <x v="0"/>
    <x v="8"/>
    <x v="5"/>
    <x v="117"/>
    <x v="117"/>
    <x v="117"/>
    <x v="87"/>
    <x v="10"/>
    <x v="0"/>
    <x v="117"/>
    <x v="0"/>
    <x v="86"/>
    <x v="26"/>
    <x v="111"/>
    <x v="23"/>
    <x v="117"/>
    <x v="117"/>
    <x v="117"/>
    <x v="86"/>
    <x v="22"/>
    <x v="7"/>
    <x v="38"/>
    <x v="1"/>
    <x v="1"/>
    <x v="9"/>
    <x v="8"/>
    <x v="0"/>
    <x v="22"/>
    <x v="0"/>
    <x v="0"/>
    <x v="80"/>
    <x v="117"/>
    <x v="10"/>
    <x v="117"/>
    <x v="117"/>
  </r>
  <r>
    <x v="118"/>
    <x v="109"/>
    <x v="114"/>
    <x v="1"/>
    <x v="2"/>
    <x v="26"/>
    <x v="1"/>
    <x v="3"/>
    <x v="2"/>
    <x v="4"/>
    <x v="118"/>
    <x v="118"/>
    <x v="118"/>
    <x v="88"/>
    <x v="4"/>
    <x v="0"/>
    <x v="118"/>
    <x v="0"/>
    <x v="87"/>
    <x v="29"/>
    <x v="112"/>
    <x v="26"/>
    <x v="118"/>
    <x v="118"/>
    <x v="118"/>
    <x v="87"/>
    <x v="12"/>
    <x v="6"/>
    <x v="26"/>
    <x v="2"/>
    <x v="2"/>
    <x v="2"/>
    <x v="2"/>
    <x v="0"/>
    <x v="12"/>
    <x v="0"/>
    <x v="0"/>
    <x v="81"/>
    <x v="118"/>
    <x v="4"/>
    <x v="118"/>
    <x v="118"/>
  </r>
  <r>
    <x v="119"/>
    <x v="110"/>
    <x v="115"/>
    <x v="3"/>
    <x v="8"/>
    <x v="35"/>
    <x v="2"/>
    <x v="4"/>
    <x v="15"/>
    <x v="2"/>
    <x v="119"/>
    <x v="119"/>
    <x v="119"/>
    <x v="81"/>
    <x v="8"/>
    <x v="0"/>
    <x v="119"/>
    <x v="0"/>
    <x v="80"/>
    <x v="23"/>
    <x v="113"/>
    <x v="20"/>
    <x v="119"/>
    <x v="119"/>
    <x v="119"/>
    <x v="80"/>
    <x v="15"/>
    <x v="5"/>
    <x v="39"/>
    <x v="0"/>
    <x v="2"/>
    <x v="8"/>
    <x v="7"/>
    <x v="0"/>
    <x v="15"/>
    <x v="0"/>
    <x v="0"/>
    <x v="74"/>
    <x v="119"/>
    <x v="8"/>
    <x v="119"/>
    <x v="119"/>
  </r>
  <r>
    <x v="120"/>
    <x v="111"/>
    <x v="116"/>
    <x v="3"/>
    <x v="7"/>
    <x v="17"/>
    <x v="2"/>
    <x v="4"/>
    <x v="9"/>
    <x v="5"/>
    <x v="120"/>
    <x v="120"/>
    <x v="120"/>
    <x v="89"/>
    <x v="0"/>
    <x v="0"/>
    <x v="120"/>
    <x v="0"/>
    <x v="88"/>
    <x v="10"/>
    <x v="114"/>
    <x v="9"/>
    <x v="120"/>
    <x v="120"/>
    <x v="120"/>
    <x v="88"/>
    <x v="30"/>
    <x v="10"/>
    <x v="17"/>
    <x v="1"/>
    <x v="1"/>
    <x v="7"/>
    <x v="6"/>
    <x v="0"/>
    <x v="30"/>
    <x v="0"/>
    <x v="0"/>
    <x v="82"/>
    <x v="120"/>
    <x v="0"/>
    <x v="120"/>
    <x v="120"/>
  </r>
  <r>
    <x v="121"/>
    <x v="112"/>
    <x v="117"/>
    <x v="0"/>
    <x v="0"/>
    <x v="0"/>
    <x v="0"/>
    <x v="4"/>
    <x v="14"/>
    <x v="3"/>
    <x v="121"/>
    <x v="121"/>
    <x v="121"/>
    <x v="90"/>
    <x v="2"/>
    <x v="0"/>
    <x v="121"/>
    <x v="0"/>
    <x v="89"/>
    <x v="24"/>
    <x v="115"/>
    <x v="21"/>
    <x v="121"/>
    <x v="121"/>
    <x v="121"/>
    <x v="89"/>
    <x v="26"/>
    <x v="10"/>
    <x v="0"/>
    <x v="2"/>
    <x v="0"/>
    <x v="0"/>
    <x v="0"/>
    <x v="0"/>
    <x v="26"/>
    <x v="0"/>
    <x v="1"/>
    <x v="83"/>
    <x v="121"/>
    <x v="2"/>
    <x v="121"/>
    <x v="121"/>
  </r>
  <r>
    <x v="122"/>
    <x v="60"/>
    <x v="118"/>
    <x v="1"/>
    <x v="4"/>
    <x v="10"/>
    <x v="3"/>
    <x v="4"/>
    <x v="2"/>
    <x v="2"/>
    <x v="122"/>
    <x v="122"/>
    <x v="122"/>
    <x v="91"/>
    <x v="15"/>
    <x v="0"/>
    <x v="122"/>
    <x v="0"/>
    <x v="90"/>
    <x v="32"/>
    <x v="116"/>
    <x v="29"/>
    <x v="122"/>
    <x v="122"/>
    <x v="122"/>
    <x v="90"/>
    <x v="17"/>
    <x v="1"/>
    <x v="10"/>
    <x v="0"/>
    <x v="2"/>
    <x v="4"/>
    <x v="3"/>
    <x v="0"/>
    <x v="17"/>
    <x v="0"/>
    <x v="0"/>
    <x v="84"/>
    <x v="122"/>
    <x v="15"/>
    <x v="122"/>
    <x v="122"/>
  </r>
  <r>
    <x v="123"/>
    <x v="113"/>
    <x v="119"/>
    <x v="1"/>
    <x v="2"/>
    <x v="19"/>
    <x v="1"/>
    <x v="3"/>
    <x v="8"/>
    <x v="0"/>
    <x v="123"/>
    <x v="123"/>
    <x v="123"/>
    <x v="24"/>
    <x v="15"/>
    <x v="0"/>
    <x v="123"/>
    <x v="0"/>
    <x v="24"/>
    <x v="18"/>
    <x v="117"/>
    <x v="16"/>
    <x v="123"/>
    <x v="123"/>
    <x v="123"/>
    <x v="24"/>
    <x v="24"/>
    <x v="9"/>
    <x v="19"/>
    <x v="0"/>
    <x v="1"/>
    <x v="2"/>
    <x v="2"/>
    <x v="0"/>
    <x v="24"/>
    <x v="0"/>
    <x v="0"/>
    <x v="24"/>
    <x v="123"/>
    <x v="15"/>
    <x v="123"/>
    <x v="123"/>
  </r>
  <r>
    <x v="124"/>
    <x v="114"/>
    <x v="120"/>
    <x v="2"/>
    <x v="9"/>
    <x v="23"/>
    <x v="3"/>
    <x v="0"/>
    <x v="4"/>
    <x v="0"/>
    <x v="124"/>
    <x v="124"/>
    <x v="124"/>
    <x v="25"/>
    <x v="16"/>
    <x v="0"/>
    <x v="124"/>
    <x v="0"/>
    <x v="25"/>
    <x v="2"/>
    <x v="118"/>
    <x v="2"/>
    <x v="124"/>
    <x v="124"/>
    <x v="124"/>
    <x v="25"/>
    <x v="24"/>
    <x v="9"/>
    <x v="23"/>
    <x v="0"/>
    <x v="1"/>
    <x v="9"/>
    <x v="8"/>
    <x v="0"/>
    <x v="24"/>
    <x v="0"/>
    <x v="0"/>
    <x v="25"/>
    <x v="124"/>
    <x v="16"/>
    <x v="124"/>
    <x v="124"/>
  </r>
  <r>
    <x v="125"/>
    <x v="115"/>
    <x v="121"/>
    <x v="3"/>
    <x v="5"/>
    <x v="8"/>
    <x v="2"/>
    <x v="2"/>
    <x v="11"/>
    <x v="0"/>
    <x v="125"/>
    <x v="125"/>
    <x v="125"/>
    <x v="92"/>
    <x v="23"/>
    <x v="0"/>
    <x v="125"/>
    <x v="0"/>
    <x v="91"/>
    <x v="7"/>
    <x v="119"/>
    <x v="6"/>
    <x v="125"/>
    <x v="125"/>
    <x v="125"/>
    <x v="91"/>
    <x v="16"/>
    <x v="4"/>
    <x v="8"/>
    <x v="0"/>
    <x v="0"/>
    <x v="5"/>
    <x v="4"/>
    <x v="0"/>
    <x v="16"/>
    <x v="0"/>
    <x v="0"/>
    <x v="85"/>
    <x v="125"/>
    <x v="23"/>
    <x v="125"/>
    <x v="125"/>
  </r>
  <r>
    <x v="126"/>
    <x v="116"/>
    <x v="122"/>
    <x v="3"/>
    <x v="8"/>
    <x v="21"/>
    <x v="2"/>
    <x v="4"/>
    <x v="5"/>
    <x v="0"/>
    <x v="126"/>
    <x v="126"/>
    <x v="126"/>
    <x v="93"/>
    <x v="8"/>
    <x v="0"/>
    <x v="126"/>
    <x v="0"/>
    <x v="92"/>
    <x v="29"/>
    <x v="120"/>
    <x v="26"/>
    <x v="126"/>
    <x v="126"/>
    <x v="126"/>
    <x v="92"/>
    <x v="28"/>
    <x v="6"/>
    <x v="21"/>
    <x v="0"/>
    <x v="2"/>
    <x v="8"/>
    <x v="7"/>
    <x v="0"/>
    <x v="28"/>
    <x v="0"/>
    <x v="0"/>
    <x v="86"/>
    <x v="126"/>
    <x v="8"/>
    <x v="126"/>
    <x v="126"/>
  </r>
  <r>
    <x v="127"/>
    <x v="117"/>
    <x v="123"/>
    <x v="1"/>
    <x v="10"/>
    <x v="24"/>
    <x v="3"/>
    <x v="0"/>
    <x v="8"/>
    <x v="3"/>
    <x v="127"/>
    <x v="127"/>
    <x v="127"/>
    <x v="36"/>
    <x v="0"/>
    <x v="0"/>
    <x v="127"/>
    <x v="0"/>
    <x v="36"/>
    <x v="18"/>
    <x v="121"/>
    <x v="16"/>
    <x v="127"/>
    <x v="127"/>
    <x v="127"/>
    <x v="36"/>
    <x v="6"/>
    <x v="4"/>
    <x v="24"/>
    <x v="2"/>
    <x v="0"/>
    <x v="10"/>
    <x v="9"/>
    <x v="0"/>
    <x v="6"/>
    <x v="0"/>
    <x v="0"/>
    <x v="35"/>
    <x v="127"/>
    <x v="0"/>
    <x v="127"/>
    <x v="127"/>
  </r>
  <r>
    <x v="128"/>
    <x v="118"/>
    <x v="124"/>
    <x v="1"/>
    <x v="10"/>
    <x v="24"/>
    <x v="3"/>
    <x v="1"/>
    <x v="7"/>
    <x v="2"/>
    <x v="128"/>
    <x v="128"/>
    <x v="128"/>
    <x v="94"/>
    <x v="6"/>
    <x v="0"/>
    <x v="128"/>
    <x v="0"/>
    <x v="93"/>
    <x v="13"/>
    <x v="122"/>
    <x v="11"/>
    <x v="128"/>
    <x v="128"/>
    <x v="128"/>
    <x v="93"/>
    <x v="4"/>
    <x v="2"/>
    <x v="24"/>
    <x v="0"/>
    <x v="1"/>
    <x v="10"/>
    <x v="9"/>
    <x v="0"/>
    <x v="4"/>
    <x v="0"/>
    <x v="0"/>
    <x v="87"/>
    <x v="128"/>
    <x v="6"/>
    <x v="128"/>
    <x v="128"/>
  </r>
  <r>
    <x v="129"/>
    <x v="119"/>
    <x v="125"/>
    <x v="1"/>
    <x v="4"/>
    <x v="7"/>
    <x v="2"/>
    <x v="4"/>
    <x v="4"/>
    <x v="5"/>
    <x v="129"/>
    <x v="129"/>
    <x v="129"/>
    <x v="95"/>
    <x v="15"/>
    <x v="0"/>
    <x v="129"/>
    <x v="0"/>
    <x v="94"/>
    <x v="14"/>
    <x v="123"/>
    <x v="12"/>
    <x v="129"/>
    <x v="129"/>
    <x v="129"/>
    <x v="94"/>
    <x v="25"/>
    <x v="3"/>
    <x v="7"/>
    <x v="1"/>
    <x v="2"/>
    <x v="4"/>
    <x v="3"/>
    <x v="0"/>
    <x v="25"/>
    <x v="0"/>
    <x v="0"/>
    <x v="88"/>
    <x v="129"/>
    <x v="15"/>
    <x v="129"/>
    <x v="129"/>
  </r>
  <r>
    <x v="130"/>
    <x v="120"/>
    <x v="126"/>
    <x v="0"/>
    <x v="1"/>
    <x v="6"/>
    <x v="4"/>
    <x v="4"/>
    <x v="9"/>
    <x v="6"/>
    <x v="130"/>
    <x v="130"/>
    <x v="130"/>
    <x v="55"/>
    <x v="21"/>
    <x v="0"/>
    <x v="130"/>
    <x v="0"/>
    <x v="55"/>
    <x v="31"/>
    <x v="124"/>
    <x v="28"/>
    <x v="130"/>
    <x v="130"/>
    <x v="130"/>
    <x v="55"/>
    <x v="3"/>
    <x v="3"/>
    <x v="6"/>
    <x v="0"/>
    <x v="2"/>
    <x v="1"/>
    <x v="1"/>
    <x v="0"/>
    <x v="3"/>
    <x v="0"/>
    <x v="0"/>
    <x v="51"/>
    <x v="130"/>
    <x v="21"/>
    <x v="130"/>
    <x v="130"/>
  </r>
  <r>
    <x v="131"/>
    <x v="121"/>
    <x v="127"/>
    <x v="3"/>
    <x v="8"/>
    <x v="31"/>
    <x v="4"/>
    <x v="1"/>
    <x v="12"/>
    <x v="4"/>
    <x v="131"/>
    <x v="131"/>
    <x v="131"/>
    <x v="96"/>
    <x v="13"/>
    <x v="0"/>
    <x v="131"/>
    <x v="0"/>
    <x v="95"/>
    <x v="3"/>
    <x v="125"/>
    <x v="3"/>
    <x v="131"/>
    <x v="131"/>
    <x v="131"/>
    <x v="95"/>
    <x v="4"/>
    <x v="2"/>
    <x v="31"/>
    <x v="2"/>
    <x v="1"/>
    <x v="8"/>
    <x v="7"/>
    <x v="0"/>
    <x v="4"/>
    <x v="1"/>
    <x v="1"/>
    <x v="89"/>
    <x v="131"/>
    <x v="13"/>
    <x v="131"/>
    <x v="131"/>
  </r>
  <r>
    <x v="132"/>
    <x v="122"/>
    <x v="29"/>
    <x v="2"/>
    <x v="9"/>
    <x v="38"/>
    <x v="1"/>
    <x v="1"/>
    <x v="0"/>
    <x v="3"/>
    <x v="132"/>
    <x v="132"/>
    <x v="132"/>
    <x v="36"/>
    <x v="15"/>
    <x v="0"/>
    <x v="132"/>
    <x v="0"/>
    <x v="36"/>
    <x v="33"/>
    <x v="29"/>
    <x v="30"/>
    <x v="132"/>
    <x v="132"/>
    <x v="132"/>
    <x v="36"/>
    <x v="9"/>
    <x v="3"/>
    <x v="38"/>
    <x v="2"/>
    <x v="2"/>
    <x v="9"/>
    <x v="8"/>
    <x v="0"/>
    <x v="9"/>
    <x v="1"/>
    <x v="0"/>
    <x v="35"/>
    <x v="132"/>
    <x v="15"/>
    <x v="132"/>
    <x v="132"/>
  </r>
  <r>
    <x v="133"/>
    <x v="123"/>
    <x v="128"/>
    <x v="1"/>
    <x v="10"/>
    <x v="24"/>
    <x v="5"/>
    <x v="2"/>
    <x v="11"/>
    <x v="1"/>
    <x v="133"/>
    <x v="133"/>
    <x v="133"/>
    <x v="97"/>
    <x v="29"/>
    <x v="0"/>
    <x v="133"/>
    <x v="0"/>
    <x v="96"/>
    <x v="17"/>
    <x v="126"/>
    <x v="15"/>
    <x v="133"/>
    <x v="133"/>
    <x v="133"/>
    <x v="96"/>
    <x v="5"/>
    <x v="1"/>
    <x v="24"/>
    <x v="1"/>
    <x v="2"/>
    <x v="10"/>
    <x v="9"/>
    <x v="0"/>
    <x v="5"/>
    <x v="1"/>
    <x v="0"/>
    <x v="90"/>
    <x v="133"/>
    <x v="29"/>
    <x v="133"/>
    <x v="133"/>
  </r>
  <r>
    <x v="134"/>
    <x v="124"/>
    <x v="129"/>
    <x v="3"/>
    <x v="7"/>
    <x v="17"/>
    <x v="4"/>
    <x v="4"/>
    <x v="5"/>
    <x v="5"/>
    <x v="134"/>
    <x v="134"/>
    <x v="134"/>
    <x v="11"/>
    <x v="20"/>
    <x v="0"/>
    <x v="134"/>
    <x v="0"/>
    <x v="11"/>
    <x v="17"/>
    <x v="127"/>
    <x v="15"/>
    <x v="134"/>
    <x v="134"/>
    <x v="134"/>
    <x v="11"/>
    <x v="11"/>
    <x v="7"/>
    <x v="17"/>
    <x v="1"/>
    <x v="1"/>
    <x v="7"/>
    <x v="6"/>
    <x v="0"/>
    <x v="11"/>
    <x v="1"/>
    <x v="0"/>
    <x v="11"/>
    <x v="134"/>
    <x v="20"/>
    <x v="134"/>
    <x v="134"/>
  </r>
  <r>
    <x v="135"/>
    <x v="125"/>
    <x v="130"/>
    <x v="2"/>
    <x v="9"/>
    <x v="14"/>
    <x v="1"/>
    <x v="1"/>
    <x v="1"/>
    <x v="0"/>
    <x v="135"/>
    <x v="135"/>
    <x v="135"/>
    <x v="98"/>
    <x v="7"/>
    <x v="0"/>
    <x v="135"/>
    <x v="0"/>
    <x v="97"/>
    <x v="11"/>
    <x v="128"/>
    <x v="10"/>
    <x v="135"/>
    <x v="135"/>
    <x v="135"/>
    <x v="97"/>
    <x v="5"/>
    <x v="1"/>
    <x v="14"/>
    <x v="0"/>
    <x v="2"/>
    <x v="9"/>
    <x v="8"/>
    <x v="0"/>
    <x v="5"/>
    <x v="0"/>
    <x v="0"/>
    <x v="91"/>
    <x v="135"/>
    <x v="7"/>
    <x v="135"/>
    <x v="135"/>
  </r>
  <r>
    <x v="136"/>
    <x v="49"/>
    <x v="131"/>
    <x v="0"/>
    <x v="0"/>
    <x v="13"/>
    <x v="3"/>
    <x v="1"/>
    <x v="0"/>
    <x v="3"/>
    <x v="136"/>
    <x v="136"/>
    <x v="136"/>
    <x v="99"/>
    <x v="11"/>
    <x v="0"/>
    <x v="136"/>
    <x v="0"/>
    <x v="98"/>
    <x v="8"/>
    <x v="129"/>
    <x v="7"/>
    <x v="136"/>
    <x v="136"/>
    <x v="136"/>
    <x v="98"/>
    <x v="21"/>
    <x v="2"/>
    <x v="13"/>
    <x v="2"/>
    <x v="1"/>
    <x v="0"/>
    <x v="0"/>
    <x v="0"/>
    <x v="21"/>
    <x v="0"/>
    <x v="1"/>
    <x v="10"/>
    <x v="136"/>
    <x v="11"/>
    <x v="136"/>
    <x v="136"/>
  </r>
  <r>
    <x v="137"/>
    <x v="126"/>
    <x v="132"/>
    <x v="3"/>
    <x v="7"/>
    <x v="28"/>
    <x v="0"/>
    <x v="1"/>
    <x v="3"/>
    <x v="1"/>
    <x v="137"/>
    <x v="137"/>
    <x v="137"/>
    <x v="30"/>
    <x v="3"/>
    <x v="0"/>
    <x v="137"/>
    <x v="0"/>
    <x v="30"/>
    <x v="2"/>
    <x v="130"/>
    <x v="2"/>
    <x v="137"/>
    <x v="137"/>
    <x v="137"/>
    <x v="30"/>
    <x v="17"/>
    <x v="1"/>
    <x v="28"/>
    <x v="1"/>
    <x v="2"/>
    <x v="7"/>
    <x v="6"/>
    <x v="0"/>
    <x v="17"/>
    <x v="0"/>
    <x v="0"/>
    <x v="30"/>
    <x v="137"/>
    <x v="3"/>
    <x v="137"/>
    <x v="137"/>
  </r>
  <r>
    <x v="138"/>
    <x v="127"/>
    <x v="133"/>
    <x v="2"/>
    <x v="9"/>
    <x v="38"/>
    <x v="0"/>
    <x v="3"/>
    <x v="14"/>
    <x v="6"/>
    <x v="138"/>
    <x v="138"/>
    <x v="138"/>
    <x v="100"/>
    <x v="8"/>
    <x v="0"/>
    <x v="138"/>
    <x v="0"/>
    <x v="99"/>
    <x v="20"/>
    <x v="131"/>
    <x v="18"/>
    <x v="138"/>
    <x v="138"/>
    <x v="138"/>
    <x v="99"/>
    <x v="31"/>
    <x v="0"/>
    <x v="38"/>
    <x v="0"/>
    <x v="0"/>
    <x v="9"/>
    <x v="8"/>
    <x v="0"/>
    <x v="31"/>
    <x v="1"/>
    <x v="1"/>
    <x v="10"/>
    <x v="138"/>
    <x v="8"/>
    <x v="138"/>
    <x v="138"/>
  </r>
  <r>
    <x v="139"/>
    <x v="128"/>
    <x v="71"/>
    <x v="2"/>
    <x v="3"/>
    <x v="18"/>
    <x v="3"/>
    <x v="2"/>
    <x v="10"/>
    <x v="5"/>
    <x v="139"/>
    <x v="139"/>
    <x v="139"/>
    <x v="84"/>
    <x v="34"/>
    <x v="0"/>
    <x v="139"/>
    <x v="0"/>
    <x v="83"/>
    <x v="14"/>
    <x v="132"/>
    <x v="12"/>
    <x v="139"/>
    <x v="139"/>
    <x v="139"/>
    <x v="83"/>
    <x v="14"/>
    <x v="7"/>
    <x v="18"/>
    <x v="1"/>
    <x v="1"/>
    <x v="3"/>
    <x v="3"/>
    <x v="0"/>
    <x v="14"/>
    <x v="0"/>
    <x v="0"/>
    <x v="77"/>
    <x v="139"/>
    <x v="34"/>
    <x v="139"/>
    <x v="139"/>
  </r>
  <r>
    <x v="140"/>
    <x v="129"/>
    <x v="134"/>
    <x v="3"/>
    <x v="5"/>
    <x v="8"/>
    <x v="1"/>
    <x v="0"/>
    <x v="10"/>
    <x v="3"/>
    <x v="140"/>
    <x v="140"/>
    <x v="140"/>
    <x v="18"/>
    <x v="0"/>
    <x v="0"/>
    <x v="140"/>
    <x v="0"/>
    <x v="18"/>
    <x v="7"/>
    <x v="133"/>
    <x v="6"/>
    <x v="140"/>
    <x v="140"/>
    <x v="140"/>
    <x v="18"/>
    <x v="5"/>
    <x v="1"/>
    <x v="8"/>
    <x v="2"/>
    <x v="2"/>
    <x v="5"/>
    <x v="4"/>
    <x v="0"/>
    <x v="5"/>
    <x v="0"/>
    <x v="0"/>
    <x v="18"/>
    <x v="140"/>
    <x v="0"/>
    <x v="140"/>
    <x v="140"/>
  </r>
  <r>
    <x v="141"/>
    <x v="130"/>
    <x v="135"/>
    <x v="1"/>
    <x v="10"/>
    <x v="39"/>
    <x v="5"/>
    <x v="0"/>
    <x v="11"/>
    <x v="6"/>
    <x v="141"/>
    <x v="141"/>
    <x v="141"/>
    <x v="101"/>
    <x v="8"/>
    <x v="0"/>
    <x v="141"/>
    <x v="0"/>
    <x v="100"/>
    <x v="19"/>
    <x v="134"/>
    <x v="17"/>
    <x v="141"/>
    <x v="141"/>
    <x v="141"/>
    <x v="100"/>
    <x v="23"/>
    <x v="9"/>
    <x v="40"/>
    <x v="0"/>
    <x v="1"/>
    <x v="10"/>
    <x v="9"/>
    <x v="0"/>
    <x v="23"/>
    <x v="0"/>
    <x v="0"/>
    <x v="92"/>
    <x v="141"/>
    <x v="8"/>
    <x v="141"/>
    <x v="141"/>
  </r>
  <r>
    <x v="142"/>
    <x v="131"/>
    <x v="136"/>
    <x v="1"/>
    <x v="2"/>
    <x v="4"/>
    <x v="4"/>
    <x v="3"/>
    <x v="14"/>
    <x v="1"/>
    <x v="142"/>
    <x v="142"/>
    <x v="142"/>
    <x v="102"/>
    <x v="0"/>
    <x v="0"/>
    <x v="142"/>
    <x v="0"/>
    <x v="101"/>
    <x v="31"/>
    <x v="135"/>
    <x v="28"/>
    <x v="142"/>
    <x v="142"/>
    <x v="142"/>
    <x v="101"/>
    <x v="16"/>
    <x v="4"/>
    <x v="4"/>
    <x v="1"/>
    <x v="0"/>
    <x v="2"/>
    <x v="2"/>
    <x v="0"/>
    <x v="16"/>
    <x v="0"/>
    <x v="1"/>
    <x v="93"/>
    <x v="142"/>
    <x v="0"/>
    <x v="142"/>
    <x v="142"/>
  </r>
  <r>
    <x v="143"/>
    <x v="132"/>
    <x v="137"/>
    <x v="1"/>
    <x v="4"/>
    <x v="10"/>
    <x v="4"/>
    <x v="4"/>
    <x v="4"/>
    <x v="2"/>
    <x v="143"/>
    <x v="143"/>
    <x v="143"/>
    <x v="103"/>
    <x v="12"/>
    <x v="0"/>
    <x v="143"/>
    <x v="0"/>
    <x v="102"/>
    <x v="29"/>
    <x v="136"/>
    <x v="26"/>
    <x v="143"/>
    <x v="143"/>
    <x v="143"/>
    <x v="102"/>
    <x v="23"/>
    <x v="9"/>
    <x v="10"/>
    <x v="0"/>
    <x v="1"/>
    <x v="4"/>
    <x v="3"/>
    <x v="0"/>
    <x v="23"/>
    <x v="0"/>
    <x v="0"/>
    <x v="94"/>
    <x v="143"/>
    <x v="12"/>
    <x v="143"/>
    <x v="143"/>
  </r>
  <r>
    <x v="144"/>
    <x v="133"/>
    <x v="138"/>
    <x v="0"/>
    <x v="11"/>
    <x v="25"/>
    <x v="3"/>
    <x v="2"/>
    <x v="5"/>
    <x v="4"/>
    <x v="144"/>
    <x v="144"/>
    <x v="144"/>
    <x v="104"/>
    <x v="8"/>
    <x v="0"/>
    <x v="144"/>
    <x v="0"/>
    <x v="103"/>
    <x v="12"/>
    <x v="137"/>
    <x v="1"/>
    <x v="144"/>
    <x v="144"/>
    <x v="144"/>
    <x v="103"/>
    <x v="30"/>
    <x v="10"/>
    <x v="25"/>
    <x v="2"/>
    <x v="1"/>
    <x v="11"/>
    <x v="10"/>
    <x v="0"/>
    <x v="30"/>
    <x v="1"/>
    <x v="0"/>
    <x v="95"/>
    <x v="144"/>
    <x v="8"/>
    <x v="144"/>
    <x v="144"/>
  </r>
  <r>
    <x v="145"/>
    <x v="134"/>
    <x v="139"/>
    <x v="0"/>
    <x v="0"/>
    <x v="2"/>
    <x v="2"/>
    <x v="3"/>
    <x v="1"/>
    <x v="4"/>
    <x v="145"/>
    <x v="145"/>
    <x v="145"/>
    <x v="56"/>
    <x v="7"/>
    <x v="0"/>
    <x v="145"/>
    <x v="0"/>
    <x v="56"/>
    <x v="15"/>
    <x v="138"/>
    <x v="13"/>
    <x v="145"/>
    <x v="145"/>
    <x v="145"/>
    <x v="56"/>
    <x v="10"/>
    <x v="6"/>
    <x v="2"/>
    <x v="2"/>
    <x v="2"/>
    <x v="0"/>
    <x v="0"/>
    <x v="0"/>
    <x v="10"/>
    <x v="0"/>
    <x v="0"/>
    <x v="52"/>
    <x v="145"/>
    <x v="7"/>
    <x v="145"/>
    <x v="145"/>
  </r>
  <r>
    <x v="146"/>
    <x v="135"/>
    <x v="140"/>
    <x v="3"/>
    <x v="5"/>
    <x v="37"/>
    <x v="2"/>
    <x v="4"/>
    <x v="6"/>
    <x v="6"/>
    <x v="146"/>
    <x v="146"/>
    <x v="146"/>
    <x v="4"/>
    <x v="16"/>
    <x v="0"/>
    <x v="146"/>
    <x v="0"/>
    <x v="4"/>
    <x v="9"/>
    <x v="139"/>
    <x v="8"/>
    <x v="146"/>
    <x v="146"/>
    <x v="146"/>
    <x v="4"/>
    <x v="19"/>
    <x v="4"/>
    <x v="37"/>
    <x v="0"/>
    <x v="0"/>
    <x v="5"/>
    <x v="4"/>
    <x v="0"/>
    <x v="19"/>
    <x v="0"/>
    <x v="0"/>
    <x v="4"/>
    <x v="146"/>
    <x v="16"/>
    <x v="146"/>
    <x v="146"/>
  </r>
  <r>
    <x v="147"/>
    <x v="136"/>
    <x v="141"/>
    <x v="3"/>
    <x v="7"/>
    <x v="17"/>
    <x v="2"/>
    <x v="4"/>
    <x v="4"/>
    <x v="1"/>
    <x v="147"/>
    <x v="147"/>
    <x v="147"/>
    <x v="69"/>
    <x v="30"/>
    <x v="0"/>
    <x v="147"/>
    <x v="0"/>
    <x v="68"/>
    <x v="27"/>
    <x v="140"/>
    <x v="24"/>
    <x v="147"/>
    <x v="147"/>
    <x v="147"/>
    <x v="68"/>
    <x v="27"/>
    <x v="9"/>
    <x v="17"/>
    <x v="1"/>
    <x v="1"/>
    <x v="7"/>
    <x v="6"/>
    <x v="0"/>
    <x v="27"/>
    <x v="1"/>
    <x v="0"/>
    <x v="63"/>
    <x v="147"/>
    <x v="30"/>
    <x v="147"/>
    <x v="147"/>
  </r>
  <r>
    <x v="148"/>
    <x v="137"/>
    <x v="142"/>
    <x v="1"/>
    <x v="2"/>
    <x v="26"/>
    <x v="3"/>
    <x v="1"/>
    <x v="12"/>
    <x v="3"/>
    <x v="148"/>
    <x v="148"/>
    <x v="148"/>
    <x v="105"/>
    <x v="6"/>
    <x v="0"/>
    <x v="148"/>
    <x v="0"/>
    <x v="104"/>
    <x v="2"/>
    <x v="141"/>
    <x v="2"/>
    <x v="148"/>
    <x v="148"/>
    <x v="148"/>
    <x v="104"/>
    <x v="29"/>
    <x v="8"/>
    <x v="26"/>
    <x v="2"/>
    <x v="0"/>
    <x v="2"/>
    <x v="2"/>
    <x v="0"/>
    <x v="29"/>
    <x v="0"/>
    <x v="0"/>
    <x v="96"/>
    <x v="148"/>
    <x v="6"/>
    <x v="148"/>
    <x v="148"/>
  </r>
  <r>
    <x v="149"/>
    <x v="138"/>
    <x v="143"/>
    <x v="1"/>
    <x v="2"/>
    <x v="19"/>
    <x v="4"/>
    <x v="3"/>
    <x v="10"/>
    <x v="1"/>
    <x v="149"/>
    <x v="149"/>
    <x v="149"/>
    <x v="2"/>
    <x v="13"/>
    <x v="0"/>
    <x v="149"/>
    <x v="0"/>
    <x v="2"/>
    <x v="19"/>
    <x v="142"/>
    <x v="17"/>
    <x v="149"/>
    <x v="149"/>
    <x v="149"/>
    <x v="2"/>
    <x v="18"/>
    <x v="5"/>
    <x v="19"/>
    <x v="1"/>
    <x v="2"/>
    <x v="2"/>
    <x v="2"/>
    <x v="0"/>
    <x v="18"/>
    <x v="0"/>
    <x v="0"/>
    <x v="2"/>
    <x v="149"/>
    <x v="13"/>
    <x v="149"/>
    <x v="149"/>
  </r>
  <r>
    <x v="150"/>
    <x v="139"/>
    <x v="144"/>
    <x v="0"/>
    <x v="11"/>
    <x v="20"/>
    <x v="3"/>
    <x v="3"/>
    <x v="8"/>
    <x v="4"/>
    <x v="150"/>
    <x v="150"/>
    <x v="150"/>
    <x v="106"/>
    <x v="6"/>
    <x v="0"/>
    <x v="150"/>
    <x v="0"/>
    <x v="105"/>
    <x v="9"/>
    <x v="143"/>
    <x v="8"/>
    <x v="150"/>
    <x v="150"/>
    <x v="150"/>
    <x v="105"/>
    <x v="23"/>
    <x v="9"/>
    <x v="20"/>
    <x v="2"/>
    <x v="1"/>
    <x v="11"/>
    <x v="10"/>
    <x v="0"/>
    <x v="23"/>
    <x v="0"/>
    <x v="0"/>
    <x v="97"/>
    <x v="150"/>
    <x v="6"/>
    <x v="150"/>
    <x v="150"/>
  </r>
  <r>
    <x v="151"/>
    <x v="140"/>
    <x v="109"/>
    <x v="2"/>
    <x v="6"/>
    <x v="27"/>
    <x v="2"/>
    <x v="2"/>
    <x v="9"/>
    <x v="1"/>
    <x v="151"/>
    <x v="151"/>
    <x v="151"/>
    <x v="49"/>
    <x v="7"/>
    <x v="0"/>
    <x v="151"/>
    <x v="0"/>
    <x v="49"/>
    <x v="6"/>
    <x v="144"/>
    <x v="1"/>
    <x v="151"/>
    <x v="151"/>
    <x v="151"/>
    <x v="49"/>
    <x v="26"/>
    <x v="10"/>
    <x v="27"/>
    <x v="1"/>
    <x v="0"/>
    <x v="6"/>
    <x v="5"/>
    <x v="1"/>
    <x v="26"/>
    <x v="1"/>
    <x v="0"/>
    <x v="45"/>
    <x v="151"/>
    <x v="7"/>
    <x v="151"/>
    <x v="151"/>
  </r>
  <r>
    <x v="152"/>
    <x v="141"/>
    <x v="145"/>
    <x v="0"/>
    <x v="0"/>
    <x v="0"/>
    <x v="1"/>
    <x v="4"/>
    <x v="10"/>
    <x v="1"/>
    <x v="152"/>
    <x v="152"/>
    <x v="152"/>
    <x v="28"/>
    <x v="13"/>
    <x v="0"/>
    <x v="152"/>
    <x v="0"/>
    <x v="28"/>
    <x v="16"/>
    <x v="145"/>
    <x v="14"/>
    <x v="152"/>
    <x v="152"/>
    <x v="152"/>
    <x v="28"/>
    <x v="31"/>
    <x v="0"/>
    <x v="0"/>
    <x v="1"/>
    <x v="0"/>
    <x v="0"/>
    <x v="0"/>
    <x v="0"/>
    <x v="31"/>
    <x v="0"/>
    <x v="0"/>
    <x v="28"/>
    <x v="152"/>
    <x v="13"/>
    <x v="152"/>
    <x v="152"/>
  </r>
  <r>
    <x v="153"/>
    <x v="142"/>
    <x v="146"/>
    <x v="0"/>
    <x v="0"/>
    <x v="0"/>
    <x v="1"/>
    <x v="0"/>
    <x v="6"/>
    <x v="6"/>
    <x v="153"/>
    <x v="153"/>
    <x v="153"/>
    <x v="49"/>
    <x v="10"/>
    <x v="0"/>
    <x v="153"/>
    <x v="0"/>
    <x v="49"/>
    <x v="27"/>
    <x v="146"/>
    <x v="24"/>
    <x v="153"/>
    <x v="153"/>
    <x v="153"/>
    <x v="49"/>
    <x v="32"/>
    <x v="10"/>
    <x v="0"/>
    <x v="0"/>
    <x v="1"/>
    <x v="0"/>
    <x v="0"/>
    <x v="0"/>
    <x v="32"/>
    <x v="1"/>
    <x v="0"/>
    <x v="45"/>
    <x v="153"/>
    <x v="10"/>
    <x v="153"/>
    <x v="153"/>
  </r>
  <r>
    <x v="154"/>
    <x v="143"/>
    <x v="147"/>
    <x v="2"/>
    <x v="6"/>
    <x v="9"/>
    <x v="5"/>
    <x v="1"/>
    <x v="10"/>
    <x v="2"/>
    <x v="154"/>
    <x v="154"/>
    <x v="154"/>
    <x v="94"/>
    <x v="14"/>
    <x v="0"/>
    <x v="154"/>
    <x v="0"/>
    <x v="93"/>
    <x v="26"/>
    <x v="147"/>
    <x v="23"/>
    <x v="154"/>
    <x v="154"/>
    <x v="154"/>
    <x v="93"/>
    <x v="20"/>
    <x v="8"/>
    <x v="9"/>
    <x v="0"/>
    <x v="0"/>
    <x v="6"/>
    <x v="5"/>
    <x v="1"/>
    <x v="20"/>
    <x v="0"/>
    <x v="0"/>
    <x v="87"/>
    <x v="154"/>
    <x v="14"/>
    <x v="154"/>
    <x v="154"/>
  </r>
  <r>
    <x v="155"/>
    <x v="144"/>
    <x v="148"/>
    <x v="3"/>
    <x v="7"/>
    <x v="28"/>
    <x v="3"/>
    <x v="2"/>
    <x v="7"/>
    <x v="2"/>
    <x v="155"/>
    <x v="155"/>
    <x v="142"/>
    <x v="107"/>
    <x v="27"/>
    <x v="0"/>
    <x v="142"/>
    <x v="0"/>
    <x v="106"/>
    <x v="9"/>
    <x v="148"/>
    <x v="8"/>
    <x v="155"/>
    <x v="155"/>
    <x v="155"/>
    <x v="106"/>
    <x v="31"/>
    <x v="0"/>
    <x v="28"/>
    <x v="0"/>
    <x v="0"/>
    <x v="7"/>
    <x v="6"/>
    <x v="0"/>
    <x v="31"/>
    <x v="0"/>
    <x v="0"/>
    <x v="98"/>
    <x v="155"/>
    <x v="27"/>
    <x v="155"/>
    <x v="155"/>
  </r>
  <r>
    <x v="156"/>
    <x v="37"/>
    <x v="149"/>
    <x v="2"/>
    <x v="3"/>
    <x v="18"/>
    <x v="5"/>
    <x v="4"/>
    <x v="4"/>
    <x v="0"/>
    <x v="156"/>
    <x v="156"/>
    <x v="155"/>
    <x v="108"/>
    <x v="11"/>
    <x v="0"/>
    <x v="155"/>
    <x v="0"/>
    <x v="107"/>
    <x v="24"/>
    <x v="149"/>
    <x v="21"/>
    <x v="156"/>
    <x v="156"/>
    <x v="156"/>
    <x v="107"/>
    <x v="20"/>
    <x v="8"/>
    <x v="18"/>
    <x v="0"/>
    <x v="0"/>
    <x v="3"/>
    <x v="3"/>
    <x v="0"/>
    <x v="20"/>
    <x v="0"/>
    <x v="0"/>
    <x v="99"/>
    <x v="156"/>
    <x v="11"/>
    <x v="156"/>
    <x v="156"/>
  </r>
  <r>
    <x v="157"/>
    <x v="145"/>
    <x v="96"/>
    <x v="3"/>
    <x v="5"/>
    <x v="37"/>
    <x v="3"/>
    <x v="2"/>
    <x v="14"/>
    <x v="6"/>
    <x v="157"/>
    <x v="157"/>
    <x v="156"/>
    <x v="109"/>
    <x v="7"/>
    <x v="0"/>
    <x v="156"/>
    <x v="0"/>
    <x v="108"/>
    <x v="20"/>
    <x v="95"/>
    <x v="18"/>
    <x v="157"/>
    <x v="157"/>
    <x v="157"/>
    <x v="108"/>
    <x v="25"/>
    <x v="3"/>
    <x v="37"/>
    <x v="0"/>
    <x v="2"/>
    <x v="5"/>
    <x v="4"/>
    <x v="0"/>
    <x v="25"/>
    <x v="1"/>
    <x v="0"/>
    <x v="100"/>
    <x v="157"/>
    <x v="7"/>
    <x v="157"/>
    <x v="157"/>
  </r>
  <r>
    <x v="158"/>
    <x v="89"/>
    <x v="150"/>
    <x v="2"/>
    <x v="9"/>
    <x v="23"/>
    <x v="0"/>
    <x v="4"/>
    <x v="2"/>
    <x v="3"/>
    <x v="158"/>
    <x v="158"/>
    <x v="157"/>
    <x v="110"/>
    <x v="16"/>
    <x v="0"/>
    <x v="157"/>
    <x v="0"/>
    <x v="109"/>
    <x v="9"/>
    <x v="150"/>
    <x v="8"/>
    <x v="158"/>
    <x v="158"/>
    <x v="158"/>
    <x v="109"/>
    <x v="28"/>
    <x v="6"/>
    <x v="23"/>
    <x v="2"/>
    <x v="2"/>
    <x v="9"/>
    <x v="8"/>
    <x v="0"/>
    <x v="28"/>
    <x v="0"/>
    <x v="0"/>
    <x v="101"/>
    <x v="158"/>
    <x v="16"/>
    <x v="158"/>
    <x v="158"/>
  </r>
  <r>
    <x v="159"/>
    <x v="146"/>
    <x v="151"/>
    <x v="2"/>
    <x v="3"/>
    <x v="18"/>
    <x v="5"/>
    <x v="3"/>
    <x v="11"/>
    <x v="5"/>
    <x v="159"/>
    <x v="159"/>
    <x v="158"/>
    <x v="86"/>
    <x v="35"/>
    <x v="0"/>
    <x v="158"/>
    <x v="0"/>
    <x v="85"/>
    <x v="8"/>
    <x v="151"/>
    <x v="7"/>
    <x v="159"/>
    <x v="159"/>
    <x v="159"/>
    <x v="85"/>
    <x v="2"/>
    <x v="2"/>
    <x v="18"/>
    <x v="1"/>
    <x v="1"/>
    <x v="3"/>
    <x v="3"/>
    <x v="0"/>
    <x v="2"/>
    <x v="0"/>
    <x v="0"/>
    <x v="79"/>
    <x v="159"/>
    <x v="35"/>
    <x v="159"/>
    <x v="159"/>
  </r>
  <r>
    <x v="160"/>
    <x v="147"/>
    <x v="152"/>
    <x v="2"/>
    <x v="9"/>
    <x v="14"/>
    <x v="3"/>
    <x v="1"/>
    <x v="5"/>
    <x v="0"/>
    <x v="160"/>
    <x v="160"/>
    <x v="159"/>
    <x v="3"/>
    <x v="27"/>
    <x v="0"/>
    <x v="159"/>
    <x v="0"/>
    <x v="3"/>
    <x v="2"/>
    <x v="152"/>
    <x v="2"/>
    <x v="160"/>
    <x v="160"/>
    <x v="160"/>
    <x v="3"/>
    <x v="1"/>
    <x v="1"/>
    <x v="14"/>
    <x v="0"/>
    <x v="2"/>
    <x v="9"/>
    <x v="8"/>
    <x v="0"/>
    <x v="1"/>
    <x v="0"/>
    <x v="0"/>
    <x v="3"/>
    <x v="160"/>
    <x v="27"/>
    <x v="160"/>
    <x v="160"/>
  </r>
  <r>
    <x v="161"/>
    <x v="148"/>
    <x v="153"/>
    <x v="1"/>
    <x v="4"/>
    <x v="10"/>
    <x v="2"/>
    <x v="4"/>
    <x v="12"/>
    <x v="3"/>
    <x v="161"/>
    <x v="161"/>
    <x v="160"/>
    <x v="111"/>
    <x v="4"/>
    <x v="0"/>
    <x v="160"/>
    <x v="0"/>
    <x v="110"/>
    <x v="3"/>
    <x v="153"/>
    <x v="3"/>
    <x v="161"/>
    <x v="161"/>
    <x v="161"/>
    <x v="110"/>
    <x v="19"/>
    <x v="4"/>
    <x v="10"/>
    <x v="2"/>
    <x v="0"/>
    <x v="4"/>
    <x v="3"/>
    <x v="0"/>
    <x v="19"/>
    <x v="1"/>
    <x v="0"/>
    <x v="102"/>
    <x v="161"/>
    <x v="4"/>
    <x v="161"/>
    <x v="161"/>
  </r>
  <r>
    <x v="162"/>
    <x v="149"/>
    <x v="154"/>
    <x v="2"/>
    <x v="6"/>
    <x v="9"/>
    <x v="3"/>
    <x v="3"/>
    <x v="2"/>
    <x v="5"/>
    <x v="162"/>
    <x v="162"/>
    <x v="161"/>
    <x v="77"/>
    <x v="36"/>
    <x v="0"/>
    <x v="161"/>
    <x v="0"/>
    <x v="76"/>
    <x v="28"/>
    <x v="154"/>
    <x v="25"/>
    <x v="162"/>
    <x v="162"/>
    <x v="162"/>
    <x v="76"/>
    <x v="21"/>
    <x v="2"/>
    <x v="9"/>
    <x v="1"/>
    <x v="1"/>
    <x v="6"/>
    <x v="5"/>
    <x v="1"/>
    <x v="21"/>
    <x v="1"/>
    <x v="0"/>
    <x v="71"/>
    <x v="162"/>
    <x v="36"/>
    <x v="162"/>
    <x v="162"/>
  </r>
  <r>
    <x v="163"/>
    <x v="150"/>
    <x v="155"/>
    <x v="2"/>
    <x v="9"/>
    <x v="23"/>
    <x v="0"/>
    <x v="0"/>
    <x v="1"/>
    <x v="1"/>
    <x v="163"/>
    <x v="163"/>
    <x v="162"/>
    <x v="112"/>
    <x v="15"/>
    <x v="0"/>
    <x v="162"/>
    <x v="0"/>
    <x v="111"/>
    <x v="8"/>
    <x v="155"/>
    <x v="7"/>
    <x v="163"/>
    <x v="163"/>
    <x v="163"/>
    <x v="111"/>
    <x v="16"/>
    <x v="4"/>
    <x v="23"/>
    <x v="1"/>
    <x v="0"/>
    <x v="9"/>
    <x v="8"/>
    <x v="0"/>
    <x v="16"/>
    <x v="0"/>
    <x v="0"/>
    <x v="103"/>
    <x v="163"/>
    <x v="15"/>
    <x v="163"/>
    <x v="163"/>
  </r>
  <r>
    <x v="164"/>
    <x v="151"/>
    <x v="156"/>
    <x v="3"/>
    <x v="5"/>
    <x v="8"/>
    <x v="3"/>
    <x v="4"/>
    <x v="14"/>
    <x v="5"/>
    <x v="164"/>
    <x v="164"/>
    <x v="163"/>
    <x v="113"/>
    <x v="34"/>
    <x v="0"/>
    <x v="163"/>
    <x v="0"/>
    <x v="112"/>
    <x v="31"/>
    <x v="156"/>
    <x v="28"/>
    <x v="164"/>
    <x v="164"/>
    <x v="164"/>
    <x v="112"/>
    <x v="2"/>
    <x v="2"/>
    <x v="8"/>
    <x v="1"/>
    <x v="1"/>
    <x v="5"/>
    <x v="4"/>
    <x v="0"/>
    <x v="2"/>
    <x v="0"/>
    <x v="0"/>
    <x v="104"/>
    <x v="164"/>
    <x v="34"/>
    <x v="164"/>
    <x v="164"/>
  </r>
  <r>
    <x v="165"/>
    <x v="152"/>
    <x v="71"/>
    <x v="2"/>
    <x v="9"/>
    <x v="14"/>
    <x v="2"/>
    <x v="0"/>
    <x v="9"/>
    <x v="4"/>
    <x v="165"/>
    <x v="165"/>
    <x v="164"/>
    <x v="114"/>
    <x v="37"/>
    <x v="0"/>
    <x v="164"/>
    <x v="0"/>
    <x v="113"/>
    <x v="19"/>
    <x v="132"/>
    <x v="17"/>
    <x v="165"/>
    <x v="165"/>
    <x v="165"/>
    <x v="113"/>
    <x v="11"/>
    <x v="7"/>
    <x v="14"/>
    <x v="2"/>
    <x v="1"/>
    <x v="9"/>
    <x v="8"/>
    <x v="0"/>
    <x v="11"/>
    <x v="0"/>
    <x v="0"/>
    <x v="105"/>
    <x v="165"/>
    <x v="37"/>
    <x v="165"/>
    <x v="165"/>
  </r>
  <r>
    <x v="166"/>
    <x v="153"/>
    <x v="157"/>
    <x v="3"/>
    <x v="7"/>
    <x v="11"/>
    <x v="3"/>
    <x v="1"/>
    <x v="12"/>
    <x v="5"/>
    <x v="166"/>
    <x v="166"/>
    <x v="165"/>
    <x v="115"/>
    <x v="0"/>
    <x v="0"/>
    <x v="165"/>
    <x v="0"/>
    <x v="114"/>
    <x v="24"/>
    <x v="157"/>
    <x v="21"/>
    <x v="166"/>
    <x v="166"/>
    <x v="166"/>
    <x v="114"/>
    <x v="6"/>
    <x v="4"/>
    <x v="11"/>
    <x v="1"/>
    <x v="0"/>
    <x v="7"/>
    <x v="6"/>
    <x v="0"/>
    <x v="6"/>
    <x v="0"/>
    <x v="1"/>
    <x v="10"/>
    <x v="166"/>
    <x v="0"/>
    <x v="166"/>
    <x v="166"/>
  </r>
  <r>
    <x v="167"/>
    <x v="154"/>
    <x v="158"/>
    <x v="2"/>
    <x v="3"/>
    <x v="34"/>
    <x v="5"/>
    <x v="0"/>
    <x v="3"/>
    <x v="5"/>
    <x v="167"/>
    <x v="167"/>
    <x v="166"/>
    <x v="56"/>
    <x v="7"/>
    <x v="0"/>
    <x v="166"/>
    <x v="0"/>
    <x v="56"/>
    <x v="14"/>
    <x v="158"/>
    <x v="12"/>
    <x v="167"/>
    <x v="167"/>
    <x v="167"/>
    <x v="56"/>
    <x v="32"/>
    <x v="10"/>
    <x v="34"/>
    <x v="1"/>
    <x v="1"/>
    <x v="3"/>
    <x v="3"/>
    <x v="0"/>
    <x v="32"/>
    <x v="0"/>
    <x v="0"/>
    <x v="52"/>
    <x v="167"/>
    <x v="7"/>
    <x v="167"/>
    <x v="167"/>
  </r>
  <r>
    <x v="168"/>
    <x v="155"/>
    <x v="45"/>
    <x v="3"/>
    <x v="8"/>
    <x v="31"/>
    <x v="3"/>
    <x v="3"/>
    <x v="1"/>
    <x v="0"/>
    <x v="168"/>
    <x v="168"/>
    <x v="167"/>
    <x v="22"/>
    <x v="27"/>
    <x v="0"/>
    <x v="167"/>
    <x v="0"/>
    <x v="22"/>
    <x v="19"/>
    <x v="45"/>
    <x v="17"/>
    <x v="168"/>
    <x v="168"/>
    <x v="168"/>
    <x v="115"/>
    <x v="1"/>
    <x v="1"/>
    <x v="31"/>
    <x v="0"/>
    <x v="0"/>
    <x v="8"/>
    <x v="7"/>
    <x v="0"/>
    <x v="1"/>
    <x v="0"/>
    <x v="0"/>
    <x v="22"/>
    <x v="168"/>
    <x v="27"/>
    <x v="168"/>
    <x v="168"/>
  </r>
  <r>
    <x v="169"/>
    <x v="156"/>
    <x v="159"/>
    <x v="2"/>
    <x v="6"/>
    <x v="27"/>
    <x v="3"/>
    <x v="2"/>
    <x v="3"/>
    <x v="6"/>
    <x v="169"/>
    <x v="169"/>
    <x v="168"/>
    <x v="115"/>
    <x v="13"/>
    <x v="0"/>
    <x v="168"/>
    <x v="0"/>
    <x v="114"/>
    <x v="20"/>
    <x v="159"/>
    <x v="18"/>
    <x v="169"/>
    <x v="169"/>
    <x v="169"/>
    <x v="114"/>
    <x v="13"/>
    <x v="8"/>
    <x v="27"/>
    <x v="0"/>
    <x v="0"/>
    <x v="6"/>
    <x v="5"/>
    <x v="1"/>
    <x v="13"/>
    <x v="1"/>
    <x v="1"/>
    <x v="10"/>
    <x v="169"/>
    <x v="13"/>
    <x v="169"/>
    <x v="169"/>
  </r>
  <r>
    <x v="170"/>
    <x v="157"/>
    <x v="160"/>
    <x v="2"/>
    <x v="6"/>
    <x v="27"/>
    <x v="1"/>
    <x v="1"/>
    <x v="13"/>
    <x v="0"/>
    <x v="170"/>
    <x v="170"/>
    <x v="169"/>
    <x v="60"/>
    <x v="27"/>
    <x v="0"/>
    <x v="169"/>
    <x v="0"/>
    <x v="59"/>
    <x v="7"/>
    <x v="160"/>
    <x v="6"/>
    <x v="170"/>
    <x v="170"/>
    <x v="170"/>
    <x v="59"/>
    <x v="27"/>
    <x v="9"/>
    <x v="27"/>
    <x v="0"/>
    <x v="1"/>
    <x v="6"/>
    <x v="5"/>
    <x v="1"/>
    <x v="27"/>
    <x v="0"/>
    <x v="0"/>
    <x v="55"/>
    <x v="170"/>
    <x v="27"/>
    <x v="170"/>
    <x v="170"/>
  </r>
  <r>
    <x v="171"/>
    <x v="158"/>
    <x v="161"/>
    <x v="1"/>
    <x v="10"/>
    <x v="39"/>
    <x v="4"/>
    <x v="1"/>
    <x v="11"/>
    <x v="0"/>
    <x v="171"/>
    <x v="171"/>
    <x v="170"/>
    <x v="57"/>
    <x v="10"/>
    <x v="0"/>
    <x v="170"/>
    <x v="0"/>
    <x v="57"/>
    <x v="21"/>
    <x v="161"/>
    <x v="19"/>
    <x v="171"/>
    <x v="171"/>
    <x v="171"/>
    <x v="57"/>
    <x v="2"/>
    <x v="2"/>
    <x v="40"/>
    <x v="0"/>
    <x v="1"/>
    <x v="10"/>
    <x v="9"/>
    <x v="0"/>
    <x v="2"/>
    <x v="0"/>
    <x v="0"/>
    <x v="53"/>
    <x v="171"/>
    <x v="10"/>
    <x v="171"/>
    <x v="171"/>
  </r>
  <r>
    <x v="172"/>
    <x v="8"/>
    <x v="18"/>
    <x v="0"/>
    <x v="11"/>
    <x v="20"/>
    <x v="2"/>
    <x v="3"/>
    <x v="6"/>
    <x v="4"/>
    <x v="172"/>
    <x v="172"/>
    <x v="171"/>
    <x v="116"/>
    <x v="11"/>
    <x v="0"/>
    <x v="171"/>
    <x v="0"/>
    <x v="115"/>
    <x v="6"/>
    <x v="18"/>
    <x v="1"/>
    <x v="172"/>
    <x v="172"/>
    <x v="172"/>
    <x v="116"/>
    <x v="7"/>
    <x v="5"/>
    <x v="20"/>
    <x v="2"/>
    <x v="2"/>
    <x v="11"/>
    <x v="10"/>
    <x v="0"/>
    <x v="7"/>
    <x v="1"/>
    <x v="0"/>
    <x v="106"/>
    <x v="172"/>
    <x v="11"/>
    <x v="172"/>
    <x v="172"/>
  </r>
  <r>
    <x v="173"/>
    <x v="153"/>
    <x v="162"/>
    <x v="0"/>
    <x v="11"/>
    <x v="20"/>
    <x v="3"/>
    <x v="3"/>
    <x v="8"/>
    <x v="1"/>
    <x v="173"/>
    <x v="173"/>
    <x v="172"/>
    <x v="117"/>
    <x v="15"/>
    <x v="0"/>
    <x v="172"/>
    <x v="0"/>
    <x v="116"/>
    <x v="25"/>
    <x v="162"/>
    <x v="22"/>
    <x v="173"/>
    <x v="173"/>
    <x v="173"/>
    <x v="117"/>
    <x v="6"/>
    <x v="4"/>
    <x v="20"/>
    <x v="1"/>
    <x v="0"/>
    <x v="11"/>
    <x v="10"/>
    <x v="0"/>
    <x v="6"/>
    <x v="0"/>
    <x v="0"/>
    <x v="107"/>
    <x v="173"/>
    <x v="15"/>
    <x v="173"/>
    <x v="173"/>
  </r>
  <r>
    <x v="174"/>
    <x v="159"/>
    <x v="163"/>
    <x v="3"/>
    <x v="8"/>
    <x v="12"/>
    <x v="4"/>
    <x v="2"/>
    <x v="10"/>
    <x v="5"/>
    <x v="174"/>
    <x v="174"/>
    <x v="173"/>
    <x v="47"/>
    <x v="23"/>
    <x v="0"/>
    <x v="173"/>
    <x v="0"/>
    <x v="47"/>
    <x v="9"/>
    <x v="163"/>
    <x v="8"/>
    <x v="174"/>
    <x v="174"/>
    <x v="174"/>
    <x v="47"/>
    <x v="18"/>
    <x v="5"/>
    <x v="12"/>
    <x v="1"/>
    <x v="2"/>
    <x v="8"/>
    <x v="7"/>
    <x v="0"/>
    <x v="18"/>
    <x v="0"/>
    <x v="1"/>
    <x v="10"/>
    <x v="174"/>
    <x v="23"/>
    <x v="174"/>
    <x v="174"/>
  </r>
  <r>
    <x v="175"/>
    <x v="160"/>
    <x v="164"/>
    <x v="3"/>
    <x v="8"/>
    <x v="21"/>
    <x v="5"/>
    <x v="2"/>
    <x v="12"/>
    <x v="1"/>
    <x v="175"/>
    <x v="175"/>
    <x v="174"/>
    <x v="118"/>
    <x v="0"/>
    <x v="0"/>
    <x v="174"/>
    <x v="0"/>
    <x v="117"/>
    <x v="16"/>
    <x v="164"/>
    <x v="14"/>
    <x v="175"/>
    <x v="175"/>
    <x v="175"/>
    <x v="118"/>
    <x v="24"/>
    <x v="9"/>
    <x v="21"/>
    <x v="1"/>
    <x v="1"/>
    <x v="8"/>
    <x v="7"/>
    <x v="0"/>
    <x v="24"/>
    <x v="0"/>
    <x v="0"/>
    <x v="108"/>
    <x v="175"/>
    <x v="0"/>
    <x v="175"/>
    <x v="175"/>
  </r>
  <r>
    <x v="176"/>
    <x v="161"/>
    <x v="148"/>
    <x v="3"/>
    <x v="5"/>
    <x v="37"/>
    <x v="0"/>
    <x v="0"/>
    <x v="9"/>
    <x v="0"/>
    <x v="176"/>
    <x v="176"/>
    <x v="175"/>
    <x v="119"/>
    <x v="20"/>
    <x v="0"/>
    <x v="175"/>
    <x v="0"/>
    <x v="118"/>
    <x v="5"/>
    <x v="148"/>
    <x v="5"/>
    <x v="176"/>
    <x v="176"/>
    <x v="176"/>
    <x v="119"/>
    <x v="31"/>
    <x v="0"/>
    <x v="37"/>
    <x v="0"/>
    <x v="0"/>
    <x v="5"/>
    <x v="4"/>
    <x v="0"/>
    <x v="31"/>
    <x v="0"/>
    <x v="0"/>
    <x v="109"/>
    <x v="176"/>
    <x v="20"/>
    <x v="176"/>
    <x v="176"/>
  </r>
  <r>
    <x v="177"/>
    <x v="162"/>
    <x v="165"/>
    <x v="1"/>
    <x v="2"/>
    <x v="26"/>
    <x v="2"/>
    <x v="1"/>
    <x v="6"/>
    <x v="5"/>
    <x v="177"/>
    <x v="177"/>
    <x v="176"/>
    <x v="120"/>
    <x v="11"/>
    <x v="0"/>
    <x v="176"/>
    <x v="0"/>
    <x v="119"/>
    <x v="25"/>
    <x v="165"/>
    <x v="22"/>
    <x v="177"/>
    <x v="177"/>
    <x v="177"/>
    <x v="120"/>
    <x v="11"/>
    <x v="7"/>
    <x v="26"/>
    <x v="1"/>
    <x v="1"/>
    <x v="2"/>
    <x v="2"/>
    <x v="0"/>
    <x v="11"/>
    <x v="0"/>
    <x v="0"/>
    <x v="110"/>
    <x v="177"/>
    <x v="11"/>
    <x v="177"/>
    <x v="177"/>
  </r>
  <r>
    <x v="178"/>
    <x v="163"/>
    <x v="58"/>
    <x v="2"/>
    <x v="9"/>
    <x v="14"/>
    <x v="1"/>
    <x v="0"/>
    <x v="4"/>
    <x v="1"/>
    <x v="178"/>
    <x v="178"/>
    <x v="177"/>
    <x v="121"/>
    <x v="20"/>
    <x v="0"/>
    <x v="177"/>
    <x v="0"/>
    <x v="120"/>
    <x v="24"/>
    <x v="58"/>
    <x v="21"/>
    <x v="178"/>
    <x v="178"/>
    <x v="178"/>
    <x v="121"/>
    <x v="28"/>
    <x v="6"/>
    <x v="14"/>
    <x v="1"/>
    <x v="2"/>
    <x v="9"/>
    <x v="8"/>
    <x v="0"/>
    <x v="28"/>
    <x v="0"/>
    <x v="0"/>
    <x v="111"/>
    <x v="178"/>
    <x v="20"/>
    <x v="178"/>
    <x v="178"/>
  </r>
  <r>
    <x v="179"/>
    <x v="164"/>
    <x v="166"/>
    <x v="1"/>
    <x v="4"/>
    <x v="30"/>
    <x v="2"/>
    <x v="4"/>
    <x v="14"/>
    <x v="6"/>
    <x v="179"/>
    <x v="179"/>
    <x v="178"/>
    <x v="122"/>
    <x v="5"/>
    <x v="0"/>
    <x v="178"/>
    <x v="0"/>
    <x v="121"/>
    <x v="4"/>
    <x v="166"/>
    <x v="4"/>
    <x v="179"/>
    <x v="179"/>
    <x v="179"/>
    <x v="122"/>
    <x v="10"/>
    <x v="6"/>
    <x v="30"/>
    <x v="0"/>
    <x v="2"/>
    <x v="4"/>
    <x v="3"/>
    <x v="0"/>
    <x v="10"/>
    <x v="1"/>
    <x v="1"/>
    <x v="112"/>
    <x v="179"/>
    <x v="5"/>
    <x v="179"/>
    <x v="179"/>
  </r>
  <r>
    <x v="180"/>
    <x v="165"/>
    <x v="167"/>
    <x v="2"/>
    <x v="9"/>
    <x v="38"/>
    <x v="4"/>
    <x v="4"/>
    <x v="4"/>
    <x v="3"/>
    <x v="180"/>
    <x v="180"/>
    <x v="179"/>
    <x v="95"/>
    <x v="9"/>
    <x v="0"/>
    <x v="179"/>
    <x v="0"/>
    <x v="94"/>
    <x v="13"/>
    <x v="167"/>
    <x v="11"/>
    <x v="180"/>
    <x v="180"/>
    <x v="180"/>
    <x v="94"/>
    <x v="1"/>
    <x v="1"/>
    <x v="38"/>
    <x v="2"/>
    <x v="0"/>
    <x v="9"/>
    <x v="8"/>
    <x v="0"/>
    <x v="1"/>
    <x v="0"/>
    <x v="0"/>
    <x v="88"/>
    <x v="180"/>
    <x v="9"/>
    <x v="180"/>
    <x v="180"/>
  </r>
  <r>
    <x v="181"/>
    <x v="166"/>
    <x v="168"/>
    <x v="2"/>
    <x v="6"/>
    <x v="9"/>
    <x v="1"/>
    <x v="3"/>
    <x v="14"/>
    <x v="6"/>
    <x v="181"/>
    <x v="181"/>
    <x v="180"/>
    <x v="123"/>
    <x v="27"/>
    <x v="0"/>
    <x v="180"/>
    <x v="0"/>
    <x v="122"/>
    <x v="19"/>
    <x v="168"/>
    <x v="17"/>
    <x v="181"/>
    <x v="181"/>
    <x v="181"/>
    <x v="123"/>
    <x v="25"/>
    <x v="3"/>
    <x v="9"/>
    <x v="0"/>
    <x v="2"/>
    <x v="6"/>
    <x v="5"/>
    <x v="1"/>
    <x v="25"/>
    <x v="0"/>
    <x v="0"/>
    <x v="113"/>
    <x v="181"/>
    <x v="27"/>
    <x v="181"/>
    <x v="181"/>
  </r>
  <r>
    <x v="182"/>
    <x v="65"/>
    <x v="169"/>
    <x v="0"/>
    <x v="1"/>
    <x v="6"/>
    <x v="3"/>
    <x v="1"/>
    <x v="1"/>
    <x v="5"/>
    <x v="182"/>
    <x v="182"/>
    <x v="181"/>
    <x v="26"/>
    <x v="4"/>
    <x v="0"/>
    <x v="181"/>
    <x v="0"/>
    <x v="26"/>
    <x v="3"/>
    <x v="169"/>
    <x v="3"/>
    <x v="182"/>
    <x v="182"/>
    <x v="182"/>
    <x v="26"/>
    <x v="24"/>
    <x v="9"/>
    <x v="6"/>
    <x v="1"/>
    <x v="1"/>
    <x v="1"/>
    <x v="1"/>
    <x v="0"/>
    <x v="24"/>
    <x v="1"/>
    <x v="0"/>
    <x v="26"/>
    <x v="182"/>
    <x v="4"/>
    <x v="182"/>
    <x v="182"/>
  </r>
  <r>
    <x v="183"/>
    <x v="167"/>
    <x v="170"/>
    <x v="0"/>
    <x v="1"/>
    <x v="1"/>
    <x v="4"/>
    <x v="3"/>
    <x v="11"/>
    <x v="5"/>
    <x v="183"/>
    <x v="183"/>
    <x v="182"/>
    <x v="124"/>
    <x v="8"/>
    <x v="0"/>
    <x v="182"/>
    <x v="0"/>
    <x v="123"/>
    <x v="22"/>
    <x v="170"/>
    <x v="1"/>
    <x v="183"/>
    <x v="183"/>
    <x v="183"/>
    <x v="124"/>
    <x v="1"/>
    <x v="1"/>
    <x v="1"/>
    <x v="1"/>
    <x v="0"/>
    <x v="1"/>
    <x v="1"/>
    <x v="0"/>
    <x v="1"/>
    <x v="1"/>
    <x v="0"/>
    <x v="114"/>
    <x v="183"/>
    <x v="8"/>
    <x v="183"/>
    <x v="183"/>
  </r>
  <r>
    <x v="184"/>
    <x v="168"/>
    <x v="171"/>
    <x v="3"/>
    <x v="7"/>
    <x v="17"/>
    <x v="0"/>
    <x v="0"/>
    <x v="1"/>
    <x v="6"/>
    <x v="184"/>
    <x v="184"/>
    <x v="183"/>
    <x v="108"/>
    <x v="2"/>
    <x v="0"/>
    <x v="183"/>
    <x v="0"/>
    <x v="107"/>
    <x v="11"/>
    <x v="171"/>
    <x v="10"/>
    <x v="184"/>
    <x v="184"/>
    <x v="184"/>
    <x v="107"/>
    <x v="22"/>
    <x v="7"/>
    <x v="17"/>
    <x v="0"/>
    <x v="1"/>
    <x v="7"/>
    <x v="6"/>
    <x v="0"/>
    <x v="22"/>
    <x v="0"/>
    <x v="0"/>
    <x v="99"/>
    <x v="184"/>
    <x v="2"/>
    <x v="184"/>
    <x v="184"/>
  </r>
  <r>
    <x v="185"/>
    <x v="169"/>
    <x v="172"/>
    <x v="3"/>
    <x v="7"/>
    <x v="28"/>
    <x v="2"/>
    <x v="5"/>
    <x v="5"/>
    <x v="5"/>
    <x v="185"/>
    <x v="185"/>
    <x v="184"/>
    <x v="125"/>
    <x v="7"/>
    <x v="0"/>
    <x v="184"/>
    <x v="0"/>
    <x v="124"/>
    <x v="0"/>
    <x v="172"/>
    <x v="0"/>
    <x v="185"/>
    <x v="185"/>
    <x v="185"/>
    <x v="125"/>
    <x v="9"/>
    <x v="3"/>
    <x v="28"/>
    <x v="1"/>
    <x v="2"/>
    <x v="7"/>
    <x v="6"/>
    <x v="0"/>
    <x v="9"/>
    <x v="0"/>
    <x v="1"/>
    <x v="115"/>
    <x v="185"/>
    <x v="7"/>
    <x v="185"/>
    <x v="185"/>
  </r>
  <r>
    <x v="128"/>
    <x v="170"/>
    <x v="173"/>
    <x v="2"/>
    <x v="3"/>
    <x v="5"/>
    <x v="2"/>
    <x v="0"/>
    <x v="4"/>
    <x v="6"/>
    <x v="186"/>
    <x v="186"/>
    <x v="185"/>
    <x v="126"/>
    <x v="30"/>
    <x v="0"/>
    <x v="185"/>
    <x v="0"/>
    <x v="125"/>
    <x v="19"/>
    <x v="173"/>
    <x v="17"/>
    <x v="186"/>
    <x v="186"/>
    <x v="186"/>
    <x v="126"/>
    <x v="4"/>
    <x v="2"/>
    <x v="5"/>
    <x v="0"/>
    <x v="1"/>
    <x v="3"/>
    <x v="3"/>
    <x v="0"/>
    <x v="4"/>
    <x v="0"/>
    <x v="1"/>
    <x v="116"/>
    <x v="186"/>
    <x v="30"/>
    <x v="186"/>
    <x v="186"/>
  </r>
  <r>
    <x v="186"/>
    <x v="171"/>
    <x v="174"/>
    <x v="1"/>
    <x v="4"/>
    <x v="30"/>
    <x v="0"/>
    <x v="0"/>
    <x v="0"/>
    <x v="5"/>
    <x v="187"/>
    <x v="187"/>
    <x v="186"/>
    <x v="84"/>
    <x v="16"/>
    <x v="0"/>
    <x v="186"/>
    <x v="0"/>
    <x v="83"/>
    <x v="8"/>
    <x v="174"/>
    <x v="7"/>
    <x v="187"/>
    <x v="187"/>
    <x v="187"/>
    <x v="83"/>
    <x v="23"/>
    <x v="9"/>
    <x v="30"/>
    <x v="1"/>
    <x v="1"/>
    <x v="4"/>
    <x v="3"/>
    <x v="0"/>
    <x v="23"/>
    <x v="0"/>
    <x v="0"/>
    <x v="77"/>
    <x v="187"/>
    <x v="16"/>
    <x v="187"/>
    <x v="187"/>
  </r>
  <r>
    <x v="187"/>
    <x v="172"/>
    <x v="104"/>
    <x v="1"/>
    <x v="4"/>
    <x v="10"/>
    <x v="3"/>
    <x v="0"/>
    <x v="5"/>
    <x v="5"/>
    <x v="188"/>
    <x v="188"/>
    <x v="187"/>
    <x v="83"/>
    <x v="4"/>
    <x v="0"/>
    <x v="187"/>
    <x v="0"/>
    <x v="82"/>
    <x v="9"/>
    <x v="103"/>
    <x v="8"/>
    <x v="188"/>
    <x v="188"/>
    <x v="188"/>
    <x v="82"/>
    <x v="6"/>
    <x v="4"/>
    <x v="10"/>
    <x v="1"/>
    <x v="0"/>
    <x v="4"/>
    <x v="3"/>
    <x v="0"/>
    <x v="6"/>
    <x v="0"/>
    <x v="0"/>
    <x v="76"/>
    <x v="188"/>
    <x v="4"/>
    <x v="188"/>
    <x v="188"/>
  </r>
  <r>
    <x v="188"/>
    <x v="161"/>
    <x v="175"/>
    <x v="2"/>
    <x v="9"/>
    <x v="14"/>
    <x v="3"/>
    <x v="1"/>
    <x v="9"/>
    <x v="4"/>
    <x v="189"/>
    <x v="189"/>
    <x v="188"/>
    <x v="65"/>
    <x v="14"/>
    <x v="0"/>
    <x v="188"/>
    <x v="0"/>
    <x v="64"/>
    <x v="14"/>
    <x v="175"/>
    <x v="12"/>
    <x v="189"/>
    <x v="189"/>
    <x v="189"/>
    <x v="64"/>
    <x v="31"/>
    <x v="0"/>
    <x v="14"/>
    <x v="2"/>
    <x v="0"/>
    <x v="9"/>
    <x v="8"/>
    <x v="0"/>
    <x v="31"/>
    <x v="0"/>
    <x v="1"/>
    <x v="59"/>
    <x v="189"/>
    <x v="14"/>
    <x v="189"/>
    <x v="189"/>
  </r>
  <r>
    <x v="189"/>
    <x v="173"/>
    <x v="176"/>
    <x v="3"/>
    <x v="8"/>
    <x v="12"/>
    <x v="2"/>
    <x v="4"/>
    <x v="12"/>
    <x v="5"/>
    <x v="190"/>
    <x v="190"/>
    <x v="189"/>
    <x v="11"/>
    <x v="10"/>
    <x v="0"/>
    <x v="189"/>
    <x v="0"/>
    <x v="11"/>
    <x v="18"/>
    <x v="176"/>
    <x v="16"/>
    <x v="190"/>
    <x v="190"/>
    <x v="190"/>
    <x v="11"/>
    <x v="24"/>
    <x v="9"/>
    <x v="12"/>
    <x v="1"/>
    <x v="1"/>
    <x v="8"/>
    <x v="7"/>
    <x v="0"/>
    <x v="24"/>
    <x v="0"/>
    <x v="0"/>
    <x v="11"/>
    <x v="190"/>
    <x v="10"/>
    <x v="190"/>
    <x v="190"/>
  </r>
  <r>
    <x v="190"/>
    <x v="174"/>
    <x v="177"/>
    <x v="1"/>
    <x v="10"/>
    <x v="36"/>
    <x v="5"/>
    <x v="3"/>
    <x v="2"/>
    <x v="4"/>
    <x v="191"/>
    <x v="191"/>
    <x v="190"/>
    <x v="127"/>
    <x v="38"/>
    <x v="0"/>
    <x v="190"/>
    <x v="0"/>
    <x v="126"/>
    <x v="24"/>
    <x v="177"/>
    <x v="21"/>
    <x v="191"/>
    <x v="191"/>
    <x v="191"/>
    <x v="127"/>
    <x v="20"/>
    <x v="8"/>
    <x v="36"/>
    <x v="2"/>
    <x v="0"/>
    <x v="10"/>
    <x v="9"/>
    <x v="0"/>
    <x v="20"/>
    <x v="0"/>
    <x v="1"/>
    <x v="117"/>
    <x v="191"/>
    <x v="38"/>
    <x v="191"/>
    <x v="191"/>
  </r>
  <r>
    <x v="191"/>
    <x v="175"/>
    <x v="178"/>
    <x v="2"/>
    <x v="9"/>
    <x v="14"/>
    <x v="2"/>
    <x v="3"/>
    <x v="1"/>
    <x v="1"/>
    <x v="192"/>
    <x v="192"/>
    <x v="191"/>
    <x v="3"/>
    <x v="7"/>
    <x v="0"/>
    <x v="191"/>
    <x v="0"/>
    <x v="3"/>
    <x v="11"/>
    <x v="178"/>
    <x v="10"/>
    <x v="192"/>
    <x v="192"/>
    <x v="192"/>
    <x v="3"/>
    <x v="32"/>
    <x v="10"/>
    <x v="14"/>
    <x v="1"/>
    <x v="1"/>
    <x v="9"/>
    <x v="8"/>
    <x v="0"/>
    <x v="32"/>
    <x v="0"/>
    <x v="0"/>
    <x v="3"/>
    <x v="192"/>
    <x v="7"/>
    <x v="192"/>
    <x v="192"/>
  </r>
  <r>
    <x v="192"/>
    <x v="176"/>
    <x v="179"/>
    <x v="1"/>
    <x v="10"/>
    <x v="24"/>
    <x v="4"/>
    <x v="1"/>
    <x v="1"/>
    <x v="2"/>
    <x v="193"/>
    <x v="193"/>
    <x v="192"/>
    <x v="11"/>
    <x v="2"/>
    <x v="0"/>
    <x v="192"/>
    <x v="0"/>
    <x v="11"/>
    <x v="24"/>
    <x v="179"/>
    <x v="21"/>
    <x v="193"/>
    <x v="193"/>
    <x v="193"/>
    <x v="11"/>
    <x v="14"/>
    <x v="7"/>
    <x v="24"/>
    <x v="0"/>
    <x v="1"/>
    <x v="10"/>
    <x v="9"/>
    <x v="0"/>
    <x v="14"/>
    <x v="0"/>
    <x v="0"/>
    <x v="11"/>
    <x v="193"/>
    <x v="2"/>
    <x v="193"/>
    <x v="193"/>
  </r>
  <r>
    <x v="193"/>
    <x v="177"/>
    <x v="180"/>
    <x v="1"/>
    <x v="4"/>
    <x v="7"/>
    <x v="2"/>
    <x v="1"/>
    <x v="10"/>
    <x v="5"/>
    <x v="194"/>
    <x v="194"/>
    <x v="193"/>
    <x v="128"/>
    <x v="14"/>
    <x v="0"/>
    <x v="193"/>
    <x v="0"/>
    <x v="127"/>
    <x v="29"/>
    <x v="180"/>
    <x v="26"/>
    <x v="194"/>
    <x v="194"/>
    <x v="194"/>
    <x v="128"/>
    <x v="29"/>
    <x v="8"/>
    <x v="7"/>
    <x v="1"/>
    <x v="0"/>
    <x v="4"/>
    <x v="3"/>
    <x v="0"/>
    <x v="29"/>
    <x v="0"/>
    <x v="0"/>
    <x v="118"/>
    <x v="194"/>
    <x v="14"/>
    <x v="194"/>
    <x v="194"/>
  </r>
  <r>
    <x v="194"/>
    <x v="1"/>
    <x v="39"/>
    <x v="2"/>
    <x v="6"/>
    <x v="9"/>
    <x v="2"/>
    <x v="4"/>
    <x v="4"/>
    <x v="3"/>
    <x v="195"/>
    <x v="195"/>
    <x v="194"/>
    <x v="56"/>
    <x v="17"/>
    <x v="0"/>
    <x v="194"/>
    <x v="0"/>
    <x v="56"/>
    <x v="24"/>
    <x v="40"/>
    <x v="21"/>
    <x v="195"/>
    <x v="195"/>
    <x v="195"/>
    <x v="56"/>
    <x v="1"/>
    <x v="1"/>
    <x v="9"/>
    <x v="2"/>
    <x v="0"/>
    <x v="6"/>
    <x v="5"/>
    <x v="1"/>
    <x v="1"/>
    <x v="0"/>
    <x v="0"/>
    <x v="52"/>
    <x v="195"/>
    <x v="17"/>
    <x v="195"/>
    <x v="195"/>
  </r>
  <r>
    <x v="195"/>
    <x v="178"/>
    <x v="181"/>
    <x v="0"/>
    <x v="0"/>
    <x v="0"/>
    <x v="4"/>
    <x v="1"/>
    <x v="4"/>
    <x v="3"/>
    <x v="196"/>
    <x v="196"/>
    <x v="195"/>
    <x v="129"/>
    <x v="16"/>
    <x v="0"/>
    <x v="195"/>
    <x v="0"/>
    <x v="128"/>
    <x v="31"/>
    <x v="181"/>
    <x v="28"/>
    <x v="196"/>
    <x v="196"/>
    <x v="196"/>
    <x v="129"/>
    <x v="31"/>
    <x v="0"/>
    <x v="0"/>
    <x v="2"/>
    <x v="0"/>
    <x v="0"/>
    <x v="0"/>
    <x v="0"/>
    <x v="31"/>
    <x v="0"/>
    <x v="0"/>
    <x v="119"/>
    <x v="196"/>
    <x v="16"/>
    <x v="196"/>
    <x v="196"/>
  </r>
  <r>
    <x v="196"/>
    <x v="179"/>
    <x v="182"/>
    <x v="3"/>
    <x v="5"/>
    <x v="22"/>
    <x v="3"/>
    <x v="2"/>
    <x v="3"/>
    <x v="2"/>
    <x v="197"/>
    <x v="197"/>
    <x v="196"/>
    <x v="62"/>
    <x v="4"/>
    <x v="0"/>
    <x v="196"/>
    <x v="0"/>
    <x v="61"/>
    <x v="24"/>
    <x v="182"/>
    <x v="21"/>
    <x v="197"/>
    <x v="197"/>
    <x v="197"/>
    <x v="61"/>
    <x v="4"/>
    <x v="2"/>
    <x v="22"/>
    <x v="0"/>
    <x v="1"/>
    <x v="5"/>
    <x v="4"/>
    <x v="0"/>
    <x v="4"/>
    <x v="0"/>
    <x v="0"/>
    <x v="56"/>
    <x v="197"/>
    <x v="4"/>
    <x v="197"/>
    <x v="197"/>
  </r>
  <r>
    <x v="197"/>
    <x v="26"/>
    <x v="183"/>
    <x v="3"/>
    <x v="5"/>
    <x v="37"/>
    <x v="5"/>
    <x v="4"/>
    <x v="1"/>
    <x v="1"/>
    <x v="198"/>
    <x v="198"/>
    <x v="197"/>
    <x v="130"/>
    <x v="30"/>
    <x v="0"/>
    <x v="197"/>
    <x v="0"/>
    <x v="129"/>
    <x v="11"/>
    <x v="183"/>
    <x v="10"/>
    <x v="198"/>
    <x v="198"/>
    <x v="198"/>
    <x v="130"/>
    <x v="11"/>
    <x v="7"/>
    <x v="37"/>
    <x v="1"/>
    <x v="1"/>
    <x v="5"/>
    <x v="4"/>
    <x v="0"/>
    <x v="11"/>
    <x v="0"/>
    <x v="0"/>
    <x v="120"/>
    <x v="198"/>
    <x v="30"/>
    <x v="198"/>
    <x v="198"/>
  </r>
  <r>
    <x v="198"/>
    <x v="180"/>
    <x v="184"/>
    <x v="1"/>
    <x v="10"/>
    <x v="15"/>
    <x v="0"/>
    <x v="4"/>
    <x v="9"/>
    <x v="3"/>
    <x v="199"/>
    <x v="199"/>
    <x v="198"/>
    <x v="91"/>
    <x v="6"/>
    <x v="0"/>
    <x v="198"/>
    <x v="0"/>
    <x v="90"/>
    <x v="33"/>
    <x v="184"/>
    <x v="30"/>
    <x v="199"/>
    <x v="199"/>
    <x v="199"/>
    <x v="90"/>
    <x v="4"/>
    <x v="2"/>
    <x v="15"/>
    <x v="2"/>
    <x v="1"/>
    <x v="10"/>
    <x v="9"/>
    <x v="0"/>
    <x v="4"/>
    <x v="1"/>
    <x v="0"/>
    <x v="84"/>
    <x v="199"/>
    <x v="6"/>
    <x v="199"/>
    <x v="199"/>
  </r>
  <r>
    <x v="199"/>
    <x v="181"/>
    <x v="185"/>
    <x v="1"/>
    <x v="10"/>
    <x v="15"/>
    <x v="1"/>
    <x v="3"/>
    <x v="7"/>
    <x v="1"/>
    <x v="200"/>
    <x v="200"/>
    <x v="199"/>
    <x v="131"/>
    <x v="10"/>
    <x v="0"/>
    <x v="199"/>
    <x v="0"/>
    <x v="130"/>
    <x v="15"/>
    <x v="185"/>
    <x v="13"/>
    <x v="200"/>
    <x v="200"/>
    <x v="200"/>
    <x v="131"/>
    <x v="8"/>
    <x v="0"/>
    <x v="15"/>
    <x v="1"/>
    <x v="0"/>
    <x v="10"/>
    <x v="9"/>
    <x v="0"/>
    <x v="8"/>
    <x v="0"/>
    <x v="1"/>
    <x v="10"/>
    <x v="200"/>
    <x v="10"/>
    <x v="200"/>
    <x v="200"/>
  </r>
  <r>
    <x v="200"/>
    <x v="182"/>
    <x v="65"/>
    <x v="1"/>
    <x v="10"/>
    <x v="39"/>
    <x v="4"/>
    <x v="1"/>
    <x v="10"/>
    <x v="3"/>
    <x v="201"/>
    <x v="201"/>
    <x v="200"/>
    <x v="4"/>
    <x v="29"/>
    <x v="0"/>
    <x v="200"/>
    <x v="0"/>
    <x v="4"/>
    <x v="23"/>
    <x v="65"/>
    <x v="20"/>
    <x v="201"/>
    <x v="201"/>
    <x v="201"/>
    <x v="4"/>
    <x v="24"/>
    <x v="9"/>
    <x v="40"/>
    <x v="2"/>
    <x v="1"/>
    <x v="10"/>
    <x v="9"/>
    <x v="0"/>
    <x v="24"/>
    <x v="0"/>
    <x v="0"/>
    <x v="4"/>
    <x v="201"/>
    <x v="29"/>
    <x v="201"/>
    <x v="201"/>
  </r>
  <r>
    <x v="201"/>
    <x v="183"/>
    <x v="186"/>
    <x v="0"/>
    <x v="0"/>
    <x v="0"/>
    <x v="0"/>
    <x v="0"/>
    <x v="11"/>
    <x v="2"/>
    <x v="202"/>
    <x v="202"/>
    <x v="201"/>
    <x v="27"/>
    <x v="39"/>
    <x v="0"/>
    <x v="201"/>
    <x v="0"/>
    <x v="27"/>
    <x v="18"/>
    <x v="186"/>
    <x v="16"/>
    <x v="202"/>
    <x v="202"/>
    <x v="202"/>
    <x v="27"/>
    <x v="4"/>
    <x v="2"/>
    <x v="0"/>
    <x v="0"/>
    <x v="1"/>
    <x v="0"/>
    <x v="0"/>
    <x v="0"/>
    <x v="4"/>
    <x v="0"/>
    <x v="1"/>
    <x v="27"/>
    <x v="202"/>
    <x v="39"/>
    <x v="202"/>
    <x v="202"/>
  </r>
  <r>
    <x v="202"/>
    <x v="184"/>
    <x v="187"/>
    <x v="3"/>
    <x v="8"/>
    <x v="12"/>
    <x v="0"/>
    <x v="2"/>
    <x v="13"/>
    <x v="5"/>
    <x v="203"/>
    <x v="203"/>
    <x v="202"/>
    <x v="132"/>
    <x v="2"/>
    <x v="0"/>
    <x v="202"/>
    <x v="0"/>
    <x v="131"/>
    <x v="31"/>
    <x v="187"/>
    <x v="28"/>
    <x v="203"/>
    <x v="203"/>
    <x v="203"/>
    <x v="132"/>
    <x v="25"/>
    <x v="3"/>
    <x v="12"/>
    <x v="1"/>
    <x v="2"/>
    <x v="8"/>
    <x v="7"/>
    <x v="0"/>
    <x v="25"/>
    <x v="0"/>
    <x v="0"/>
    <x v="121"/>
    <x v="203"/>
    <x v="2"/>
    <x v="203"/>
    <x v="203"/>
  </r>
  <r>
    <x v="203"/>
    <x v="42"/>
    <x v="188"/>
    <x v="3"/>
    <x v="5"/>
    <x v="8"/>
    <x v="1"/>
    <x v="1"/>
    <x v="5"/>
    <x v="5"/>
    <x v="204"/>
    <x v="204"/>
    <x v="203"/>
    <x v="133"/>
    <x v="21"/>
    <x v="0"/>
    <x v="203"/>
    <x v="0"/>
    <x v="132"/>
    <x v="29"/>
    <x v="188"/>
    <x v="26"/>
    <x v="204"/>
    <x v="204"/>
    <x v="204"/>
    <x v="133"/>
    <x v="11"/>
    <x v="7"/>
    <x v="8"/>
    <x v="1"/>
    <x v="1"/>
    <x v="5"/>
    <x v="4"/>
    <x v="0"/>
    <x v="11"/>
    <x v="0"/>
    <x v="0"/>
    <x v="122"/>
    <x v="204"/>
    <x v="21"/>
    <x v="204"/>
    <x v="204"/>
  </r>
  <r>
    <x v="204"/>
    <x v="185"/>
    <x v="46"/>
    <x v="3"/>
    <x v="8"/>
    <x v="12"/>
    <x v="3"/>
    <x v="0"/>
    <x v="4"/>
    <x v="0"/>
    <x v="205"/>
    <x v="205"/>
    <x v="204"/>
    <x v="15"/>
    <x v="18"/>
    <x v="0"/>
    <x v="204"/>
    <x v="0"/>
    <x v="15"/>
    <x v="19"/>
    <x v="46"/>
    <x v="17"/>
    <x v="205"/>
    <x v="205"/>
    <x v="205"/>
    <x v="15"/>
    <x v="23"/>
    <x v="9"/>
    <x v="12"/>
    <x v="0"/>
    <x v="1"/>
    <x v="8"/>
    <x v="7"/>
    <x v="0"/>
    <x v="23"/>
    <x v="0"/>
    <x v="0"/>
    <x v="15"/>
    <x v="205"/>
    <x v="18"/>
    <x v="205"/>
    <x v="205"/>
  </r>
  <r>
    <x v="205"/>
    <x v="50"/>
    <x v="189"/>
    <x v="0"/>
    <x v="0"/>
    <x v="2"/>
    <x v="3"/>
    <x v="0"/>
    <x v="1"/>
    <x v="6"/>
    <x v="206"/>
    <x v="206"/>
    <x v="205"/>
    <x v="134"/>
    <x v="20"/>
    <x v="0"/>
    <x v="205"/>
    <x v="0"/>
    <x v="133"/>
    <x v="10"/>
    <x v="189"/>
    <x v="9"/>
    <x v="206"/>
    <x v="206"/>
    <x v="206"/>
    <x v="134"/>
    <x v="9"/>
    <x v="3"/>
    <x v="2"/>
    <x v="0"/>
    <x v="2"/>
    <x v="0"/>
    <x v="0"/>
    <x v="0"/>
    <x v="9"/>
    <x v="0"/>
    <x v="0"/>
    <x v="123"/>
    <x v="206"/>
    <x v="20"/>
    <x v="206"/>
    <x v="206"/>
  </r>
  <r>
    <x v="206"/>
    <x v="186"/>
    <x v="190"/>
    <x v="0"/>
    <x v="0"/>
    <x v="0"/>
    <x v="5"/>
    <x v="0"/>
    <x v="14"/>
    <x v="1"/>
    <x v="207"/>
    <x v="207"/>
    <x v="206"/>
    <x v="90"/>
    <x v="21"/>
    <x v="0"/>
    <x v="206"/>
    <x v="0"/>
    <x v="89"/>
    <x v="32"/>
    <x v="190"/>
    <x v="29"/>
    <x v="207"/>
    <x v="207"/>
    <x v="207"/>
    <x v="89"/>
    <x v="29"/>
    <x v="8"/>
    <x v="0"/>
    <x v="1"/>
    <x v="0"/>
    <x v="0"/>
    <x v="0"/>
    <x v="0"/>
    <x v="29"/>
    <x v="0"/>
    <x v="1"/>
    <x v="83"/>
    <x v="207"/>
    <x v="21"/>
    <x v="207"/>
    <x v="207"/>
  </r>
  <r>
    <x v="207"/>
    <x v="187"/>
    <x v="191"/>
    <x v="0"/>
    <x v="1"/>
    <x v="3"/>
    <x v="4"/>
    <x v="4"/>
    <x v="11"/>
    <x v="6"/>
    <x v="208"/>
    <x v="208"/>
    <x v="207"/>
    <x v="28"/>
    <x v="10"/>
    <x v="0"/>
    <x v="207"/>
    <x v="0"/>
    <x v="28"/>
    <x v="15"/>
    <x v="191"/>
    <x v="13"/>
    <x v="208"/>
    <x v="208"/>
    <x v="208"/>
    <x v="28"/>
    <x v="12"/>
    <x v="6"/>
    <x v="3"/>
    <x v="0"/>
    <x v="2"/>
    <x v="1"/>
    <x v="1"/>
    <x v="0"/>
    <x v="12"/>
    <x v="0"/>
    <x v="0"/>
    <x v="28"/>
    <x v="208"/>
    <x v="10"/>
    <x v="208"/>
    <x v="208"/>
  </r>
  <r>
    <x v="208"/>
    <x v="188"/>
    <x v="192"/>
    <x v="0"/>
    <x v="11"/>
    <x v="25"/>
    <x v="0"/>
    <x v="2"/>
    <x v="7"/>
    <x v="0"/>
    <x v="209"/>
    <x v="209"/>
    <x v="208"/>
    <x v="135"/>
    <x v="0"/>
    <x v="0"/>
    <x v="208"/>
    <x v="0"/>
    <x v="134"/>
    <x v="31"/>
    <x v="192"/>
    <x v="28"/>
    <x v="209"/>
    <x v="209"/>
    <x v="209"/>
    <x v="135"/>
    <x v="1"/>
    <x v="1"/>
    <x v="25"/>
    <x v="0"/>
    <x v="0"/>
    <x v="11"/>
    <x v="10"/>
    <x v="0"/>
    <x v="1"/>
    <x v="0"/>
    <x v="0"/>
    <x v="124"/>
    <x v="209"/>
    <x v="0"/>
    <x v="209"/>
    <x v="209"/>
  </r>
  <r>
    <x v="209"/>
    <x v="189"/>
    <x v="193"/>
    <x v="1"/>
    <x v="2"/>
    <x v="19"/>
    <x v="5"/>
    <x v="1"/>
    <x v="9"/>
    <x v="5"/>
    <x v="210"/>
    <x v="210"/>
    <x v="209"/>
    <x v="136"/>
    <x v="11"/>
    <x v="0"/>
    <x v="209"/>
    <x v="0"/>
    <x v="135"/>
    <x v="31"/>
    <x v="193"/>
    <x v="28"/>
    <x v="210"/>
    <x v="210"/>
    <x v="210"/>
    <x v="136"/>
    <x v="12"/>
    <x v="6"/>
    <x v="19"/>
    <x v="1"/>
    <x v="2"/>
    <x v="2"/>
    <x v="2"/>
    <x v="0"/>
    <x v="12"/>
    <x v="0"/>
    <x v="0"/>
    <x v="125"/>
    <x v="210"/>
    <x v="11"/>
    <x v="210"/>
    <x v="210"/>
  </r>
  <r>
    <x v="210"/>
    <x v="190"/>
    <x v="180"/>
    <x v="2"/>
    <x v="9"/>
    <x v="14"/>
    <x v="5"/>
    <x v="4"/>
    <x v="14"/>
    <x v="1"/>
    <x v="211"/>
    <x v="211"/>
    <x v="210"/>
    <x v="137"/>
    <x v="7"/>
    <x v="0"/>
    <x v="210"/>
    <x v="0"/>
    <x v="136"/>
    <x v="24"/>
    <x v="180"/>
    <x v="21"/>
    <x v="211"/>
    <x v="211"/>
    <x v="211"/>
    <x v="137"/>
    <x v="29"/>
    <x v="8"/>
    <x v="14"/>
    <x v="1"/>
    <x v="0"/>
    <x v="9"/>
    <x v="8"/>
    <x v="0"/>
    <x v="29"/>
    <x v="0"/>
    <x v="0"/>
    <x v="126"/>
    <x v="211"/>
    <x v="7"/>
    <x v="211"/>
    <x v="211"/>
  </r>
  <r>
    <x v="211"/>
    <x v="191"/>
    <x v="194"/>
    <x v="0"/>
    <x v="0"/>
    <x v="0"/>
    <x v="1"/>
    <x v="0"/>
    <x v="4"/>
    <x v="3"/>
    <x v="212"/>
    <x v="212"/>
    <x v="211"/>
    <x v="4"/>
    <x v="0"/>
    <x v="0"/>
    <x v="211"/>
    <x v="0"/>
    <x v="4"/>
    <x v="13"/>
    <x v="194"/>
    <x v="11"/>
    <x v="212"/>
    <x v="212"/>
    <x v="212"/>
    <x v="4"/>
    <x v="9"/>
    <x v="3"/>
    <x v="0"/>
    <x v="2"/>
    <x v="2"/>
    <x v="0"/>
    <x v="0"/>
    <x v="0"/>
    <x v="9"/>
    <x v="0"/>
    <x v="0"/>
    <x v="4"/>
    <x v="212"/>
    <x v="0"/>
    <x v="212"/>
    <x v="212"/>
  </r>
  <r>
    <x v="212"/>
    <x v="192"/>
    <x v="195"/>
    <x v="1"/>
    <x v="4"/>
    <x v="10"/>
    <x v="1"/>
    <x v="2"/>
    <x v="14"/>
    <x v="6"/>
    <x v="213"/>
    <x v="213"/>
    <x v="212"/>
    <x v="86"/>
    <x v="2"/>
    <x v="0"/>
    <x v="212"/>
    <x v="0"/>
    <x v="85"/>
    <x v="5"/>
    <x v="195"/>
    <x v="5"/>
    <x v="213"/>
    <x v="213"/>
    <x v="213"/>
    <x v="85"/>
    <x v="30"/>
    <x v="10"/>
    <x v="10"/>
    <x v="0"/>
    <x v="1"/>
    <x v="4"/>
    <x v="3"/>
    <x v="0"/>
    <x v="30"/>
    <x v="0"/>
    <x v="0"/>
    <x v="79"/>
    <x v="213"/>
    <x v="2"/>
    <x v="213"/>
    <x v="213"/>
  </r>
  <r>
    <x v="213"/>
    <x v="193"/>
    <x v="196"/>
    <x v="2"/>
    <x v="6"/>
    <x v="32"/>
    <x v="3"/>
    <x v="4"/>
    <x v="2"/>
    <x v="2"/>
    <x v="214"/>
    <x v="214"/>
    <x v="213"/>
    <x v="138"/>
    <x v="40"/>
    <x v="0"/>
    <x v="213"/>
    <x v="0"/>
    <x v="137"/>
    <x v="19"/>
    <x v="196"/>
    <x v="17"/>
    <x v="214"/>
    <x v="214"/>
    <x v="214"/>
    <x v="138"/>
    <x v="31"/>
    <x v="0"/>
    <x v="32"/>
    <x v="0"/>
    <x v="0"/>
    <x v="6"/>
    <x v="5"/>
    <x v="1"/>
    <x v="31"/>
    <x v="0"/>
    <x v="1"/>
    <x v="127"/>
    <x v="214"/>
    <x v="40"/>
    <x v="214"/>
    <x v="214"/>
  </r>
  <r>
    <x v="214"/>
    <x v="194"/>
    <x v="197"/>
    <x v="2"/>
    <x v="3"/>
    <x v="29"/>
    <x v="2"/>
    <x v="2"/>
    <x v="14"/>
    <x v="5"/>
    <x v="215"/>
    <x v="215"/>
    <x v="214"/>
    <x v="139"/>
    <x v="4"/>
    <x v="0"/>
    <x v="214"/>
    <x v="0"/>
    <x v="138"/>
    <x v="2"/>
    <x v="197"/>
    <x v="2"/>
    <x v="215"/>
    <x v="215"/>
    <x v="215"/>
    <x v="139"/>
    <x v="26"/>
    <x v="10"/>
    <x v="29"/>
    <x v="1"/>
    <x v="0"/>
    <x v="3"/>
    <x v="3"/>
    <x v="0"/>
    <x v="26"/>
    <x v="0"/>
    <x v="0"/>
    <x v="128"/>
    <x v="215"/>
    <x v="4"/>
    <x v="215"/>
    <x v="215"/>
  </r>
  <r>
    <x v="215"/>
    <x v="118"/>
    <x v="198"/>
    <x v="3"/>
    <x v="5"/>
    <x v="22"/>
    <x v="0"/>
    <x v="4"/>
    <x v="8"/>
    <x v="5"/>
    <x v="216"/>
    <x v="216"/>
    <x v="215"/>
    <x v="123"/>
    <x v="15"/>
    <x v="0"/>
    <x v="215"/>
    <x v="0"/>
    <x v="122"/>
    <x v="12"/>
    <x v="198"/>
    <x v="1"/>
    <x v="216"/>
    <x v="216"/>
    <x v="216"/>
    <x v="123"/>
    <x v="4"/>
    <x v="2"/>
    <x v="22"/>
    <x v="1"/>
    <x v="1"/>
    <x v="5"/>
    <x v="4"/>
    <x v="0"/>
    <x v="4"/>
    <x v="1"/>
    <x v="0"/>
    <x v="113"/>
    <x v="216"/>
    <x v="15"/>
    <x v="216"/>
    <x v="216"/>
  </r>
  <r>
    <x v="216"/>
    <x v="195"/>
    <x v="199"/>
    <x v="2"/>
    <x v="9"/>
    <x v="23"/>
    <x v="2"/>
    <x v="1"/>
    <x v="8"/>
    <x v="1"/>
    <x v="217"/>
    <x v="217"/>
    <x v="216"/>
    <x v="140"/>
    <x v="20"/>
    <x v="0"/>
    <x v="216"/>
    <x v="0"/>
    <x v="139"/>
    <x v="11"/>
    <x v="199"/>
    <x v="10"/>
    <x v="217"/>
    <x v="217"/>
    <x v="217"/>
    <x v="140"/>
    <x v="1"/>
    <x v="1"/>
    <x v="23"/>
    <x v="1"/>
    <x v="0"/>
    <x v="9"/>
    <x v="8"/>
    <x v="0"/>
    <x v="1"/>
    <x v="0"/>
    <x v="0"/>
    <x v="129"/>
    <x v="217"/>
    <x v="20"/>
    <x v="217"/>
    <x v="217"/>
  </r>
  <r>
    <x v="217"/>
    <x v="196"/>
    <x v="200"/>
    <x v="1"/>
    <x v="4"/>
    <x v="30"/>
    <x v="3"/>
    <x v="0"/>
    <x v="10"/>
    <x v="1"/>
    <x v="218"/>
    <x v="218"/>
    <x v="217"/>
    <x v="141"/>
    <x v="39"/>
    <x v="0"/>
    <x v="217"/>
    <x v="0"/>
    <x v="140"/>
    <x v="2"/>
    <x v="200"/>
    <x v="2"/>
    <x v="218"/>
    <x v="218"/>
    <x v="218"/>
    <x v="141"/>
    <x v="29"/>
    <x v="8"/>
    <x v="30"/>
    <x v="1"/>
    <x v="0"/>
    <x v="4"/>
    <x v="3"/>
    <x v="0"/>
    <x v="29"/>
    <x v="0"/>
    <x v="1"/>
    <x v="10"/>
    <x v="218"/>
    <x v="39"/>
    <x v="218"/>
    <x v="218"/>
  </r>
  <r>
    <x v="218"/>
    <x v="197"/>
    <x v="201"/>
    <x v="0"/>
    <x v="0"/>
    <x v="2"/>
    <x v="5"/>
    <x v="4"/>
    <x v="4"/>
    <x v="0"/>
    <x v="219"/>
    <x v="219"/>
    <x v="218"/>
    <x v="132"/>
    <x v="21"/>
    <x v="0"/>
    <x v="218"/>
    <x v="0"/>
    <x v="131"/>
    <x v="19"/>
    <x v="201"/>
    <x v="17"/>
    <x v="219"/>
    <x v="219"/>
    <x v="219"/>
    <x v="132"/>
    <x v="28"/>
    <x v="6"/>
    <x v="2"/>
    <x v="0"/>
    <x v="2"/>
    <x v="0"/>
    <x v="0"/>
    <x v="0"/>
    <x v="28"/>
    <x v="0"/>
    <x v="0"/>
    <x v="121"/>
    <x v="219"/>
    <x v="21"/>
    <x v="219"/>
    <x v="219"/>
  </r>
  <r>
    <x v="219"/>
    <x v="198"/>
    <x v="202"/>
    <x v="1"/>
    <x v="10"/>
    <x v="39"/>
    <x v="1"/>
    <x v="2"/>
    <x v="2"/>
    <x v="6"/>
    <x v="220"/>
    <x v="220"/>
    <x v="219"/>
    <x v="52"/>
    <x v="27"/>
    <x v="0"/>
    <x v="219"/>
    <x v="0"/>
    <x v="52"/>
    <x v="22"/>
    <x v="202"/>
    <x v="1"/>
    <x v="220"/>
    <x v="220"/>
    <x v="220"/>
    <x v="52"/>
    <x v="27"/>
    <x v="9"/>
    <x v="40"/>
    <x v="0"/>
    <x v="1"/>
    <x v="10"/>
    <x v="9"/>
    <x v="0"/>
    <x v="27"/>
    <x v="1"/>
    <x v="1"/>
    <x v="48"/>
    <x v="220"/>
    <x v="27"/>
    <x v="220"/>
    <x v="220"/>
  </r>
  <r>
    <x v="220"/>
    <x v="199"/>
    <x v="203"/>
    <x v="0"/>
    <x v="11"/>
    <x v="33"/>
    <x v="2"/>
    <x v="4"/>
    <x v="12"/>
    <x v="0"/>
    <x v="221"/>
    <x v="221"/>
    <x v="220"/>
    <x v="142"/>
    <x v="10"/>
    <x v="0"/>
    <x v="220"/>
    <x v="0"/>
    <x v="141"/>
    <x v="16"/>
    <x v="203"/>
    <x v="14"/>
    <x v="221"/>
    <x v="221"/>
    <x v="221"/>
    <x v="142"/>
    <x v="24"/>
    <x v="9"/>
    <x v="33"/>
    <x v="0"/>
    <x v="1"/>
    <x v="11"/>
    <x v="10"/>
    <x v="0"/>
    <x v="24"/>
    <x v="0"/>
    <x v="0"/>
    <x v="130"/>
    <x v="221"/>
    <x v="10"/>
    <x v="221"/>
    <x v="221"/>
  </r>
  <r>
    <x v="221"/>
    <x v="200"/>
    <x v="204"/>
    <x v="0"/>
    <x v="11"/>
    <x v="25"/>
    <x v="3"/>
    <x v="3"/>
    <x v="4"/>
    <x v="2"/>
    <x v="222"/>
    <x v="222"/>
    <x v="221"/>
    <x v="129"/>
    <x v="22"/>
    <x v="0"/>
    <x v="221"/>
    <x v="0"/>
    <x v="128"/>
    <x v="28"/>
    <x v="204"/>
    <x v="25"/>
    <x v="222"/>
    <x v="222"/>
    <x v="222"/>
    <x v="129"/>
    <x v="12"/>
    <x v="6"/>
    <x v="25"/>
    <x v="0"/>
    <x v="2"/>
    <x v="11"/>
    <x v="10"/>
    <x v="0"/>
    <x v="12"/>
    <x v="1"/>
    <x v="0"/>
    <x v="119"/>
    <x v="222"/>
    <x v="22"/>
    <x v="222"/>
    <x v="222"/>
  </r>
  <r>
    <x v="222"/>
    <x v="42"/>
    <x v="205"/>
    <x v="3"/>
    <x v="8"/>
    <x v="12"/>
    <x v="4"/>
    <x v="0"/>
    <x v="12"/>
    <x v="4"/>
    <x v="223"/>
    <x v="223"/>
    <x v="222"/>
    <x v="129"/>
    <x v="11"/>
    <x v="0"/>
    <x v="222"/>
    <x v="0"/>
    <x v="128"/>
    <x v="5"/>
    <x v="205"/>
    <x v="5"/>
    <x v="223"/>
    <x v="223"/>
    <x v="223"/>
    <x v="129"/>
    <x v="11"/>
    <x v="7"/>
    <x v="12"/>
    <x v="2"/>
    <x v="1"/>
    <x v="8"/>
    <x v="7"/>
    <x v="0"/>
    <x v="11"/>
    <x v="0"/>
    <x v="0"/>
    <x v="119"/>
    <x v="223"/>
    <x v="11"/>
    <x v="223"/>
    <x v="223"/>
  </r>
  <r>
    <x v="223"/>
    <x v="201"/>
    <x v="206"/>
    <x v="1"/>
    <x v="4"/>
    <x v="30"/>
    <x v="5"/>
    <x v="3"/>
    <x v="1"/>
    <x v="3"/>
    <x v="224"/>
    <x v="224"/>
    <x v="223"/>
    <x v="5"/>
    <x v="10"/>
    <x v="0"/>
    <x v="223"/>
    <x v="0"/>
    <x v="5"/>
    <x v="28"/>
    <x v="206"/>
    <x v="25"/>
    <x v="224"/>
    <x v="224"/>
    <x v="224"/>
    <x v="5"/>
    <x v="26"/>
    <x v="10"/>
    <x v="30"/>
    <x v="2"/>
    <x v="0"/>
    <x v="4"/>
    <x v="3"/>
    <x v="0"/>
    <x v="26"/>
    <x v="1"/>
    <x v="0"/>
    <x v="5"/>
    <x v="224"/>
    <x v="10"/>
    <x v="224"/>
    <x v="224"/>
  </r>
  <r>
    <x v="224"/>
    <x v="202"/>
    <x v="207"/>
    <x v="2"/>
    <x v="6"/>
    <x v="32"/>
    <x v="1"/>
    <x v="2"/>
    <x v="7"/>
    <x v="2"/>
    <x v="225"/>
    <x v="225"/>
    <x v="224"/>
    <x v="2"/>
    <x v="20"/>
    <x v="0"/>
    <x v="224"/>
    <x v="0"/>
    <x v="2"/>
    <x v="13"/>
    <x v="207"/>
    <x v="11"/>
    <x v="225"/>
    <x v="225"/>
    <x v="225"/>
    <x v="2"/>
    <x v="23"/>
    <x v="9"/>
    <x v="32"/>
    <x v="0"/>
    <x v="1"/>
    <x v="6"/>
    <x v="5"/>
    <x v="1"/>
    <x v="23"/>
    <x v="0"/>
    <x v="0"/>
    <x v="2"/>
    <x v="225"/>
    <x v="20"/>
    <x v="225"/>
    <x v="225"/>
  </r>
  <r>
    <x v="225"/>
    <x v="203"/>
    <x v="208"/>
    <x v="1"/>
    <x v="10"/>
    <x v="24"/>
    <x v="3"/>
    <x v="3"/>
    <x v="6"/>
    <x v="6"/>
    <x v="226"/>
    <x v="226"/>
    <x v="225"/>
    <x v="143"/>
    <x v="5"/>
    <x v="0"/>
    <x v="225"/>
    <x v="0"/>
    <x v="142"/>
    <x v="2"/>
    <x v="208"/>
    <x v="2"/>
    <x v="226"/>
    <x v="226"/>
    <x v="226"/>
    <x v="143"/>
    <x v="32"/>
    <x v="10"/>
    <x v="24"/>
    <x v="0"/>
    <x v="1"/>
    <x v="10"/>
    <x v="9"/>
    <x v="0"/>
    <x v="32"/>
    <x v="0"/>
    <x v="0"/>
    <x v="131"/>
    <x v="226"/>
    <x v="5"/>
    <x v="226"/>
    <x v="226"/>
  </r>
  <r>
    <x v="226"/>
    <x v="204"/>
    <x v="209"/>
    <x v="1"/>
    <x v="10"/>
    <x v="24"/>
    <x v="0"/>
    <x v="2"/>
    <x v="10"/>
    <x v="1"/>
    <x v="227"/>
    <x v="227"/>
    <x v="226"/>
    <x v="81"/>
    <x v="20"/>
    <x v="0"/>
    <x v="226"/>
    <x v="0"/>
    <x v="80"/>
    <x v="9"/>
    <x v="209"/>
    <x v="8"/>
    <x v="227"/>
    <x v="227"/>
    <x v="227"/>
    <x v="80"/>
    <x v="28"/>
    <x v="6"/>
    <x v="24"/>
    <x v="1"/>
    <x v="2"/>
    <x v="10"/>
    <x v="9"/>
    <x v="0"/>
    <x v="28"/>
    <x v="0"/>
    <x v="0"/>
    <x v="74"/>
    <x v="227"/>
    <x v="20"/>
    <x v="227"/>
    <x v="227"/>
  </r>
  <r>
    <x v="227"/>
    <x v="205"/>
    <x v="210"/>
    <x v="0"/>
    <x v="0"/>
    <x v="2"/>
    <x v="5"/>
    <x v="2"/>
    <x v="13"/>
    <x v="1"/>
    <x v="228"/>
    <x v="228"/>
    <x v="227"/>
    <x v="50"/>
    <x v="10"/>
    <x v="0"/>
    <x v="227"/>
    <x v="0"/>
    <x v="50"/>
    <x v="2"/>
    <x v="210"/>
    <x v="2"/>
    <x v="228"/>
    <x v="228"/>
    <x v="228"/>
    <x v="50"/>
    <x v="21"/>
    <x v="2"/>
    <x v="2"/>
    <x v="1"/>
    <x v="1"/>
    <x v="0"/>
    <x v="0"/>
    <x v="0"/>
    <x v="21"/>
    <x v="0"/>
    <x v="0"/>
    <x v="46"/>
    <x v="228"/>
    <x v="10"/>
    <x v="228"/>
    <x v="228"/>
  </r>
  <r>
    <x v="228"/>
    <x v="206"/>
    <x v="211"/>
    <x v="2"/>
    <x v="9"/>
    <x v="23"/>
    <x v="0"/>
    <x v="3"/>
    <x v="5"/>
    <x v="0"/>
    <x v="229"/>
    <x v="229"/>
    <x v="228"/>
    <x v="134"/>
    <x v="13"/>
    <x v="0"/>
    <x v="228"/>
    <x v="0"/>
    <x v="133"/>
    <x v="5"/>
    <x v="211"/>
    <x v="5"/>
    <x v="229"/>
    <x v="229"/>
    <x v="229"/>
    <x v="134"/>
    <x v="14"/>
    <x v="7"/>
    <x v="23"/>
    <x v="0"/>
    <x v="1"/>
    <x v="9"/>
    <x v="8"/>
    <x v="0"/>
    <x v="14"/>
    <x v="0"/>
    <x v="0"/>
    <x v="123"/>
    <x v="229"/>
    <x v="13"/>
    <x v="229"/>
    <x v="229"/>
  </r>
  <r>
    <x v="229"/>
    <x v="207"/>
    <x v="68"/>
    <x v="1"/>
    <x v="4"/>
    <x v="10"/>
    <x v="5"/>
    <x v="1"/>
    <x v="0"/>
    <x v="3"/>
    <x v="230"/>
    <x v="230"/>
    <x v="229"/>
    <x v="13"/>
    <x v="4"/>
    <x v="0"/>
    <x v="229"/>
    <x v="0"/>
    <x v="13"/>
    <x v="8"/>
    <x v="68"/>
    <x v="7"/>
    <x v="230"/>
    <x v="230"/>
    <x v="230"/>
    <x v="13"/>
    <x v="18"/>
    <x v="5"/>
    <x v="10"/>
    <x v="2"/>
    <x v="2"/>
    <x v="4"/>
    <x v="3"/>
    <x v="0"/>
    <x v="18"/>
    <x v="0"/>
    <x v="0"/>
    <x v="13"/>
    <x v="230"/>
    <x v="4"/>
    <x v="230"/>
    <x v="230"/>
  </r>
  <r>
    <x v="230"/>
    <x v="208"/>
    <x v="212"/>
    <x v="0"/>
    <x v="1"/>
    <x v="3"/>
    <x v="3"/>
    <x v="4"/>
    <x v="10"/>
    <x v="1"/>
    <x v="231"/>
    <x v="231"/>
    <x v="230"/>
    <x v="144"/>
    <x v="10"/>
    <x v="0"/>
    <x v="230"/>
    <x v="0"/>
    <x v="143"/>
    <x v="17"/>
    <x v="212"/>
    <x v="15"/>
    <x v="231"/>
    <x v="231"/>
    <x v="231"/>
    <x v="144"/>
    <x v="29"/>
    <x v="8"/>
    <x v="3"/>
    <x v="1"/>
    <x v="0"/>
    <x v="1"/>
    <x v="1"/>
    <x v="0"/>
    <x v="29"/>
    <x v="1"/>
    <x v="0"/>
    <x v="132"/>
    <x v="231"/>
    <x v="10"/>
    <x v="231"/>
    <x v="231"/>
  </r>
  <r>
    <x v="231"/>
    <x v="209"/>
    <x v="73"/>
    <x v="2"/>
    <x v="6"/>
    <x v="9"/>
    <x v="4"/>
    <x v="3"/>
    <x v="13"/>
    <x v="5"/>
    <x v="232"/>
    <x v="232"/>
    <x v="231"/>
    <x v="36"/>
    <x v="13"/>
    <x v="0"/>
    <x v="231"/>
    <x v="0"/>
    <x v="36"/>
    <x v="9"/>
    <x v="73"/>
    <x v="8"/>
    <x v="232"/>
    <x v="232"/>
    <x v="232"/>
    <x v="36"/>
    <x v="29"/>
    <x v="8"/>
    <x v="9"/>
    <x v="1"/>
    <x v="0"/>
    <x v="6"/>
    <x v="5"/>
    <x v="1"/>
    <x v="29"/>
    <x v="0"/>
    <x v="0"/>
    <x v="35"/>
    <x v="232"/>
    <x v="13"/>
    <x v="232"/>
    <x v="232"/>
  </r>
  <r>
    <x v="232"/>
    <x v="210"/>
    <x v="213"/>
    <x v="0"/>
    <x v="11"/>
    <x v="33"/>
    <x v="5"/>
    <x v="3"/>
    <x v="10"/>
    <x v="0"/>
    <x v="233"/>
    <x v="233"/>
    <x v="232"/>
    <x v="136"/>
    <x v="10"/>
    <x v="0"/>
    <x v="232"/>
    <x v="0"/>
    <x v="135"/>
    <x v="14"/>
    <x v="213"/>
    <x v="12"/>
    <x v="233"/>
    <x v="233"/>
    <x v="233"/>
    <x v="136"/>
    <x v="21"/>
    <x v="2"/>
    <x v="33"/>
    <x v="0"/>
    <x v="1"/>
    <x v="11"/>
    <x v="10"/>
    <x v="0"/>
    <x v="21"/>
    <x v="0"/>
    <x v="0"/>
    <x v="125"/>
    <x v="233"/>
    <x v="10"/>
    <x v="233"/>
    <x v="233"/>
  </r>
  <r>
    <x v="233"/>
    <x v="38"/>
    <x v="38"/>
    <x v="2"/>
    <x v="6"/>
    <x v="32"/>
    <x v="3"/>
    <x v="1"/>
    <x v="15"/>
    <x v="1"/>
    <x v="234"/>
    <x v="234"/>
    <x v="233"/>
    <x v="54"/>
    <x v="20"/>
    <x v="0"/>
    <x v="233"/>
    <x v="0"/>
    <x v="54"/>
    <x v="24"/>
    <x v="39"/>
    <x v="21"/>
    <x v="234"/>
    <x v="234"/>
    <x v="234"/>
    <x v="54"/>
    <x v="8"/>
    <x v="0"/>
    <x v="32"/>
    <x v="1"/>
    <x v="0"/>
    <x v="6"/>
    <x v="5"/>
    <x v="1"/>
    <x v="8"/>
    <x v="0"/>
    <x v="0"/>
    <x v="50"/>
    <x v="234"/>
    <x v="20"/>
    <x v="234"/>
    <x v="234"/>
  </r>
  <r>
    <x v="234"/>
    <x v="211"/>
    <x v="214"/>
    <x v="0"/>
    <x v="0"/>
    <x v="13"/>
    <x v="3"/>
    <x v="0"/>
    <x v="11"/>
    <x v="3"/>
    <x v="235"/>
    <x v="235"/>
    <x v="234"/>
    <x v="37"/>
    <x v="22"/>
    <x v="0"/>
    <x v="234"/>
    <x v="0"/>
    <x v="37"/>
    <x v="7"/>
    <x v="214"/>
    <x v="6"/>
    <x v="235"/>
    <x v="235"/>
    <x v="235"/>
    <x v="37"/>
    <x v="29"/>
    <x v="8"/>
    <x v="13"/>
    <x v="2"/>
    <x v="0"/>
    <x v="0"/>
    <x v="0"/>
    <x v="0"/>
    <x v="29"/>
    <x v="0"/>
    <x v="0"/>
    <x v="36"/>
    <x v="235"/>
    <x v="22"/>
    <x v="235"/>
    <x v="235"/>
  </r>
  <r>
    <x v="235"/>
    <x v="212"/>
    <x v="215"/>
    <x v="1"/>
    <x v="2"/>
    <x v="26"/>
    <x v="5"/>
    <x v="1"/>
    <x v="9"/>
    <x v="0"/>
    <x v="236"/>
    <x v="236"/>
    <x v="235"/>
    <x v="145"/>
    <x v="41"/>
    <x v="0"/>
    <x v="235"/>
    <x v="0"/>
    <x v="144"/>
    <x v="33"/>
    <x v="215"/>
    <x v="30"/>
    <x v="236"/>
    <x v="236"/>
    <x v="236"/>
    <x v="145"/>
    <x v="12"/>
    <x v="6"/>
    <x v="26"/>
    <x v="0"/>
    <x v="2"/>
    <x v="2"/>
    <x v="2"/>
    <x v="0"/>
    <x v="12"/>
    <x v="1"/>
    <x v="0"/>
    <x v="133"/>
    <x v="236"/>
    <x v="41"/>
    <x v="236"/>
    <x v="236"/>
  </r>
  <r>
    <x v="236"/>
    <x v="213"/>
    <x v="216"/>
    <x v="2"/>
    <x v="3"/>
    <x v="18"/>
    <x v="4"/>
    <x v="2"/>
    <x v="14"/>
    <x v="3"/>
    <x v="237"/>
    <x v="237"/>
    <x v="236"/>
    <x v="146"/>
    <x v="10"/>
    <x v="0"/>
    <x v="236"/>
    <x v="0"/>
    <x v="145"/>
    <x v="29"/>
    <x v="137"/>
    <x v="26"/>
    <x v="237"/>
    <x v="237"/>
    <x v="237"/>
    <x v="146"/>
    <x v="30"/>
    <x v="10"/>
    <x v="18"/>
    <x v="2"/>
    <x v="1"/>
    <x v="3"/>
    <x v="3"/>
    <x v="0"/>
    <x v="30"/>
    <x v="0"/>
    <x v="1"/>
    <x v="134"/>
    <x v="237"/>
    <x v="10"/>
    <x v="237"/>
    <x v="237"/>
  </r>
  <r>
    <x v="237"/>
    <x v="214"/>
    <x v="140"/>
    <x v="1"/>
    <x v="10"/>
    <x v="36"/>
    <x v="2"/>
    <x v="1"/>
    <x v="3"/>
    <x v="4"/>
    <x v="238"/>
    <x v="238"/>
    <x v="237"/>
    <x v="48"/>
    <x v="17"/>
    <x v="0"/>
    <x v="237"/>
    <x v="0"/>
    <x v="48"/>
    <x v="2"/>
    <x v="139"/>
    <x v="2"/>
    <x v="238"/>
    <x v="238"/>
    <x v="238"/>
    <x v="147"/>
    <x v="0"/>
    <x v="0"/>
    <x v="36"/>
    <x v="2"/>
    <x v="0"/>
    <x v="10"/>
    <x v="9"/>
    <x v="0"/>
    <x v="0"/>
    <x v="0"/>
    <x v="0"/>
    <x v="44"/>
    <x v="238"/>
    <x v="17"/>
    <x v="238"/>
    <x v="238"/>
  </r>
  <r>
    <x v="238"/>
    <x v="215"/>
    <x v="72"/>
    <x v="2"/>
    <x v="3"/>
    <x v="5"/>
    <x v="1"/>
    <x v="4"/>
    <x v="1"/>
    <x v="1"/>
    <x v="239"/>
    <x v="239"/>
    <x v="238"/>
    <x v="147"/>
    <x v="15"/>
    <x v="0"/>
    <x v="238"/>
    <x v="0"/>
    <x v="146"/>
    <x v="7"/>
    <x v="72"/>
    <x v="6"/>
    <x v="239"/>
    <x v="239"/>
    <x v="239"/>
    <x v="148"/>
    <x v="27"/>
    <x v="9"/>
    <x v="5"/>
    <x v="1"/>
    <x v="1"/>
    <x v="3"/>
    <x v="3"/>
    <x v="0"/>
    <x v="27"/>
    <x v="0"/>
    <x v="0"/>
    <x v="135"/>
    <x v="239"/>
    <x v="15"/>
    <x v="239"/>
    <x v="239"/>
  </r>
  <r>
    <x v="239"/>
    <x v="216"/>
    <x v="217"/>
    <x v="2"/>
    <x v="9"/>
    <x v="38"/>
    <x v="4"/>
    <x v="1"/>
    <x v="8"/>
    <x v="3"/>
    <x v="240"/>
    <x v="240"/>
    <x v="239"/>
    <x v="148"/>
    <x v="15"/>
    <x v="0"/>
    <x v="239"/>
    <x v="0"/>
    <x v="147"/>
    <x v="25"/>
    <x v="216"/>
    <x v="22"/>
    <x v="240"/>
    <x v="240"/>
    <x v="240"/>
    <x v="149"/>
    <x v="7"/>
    <x v="5"/>
    <x v="38"/>
    <x v="2"/>
    <x v="2"/>
    <x v="9"/>
    <x v="8"/>
    <x v="0"/>
    <x v="7"/>
    <x v="0"/>
    <x v="0"/>
    <x v="136"/>
    <x v="240"/>
    <x v="15"/>
    <x v="240"/>
    <x v="240"/>
  </r>
  <r>
    <x v="240"/>
    <x v="217"/>
    <x v="218"/>
    <x v="2"/>
    <x v="6"/>
    <x v="9"/>
    <x v="5"/>
    <x v="4"/>
    <x v="12"/>
    <x v="4"/>
    <x v="241"/>
    <x v="241"/>
    <x v="240"/>
    <x v="28"/>
    <x v="3"/>
    <x v="0"/>
    <x v="240"/>
    <x v="0"/>
    <x v="28"/>
    <x v="33"/>
    <x v="217"/>
    <x v="30"/>
    <x v="241"/>
    <x v="241"/>
    <x v="241"/>
    <x v="28"/>
    <x v="28"/>
    <x v="6"/>
    <x v="9"/>
    <x v="2"/>
    <x v="2"/>
    <x v="6"/>
    <x v="5"/>
    <x v="1"/>
    <x v="28"/>
    <x v="1"/>
    <x v="0"/>
    <x v="28"/>
    <x v="241"/>
    <x v="3"/>
    <x v="241"/>
    <x v="241"/>
  </r>
  <r>
    <x v="241"/>
    <x v="218"/>
    <x v="219"/>
    <x v="3"/>
    <x v="5"/>
    <x v="37"/>
    <x v="4"/>
    <x v="2"/>
    <x v="4"/>
    <x v="1"/>
    <x v="242"/>
    <x v="242"/>
    <x v="241"/>
    <x v="149"/>
    <x v="15"/>
    <x v="0"/>
    <x v="241"/>
    <x v="0"/>
    <x v="148"/>
    <x v="13"/>
    <x v="218"/>
    <x v="11"/>
    <x v="242"/>
    <x v="242"/>
    <x v="242"/>
    <x v="150"/>
    <x v="5"/>
    <x v="1"/>
    <x v="37"/>
    <x v="1"/>
    <x v="2"/>
    <x v="5"/>
    <x v="4"/>
    <x v="0"/>
    <x v="5"/>
    <x v="0"/>
    <x v="1"/>
    <x v="137"/>
    <x v="242"/>
    <x v="15"/>
    <x v="242"/>
    <x v="242"/>
  </r>
  <r>
    <x v="242"/>
    <x v="42"/>
    <x v="188"/>
    <x v="1"/>
    <x v="4"/>
    <x v="30"/>
    <x v="0"/>
    <x v="3"/>
    <x v="11"/>
    <x v="3"/>
    <x v="243"/>
    <x v="243"/>
    <x v="242"/>
    <x v="29"/>
    <x v="13"/>
    <x v="0"/>
    <x v="242"/>
    <x v="0"/>
    <x v="29"/>
    <x v="29"/>
    <x v="188"/>
    <x v="26"/>
    <x v="243"/>
    <x v="243"/>
    <x v="243"/>
    <x v="29"/>
    <x v="11"/>
    <x v="7"/>
    <x v="30"/>
    <x v="2"/>
    <x v="1"/>
    <x v="4"/>
    <x v="3"/>
    <x v="0"/>
    <x v="11"/>
    <x v="0"/>
    <x v="0"/>
    <x v="29"/>
    <x v="243"/>
    <x v="13"/>
    <x v="243"/>
    <x v="243"/>
  </r>
  <r>
    <x v="243"/>
    <x v="219"/>
    <x v="220"/>
    <x v="0"/>
    <x v="1"/>
    <x v="1"/>
    <x v="5"/>
    <x v="2"/>
    <x v="2"/>
    <x v="3"/>
    <x v="244"/>
    <x v="244"/>
    <x v="243"/>
    <x v="150"/>
    <x v="8"/>
    <x v="0"/>
    <x v="243"/>
    <x v="0"/>
    <x v="149"/>
    <x v="9"/>
    <x v="219"/>
    <x v="8"/>
    <x v="244"/>
    <x v="244"/>
    <x v="244"/>
    <x v="151"/>
    <x v="0"/>
    <x v="0"/>
    <x v="1"/>
    <x v="2"/>
    <x v="0"/>
    <x v="1"/>
    <x v="1"/>
    <x v="0"/>
    <x v="0"/>
    <x v="0"/>
    <x v="0"/>
    <x v="138"/>
    <x v="244"/>
    <x v="8"/>
    <x v="244"/>
    <x v="244"/>
  </r>
  <r>
    <x v="244"/>
    <x v="220"/>
    <x v="145"/>
    <x v="1"/>
    <x v="2"/>
    <x v="19"/>
    <x v="2"/>
    <x v="0"/>
    <x v="13"/>
    <x v="4"/>
    <x v="245"/>
    <x v="245"/>
    <x v="244"/>
    <x v="151"/>
    <x v="7"/>
    <x v="0"/>
    <x v="244"/>
    <x v="0"/>
    <x v="150"/>
    <x v="15"/>
    <x v="145"/>
    <x v="13"/>
    <x v="245"/>
    <x v="245"/>
    <x v="245"/>
    <x v="152"/>
    <x v="31"/>
    <x v="0"/>
    <x v="19"/>
    <x v="2"/>
    <x v="0"/>
    <x v="2"/>
    <x v="2"/>
    <x v="0"/>
    <x v="31"/>
    <x v="0"/>
    <x v="1"/>
    <x v="10"/>
    <x v="245"/>
    <x v="7"/>
    <x v="245"/>
    <x v="245"/>
  </r>
  <r>
    <x v="245"/>
    <x v="221"/>
    <x v="221"/>
    <x v="3"/>
    <x v="5"/>
    <x v="8"/>
    <x v="0"/>
    <x v="2"/>
    <x v="0"/>
    <x v="5"/>
    <x v="246"/>
    <x v="246"/>
    <x v="245"/>
    <x v="101"/>
    <x v="6"/>
    <x v="0"/>
    <x v="245"/>
    <x v="0"/>
    <x v="100"/>
    <x v="26"/>
    <x v="220"/>
    <x v="23"/>
    <x v="246"/>
    <x v="246"/>
    <x v="246"/>
    <x v="153"/>
    <x v="18"/>
    <x v="5"/>
    <x v="8"/>
    <x v="1"/>
    <x v="2"/>
    <x v="5"/>
    <x v="4"/>
    <x v="0"/>
    <x v="18"/>
    <x v="0"/>
    <x v="0"/>
    <x v="92"/>
    <x v="246"/>
    <x v="6"/>
    <x v="246"/>
    <x v="246"/>
  </r>
  <r>
    <x v="246"/>
    <x v="222"/>
    <x v="45"/>
    <x v="0"/>
    <x v="0"/>
    <x v="16"/>
    <x v="4"/>
    <x v="2"/>
    <x v="11"/>
    <x v="2"/>
    <x v="247"/>
    <x v="247"/>
    <x v="246"/>
    <x v="45"/>
    <x v="5"/>
    <x v="0"/>
    <x v="246"/>
    <x v="0"/>
    <x v="45"/>
    <x v="20"/>
    <x v="45"/>
    <x v="18"/>
    <x v="247"/>
    <x v="247"/>
    <x v="247"/>
    <x v="45"/>
    <x v="17"/>
    <x v="1"/>
    <x v="16"/>
    <x v="0"/>
    <x v="2"/>
    <x v="0"/>
    <x v="0"/>
    <x v="0"/>
    <x v="17"/>
    <x v="1"/>
    <x v="0"/>
    <x v="42"/>
    <x v="247"/>
    <x v="5"/>
    <x v="247"/>
    <x v="247"/>
  </r>
  <r>
    <x v="247"/>
    <x v="223"/>
    <x v="13"/>
    <x v="2"/>
    <x v="6"/>
    <x v="32"/>
    <x v="2"/>
    <x v="2"/>
    <x v="8"/>
    <x v="5"/>
    <x v="248"/>
    <x v="248"/>
    <x v="247"/>
    <x v="104"/>
    <x v="15"/>
    <x v="0"/>
    <x v="247"/>
    <x v="0"/>
    <x v="103"/>
    <x v="5"/>
    <x v="13"/>
    <x v="5"/>
    <x v="248"/>
    <x v="248"/>
    <x v="248"/>
    <x v="103"/>
    <x v="10"/>
    <x v="6"/>
    <x v="32"/>
    <x v="1"/>
    <x v="2"/>
    <x v="6"/>
    <x v="5"/>
    <x v="1"/>
    <x v="10"/>
    <x v="0"/>
    <x v="0"/>
    <x v="95"/>
    <x v="248"/>
    <x v="15"/>
    <x v="248"/>
    <x v="248"/>
  </r>
  <r>
    <x v="248"/>
    <x v="224"/>
    <x v="212"/>
    <x v="1"/>
    <x v="10"/>
    <x v="36"/>
    <x v="5"/>
    <x v="4"/>
    <x v="9"/>
    <x v="0"/>
    <x v="249"/>
    <x v="249"/>
    <x v="248"/>
    <x v="16"/>
    <x v="16"/>
    <x v="0"/>
    <x v="248"/>
    <x v="0"/>
    <x v="16"/>
    <x v="33"/>
    <x v="212"/>
    <x v="30"/>
    <x v="249"/>
    <x v="249"/>
    <x v="249"/>
    <x v="16"/>
    <x v="29"/>
    <x v="8"/>
    <x v="36"/>
    <x v="0"/>
    <x v="0"/>
    <x v="10"/>
    <x v="9"/>
    <x v="0"/>
    <x v="29"/>
    <x v="1"/>
    <x v="0"/>
    <x v="16"/>
    <x v="249"/>
    <x v="16"/>
    <x v="249"/>
    <x v="249"/>
  </r>
  <r>
    <x v="249"/>
    <x v="225"/>
    <x v="222"/>
    <x v="1"/>
    <x v="2"/>
    <x v="19"/>
    <x v="5"/>
    <x v="3"/>
    <x v="2"/>
    <x v="4"/>
    <x v="250"/>
    <x v="250"/>
    <x v="249"/>
    <x v="90"/>
    <x v="22"/>
    <x v="0"/>
    <x v="249"/>
    <x v="0"/>
    <x v="89"/>
    <x v="9"/>
    <x v="221"/>
    <x v="8"/>
    <x v="250"/>
    <x v="250"/>
    <x v="250"/>
    <x v="89"/>
    <x v="21"/>
    <x v="2"/>
    <x v="19"/>
    <x v="2"/>
    <x v="1"/>
    <x v="2"/>
    <x v="2"/>
    <x v="0"/>
    <x v="21"/>
    <x v="0"/>
    <x v="1"/>
    <x v="83"/>
    <x v="250"/>
    <x v="22"/>
    <x v="250"/>
    <x v="250"/>
  </r>
  <r>
    <x v="250"/>
    <x v="226"/>
    <x v="57"/>
    <x v="1"/>
    <x v="2"/>
    <x v="26"/>
    <x v="5"/>
    <x v="1"/>
    <x v="8"/>
    <x v="5"/>
    <x v="251"/>
    <x v="251"/>
    <x v="250"/>
    <x v="152"/>
    <x v="12"/>
    <x v="0"/>
    <x v="250"/>
    <x v="0"/>
    <x v="151"/>
    <x v="2"/>
    <x v="57"/>
    <x v="2"/>
    <x v="251"/>
    <x v="251"/>
    <x v="251"/>
    <x v="154"/>
    <x v="0"/>
    <x v="0"/>
    <x v="26"/>
    <x v="1"/>
    <x v="0"/>
    <x v="2"/>
    <x v="2"/>
    <x v="0"/>
    <x v="0"/>
    <x v="0"/>
    <x v="1"/>
    <x v="139"/>
    <x v="251"/>
    <x v="12"/>
    <x v="251"/>
    <x v="251"/>
  </r>
  <r>
    <x v="251"/>
    <x v="227"/>
    <x v="223"/>
    <x v="1"/>
    <x v="10"/>
    <x v="39"/>
    <x v="1"/>
    <x v="2"/>
    <x v="2"/>
    <x v="1"/>
    <x v="252"/>
    <x v="252"/>
    <x v="251"/>
    <x v="153"/>
    <x v="13"/>
    <x v="0"/>
    <x v="251"/>
    <x v="0"/>
    <x v="152"/>
    <x v="27"/>
    <x v="222"/>
    <x v="24"/>
    <x v="252"/>
    <x v="252"/>
    <x v="252"/>
    <x v="155"/>
    <x v="13"/>
    <x v="8"/>
    <x v="40"/>
    <x v="1"/>
    <x v="0"/>
    <x v="10"/>
    <x v="9"/>
    <x v="0"/>
    <x v="13"/>
    <x v="1"/>
    <x v="0"/>
    <x v="140"/>
    <x v="252"/>
    <x v="13"/>
    <x v="252"/>
    <x v="252"/>
  </r>
  <r>
    <x v="252"/>
    <x v="228"/>
    <x v="224"/>
    <x v="2"/>
    <x v="6"/>
    <x v="32"/>
    <x v="2"/>
    <x v="1"/>
    <x v="9"/>
    <x v="5"/>
    <x v="253"/>
    <x v="253"/>
    <x v="252"/>
    <x v="113"/>
    <x v="0"/>
    <x v="0"/>
    <x v="252"/>
    <x v="0"/>
    <x v="112"/>
    <x v="10"/>
    <x v="223"/>
    <x v="9"/>
    <x v="253"/>
    <x v="253"/>
    <x v="253"/>
    <x v="112"/>
    <x v="1"/>
    <x v="1"/>
    <x v="32"/>
    <x v="1"/>
    <x v="2"/>
    <x v="6"/>
    <x v="5"/>
    <x v="1"/>
    <x v="1"/>
    <x v="0"/>
    <x v="0"/>
    <x v="104"/>
    <x v="253"/>
    <x v="0"/>
    <x v="253"/>
    <x v="253"/>
  </r>
  <r>
    <x v="253"/>
    <x v="229"/>
    <x v="225"/>
    <x v="3"/>
    <x v="5"/>
    <x v="37"/>
    <x v="4"/>
    <x v="2"/>
    <x v="0"/>
    <x v="4"/>
    <x v="254"/>
    <x v="254"/>
    <x v="253"/>
    <x v="75"/>
    <x v="11"/>
    <x v="0"/>
    <x v="253"/>
    <x v="0"/>
    <x v="74"/>
    <x v="9"/>
    <x v="224"/>
    <x v="8"/>
    <x v="254"/>
    <x v="254"/>
    <x v="254"/>
    <x v="74"/>
    <x v="19"/>
    <x v="4"/>
    <x v="37"/>
    <x v="2"/>
    <x v="0"/>
    <x v="5"/>
    <x v="4"/>
    <x v="0"/>
    <x v="19"/>
    <x v="0"/>
    <x v="0"/>
    <x v="69"/>
    <x v="254"/>
    <x v="11"/>
    <x v="254"/>
    <x v="254"/>
  </r>
  <r>
    <x v="254"/>
    <x v="230"/>
    <x v="226"/>
    <x v="2"/>
    <x v="3"/>
    <x v="5"/>
    <x v="2"/>
    <x v="1"/>
    <x v="2"/>
    <x v="0"/>
    <x v="255"/>
    <x v="255"/>
    <x v="254"/>
    <x v="121"/>
    <x v="0"/>
    <x v="0"/>
    <x v="254"/>
    <x v="0"/>
    <x v="120"/>
    <x v="28"/>
    <x v="225"/>
    <x v="25"/>
    <x v="255"/>
    <x v="255"/>
    <x v="255"/>
    <x v="121"/>
    <x v="32"/>
    <x v="10"/>
    <x v="5"/>
    <x v="0"/>
    <x v="1"/>
    <x v="3"/>
    <x v="3"/>
    <x v="0"/>
    <x v="32"/>
    <x v="1"/>
    <x v="0"/>
    <x v="111"/>
    <x v="255"/>
    <x v="0"/>
    <x v="255"/>
    <x v="255"/>
  </r>
  <r>
    <x v="255"/>
    <x v="42"/>
    <x v="205"/>
    <x v="3"/>
    <x v="8"/>
    <x v="21"/>
    <x v="2"/>
    <x v="4"/>
    <x v="9"/>
    <x v="2"/>
    <x v="256"/>
    <x v="256"/>
    <x v="255"/>
    <x v="114"/>
    <x v="5"/>
    <x v="0"/>
    <x v="255"/>
    <x v="0"/>
    <x v="113"/>
    <x v="5"/>
    <x v="205"/>
    <x v="5"/>
    <x v="256"/>
    <x v="256"/>
    <x v="256"/>
    <x v="113"/>
    <x v="11"/>
    <x v="7"/>
    <x v="21"/>
    <x v="0"/>
    <x v="1"/>
    <x v="8"/>
    <x v="7"/>
    <x v="0"/>
    <x v="11"/>
    <x v="0"/>
    <x v="0"/>
    <x v="105"/>
    <x v="256"/>
    <x v="5"/>
    <x v="256"/>
    <x v="256"/>
  </r>
  <r>
    <x v="256"/>
    <x v="231"/>
    <x v="227"/>
    <x v="3"/>
    <x v="5"/>
    <x v="22"/>
    <x v="3"/>
    <x v="4"/>
    <x v="3"/>
    <x v="5"/>
    <x v="257"/>
    <x v="257"/>
    <x v="256"/>
    <x v="43"/>
    <x v="15"/>
    <x v="0"/>
    <x v="256"/>
    <x v="0"/>
    <x v="43"/>
    <x v="13"/>
    <x v="226"/>
    <x v="11"/>
    <x v="257"/>
    <x v="257"/>
    <x v="257"/>
    <x v="43"/>
    <x v="15"/>
    <x v="5"/>
    <x v="22"/>
    <x v="1"/>
    <x v="2"/>
    <x v="5"/>
    <x v="4"/>
    <x v="0"/>
    <x v="15"/>
    <x v="0"/>
    <x v="1"/>
    <x v="40"/>
    <x v="257"/>
    <x v="15"/>
    <x v="257"/>
    <x v="257"/>
  </r>
  <r>
    <x v="257"/>
    <x v="232"/>
    <x v="228"/>
    <x v="1"/>
    <x v="4"/>
    <x v="10"/>
    <x v="5"/>
    <x v="3"/>
    <x v="15"/>
    <x v="6"/>
    <x v="258"/>
    <x v="258"/>
    <x v="257"/>
    <x v="77"/>
    <x v="13"/>
    <x v="0"/>
    <x v="257"/>
    <x v="0"/>
    <x v="76"/>
    <x v="27"/>
    <x v="227"/>
    <x v="24"/>
    <x v="258"/>
    <x v="258"/>
    <x v="258"/>
    <x v="76"/>
    <x v="32"/>
    <x v="10"/>
    <x v="10"/>
    <x v="0"/>
    <x v="1"/>
    <x v="4"/>
    <x v="3"/>
    <x v="0"/>
    <x v="32"/>
    <x v="1"/>
    <x v="0"/>
    <x v="71"/>
    <x v="258"/>
    <x v="13"/>
    <x v="258"/>
    <x v="258"/>
  </r>
  <r>
    <x v="258"/>
    <x v="71"/>
    <x v="102"/>
    <x v="0"/>
    <x v="1"/>
    <x v="1"/>
    <x v="4"/>
    <x v="3"/>
    <x v="5"/>
    <x v="0"/>
    <x v="259"/>
    <x v="259"/>
    <x v="258"/>
    <x v="116"/>
    <x v="2"/>
    <x v="0"/>
    <x v="258"/>
    <x v="0"/>
    <x v="115"/>
    <x v="5"/>
    <x v="101"/>
    <x v="5"/>
    <x v="259"/>
    <x v="259"/>
    <x v="259"/>
    <x v="116"/>
    <x v="14"/>
    <x v="7"/>
    <x v="1"/>
    <x v="0"/>
    <x v="1"/>
    <x v="1"/>
    <x v="1"/>
    <x v="0"/>
    <x v="14"/>
    <x v="0"/>
    <x v="0"/>
    <x v="106"/>
    <x v="259"/>
    <x v="2"/>
    <x v="259"/>
    <x v="259"/>
  </r>
  <r>
    <x v="259"/>
    <x v="233"/>
    <x v="113"/>
    <x v="3"/>
    <x v="5"/>
    <x v="8"/>
    <x v="1"/>
    <x v="0"/>
    <x v="6"/>
    <x v="6"/>
    <x v="260"/>
    <x v="260"/>
    <x v="259"/>
    <x v="140"/>
    <x v="4"/>
    <x v="0"/>
    <x v="259"/>
    <x v="0"/>
    <x v="139"/>
    <x v="23"/>
    <x v="111"/>
    <x v="20"/>
    <x v="260"/>
    <x v="260"/>
    <x v="260"/>
    <x v="140"/>
    <x v="14"/>
    <x v="7"/>
    <x v="8"/>
    <x v="0"/>
    <x v="1"/>
    <x v="5"/>
    <x v="4"/>
    <x v="0"/>
    <x v="14"/>
    <x v="0"/>
    <x v="0"/>
    <x v="129"/>
    <x v="260"/>
    <x v="4"/>
    <x v="260"/>
    <x v="260"/>
  </r>
  <r>
    <x v="260"/>
    <x v="234"/>
    <x v="229"/>
    <x v="1"/>
    <x v="4"/>
    <x v="10"/>
    <x v="2"/>
    <x v="4"/>
    <x v="15"/>
    <x v="2"/>
    <x v="261"/>
    <x v="261"/>
    <x v="260"/>
    <x v="154"/>
    <x v="10"/>
    <x v="0"/>
    <x v="260"/>
    <x v="0"/>
    <x v="153"/>
    <x v="9"/>
    <x v="228"/>
    <x v="8"/>
    <x v="261"/>
    <x v="261"/>
    <x v="261"/>
    <x v="156"/>
    <x v="24"/>
    <x v="9"/>
    <x v="10"/>
    <x v="0"/>
    <x v="1"/>
    <x v="4"/>
    <x v="3"/>
    <x v="0"/>
    <x v="24"/>
    <x v="0"/>
    <x v="1"/>
    <x v="141"/>
    <x v="261"/>
    <x v="10"/>
    <x v="261"/>
    <x v="261"/>
  </r>
  <r>
    <x v="261"/>
    <x v="235"/>
    <x v="230"/>
    <x v="0"/>
    <x v="11"/>
    <x v="25"/>
    <x v="4"/>
    <x v="3"/>
    <x v="12"/>
    <x v="3"/>
    <x v="262"/>
    <x v="262"/>
    <x v="261"/>
    <x v="91"/>
    <x v="7"/>
    <x v="0"/>
    <x v="261"/>
    <x v="0"/>
    <x v="90"/>
    <x v="33"/>
    <x v="229"/>
    <x v="30"/>
    <x v="262"/>
    <x v="262"/>
    <x v="262"/>
    <x v="90"/>
    <x v="15"/>
    <x v="5"/>
    <x v="25"/>
    <x v="2"/>
    <x v="2"/>
    <x v="11"/>
    <x v="10"/>
    <x v="0"/>
    <x v="15"/>
    <x v="1"/>
    <x v="0"/>
    <x v="84"/>
    <x v="262"/>
    <x v="7"/>
    <x v="262"/>
    <x v="262"/>
  </r>
  <r>
    <x v="262"/>
    <x v="138"/>
    <x v="231"/>
    <x v="0"/>
    <x v="1"/>
    <x v="1"/>
    <x v="4"/>
    <x v="2"/>
    <x v="8"/>
    <x v="4"/>
    <x v="263"/>
    <x v="263"/>
    <x v="262"/>
    <x v="37"/>
    <x v="8"/>
    <x v="0"/>
    <x v="262"/>
    <x v="0"/>
    <x v="37"/>
    <x v="26"/>
    <x v="230"/>
    <x v="23"/>
    <x v="263"/>
    <x v="263"/>
    <x v="263"/>
    <x v="37"/>
    <x v="18"/>
    <x v="5"/>
    <x v="1"/>
    <x v="2"/>
    <x v="2"/>
    <x v="1"/>
    <x v="1"/>
    <x v="0"/>
    <x v="18"/>
    <x v="0"/>
    <x v="0"/>
    <x v="36"/>
    <x v="263"/>
    <x v="8"/>
    <x v="263"/>
    <x v="263"/>
  </r>
  <r>
    <x v="263"/>
    <x v="236"/>
    <x v="232"/>
    <x v="1"/>
    <x v="2"/>
    <x v="4"/>
    <x v="0"/>
    <x v="3"/>
    <x v="11"/>
    <x v="1"/>
    <x v="264"/>
    <x v="264"/>
    <x v="263"/>
    <x v="123"/>
    <x v="17"/>
    <x v="0"/>
    <x v="263"/>
    <x v="0"/>
    <x v="122"/>
    <x v="29"/>
    <x v="231"/>
    <x v="26"/>
    <x v="264"/>
    <x v="264"/>
    <x v="264"/>
    <x v="123"/>
    <x v="10"/>
    <x v="6"/>
    <x v="4"/>
    <x v="1"/>
    <x v="2"/>
    <x v="2"/>
    <x v="2"/>
    <x v="0"/>
    <x v="10"/>
    <x v="0"/>
    <x v="0"/>
    <x v="113"/>
    <x v="264"/>
    <x v="17"/>
    <x v="264"/>
    <x v="264"/>
  </r>
  <r>
    <x v="264"/>
    <x v="237"/>
    <x v="233"/>
    <x v="3"/>
    <x v="8"/>
    <x v="21"/>
    <x v="0"/>
    <x v="1"/>
    <x v="5"/>
    <x v="5"/>
    <x v="265"/>
    <x v="265"/>
    <x v="264"/>
    <x v="49"/>
    <x v="14"/>
    <x v="0"/>
    <x v="264"/>
    <x v="0"/>
    <x v="49"/>
    <x v="20"/>
    <x v="232"/>
    <x v="18"/>
    <x v="265"/>
    <x v="265"/>
    <x v="265"/>
    <x v="49"/>
    <x v="1"/>
    <x v="1"/>
    <x v="21"/>
    <x v="1"/>
    <x v="0"/>
    <x v="8"/>
    <x v="7"/>
    <x v="0"/>
    <x v="1"/>
    <x v="1"/>
    <x v="0"/>
    <x v="45"/>
    <x v="265"/>
    <x v="14"/>
    <x v="265"/>
    <x v="265"/>
  </r>
  <r>
    <x v="265"/>
    <x v="238"/>
    <x v="234"/>
    <x v="0"/>
    <x v="1"/>
    <x v="1"/>
    <x v="2"/>
    <x v="2"/>
    <x v="7"/>
    <x v="0"/>
    <x v="266"/>
    <x v="266"/>
    <x v="265"/>
    <x v="104"/>
    <x v="15"/>
    <x v="0"/>
    <x v="265"/>
    <x v="0"/>
    <x v="103"/>
    <x v="6"/>
    <x v="27"/>
    <x v="1"/>
    <x v="266"/>
    <x v="266"/>
    <x v="266"/>
    <x v="157"/>
    <x v="14"/>
    <x v="7"/>
    <x v="1"/>
    <x v="0"/>
    <x v="1"/>
    <x v="1"/>
    <x v="1"/>
    <x v="0"/>
    <x v="14"/>
    <x v="1"/>
    <x v="0"/>
    <x v="95"/>
    <x v="266"/>
    <x v="15"/>
    <x v="266"/>
    <x v="266"/>
  </r>
  <r>
    <x v="266"/>
    <x v="239"/>
    <x v="235"/>
    <x v="1"/>
    <x v="4"/>
    <x v="7"/>
    <x v="1"/>
    <x v="4"/>
    <x v="0"/>
    <x v="3"/>
    <x v="267"/>
    <x v="267"/>
    <x v="266"/>
    <x v="4"/>
    <x v="16"/>
    <x v="0"/>
    <x v="266"/>
    <x v="0"/>
    <x v="4"/>
    <x v="13"/>
    <x v="233"/>
    <x v="11"/>
    <x v="267"/>
    <x v="267"/>
    <x v="267"/>
    <x v="4"/>
    <x v="26"/>
    <x v="10"/>
    <x v="7"/>
    <x v="2"/>
    <x v="0"/>
    <x v="4"/>
    <x v="3"/>
    <x v="0"/>
    <x v="26"/>
    <x v="0"/>
    <x v="0"/>
    <x v="4"/>
    <x v="267"/>
    <x v="16"/>
    <x v="267"/>
    <x v="267"/>
  </r>
  <r>
    <x v="267"/>
    <x v="240"/>
    <x v="236"/>
    <x v="3"/>
    <x v="7"/>
    <x v="11"/>
    <x v="0"/>
    <x v="4"/>
    <x v="7"/>
    <x v="1"/>
    <x v="268"/>
    <x v="268"/>
    <x v="267"/>
    <x v="68"/>
    <x v="10"/>
    <x v="0"/>
    <x v="267"/>
    <x v="0"/>
    <x v="67"/>
    <x v="21"/>
    <x v="234"/>
    <x v="19"/>
    <x v="268"/>
    <x v="268"/>
    <x v="268"/>
    <x v="67"/>
    <x v="8"/>
    <x v="0"/>
    <x v="11"/>
    <x v="1"/>
    <x v="0"/>
    <x v="7"/>
    <x v="6"/>
    <x v="0"/>
    <x v="8"/>
    <x v="0"/>
    <x v="0"/>
    <x v="62"/>
    <x v="268"/>
    <x v="10"/>
    <x v="268"/>
    <x v="268"/>
  </r>
  <r>
    <x v="268"/>
    <x v="241"/>
    <x v="237"/>
    <x v="1"/>
    <x v="4"/>
    <x v="10"/>
    <x v="0"/>
    <x v="4"/>
    <x v="1"/>
    <x v="6"/>
    <x v="269"/>
    <x v="269"/>
    <x v="268"/>
    <x v="60"/>
    <x v="30"/>
    <x v="0"/>
    <x v="268"/>
    <x v="0"/>
    <x v="59"/>
    <x v="25"/>
    <x v="235"/>
    <x v="22"/>
    <x v="269"/>
    <x v="269"/>
    <x v="269"/>
    <x v="59"/>
    <x v="24"/>
    <x v="9"/>
    <x v="10"/>
    <x v="0"/>
    <x v="1"/>
    <x v="4"/>
    <x v="3"/>
    <x v="0"/>
    <x v="24"/>
    <x v="0"/>
    <x v="0"/>
    <x v="55"/>
    <x v="269"/>
    <x v="30"/>
    <x v="269"/>
    <x v="269"/>
  </r>
  <r>
    <x v="269"/>
    <x v="242"/>
    <x v="238"/>
    <x v="2"/>
    <x v="3"/>
    <x v="18"/>
    <x v="3"/>
    <x v="4"/>
    <x v="6"/>
    <x v="5"/>
    <x v="270"/>
    <x v="270"/>
    <x v="269"/>
    <x v="155"/>
    <x v="13"/>
    <x v="0"/>
    <x v="269"/>
    <x v="0"/>
    <x v="154"/>
    <x v="5"/>
    <x v="236"/>
    <x v="5"/>
    <x v="270"/>
    <x v="270"/>
    <x v="270"/>
    <x v="158"/>
    <x v="25"/>
    <x v="3"/>
    <x v="18"/>
    <x v="1"/>
    <x v="2"/>
    <x v="3"/>
    <x v="3"/>
    <x v="0"/>
    <x v="25"/>
    <x v="0"/>
    <x v="0"/>
    <x v="142"/>
    <x v="270"/>
    <x v="13"/>
    <x v="270"/>
    <x v="270"/>
  </r>
  <r>
    <x v="270"/>
    <x v="243"/>
    <x v="239"/>
    <x v="3"/>
    <x v="5"/>
    <x v="37"/>
    <x v="1"/>
    <x v="4"/>
    <x v="9"/>
    <x v="5"/>
    <x v="271"/>
    <x v="271"/>
    <x v="270"/>
    <x v="22"/>
    <x v="12"/>
    <x v="0"/>
    <x v="270"/>
    <x v="0"/>
    <x v="22"/>
    <x v="15"/>
    <x v="237"/>
    <x v="13"/>
    <x v="271"/>
    <x v="271"/>
    <x v="271"/>
    <x v="115"/>
    <x v="0"/>
    <x v="0"/>
    <x v="37"/>
    <x v="1"/>
    <x v="0"/>
    <x v="5"/>
    <x v="4"/>
    <x v="0"/>
    <x v="0"/>
    <x v="0"/>
    <x v="0"/>
    <x v="22"/>
    <x v="271"/>
    <x v="12"/>
    <x v="271"/>
    <x v="271"/>
  </r>
  <r>
    <x v="271"/>
    <x v="244"/>
    <x v="240"/>
    <x v="1"/>
    <x v="2"/>
    <x v="19"/>
    <x v="1"/>
    <x v="4"/>
    <x v="0"/>
    <x v="5"/>
    <x v="272"/>
    <x v="272"/>
    <x v="271"/>
    <x v="156"/>
    <x v="9"/>
    <x v="0"/>
    <x v="271"/>
    <x v="0"/>
    <x v="155"/>
    <x v="9"/>
    <x v="238"/>
    <x v="8"/>
    <x v="272"/>
    <x v="272"/>
    <x v="272"/>
    <x v="159"/>
    <x v="23"/>
    <x v="9"/>
    <x v="19"/>
    <x v="1"/>
    <x v="1"/>
    <x v="2"/>
    <x v="2"/>
    <x v="0"/>
    <x v="23"/>
    <x v="0"/>
    <x v="0"/>
    <x v="143"/>
    <x v="272"/>
    <x v="9"/>
    <x v="272"/>
    <x v="272"/>
  </r>
  <r>
    <x v="272"/>
    <x v="245"/>
    <x v="241"/>
    <x v="3"/>
    <x v="7"/>
    <x v="28"/>
    <x v="3"/>
    <x v="1"/>
    <x v="10"/>
    <x v="1"/>
    <x v="273"/>
    <x v="273"/>
    <x v="272"/>
    <x v="157"/>
    <x v="42"/>
    <x v="0"/>
    <x v="272"/>
    <x v="0"/>
    <x v="156"/>
    <x v="30"/>
    <x v="239"/>
    <x v="27"/>
    <x v="273"/>
    <x v="273"/>
    <x v="273"/>
    <x v="160"/>
    <x v="0"/>
    <x v="0"/>
    <x v="28"/>
    <x v="1"/>
    <x v="0"/>
    <x v="7"/>
    <x v="6"/>
    <x v="0"/>
    <x v="0"/>
    <x v="0"/>
    <x v="0"/>
    <x v="144"/>
    <x v="273"/>
    <x v="42"/>
    <x v="273"/>
    <x v="273"/>
  </r>
  <r>
    <x v="273"/>
    <x v="246"/>
    <x v="242"/>
    <x v="1"/>
    <x v="4"/>
    <x v="7"/>
    <x v="2"/>
    <x v="2"/>
    <x v="12"/>
    <x v="4"/>
    <x v="274"/>
    <x v="274"/>
    <x v="273"/>
    <x v="157"/>
    <x v="7"/>
    <x v="0"/>
    <x v="273"/>
    <x v="0"/>
    <x v="156"/>
    <x v="27"/>
    <x v="240"/>
    <x v="24"/>
    <x v="274"/>
    <x v="274"/>
    <x v="274"/>
    <x v="160"/>
    <x v="8"/>
    <x v="0"/>
    <x v="7"/>
    <x v="2"/>
    <x v="0"/>
    <x v="4"/>
    <x v="3"/>
    <x v="0"/>
    <x v="8"/>
    <x v="1"/>
    <x v="0"/>
    <x v="144"/>
    <x v="274"/>
    <x v="7"/>
    <x v="274"/>
    <x v="274"/>
  </r>
  <r>
    <x v="274"/>
    <x v="247"/>
    <x v="243"/>
    <x v="1"/>
    <x v="10"/>
    <x v="24"/>
    <x v="3"/>
    <x v="4"/>
    <x v="6"/>
    <x v="2"/>
    <x v="275"/>
    <x v="275"/>
    <x v="274"/>
    <x v="158"/>
    <x v="26"/>
    <x v="0"/>
    <x v="274"/>
    <x v="0"/>
    <x v="157"/>
    <x v="16"/>
    <x v="241"/>
    <x v="14"/>
    <x v="275"/>
    <x v="275"/>
    <x v="275"/>
    <x v="161"/>
    <x v="0"/>
    <x v="0"/>
    <x v="24"/>
    <x v="0"/>
    <x v="0"/>
    <x v="10"/>
    <x v="9"/>
    <x v="0"/>
    <x v="0"/>
    <x v="0"/>
    <x v="0"/>
    <x v="145"/>
    <x v="275"/>
    <x v="26"/>
    <x v="275"/>
    <x v="275"/>
  </r>
  <r>
    <x v="275"/>
    <x v="34"/>
    <x v="244"/>
    <x v="3"/>
    <x v="5"/>
    <x v="8"/>
    <x v="0"/>
    <x v="4"/>
    <x v="6"/>
    <x v="6"/>
    <x v="276"/>
    <x v="276"/>
    <x v="275"/>
    <x v="101"/>
    <x v="15"/>
    <x v="0"/>
    <x v="275"/>
    <x v="0"/>
    <x v="100"/>
    <x v="9"/>
    <x v="242"/>
    <x v="8"/>
    <x v="276"/>
    <x v="276"/>
    <x v="276"/>
    <x v="100"/>
    <x v="15"/>
    <x v="5"/>
    <x v="8"/>
    <x v="0"/>
    <x v="2"/>
    <x v="5"/>
    <x v="4"/>
    <x v="0"/>
    <x v="15"/>
    <x v="0"/>
    <x v="0"/>
    <x v="92"/>
    <x v="276"/>
    <x v="15"/>
    <x v="276"/>
    <x v="276"/>
  </r>
  <r>
    <x v="276"/>
    <x v="248"/>
    <x v="245"/>
    <x v="0"/>
    <x v="11"/>
    <x v="20"/>
    <x v="4"/>
    <x v="2"/>
    <x v="8"/>
    <x v="3"/>
    <x v="277"/>
    <x v="277"/>
    <x v="276"/>
    <x v="17"/>
    <x v="17"/>
    <x v="0"/>
    <x v="276"/>
    <x v="0"/>
    <x v="17"/>
    <x v="15"/>
    <x v="243"/>
    <x v="13"/>
    <x v="277"/>
    <x v="277"/>
    <x v="277"/>
    <x v="17"/>
    <x v="16"/>
    <x v="4"/>
    <x v="20"/>
    <x v="2"/>
    <x v="0"/>
    <x v="11"/>
    <x v="10"/>
    <x v="0"/>
    <x v="16"/>
    <x v="0"/>
    <x v="0"/>
    <x v="17"/>
    <x v="277"/>
    <x v="17"/>
    <x v="277"/>
    <x v="277"/>
  </r>
  <r>
    <x v="277"/>
    <x v="249"/>
    <x v="246"/>
    <x v="2"/>
    <x v="3"/>
    <x v="5"/>
    <x v="0"/>
    <x v="1"/>
    <x v="8"/>
    <x v="4"/>
    <x v="278"/>
    <x v="278"/>
    <x v="277"/>
    <x v="159"/>
    <x v="27"/>
    <x v="0"/>
    <x v="277"/>
    <x v="0"/>
    <x v="158"/>
    <x v="16"/>
    <x v="244"/>
    <x v="14"/>
    <x v="278"/>
    <x v="278"/>
    <x v="278"/>
    <x v="162"/>
    <x v="32"/>
    <x v="10"/>
    <x v="5"/>
    <x v="2"/>
    <x v="1"/>
    <x v="3"/>
    <x v="3"/>
    <x v="0"/>
    <x v="32"/>
    <x v="0"/>
    <x v="0"/>
    <x v="146"/>
    <x v="278"/>
    <x v="27"/>
    <x v="278"/>
    <x v="278"/>
  </r>
  <r>
    <x v="278"/>
    <x v="250"/>
    <x v="89"/>
    <x v="1"/>
    <x v="10"/>
    <x v="24"/>
    <x v="5"/>
    <x v="3"/>
    <x v="6"/>
    <x v="5"/>
    <x v="279"/>
    <x v="279"/>
    <x v="278"/>
    <x v="0"/>
    <x v="0"/>
    <x v="0"/>
    <x v="278"/>
    <x v="0"/>
    <x v="0"/>
    <x v="13"/>
    <x v="245"/>
    <x v="11"/>
    <x v="279"/>
    <x v="279"/>
    <x v="279"/>
    <x v="0"/>
    <x v="22"/>
    <x v="7"/>
    <x v="24"/>
    <x v="1"/>
    <x v="1"/>
    <x v="10"/>
    <x v="9"/>
    <x v="0"/>
    <x v="22"/>
    <x v="0"/>
    <x v="0"/>
    <x v="0"/>
    <x v="279"/>
    <x v="0"/>
    <x v="279"/>
    <x v="279"/>
  </r>
  <r>
    <x v="279"/>
    <x v="251"/>
    <x v="247"/>
    <x v="2"/>
    <x v="6"/>
    <x v="27"/>
    <x v="2"/>
    <x v="4"/>
    <x v="9"/>
    <x v="2"/>
    <x v="280"/>
    <x v="280"/>
    <x v="279"/>
    <x v="160"/>
    <x v="4"/>
    <x v="0"/>
    <x v="279"/>
    <x v="1"/>
    <x v="32"/>
    <x v="16"/>
    <x v="246"/>
    <x v="14"/>
    <x v="280"/>
    <x v="280"/>
    <x v="280"/>
    <x v="32"/>
    <x v="3"/>
    <x v="3"/>
    <x v="27"/>
    <x v="0"/>
    <x v="2"/>
    <x v="6"/>
    <x v="5"/>
    <x v="1"/>
    <x v="3"/>
    <x v="0"/>
    <x v="1"/>
    <x v="10"/>
    <x v="280"/>
    <x v="4"/>
    <x v="280"/>
    <x v="280"/>
  </r>
  <r>
    <x v="280"/>
    <x v="182"/>
    <x v="135"/>
    <x v="0"/>
    <x v="0"/>
    <x v="2"/>
    <x v="3"/>
    <x v="0"/>
    <x v="12"/>
    <x v="3"/>
    <x v="281"/>
    <x v="281"/>
    <x v="280"/>
    <x v="4"/>
    <x v="7"/>
    <x v="0"/>
    <x v="280"/>
    <x v="0"/>
    <x v="4"/>
    <x v="26"/>
    <x v="134"/>
    <x v="23"/>
    <x v="281"/>
    <x v="281"/>
    <x v="281"/>
    <x v="4"/>
    <x v="24"/>
    <x v="9"/>
    <x v="2"/>
    <x v="2"/>
    <x v="1"/>
    <x v="0"/>
    <x v="0"/>
    <x v="0"/>
    <x v="24"/>
    <x v="0"/>
    <x v="0"/>
    <x v="4"/>
    <x v="281"/>
    <x v="7"/>
    <x v="281"/>
    <x v="281"/>
  </r>
  <r>
    <x v="281"/>
    <x v="252"/>
    <x v="248"/>
    <x v="2"/>
    <x v="3"/>
    <x v="5"/>
    <x v="0"/>
    <x v="3"/>
    <x v="4"/>
    <x v="4"/>
    <x v="282"/>
    <x v="282"/>
    <x v="281"/>
    <x v="59"/>
    <x v="2"/>
    <x v="0"/>
    <x v="281"/>
    <x v="0"/>
    <x v="58"/>
    <x v="25"/>
    <x v="18"/>
    <x v="22"/>
    <x v="282"/>
    <x v="282"/>
    <x v="282"/>
    <x v="58"/>
    <x v="7"/>
    <x v="5"/>
    <x v="5"/>
    <x v="2"/>
    <x v="2"/>
    <x v="3"/>
    <x v="3"/>
    <x v="0"/>
    <x v="7"/>
    <x v="0"/>
    <x v="0"/>
    <x v="54"/>
    <x v="282"/>
    <x v="2"/>
    <x v="282"/>
    <x v="282"/>
  </r>
  <r>
    <x v="282"/>
    <x v="93"/>
    <x v="249"/>
    <x v="3"/>
    <x v="5"/>
    <x v="37"/>
    <x v="1"/>
    <x v="4"/>
    <x v="4"/>
    <x v="4"/>
    <x v="283"/>
    <x v="283"/>
    <x v="282"/>
    <x v="130"/>
    <x v="2"/>
    <x v="0"/>
    <x v="282"/>
    <x v="0"/>
    <x v="129"/>
    <x v="23"/>
    <x v="247"/>
    <x v="20"/>
    <x v="283"/>
    <x v="283"/>
    <x v="283"/>
    <x v="130"/>
    <x v="8"/>
    <x v="0"/>
    <x v="37"/>
    <x v="2"/>
    <x v="0"/>
    <x v="5"/>
    <x v="4"/>
    <x v="0"/>
    <x v="8"/>
    <x v="0"/>
    <x v="0"/>
    <x v="120"/>
    <x v="283"/>
    <x v="2"/>
    <x v="283"/>
    <x v="283"/>
  </r>
  <r>
    <x v="283"/>
    <x v="86"/>
    <x v="171"/>
    <x v="2"/>
    <x v="6"/>
    <x v="32"/>
    <x v="5"/>
    <x v="2"/>
    <x v="1"/>
    <x v="3"/>
    <x v="284"/>
    <x v="284"/>
    <x v="283"/>
    <x v="96"/>
    <x v="4"/>
    <x v="0"/>
    <x v="283"/>
    <x v="0"/>
    <x v="95"/>
    <x v="32"/>
    <x v="171"/>
    <x v="29"/>
    <x v="284"/>
    <x v="284"/>
    <x v="284"/>
    <x v="95"/>
    <x v="22"/>
    <x v="7"/>
    <x v="32"/>
    <x v="2"/>
    <x v="1"/>
    <x v="6"/>
    <x v="5"/>
    <x v="1"/>
    <x v="22"/>
    <x v="0"/>
    <x v="1"/>
    <x v="89"/>
    <x v="284"/>
    <x v="4"/>
    <x v="284"/>
    <x v="284"/>
  </r>
  <r>
    <x v="284"/>
    <x v="253"/>
    <x v="250"/>
    <x v="3"/>
    <x v="5"/>
    <x v="22"/>
    <x v="5"/>
    <x v="2"/>
    <x v="8"/>
    <x v="3"/>
    <x v="285"/>
    <x v="285"/>
    <x v="284"/>
    <x v="60"/>
    <x v="16"/>
    <x v="0"/>
    <x v="284"/>
    <x v="0"/>
    <x v="59"/>
    <x v="29"/>
    <x v="248"/>
    <x v="26"/>
    <x v="285"/>
    <x v="285"/>
    <x v="285"/>
    <x v="59"/>
    <x v="18"/>
    <x v="5"/>
    <x v="22"/>
    <x v="2"/>
    <x v="2"/>
    <x v="5"/>
    <x v="4"/>
    <x v="0"/>
    <x v="18"/>
    <x v="0"/>
    <x v="0"/>
    <x v="55"/>
    <x v="285"/>
    <x v="16"/>
    <x v="285"/>
    <x v="285"/>
  </r>
  <r>
    <x v="285"/>
    <x v="254"/>
    <x v="251"/>
    <x v="2"/>
    <x v="3"/>
    <x v="29"/>
    <x v="1"/>
    <x v="3"/>
    <x v="4"/>
    <x v="2"/>
    <x v="286"/>
    <x v="286"/>
    <x v="285"/>
    <x v="60"/>
    <x v="0"/>
    <x v="0"/>
    <x v="285"/>
    <x v="0"/>
    <x v="59"/>
    <x v="20"/>
    <x v="249"/>
    <x v="18"/>
    <x v="286"/>
    <x v="286"/>
    <x v="286"/>
    <x v="59"/>
    <x v="29"/>
    <x v="8"/>
    <x v="29"/>
    <x v="0"/>
    <x v="0"/>
    <x v="3"/>
    <x v="3"/>
    <x v="0"/>
    <x v="29"/>
    <x v="1"/>
    <x v="0"/>
    <x v="55"/>
    <x v="286"/>
    <x v="0"/>
    <x v="286"/>
    <x v="286"/>
  </r>
  <r>
    <x v="286"/>
    <x v="9"/>
    <x v="252"/>
    <x v="0"/>
    <x v="11"/>
    <x v="33"/>
    <x v="5"/>
    <x v="4"/>
    <x v="8"/>
    <x v="6"/>
    <x v="287"/>
    <x v="287"/>
    <x v="286"/>
    <x v="71"/>
    <x v="6"/>
    <x v="0"/>
    <x v="286"/>
    <x v="0"/>
    <x v="70"/>
    <x v="27"/>
    <x v="250"/>
    <x v="24"/>
    <x v="287"/>
    <x v="287"/>
    <x v="287"/>
    <x v="70"/>
    <x v="8"/>
    <x v="0"/>
    <x v="33"/>
    <x v="0"/>
    <x v="0"/>
    <x v="11"/>
    <x v="10"/>
    <x v="0"/>
    <x v="8"/>
    <x v="1"/>
    <x v="0"/>
    <x v="65"/>
    <x v="287"/>
    <x v="6"/>
    <x v="287"/>
    <x v="287"/>
  </r>
  <r>
    <x v="287"/>
    <x v="255"/>
    <x v="253"/>
    <x v="0"/>
    <x v="11"/>
    <x v="20"/>
    <x v="3"/>
    <x v="0"/>
    <x v="14"/>
    <x v="0"/>
    <x v="288"/>
    <x v="288"/>
    <x v="287"/>
    <x v="97"/>
    <x v="20"/>
    <x v="0"/>
    <x v="287"/>
    <x v="0"/>
    <x v="96"/>
    <x v="23"/>
    <x v="251"/>
    <x v="20"/>
    <x v="288"/>
    <x v="288"/>
    <x v="288"/>
    <x v="96"/>
    <x v="23"/>
    <x v="9"/>
    <x v="20"/>
    <x v="0"/>
    <x v="1"/>
    <x v="11"/>
    <x v="10"/>
    <x v="0"/>
    <x v="23"/>
    <x v="0"/>
    <x v="0"/>
    <x v="90"/>
    <x v="288"/>
    <x v="20"/>
    <x v="288"/>
    <x v="288"/>
  </r>
  <r>
    <x v="288"/>
    <x v="256"/>
    <x v="254"/>
    <x v="0"/>
    <x v="1"/>
    <x v="1"/>
    <x v="3"/>
    <x v="0"/>
    <x v="7"/>
    <x v="6"/>
    <x v="289"/>
    <x v="289"/>
    <x v="288"/>
    <x v="33"/>
    <x v="6"/>
    <x v="0"/>
    <x v="288"/>
    <x v="0"/>
    <x v="33"/>
    <x v="6"/>
    <x v="252"/>
    <x v="1"/>
    <x v="289"/>
    <x v="289"/>
    <x v="289"/>
    <x v="33"/>
    <x v="28"/>
    <x v="6"/>
    <x v="1"/>
    <x v="0"/>
    <x v="2"/>
    <x v="1"/>
    <x v="1"/>
    <x v="0"/>
    <x v="28"/>
    <x v="1"/>
    <x v="0"/>
    <x v="32"/>
    <x v="289"/>
    <x v="6"/>
    <x v="289"/>
    <x v="289"/>
  </r>
  <r>
    <x v="289"/>
    <x v="257"/>
    <x v="255"/>
    <x v="1"/>
    <x v="4"/>
    <x v="7"/>
    <x v="2"/>
    <x v="4"/>
    <x v="14"/>
    <x v="1"/>
    <x v="290"/>
    <x v="290"/>
    <x v="289"/>
    <x v="161"/>
    <x v="21"/>
    <x v="0"/>
    <x v="289"/>
    <x v="0"/>
    <x v="159"/>
    <x v="13"/>
    <x v="253"/>
    <x v="11"/>
    <x v="290"/>
    <x v="290"/>
    <x v="290"/>
    <x v="163"/>
    <x v="3"/>
    <x v="3"/>
    <x v="7"/>
    <x v="1"/>
    <x v="2"/>
    <x v="4"/>
    <x v="3"/>
    <x v="0"/>
    <x v="3"/>
    <x v="0"/>
    <x v="0"/>
    <x v="147"/>
    <x v="290"/>
    <x v="21"/>
    <x v="290"/>
    <x v="290"/>
  </r>
  <r>
    <x v="290"/>
    <x v="258"/>
    <x v="256"/>
    <x v="3"/>
    <x v="8"/>
    <x v="21"/>
    <x v="2"/>
    <x v="4"/>
    <x v="7"/>
    <x v="6"/>
    <x v="291"/>
    <x v="291"/>
    <x v="290"/>
    <x v="162"/>
    <x v="16"/>
    <x v="0"/>
    <x v="290"/>
    <x v="0"/>
    <x v="160"/>
    <x v="7"/>
    <x v="254"/>
    <x v="6"/>
    <x v="291"/>
    <x v="291"/>
    <x v="291"/>
    <x v="164"/>
    <x v="32"/>
    <x v="10"/>
    <x v="21"/>
    <x v="0"/>
    <x v="1"/>
    <x v="8"/>
    <x v="7"/>
    <x v="0"/>
    <x v="32"/>
    <x v="0"/>
    <x v="1"/>
    <x v="148"/>
    <x v="291"/>
    <x v="16"/>
    <x v="291"/>
    <x v="291"/>
  </r>
  <r>
    <x v="291"/>
    <x v="259"/>
    <x v="257"/>
    <x v="3"/>
    <x v="8"/>
    <x v="21"/>
    <x v="5"/>
    <x v="3"/>
    <x v="6"/>
    <x v="6"/>
    <x v="292"/>
    <x v="292"/>
    <x v="291"/>
    <x v="163"/>
    <x v="11"/>
    <x v="0"/>
    <x v="291"/>
    <x v="0"/>
    <x v="161"/>
    <x v="19"/>
    <x v="255"/>
    <x v="17"/>
    <x v="292"/>
    <x v="292"/>
    <x v="292"/>
    <x v="165"/>
    <x v="24"/>
    <x v="9"/>
    <x v="21"/>
    <x v="0"/>
    <x v="1"/>
    <x v="8"/>
    <x v="7"/>
    <x v="0"/>
    <x v="24"/>
    <x v="0"/>
    <x v="0"/>
    <x v="149"/>
    <x v="292"/>
    <x v="11"/>
    <x v="292"/>
    <x v="292"/>
  </r>
  <r>
    <x v="292"/>
    <x v="260"/>
    <x v="163"/>
    <x v="2"/>
    <x v="6"/>
    <x v="9"/>
    <x v="3"/>
    <x v="1"/>
    <x v="11"/>
    <x v="0"/>
    <x v="293"/>
    <x v="293"/>
    <x v="292"/>
    <x v="164"/>
    <x v="0"/>
    <x v="0"/>
    <x v="292"/>
    <x v="0"/>
    <x v="162"/>
    <x v="23"/>
    <x v="163"/>
    <x v="20"/>
    <x v="293"/>
    <x v="293"/>
    <x v="293"/>
    <x v="166"/>
    <x v="18"/>
    <x v="5"/>
    <x v="9"/>
    <x v="0"/>
    <x v="2"/>
    <x v="6"/>
    <x v="5"/>
    <x v="1"/>
    <x v="18"/>
    <x v="0"/>
    <x v="0"/>
    <x v="150"/>
    <x v="293"/>
    <x v="0"/>
    <x v="293"/>
    <x v="293"/>
  </r>
  <r>
    <x v="293"/>
    <x v="261"/>
    <x v="230"/>
    <x v="3"/>
    <x v="5"/>
    <x v="22"/>
    <x v="5"/>
    <x v="3"/>
    <x v="5"/>
    <x v="4"/>
    <x v="294"/>
    <x v="294"/>
    <x v="293"/>
    <x v="139"/>
    <x v="4"/>
    <x v="0"/>
    <x v="293"/>
    <x v="0"/>
    <x v="138"/>
    <x v="0"/>
    <x v="229"/>
    <x v="0"/>
    <x v="294"/>
    <x v="294"/>
    <x v="294"/>
    <x v="139"/>
    <x v="15"/>
    <x v="5"/>
    <x v="22"/>
    <x v="2"/>
    <x v="2"/>
    <x v="5"/>
    <x v="4"/>
    <x v="0"/>
    <x v="15"/>
    <x v="0"/>
    <x v="0"/>
    <x v="128"/>
    <x v="294"/>
    <x v="4"/>
    <x v="294"/>
    <x v="294"/>
  </r>
  <r>
    <x v="294"/>
    <x v="262"/>
    <x v="258"/>
    <x v="1"/>
    <x v="2"/>
    <x v="26"/>
    <x v="2"/>
    <x v="4"/>
    <x v="6"/>
    <x v="1"/>
    <x v="295"/>
    <x v="295"/>
    <x v="294"/>
    <x v="35"/>
    <x v="21"/>
    <x v="0"/>
    <x v="294"/>
    <x v="0"/>
    <x v="35"/>
    <x v="18"/>
    <x v="256"/>
    <x v="16"/>
    <x v="295"/>
    <x v="295"/>
    <x v="295"/>
    <x v="35"/>
    <x v="0"/>
    <x v="0"/>
    <x v="26"/>
    <x v="1"/>
    <x v="0"/>
    <x v="2"/>
    <x v="2"/>
    <x v="0"/>
    <x v="0"/>
    <x v="0"/>
    <x v="0"/>
    <x v="34"/>
    <x v="295"/>
    <x v="21"/>
    <x v="295"/>
    <x v="295"/>
  </r>
  <r>
    <x v="295"/>
    <x v="263"/>
    <x v="259"/>
    <x v="1"/>
    <x v="10"/>
    <x v="36"/>
    <x v="2"/>
    <x v="4"/>
    <x v="8"/>
    <x v="5"/>
    <x v="296"/>
    <x v="296"/>
    <x v="295"/>
    <x v="85"/>
    <x v="4"/>
    <x v="0"/>
    <x v="295"/>
    <x v="0"/>
    <x v="84"/>
    <x v="5"/>
    <x v="257"/>
    <x v="5"/>
    <x v="296"/>
    <x v="296"/>
    <x v="296"/>
    <x v="84"/>
    <x v="22"/>
    <x v="7"/>
    <x v="36"/>
    <x v="1"/>
    <x v="1"/>
    <x v="10"/>
    <x v="9"/>
    <x v="0"/>
    <x v="22"/>
    <x v="0"/>
    <x v="0"/>
    <x v="78"/>
    <x v="296"/>
    <x v="4"/>
    <x v="296"/>
    <x v="296"/>
  </r>
  <r>
    <x v="296"/>
    <x v="264"/>
    <x v="260"/>
    <x v="1"/>
    <x v="10"/>
    <x v="36"/>
    <x v="5"/>
    <x v="4"/>
    <x v="1"/>
    <x v="5"/>
    <x v="297"/>
    <x v="297"/>
    <x v="296"/>
    <x v="44"/>
    <x v="6"/>
    <x v="0"/>
    <x v="296"/>
    <x v="0"/>
    <x v="44"/>
    <x v="26"/>
    <x v="258"/>
    <x v="23"/>
    <x v="297"/>
    <x v="297"/>
    <x v="297"/>
    <x v="44"/>
    <x v="0"/>
    <x v="0"/>
    <x v="36"/>
    <x v="1"/>
    <x v="0"/>
    <x v="10"/>
    <x v="9"/>
    <x v="0"/>
    <x v="0"/>
    <x v="0"/>
    <x v="0"/>
    <x v="41"/>
    <x v="297"/>
    <x v="6"/>
    <x v="297"/>
    <x v="297"/>
  </r>
  <r>
    <x v="297"/>
    <x v="265"/>
    <x v="261"/>
    <x v="3"/>
    <x v="7"/>
    <x v="17"/>
    <x v="3"/>
    <x v="1"/>
    <x v="4"/>
    <x v="6"/>
    <x v="298"/>
    <x v="298"/>
    <x v="297"/>
    <x v="4"/>
    <x v="3"/>
    <x v="0"/>
    <x v="297"/>
    <x v="0"/>
    <x v="4"/>
    <x v="20"/>
    <x v="259"/>
    <x v="18"/>
    <x v="298"/>
    <x v="298"/>
    <x v="298"/>
    <x v="4"/>
    <x v="9"/>
    <x v="3"/>
    <x v="17"/>
    <x v="0"/>
    <x v="2"/>
    <x v="7"/>
    <x v="6"/>
    <x v="0"/>
    <x v="9"/>
    <x v="1"/>
    <x v="0"/>
    <x v="4"/>
    <x v="298"/>
    <x v="3"/>
    <x v="298"/>
    <x v="298"/>
  </r>
  <r>
    <x v="298"/>
    <x v="266"/>
    <x v="217"/>
    <x v="1"/>
    <x v="2"/>
    <x v="26"/>
    <x v="1"/>
    <x v="4"/>
    <x v="0"/>
    <x v="0"/>
    <x v="299"/>
    <x v="299"/>
    <x v="298"/>
    <x v="120"/>
    <x v="14"/>
    <x v="0"/>
    <x v="298"/>
    <x v="0"/>
    <x v="119"/>
    <x v="15"/>
    <x v="216"/>
    <x v="13"/>
    <x v="299"/>
    <x v="299"/>
    <x v="299"/>
    <x v="120"/>
    <x v="7"/>
    <x v="5"/>
    <x v="26"/>
    <x v="0"/>
    <x v="2"/>
    <x v="2"/>
    <x v="2"/>
    <x v="0"/>
    <x v="7"/>
    <x v="0"/>
    <x v="0"/>
    <x v="110"/>
    <x v="299"/>
    <x v="14"/>
    <x v="299"/>
    <x v="299"/>
  </r>
  <r>
    <x v="299"/>
    <x v="230"/>
    <x v="262"/>
    <x v="2"/>
    <x v="9"/>
    <x v="23"/>
    <x v="5"/>
    <x v="5"/>
    <x v="1"/>
    <x v="1"/>
    <x v="300"/>
    <x v="300"/>
    <x v="299"/>
    <x v="6"/>
    <x v="0"/>
    <x v="0"/>
    <x v="299"/>
    <x v="0"/>
    <x v="6"/>
    <x v="0"/>
    <x v="260"/>
    <x v="0"/>
    <x v="300"/>
    <x v="300"/>
    <x v="300"/>
    <x v="6"/>
    <x v="32"/>
    <x v="10"/>
    <x v="23"/>
    <x v="1"/>
    <x v="1"/>
    <x v="9"/>
    <x v="8"/>
    <x v="0"/>
    <x v="32"/>
    <x v="0"/>
    <x v="0"/>
    <x v="6"/>
    <x v="300"/>
    <x v="0"/>
    <x v="300"/>
    <x v="300"/>
  </r>
  <r>
    <x v="300"/>
    <x v="255"/>
    <x v="263"/>
    <x v="1"/>
    <x v="4"/>
    <x v="7"/>
    <x v="5"/>
    <x v="4"/>
    <x v="8"/>
    <x v="2"/>
    <x v="301"/>
    <x v="301"/>
    <x v="300"/>
    <x v="30"/>
    <x v="3"/>
    <x v="0"/>
    <x v="300"/>
    <x v="0"/>
    <x v="30"/>
    <x v="3"/>
    <x v="261"/>
    <x v="3"/>
    <x v="301"/>
    <x v="301"/>
    <x v="301"/>
    <x v="30"/>
    <x v="23"/>
    <x v="9"/>
    <x v="7"/>
    <x v="0"/>
    <x v="1"/>
    <x v="4"/>
    <x v="3"/>
    <x v="0"/>
    <x v="23"/>
    <x v="1"/>
    <x v="0"/>
    <x v="30"/>
    <x v="301"/>
    <x v="3"/>
    <x v="301"/>
    <x v="301"/>
  </r>
  <r>
    <x v="301"/>
    <x v="267"/>
    <x v="264"/>
    <x v="3"/>
    <x v="8"/>
    <x v="21"/>
    <x v="1"/>
    <x v="4"/>
    <x v="7"/>
    <x v="3"/>
    <x v="302"/>
    <x v="302"/>
    <x v="301"/>
    <x v="155"/>
    <x v="10"/>
    <x v="0"/>
    <x v="301"/>
    <x v="0"/>
    <x v="154"/>
    <x v="14"/>
    <x v="262"/>
    <x v="12"/>
    <x v="302"/>
    <x v="302"/>
    <x v="302"/>
    <x v="158"/>
    <x v="15"/>
    <x v="5"/>
    <x v="21"/>
    <x v="2"/>
    <x v="2"/>
    <x v="8"/>
    <x v="7"/>
    <x v="0"/>
    <x v="15"/>
    <x v="0"/>
    <x v="0"/>
    <x v="142"/>
    <x v="302"/>
    <x v="10"/>
    <x v="302"/>
    <x v="302"/>
  </r>
  <r>
    <x v="302"/>
    <x v="268"/>
    <x v="265"/>
    <x v="0"/>
    <x v="0"/>
    <x v="0"/>
    <x v="3"/>
    <x v="4"/>
    <x v="1"/>
    <x v="4"/>
    <x v="303"/>
    <x v="303"/>
    <x v="302"/>
    <x v="164"/>
    <x v="2"/>
    <x v="0"/>
    <x v="302"/>
    <x v="0"/>
    <x v="162"/>
    <x v="28"/>
    <x v="263"/>
    <x v="25"/>
    <x v="303"/>
    <x v="303"/>
    <x v="303"/>
    <x v="166"/>
    <x v="16"/>
    <x v="4"/>
    <x v="0"/>
    <x v="2"/>
    <x v="0"/>
    <x v="0"/>
    <x v="0"/>
    <x v="0"/>
    <x v="16"/>
    <x v="1"/>
    <x v="0"/>
    <x v="150"/>
    <x v="303"/>
    <x v="2"/>
    <x v="303"/>
    <x v="303"/>
  </r>
  <r>
    <x v="303"/>
    <x v="68"/>
    <x v="266"/>
    <x v="3"/>
    <x v="7"/>
    <x v="17"/>
    <x v="3"/>
    <x v="3"/>
    <x v="9"/>
    <x v="5"/>
    <x v="304"/>
    <x v="304"/>
    <x v="303"/>
    <x v="15"/>
    <x v="15"/>
    <x v="0"/>
    <x v="303"/>
    <x v="0"/>
    <x v="15"/>
    <x v="4"/>
    <x v="264"/>
    <x v="4"/>
    <x v="304"/>
    <x v="304"/>
    <x v="304"/>
    <x v="15"/>
    <x v="18"/>
    <x v="5"/>
    <x v="17"/>
    <x v="1"/>
    <x v="2"/>
    <x v="7"/>
    <x v="6"/>
    <x v="0"/>
    <x v="18"/>
    <x v="1"/>
    <x v="0"/>
    <x v="15"/>
    <x v="304"/>
    <x v="15"/>
    <x v="304"/>
    <x v="304"/>
  </r>
  <r>
    <x v="304"/>
    <x v="79"/>
    <x v="267"/>
    <x v="0"/>
    <x v="1"/>
    <x v="3"/>
    <x v="1"/>
    <x v="3"/>
    <x v="3"/>
    <x v="6"/>
    <x v="305"/>
    <x v="305"/>
    <x v="304"/>
    <x v="165"/>
    <x v="22"/>
    <x v="0"/>
    <x v="304"/>
    <x v="0"/>
    <x v="163"/>
    <x v="28"/>
    <x v="265"/>
    <x v="25"/>
    <x v="305"/>
    <x v="305"/>
    <x v="305"/>
    <x v="167"/>
    <x v="3"/>
    <x v="3"/>
    <x v="3"/>
    <x v="0"/>
    <x v="2"/>
    <x v="1"/>
    <x v="1"/>
    <x v="0"/>
    <x v="3"/>
    <x v="1"/>
    <x v="0"/>
    <x v="151"/>
    <x v="305"/>
    <x v="22"/>
    <x v="305"/>
    <x v="305"/>
  </r>
  <r>
    <x v="305"/>
    <x v="269"/>
    <x v="8"/>
    <x v="1"/>
    <x v="10"/>
    <x v="39"/>
    <x v="5"/>
    <x v="0"/>
    <x v="9"/>
    <x v="2"/>
    <x v="306"/>
    <x v="306"/>
    <x v="305"/>
    <x v="166"/>
    <x v="15"/>
    <x v="0"/>
    <x v="305"/>
    <x v="0"/>
    <x v="164"/>
    <x v="24"/>
    <x v="8"/>
    <x v="21"/>
    <x v="306"/>
    <x v="306"/>
    <x v="306"/>
    <x v="168"/>
    <x v="7"/>
    <x v="5"/>
    <x v="40"/>
    <x v="0"/>
    <x v="2"/>
    <x v="10"/>
    <x v="9"/>
    <x v="0"/>
    <x v="7"/>
    <x v="0"/>
    <x v="0"/>
    <x v="152"/>
    <x v="306"/>
    <x v="15"/>
    <x v="306"/>
    <x v="306"/>
  </r>
  <r>
    <x v="306"/>
    <x v="265"/>
    <x v="268"/>
    <x v="2"/>
    <x v="6"/>
    <x v="27"/>
    <x v="3"/>
    <x v="3"/>
    <x v="14"/>
    <x v="1"/>
    <x v="307"/>
    <x v="307"/>
    <x v="306"/>
    <x v="124"/>
    <x v="12"/>
    <x v="0"/>
    <x v="306"/>
    <x v="0"/>
    <x v="123"/>
    <x v="21"/>
    <x v="266"/>
    <x v="19"/>
    <x v="307"/>
    <x v="307"/>
    <x v="307"/>
    <x v="169"/>
    <x v="9"/>
    <x v="3"/>
    <x v="27"/>
    <x v="1"/>
    <x v="2"/>
    <x v="6"/>
    <x v="5"/>
    <x v="1"/>
    <x v="9"/>
    <x v="0"/>
    <x v="0"/>
    <x v="114"/>
    <x v="307"/>
    <x v="12"/>
    <x v="307"/>
    <x v="307"/>
  </r>
  <r>
    <x v="307"/>
    <x v="270"/>
    <x v="269"/>
    <x v="3"/>
    <x v="7"/>
    <x v="17"/>
    <x v="2"/>
    <x v="4"/>
    <x v="13"/>
    <x v="4"/>
    <x v="308"/>
    <x v="308"/>
    <x v="307"/>
    <x v="24"/>
    <x v="16"/>
    <x v="0"/>
    <x v="307"/>
    <x v="0"/>
    <x v="24"/>
    <x v="7"/>
    <x v="198"/>
    <x v="6"/>
    <x v="308"/>
    <x v="308"/>
    <x v="308"/>
    <x v="24"/>
    <x v="4"/>
    <x v="2"/>
    <x v="17"/>
    <x v="2"/>
    <x v="1"/>
    <x v="7"/>
    <x v="6"/>
    <x v="0"/>
    <x v="4"/>
    <x v="0"/>
    <x v="0"/>
    <x v="24"/>
    <x v="308"/>
    <x v="16"/>
    <x v="308"/>
    <x v="308"/>
  </r>
  <r>
    <x v="308"/>
    <x v="271"/>
    <x v="130"/>
    <x v="3"/>
    <x v="8"/>
    <x v="31"/>
    <x v="0"/>
    <x v="4"/>
    <x v="4"/>
    <x v="5"/>
    <x v="309"/>
    <x v="309"/>
    <x v="308"/>
    <x v="56"/>
    <x v="2"/>
    <x v="0"/>
    <x v="308"/>
    <x v="0"/>
    <x v="56"/>
    <x v="18"/>
    <x v="128"/>
    <x v="16"/>
    <x v="309"/>
    <x v="309"/>
    <x v="309"/>
    <x v="56"/>
    <x v="5"/>
    <x v="1"/>
    <x v="31"/>
    <x v="1"/>
    <x v="2"/>
    <x v="8"/>
    <x v="7"/>
    <x v="0"/>
    <x v="5"/>
    <x v="0"/>
    <x v="0"/>
    <x v="52"/>
    <x v="309"/>
    <x v="2"/>
    <x v="309"/>
    <x v="309"/>
  </r>
  <r>
    <x v="309"/>
    <x v="153"/>
    <x v="64"/>
    <x v="1"/>
    <x v="4"/>
    <x v="30"/>
    <x v="2"/>
    <x v="1"/>
    <x v="2"/>
    <x v="2"/>
    <x v="310"/>
    <x v="310"/>
    <x v="309"/>
    <x v="106"/>
    <x v="13"/>
    <x v="0"/>
    <x v="309"/>
    <x v="0"/>
    <x v="105"/>
    <x v="18"/>
    <x v="64"/>
    <x v="16"/>
    <x v="310"/>
    <x v="310"/>
    <x v="310"/>
    <x v="105"/>
    <x v="6"/>
    <x v="4"/>
    <x v="30"/>
    <x v="0"/>
    <x v="0"/>
    <x v="4"/>
    <x v="3"/>
    <x v="0"/>
    <x v="6"/>
    <x v="0"/>
    <x v="0"/>
    <x v="97"/>
    <x v="310"/>
    <x v="13"/>
    <x v="310"/>
    <x v="310"/>
  </r>
  <r>
    <x v="310"/>
    <x v="86"/>
    <x v="270"/>
    <x v="1"/>
    <x v="2"/>
    <x v="4"/>
    <x v="2"/>
    <x v="0"/>
    <x v="11"/>
    <x v="6"/>
    <x v="311"/>
    <x v="311"/>
    <x v="310"/>
    <x v="167"/>
    <x v="11"/>
    <x v="0"/>
    <x v="310"/>
    <x v="0"/>
    <x v="165"/>
    <x v="6"/>
    <x v="88"/>
    <x v="1"/>
    <x v="311"/>
    <x v="311"/>
    <x v="311"/>
    <x v="170"/>
    <x v="22"/>
    <x v="7"/>
    <x v="4"/>
    <x v="0"/>
    <x v="1"/>
    <x v="2"/>
    <x v="2"/>
    <x v="0"/>
    <x v="22"/>
    <x v="1"/>
    <x v="0"/>
    <x v="153"/>
    <x v="311"/>
    <x v="11"/>
    <x v="311"/>
    <x v="311"/>
  </r>
  <r>
    <x v="311"/>
    <x v="272"/>
    <x v="271"/>
    <x v="3"/>
    <x v="8"/>
    <x v="21"/>
    <x v="0"/>
    <x v="0"/>
    <x v="11"/>
    <x v="1"/>
    <x v="312"/>
    <x v="312"/>
    <x v="311"/>
    <x v="4"/>
    <x v="19"/>
    <x v="0"/>
    <x v="311"/>
    <x v="0"/>
    <x v="4"/>
    <x v="28"/>
    <x v="267"/>
    <x v="25"/>
    <x v="312"/>
    <x v="312"/>
    <x v="312"/>
    <x v="4"/>
    <x v="17"/>
    <x v="1"/>
    <x v="21"/>
    <x v="1"/>
    <x v="2"/>
    <x v="8"/>
    <x v="7"/>
    <x v="0"/>
    <x v="17"/>
    <x v="1"/>
    <x v="0"/>
    <x v="4"/>
    <x v="312"/>
    <x v="19"/>
    <x v="312"/>
    <x v="312"/>
  </r>
  <r>
    <x v="312"/>
    <x v="273"/>
    <x v="272"/>
    <x v="0"/>
    <x v="11"/>
    <x v="25"/>
    <x v="1"/>
    <x v="3"/>
    <x v="9"/>
    <x v="5"/>
    <x v="313"/>
    <x v="313"/>
    <x v="312"/>
    <x v="7"/>
    <x v="4"/>
    <x v="0"/>
    <x v="312"/>
    <x v="0"/>
    <x v="7"/>
    <x v="14"/>
    <x v="268"/>
    <x v="12"/>
    <x v="313"/>
    <x v="313"/>
    <x v="313"/>
    <x v="7"/>
    <x v="16"/>
    <x v="4"/>
    <x v="25"/>
    <x v="1"/>
    <x v="0"/>
    <x v="11"/>
    <x v="10"/>
    <x v="0"/>
    <x v="16"/>
    <x v="0"/>
    <x v="0"/>
    <x v="7"/>
    <x v="313"/>
    <x v="4"/>
    <x v="313"/>
    <x v="313"/>
  </r>
  <r>
    <x v="313"/>
    <x v="261"/>
    <x v="273"/>
    <x v="3"/>
    <x v="7"/>
    <x v="28"/>
    <x v="5"/>
    <x v="3"/>
    <x v="3"/>
    <x v="0"/>
    <x v="314"/>
    <x v="314"/>
    <x v="313"/>
    <x v="168"/>
    <x v="20"/>
    <x v="0"/>
    <x v="313"/>
    <x v="0"/>
    <x v="166"/>
    <x v="17"/>
    <x v="269"/>
    <x v="15"/>
    <x v="314"/>
    <x v="314"/>
    <x v="314"/>
    <x v="171"/>
    <x v="15"/>
    <x v="5"/>
    <x v="28"/>
    <x v="0"/>
    <x v="2"/>
    <x v="7"/>
    <x v="6"/>
    <x v="0"/>
    <x v="15"/>
    <x v="1"/>
    <x v="0"/>
    <x v="154"/>
    <x v="314"/>
    <x v="20"/>
    <x v="314"/>
    <x v="314"/>
  </r>
  <r>
    <x v="314"/>
    <x v="274"/>
    <x v="27"/>
    <x v="2"/>
    <x v="6"/>
    <x v="9"/>
    <x v="4"/>
    <x v="2"/>
    <x v="4"/>
    <x v="3"/>
    <x v="315"/>
    <x v="315"/>
    <x v="314"/>
    <x v="169"/>
    <x v="3"/>
    <x v="0"/>
    <x v="314"/>
    <x v="0"/>
    <x v="167"/>
    <x v="13"/>
    <x v="27"/>
    <x v="11"/>
    <x v="315"/>
    <x v="315"/>
    <x v="315"/>
    <x v="172"/>
    <x v="14"/>
    <x v="7"/>
    <x v="9"/>
    <x v="2"/>
    <x v="1"/>
    <x v="6"/>
    <x v="5"/>
    <x v="1"/>
    <x v="14"/>
    <x v="0"/>
    <x v="0"/>
    <x v="155"/>
    <x v="315"/>
    <x v="3"/>
    <x v="315"/>
    <x v="315"/>
  </r>
  <r>
    <x v="315"/>
    <x v="275"/>
    <x v="274"/>
    <x v="1"/>
    <x v="4"/>
    <x v="7"/>
    <x v="4"/>
    <x v="4"/>
    <x v="10"/>
    <x v="2"/>
    <x v="316"/>
    <x v="316"/>
    <x v="315"/>
    <x v="42"/>
    <x v="11"/>
    <x v="0"/>
    <x v="315"/>
    <x v="0"/>
    <x v="42"/>
    <x v="14"/>
    <x v="270"/>
    <x v="12"/>
    <x v="316"/>
    <x v="316"/>
    <x v="316"/>
    <x v="42"/>
    <x v="30"/>
    <x v="10"/>
    <x v="7"/>
    <x v="0"/>
    <x v="1"/>
    <x v="4"/>
    <x v="3"/>
    <x v="0"/>
    <x v="30"/>
    <x v="0"/>
    <x v="0"/>
    <x v="39"/>
    <x v="316"/>
    <x v="11"/>
    <x v="316"/>
    <x v="316"/>
  </r>
  <r>
    <x v="316"/>
    <x v="276"/>
    <x v="275"/>
    <x v="1"/>
    <x v="10"/>
    <x v="24"/>
    <x v="0"/>
    <x v="4"/>
    <x v="2"/>
    <x v="5"/>
    <x v="317"/>
    <x v="317"/>
    <x v="316"/>
    <x v="170"/>
    <x v="20"/>
    <x v="0"/>
    <x v="316"/>
    <x v="0"/>
    <x v="168"/>
    <x v="0"/>
    <x v="271"/>
    <x v="0"/>
    <x v="317"/>
    <x v="317"/>
    <x v="317"/>
    <x v="173"/>
    <x v="18"/>
    <x v="5"/>
    <x v="24"/>
    <x v="1"/>
    <x v="2"/>
    <x v="10"/>
    <x v="9"/>
    <x v="0"/>
    <x v="18"/>
    <x v="0"/>
    <x v="0"/>
    <x v="156"/>
    <x v="317"/>
    <x v="20"/>
    <x v="317"/>
    <x v="317"/>
  </r>
  <r>
    <x v="317"/>
    <x v="277"/>
    <x v="276"/>
    <x v="0"/>
    <x v="0"/>
    <x v="13"/>
    <x v="3"/>
    <x v="0"/>
    <x v="0"/>
    <x v="6"/>
    <x v="318"/>
    <x v="318"/>
    <x v="317"/>
    <x v="101"/>
    <x v="43"/>
    <x v="0"/>
    <x v="317"/>
    <x v="0"/>
    <x v="100"/>
    <x v="23"/>
    <x v="272"/>
    <x v="20"/>
    <x v="318"/>
    <x v="318"/>
    <x v="318"/>
    <x v="153"/>
    <x v="21"/>
    <x v="2"/>
    <x v="13"/>
    <x v="0"/>
    <x v="1"/>
    <x v="0"/>
    <x v="0"/>
    <x v="0"/>
    <x v="21"/>
    <x v="0"/>
    <x v="0"/>
    <x v="92"/>
    <x v="318"/>
    <x v="43"/>
    <x v="318"/>
    <x v="318"/>
  </r>
  <r>
    <x v="318"/>
    <x v="90"/>
    <x v="277"/>
    <x v="3"/>
    <x v="5"/>
    <x v="37"/>
    <x v="3"/>
    <x v="1"/>
    <x v="5"/>
    <x v="3"/>
    <x v="319"/>
    <x v="319"/>
    <x v="318"/>
    <x v="171"/>
    <x v="10"/>
    <x v="0"/>
    <x v="318"/>
    <x v="0"/>
    <x v="169"/>
    <x v="31"/>
    <x v="273"/>
    <x v="28"/>
    <x v="319"/>
    <x v="319"/>
    <x v="319"/>
    <x v="174"/>
    <x v="6"/>
    <x v="4"/>
    <x v="37"/>
    <x v="2"/>
    <x v="0"/>
    <x v="5"/>
    <x v="4"/>
    <x v="0"/>
    <x v="6"/>
    <x v="0"/>
    <x v="0"/>
    <x v="157"/>
    <x v="319"/>
    <x v="10"/>
    <x v="319"/>
    <x v="319"/>
  </r>
  <r>
    <x v="319"/>
    <x v="278"/>
    <x v="235"/>
    <x v="1"/>
    <x v="10"/>
    <x v="15"/>
    <x v="1"/>
    <x v="2"/>
    <x v="4"/>
    <x v="2"/>
    <x v="320"/>
    <x v="320"/>
    <x v="319"/>
    <x v="65"/>
    <x v="3"/>
    <x v="0"/>
    <x v="319"/>
    <x v="0"/>
    <x v="64"/>
    <x v="12"/>
    <x v="274"/>
    <x v="1"/>
    <x v="320"/>
    <x v="320"/>
    <x v="320"/>
    <x v="64"/>
    <x v="8"/>
    <x v="0"/>
    <x v="15"/>
    <x v="0"/>
    <x v="0"/>
    <x v="10"/>
    <x v="9"/>
    <x v="0"/>
    <x v="8"/>
    <x v="1"/>
    <x v="1"/>
    <x v="59"/>
    <x v="320"/>
    <x v="3"/>
    <x v="320"/>
    <x v="320"/>
  </r>
  <r>
    <x v="320"/>
    <x v="2"/>
    <x v="278"/>
    <x v="3"/>
    <x v="7"/>
    <x v="11"/>
    <x v="0"/>
    <x v="0"/>
    <x v="10"/>
    <x v="2"/>
    <x v="321"/>
    <x v="321"/>
    <x v="320"/>
    <x v="172"/>
    <x v="16"/>
    <x v="0"/>
    <x v="320"/>
    <x v="0"/>
    <x v="170"/>
    <x v="12"/>
    <x v="275"/>
    <x v="1"/>
    <x v="321"/>
    <x v="321"/>
    <x v="321"/>
    <x v="175"/>
    <x v="2"/>
    <x v="2"/>
    <x v="11"/>
    <x v="0"/>
    <x v="1"/>
    <x v="7"/>
    <x v="6"/>
    <x v="0"/>
    <x v="2"/>
    <x v="1"/>
    <x v="0"/>
    <x v="158"/>
    <x v="321"/>
    <x v="16"/>
    <x v="321"/>
    <x v="321"/>
  </r>
  <r>
    <x v="321"/>
    <x v="141"/>
    <x v="279"/>
    <x v="1"/>
    <x v="4"/>
    <x v="7"/>
    <x v="5"/>
    <x v="1"/>
    <x v="7"/>
    <x v="0"/>
    <x v="322"/>
    <x v="322"/>
    <x v="321"/>
    <x v="166"/>
    <x v="20"/>
    <x v="0"/>
    <x v="321"/>
    <x v="0"/>
    <x v="164"/>
    <x v="24"/>
    <x v="276"/>
    <x v="21"/>
    <x v="322"/>
    <x v="322"/>
    <x v="322"/>
    <x v="168"/>
    <x v="31"/>
    <x v="0"/>
    <x v="7"/>
    <x v="0"/>
    <x v="0"/>
    <x v="4"/>
    <x v="3"/>
    <x v="0"/>
    <x v="31"/>
    <x v="0"/>
    <x v="0"/>
    <x v="152"/>
    <x v="322"/>
    <x v="20"/>
    <x v="322"/>
    <x v="322"/>
  </r>
  <r>
    <x v="322"/>
    <x v="190"/>
    <x v="233"/>
    <x v="1"/>
    <x v="4"/>
    <x v="7"/>
    <x v="1"/>
    <x v="4"/>
    <x v="1"/>
    <x v="0"/>
    <x v="323"/>
    <x v="323"/>
    <x v="322"/>
    <x v="129"/>
    <x v="21"/>
    <x v="0"/>
    <x v="322"/>
    <x v="0"/>
    <x v="128"/>
    <x v="11"/>
    <x v="232"/>
    <x v="10"/>
    <x v="323"/>
    <x v="323"/>
    <x v="323"/>
    <x v="129"/>
    <x v="29"/>
    <x v="8"/>
    <x v="7"/>
    <x v="0"/>
    <x v="0"/>
    <x v="4"/>
    <x v="3"/>
    <x v="0"/>
    <x v="29"/>
    <x v="0"/>
    <x v="0"/>
    <x v="119"/>
    <x v="323"/>
    <x v="21"/>
    <x v="323"/>
    <x v="323"/>
  </r>
  <r>
    <x v="323"/>
    <x v="238"/>
    <x v="280"/>
    <x v="0"/>
    <x v="11"/>
    <x v="25"/>
    <x v="1"/>
    <x v="3"/>
    <x v="10"/>
    <x v="6"/>
    <x v="324"/>
    <x v="324"/>
    <x v="323"/>
    <x v="173"/>
    <x v="2"/>
    <x v="0"/>
    <x v="323"/>
    <x v="0"/>
    <x v="171"/>
    <x v="24"/>
    <x v="277"/>
    <x v="21"/>
    <x v="324"/>
    <x v="324"/>
    <x v="324"/>
    <x v="176"/>
    <x v="14"/>
    <x v="7"/>
    <x v="25"/>
    <x v="0"/>
    <x v="1"/>
    <x v="11"/>
    <x v="10"/>
    <x v="0"/>
    <x v="14"/>
    <x v="0"/>
    <x v="0"/>
    <x v="159"/>
    <x v="324"/>
    <x v="2"/>
    <x v="324"/>
    <x v="324"/>
  </r>
  <r>
    <x v="324"/>
    <x v="181"/>
    <x v="185"/>
    <x v="2"/>
    <x v="3"/>
    <x v="34"/>
    <x v="3"/>
    <x v="4"/>
    <x v="4"/>
    <x v="0"/>
    <x v="325"/>
    <x v="325"/>
    <x v="324"/>
    <x v="174"/>
    <x v="5"/>
    <x v="0"/>
    <x v="324"/>
    <x v="0"/>
    <x v="172"/>
    <x v="15"/>
    <x v="185"/>
    <x v="13"/>
    <x v="325"/>
    <x v="325"/>
    <x v="325"/>
    <x v="177"/>
    <x v="8"/>
    <x v="0"/>
    <x v="34"/>
    <x v="0"/>
    <x v="0"/>
    <x v="3"/>
    <x v="3"/>
    <x v="0"/>
    <x v="8"/>
    <x v="0"/>
    <x v="0"/>
    <x v="160"/>
    <x v="325"/>
    <x v="5"/>
    <x v="325"/>
    <x v="325"/>
  </r>
  <r>
    <x v="325"/>
    <x v="279"/>
    <x v="281"/>
    <x v="0"/>
    <x v="0"/>
    <x v="16"/>
    <x v="4"/>
    <x v="4"/>
    <x v="9"/>
    <x v="3"/>
    <x v="326"/>
    <x v="326"/>
    <x v="325"/>
    <x v="13"/>
    <x v="28"/>
    <x v="0"/>
    <x v="325"/>
    <x v="0"/>
    <x v="13"/>
    <x v="13"/>
    <x v="278"/>
    <x v="11"/>
    <x v="326"/>
    <x v="326"/>
    <x v="326"/>
    <x v="13"/>
    <x v="22"/>
    <x v="7"/>
    <x v="16"/>
    <x v="2"/>
    <x v="1"/>
    <x v="0"/>
    <x v="0"/>
    <x v="0"/>
    <x v="22"/>
    <x v="0"/>
    <x v="0"/>
    <x v="13"/>
    <x v="326"/>
    <x v="28"/>
    <x v="326"/>
    <x v="326"/>
  </r>
  <r>
    <x v="326"/>
    <x v="280"/>
    <x v="282"/>
    <x v="1"/>
    <x v="4"/>
    <x v="7"/>
    <x v="3"/>
    <x v="3"/>
    <x v="14"/>
    <x v="5"/>
    <x v="327"/>
    <x v="327"/>
    <x v="326"/>
    <x v="175"/>
    <x v="10"/>
    <x v="0"/>
    <x v="326"/>
    <x v="1"/>
    <x v="32"/>
    <x v="6"/>
    <x v="279"/>
    <x v="1"/>
    <x v="327"/>
    <x v="327"/>
    <x v="327"/>
    <x v="32"/>
    <x v="7"/>
    <x v="5"/>
    <x v="7"/>
    <x v="1"/>
    <x v="2"/>
    <x v="4"/>
    <x v="3"/>
    <x v="0"/>
    <x v="7"/>
    <x v="1"/>
    <x v="1"/>
    <x v="10"/>
    <x v="327"/>
    <x v="10"/>
    <x v="327"/>
    <x v="327"/>
  </r>
  <r>
    <x v="327"/>
    <x v="281"/>
    <x v="283"/>
    <x v="1"/>
    <x v="2"/>
    <x v="4"/>
    <x v="3"/>
    <x v="2"/>
    <x v="2"/>
    <x v="4"/>
    <x v="328"/>
    <x v="328"/>
    <x v="327"/>
    <x v="46"/>
    <x v="21"/>
    <x v="0"/>
    <x v="327"/>
    <x v="0"/>
    <x v="46"/>
    <x v="2"/>
    <x v="280"/>
    <x v="2"/>
    <x v="328"/>
    <x v="328"/>
    <x v="328"/>
    <x v="46"/>
    <x v="32"/>
    <x v="10"/>
    <x v="4"/>
    <x v="2"/>
    <x v="1"/>
    <x v="2"/>
    <x v="2"/>
    <x v="0"/>
    <x v="32"/>
    <x v="0"/>
    <x v="0"/>
    <x v="43"/>
    <x v="328"/>
    <x v="21"/>
    <x v="328"/>
    <x v="328"/>
  </r>
  <r>
    <x v="328"/>
    <x v="282"/>
    <x v="10"/>
    <x v="1"/>
    <x v="10"/>
    <x v="36"/>
    <x v="5"/>
    <x v="3"/>
    <x v="9"/>
    <x v="3"/>
    <x v="329"/>
    <x v="329"/>
    <x v="328"/>
    <x v="176"/>
    <x v="2"/>
    <x v="0"/>
    <x v="328"/>
    <x v="0"/>
    <x v="173"/>
    <x v="8"/>
    <x v="10"/>
    <x v="7"/>
    <x v="329"/>
    <x v="329"/>
    <x v="329"/>
    <x v="178"/>
    <x v="9"/>
    <x v="3"/>
    <x v="36"/>
    <x v="2"/>
    <x v="2"/>
    <x v="10"/>
    <x v="9"/>
    <x v="0"/>
    <x v="9"/>
    <x v="0"/>
    <x v="0"/>
    <x v="161"/>
    <x v="329"/>
    <x v="2"/>
    <x v="329"/>
    <x v="329"/>
  </r>
  <r>
    <x v="329"/>
    <x v="283"/>
    <x v="284"/>
    <x v="3"/>
    <x v="8"/>
    <x v="21"/>
    <x v="3"/>
    <x v="4"/>
    <x v="12"/>
    <x v="2"/>
    <x v="330"/>
    <x v="330"/>
    <x v="329"/>
    <x v="177"/>
    <x v="20"/>
    <x v="0"/>
    <x v="329"/>
    <x v="0"/>
    <x v="174"/>
    <x v="8"/>
    <x v="281"/>
    <x v="7"/>
    <x v="330"/>
    <x v="330"/>
    <x v="330"/>
    <x v="179"/>
    <x v="10"/>
    <x v="6"/>
    <x v="21"/>
    <x v="0"/>
    <x v="2"/>
    <x v="8"/>
    <x v="7"/>
    <x v="0"/>
    <x v="10"/>
    <x v="0"/>
    <x v="1"/>
    <x v="162"/>
    <x v="330"/>
    <x v="20"/>
    <x v="330"/>
    <x v="330"/>
  </r>
  <r>
    <x v="330"/>
    <x v="51"/>
    <x v="285"/>
    <x v="2"/>
    <x v="3"/>
    <x v="18"/>
    <x v="3"/>
    <x v="2"/>
    <x v="14"/>
    <x v="6"/>
    <x v="331"/>
    <x v="331"/>
    <x v="330"/>
    <x v="178"/>
    <x v="5"/>
    <x v="0"/>
    <x v="330"/>
    <x v="0"/>
    <x v="175"/>
    <x v="3"/>
    <x v="282"/>
    <x v="3"/>
    <x v="331"/>
    <x v="331"/>
    <x v="331"/>
    <x v="180"/>
    <x v="24"/>
    <x v="9"/>
    <x v="18"/>
    <x v="0"/>
    <x v="1"/>
    <x v="3"/>
    <x v="3"/>
    <x v="0"/>
    <x v="24"/>
    <x v="1"/>
    <x v="1"/>
    <x v="10"/>
    <x v="331"/>
    <x v="5"/>
    <x v="331"/>
    <x v="331"/>
  </r>
  <r>
    <x v="331"/>
    <x v="284"/>
    <x v="286"/>
    <x v="3"/>
    <x v="8"/>
    <x v="31"/>
    <x v="1"/>
    <x v="4"/>
    <x v="9"/>
    <x v="6"/>
    <x v="332"/>
    <x v="332"/>
    <x v="331"/>
    <x v="179"/>
    <x v="27"/>
    <x v="0"/>
    <x v="331"/>
    <x v="0"/>
    <x v="176"/>
    <x v="31"/>
    <x v="283"/>
    <x v="28"/>
    <x v="332"/>
    <x v="332"/>
    <x v="332"/>
    <x v="181"/>
    <x v="30"/>
    <x v="10"/>
    <x v="31"/>
    <x v="0"/>
    <x v="1"/>
    <x v="8"/>
    <x v="7"/>
    <x v="0"/>
    <x v="30"/>
    <x v="0"/>
    <x v="0"/>
    <x v="163"/>
    <x v="332"/>
    <x v="27"/>
    <x v="332"/>
    <x v="332"/>
  </r>
  <r>
    <x v="332"/>
    <x v="59"/>
    <x v="217"/>
    <x v="2"/>
    <x v="3"/>
    <x v="35"/>
    <x v="4"/>
    <x v="2"/>
    <x v="9"/>
    <x v="3"/>
    <x v="333"/>
    <x v="333"/>
    <x v="332"/>
    <x v="180"/>
    <x v="27"/>
    <x v="0"/>
    <x v="332"/>
    <x v="0"/>
    <x v="177"/>
    <x v="19"/>
    <x v="216"/>
    <x v="17"/>
    <x v="333"/>
    <x v="333"/>
    <x v="333"/>
    <x v="182"/>
    <x v="18"/>
    <x v="5"/>
    <x v="35"/>
    <x v="2"/>
    <x v="2"/>
    <x v="3"/>
    <x v="3"/>
    <x v="0"/>
    <x v="18"/>
    <x v="0"/>
    <x v="0"/>
    <x v="164"/>
    <x v="333"/>
    <x v="27"/>
    <x v="333"/>
    <x v="333"/>
  </r>
  <r>
    <x v="333"/>
    <x v="285"/>
    <x v="287"/>
    <x v="3"/>
    <x v="7"/>
    <x v="17"/>
    <x v="5"/>
    <x v="1"/>
    <x v="5"/>
    <x v="1"/>
    <x v="334"/>
    <x v="334"/>
    <x v="333"/>
    <x v="181"/>
    <x v="4"/>
    <x v="0"/>
    <x v="333"/>
    <x v="0"/>
    <x v="178"/>
    <x v="29"/>
    <x v="284"/>
    <x v="26"/>
    <x v="334"/>
    <x v="334"/>
    <x v="334"/>
    <x v="183"/>
    <x v="19"/>
    <x v="4"/>
    <x v="17"/>
    <x v="1"/>
    <x v="0"/>
    <x v="7"/>
    <x v="6"/>
    <x v="0"/>
    <x v="19"/>
    <x v="0"/>
    <x v="0"/>
    <x v="165"/>
    <x v="334"/>
    <x v="4"/>
    <x v="334"/>
    <x v="334"/>
  </r>
  <r>
    <x v="334"/>
    <x v="286"/>
    <x v="223"/>
    <x v="2"/>
    <x v="9"/>
    <x v="14"/>
    <x v="5"/>
    <x v="1"/>
    <x v="3"/>
    <x v="3"/>
    <x v="335"/>
    <x v="335"/>
    <x v="334"/>
    <x v="71"/>
    <x v="3"/>
    <x v="0"/>
    <x v="334"/>
    <x v="0"/>
    <x v="70"/>
    <x v="9"/>
    <x v="222"/>
    <x v="8"/>
    <x v="335"/>
    <x v="335"/>
    <x v="335"/>
    <x v="70"/>
    <x v="13"/>
    <x v="8"/>
    <x v="14"/>
    <x v="2"/>
    <x v="0"/>
    <x v="9"/>
    <x v="8"/>
    <x v="0"/>
    <x v="13"/>
    <x v="0"/>
    <x v="0"/>
    <x v="65"/>
    <x v="335"/>
    <x v="3"/>
    <x v="335"/>
    <x v="335"/>
  </r>
  <r>
    <x v="335"/>
    <x v="141"/>
    <x v="181"/>
    <x v="1"/>
    <x v="4"/>
    <x v="35"/>
    <x v="4"/>
    <x v="3"/>
    <x v="7"/>
    <x v="1"/>
    <x v="336"/>
    <x v="336"/>
    <x v="335"/>
    <x v="182"/>
    <x v="18"/>
    <x v="0"/>
    <x v="335"/>
    <x v="0"/>
    <x v="179"/>
    <x v="18"/>
    <x v="181"/>
    <x v="16"/>
    <x v="336"/>
    <x v="336"/>
    <x v="336"/>
    <x v="184"/>
    <x v="31"/>
    <x v="0"/>
    <x v="41"/>
    <x v="1"/>
    <x v="0"/>
    <x v="4"/>
    <x v="3"/>
    <x v="0"/>
    <x v="31"/>
    <x v="0"/>
    <x v="1"/>
    <x v="166"/>
    <x v="336"/>
    <x v="18"/>
    <x v="336"/>
    <x v="336"/>
  </r>
  <r>
    <x v="336"/>
    <x v="287"/>
    <x v="253"/>
    <x v="0"/>
    <x v="1"/>
    <x v="1"/>
    <x v="0"/>
    <x v="3"/>
    <x v="2"/>
    <x v="6"/>
    <x v="337"/>
    <x v="337"/>
    <x v="336"/>
    <x v="183"/>
    <x v="0"/>
    <x v="0"/>
    <x v="336"/>
    <x v="0"/>
    <x v="180"/>
    <x v="14"/>
    <x v="251"/>
    <x v="12"/>
    <x v="337"/>
    <x v="337"/>
    <x v="337"/>
    <x v="185"/>
    <x v="23"/>
    <x v="9"/>
    <x v="1"/>
    <x v="0"/>
    <x v="1"/>
    <x v="1"/>
    <x v="1"/>
    <x v="0"/>
    <x v="23"/>
    <x v="0"/>
    <x v="1"/>
    <x v="167"/>
    <x v="337"/>
    <x v="0"/>
    <x v="337"/>
    <x v="337"/>
  </r>
  <r>
    <x v="337"/>
    <x v="288"/>
    <x v="171"/>
    <x v="0"/>
    <x v="11"/>
    <x v="25"/>
    <x v="4"/>
    <x v="2"/>
    <x v="15"/>
    <x v="5"/>
    <x v="338"/>
    <x v="338"/>
    <x v="337"/>
    <x v="184"/>
    <x v="12"/>
    <x v="0"/>
    <x v="337"/>
    <x v="0"/>
    <x v="181"/>
    <x v="22"/>
    <x v="171"/>
    <x v="1"/>
    <x v="338"/>
    <x v="338"/>
    <x v="338"/>
    <x v="186"/>
    <x v="23"/>
    <x v="9"/>
    <x v="25"/>
    <x v="1"/>
    <x v="1"/>
    <x v="11"/>
    <x v="10"/>
    <x v="0"/>
    <x v="23"/>
    <x v="1"/>
    <x v="1"/>
    <x v="10"/>
    <x v="338"/>
    <x v="12"/>
    <x v="338"/>
    <x v="338"/>
  </r>
  <r>
    <x v="338"/>
    <x v="244"/>
    <x v="288"/>
    <x v="0"/>
    <x v="0"/>
    <x v="2"/>
    <x v="4"/>
    <x v="3"/>
    <x v="11"/>
    <x v="6"/>
    <x v="339"/>
    <x v="339"/>
    <x v="338"/>
    <x v="185"/>
    <x v="22"/>
    <x v="0"/>
    <x v="338"/>
    <x v="1"/>
    <x v="32"/>
    <x v="0"/>
    <x v="285"/>
    <x v="0"/>
    <x v="339"/>
    <x v="339"/>
    <x v="339"/>
    <x v="32"/>
    <x v="23"/>
    <x v="9"/>
    <x v="2"/>
    <x v="0"/>
    <x v="1"/>
    <x v="0"/>
    <x v="0"/>
    <x v="0"/>
    <x v="23"/>
    <x v="0"/>
    <x v="1"/>
    <x v="10"/>
    <x v="339"/>
    <x v="22"/>
    <x v="339"/>
    <x v="339"/>
  </r>
  <r>
    <x v="339"/>
    <x v="289"/>
    <x v="289"/>
    <x v="1"/>
    <x v="10"/>
    <x v="24"/>
    <x v="1"/>
    <x v="2"/>
    <x v="3"/>
    <x v="2"/>
    <x v="340"/>
    <x v="340"/>
    <x v="339"/>
    <x v="186"/>
    <x v="3"/>
    <x v="0"/>
    <x v="339"/>
    <x v="0"/>
    <x v="182"/>
    <x v="6"/>
    <x v="286"/>
    <x v="1"/>
    <x v="340"/>
    <x v="340"/>
    <x v="340"/>
    <x v="187"/>
    <x v="11"/>
    <x v="7"/>
    <x v="24"/>
    <x v="0"/>
    <x v="1"/>
    <x v="10"/>
    <x v="9"/>
    <x v="0"/>
    <x v="11"/>
    <x v="1"/>
    <x v="1"/>
    <x v="10"/>
    <x v="340"/>
    <x v="3"/>
    <x v="340"/>
    <x v="340"/>
  </r>
  <r>
    <x v="340"/>
    <x v="290"/>
    <x v="290"/>
    <x v="0"/>
    <x v="0"/>
    <x v="2"/>
    <x v="0"/>
    <x v="3"/>
    <x v="11"/>
    <x v="1"/>
    <x v="341"/>
    <x v="341"/>
    <x v="340"/>
    <x v="4"/>
    <x v="21"/>
    <x v="0"/>
    <x v="340"/>
    <x v="0"/>
    <x v="4"/>
    <x v="33"/>
    <x v="287"/>
    <x v="30"/>
    <x v="341"/>
    <x v="341"/>
    <x v="341"/>
    <x v="4"/>
    <x v="1"/>
    <x v="1"/>
    <x v="2"/>
    <x v="1"/>
    <x v="2"/>
    <x v="0"/>
    <x v="0"/>
    <x v="0"/>
    <x v="1"/>
    <x v="1"/>
    <x v="0"/>
    <x v="4"/>
    <x v="341"/>
    <x v="21"/>
    <x v="341"/>
    <x v="341"/>
  </r>
  <r>
    <x v="341"/>
    <x v="291"/>
    <x v="145"/>
    <x v="2"/>
    <x v="3"/>
    <x v="18"/>
    <x v="3"/>
    <x v="2"/>
    <x v="8"/>
    <x v="3"/>
    <x v="342"/>
    <x v="342"/>
    <x v="341"/>
    <x v="187"/>
    <x v="7"/>
    <x v="0"/>
    <x v="341"/>
    <x v="0"/>
    <x v="183"/>
    <x v="14"/>
    <x v="145"/>
    <x v="12"/>
    <x v="342"/>
    <x v="342"/>
    <x v="342"/>
    <x v="188"/>
    <x v="31"/>
    <x v="0"/>
    <x v="18"/>
    <x v="2"/>
    <x v="0"/>
    <x v="3"/>
    <x v="3"/>
    <x v="0"/>
    <x v="31"/>
    <x v="0"/>
    <x v="1"/>
    <x v="10"/>
    <x v="342"/>
    <x v="7"/>
    <x v="342"/>
    <x v="342"/>
  </r>
  <r>
    <x v="342"/>
    <x v="292"/>
    <x v="291"/>
    <x v="2"/>
    <x v="6"/>
    <x v="32"/>
    <x v="3"/>
    <x v="2"/>
    <x v="8"/>
    <x v="2"/>
    <x v="343"/>
    <x v="343"/>
    <x v="342"/>
    <x v="87"/>
    <x v="16"/>
    <x v="0"/>
    <x v="342"/>
    <x v="0"/>
    <x v="86"/>
    <x v="12"/>
    <x v="288"/>
    <x v="1"/>
    <x v="343"/>
    <x v="343"/>
    <x v="343"/>
    <x v="86"/>
    <x v="13"/>
    <x v="8"/>
    <x v="32"/>
    <x v="0"/>
    <x v="0"/>
    <x v="6"/>
    <x v="5"/>
    <x v="1"/>
    <x v="13"/>
    <x v="1"/>
    <x v="0"/>
    <x v="80"/>
    <x v="343"/>
    <x v="16"/>
    <x v="343"/>
    <x v="343"/>
  </r>
  <r>
    <x v="343"/>
    <x v="293"/>
    <x v="292"/>
    <x v="2"/>
    <x v="6"/>
    <x v="32"/>
    <x v="3"/>
    <x v="4"/>
    <x v="12"/>
    <x v="4"/>
    <x v="344"/>
    <x v="344"/>
    <x v="343"/>
    <x v="112"/>
    <x v="27"/>
    <x v="0"/>
    <x v="343"/>
    <x v="0"/>
    <x v="111"/>
    <x v="15"/>
    <x v="289"/>
    <x v="13"/>
    <x v="344"/>
    <x v="344"/>
    <x v="344"/>
    <x v="111"/>
    <x v="26"/>
    <x v="10"/>
    <x v="32"/>
    <x v="2"/>
    <x v="1"/>
    <x v="6"/>
    <x v="5"/>
    <x v="1"/>
    <x v="26"/>
    <x v="0"/>
    <x v="0"/>
    <x v="103"/>
    <x v="344"/>
    <x v="27"/>
    <x v="344"/>
    <x v="344"/>
  </r>
  <r>
    <x v="344"/>
    <x v="18"/>
    <x v="293"/>
    <x v="1"/>
    <x v="2"/>
    <x v="19"/>
    <x v="5"/>
    <x v="4"/>
    <x v="1"/>
    <x v="6"/>
    <x v="345"/>
    <x v="345"/>
    <x v="344"/>
    <x v="172"/>
    <x v="44"/>
    <x v="0"/>
    <x v="344"/>
    <x v="0"/>
    <x v="170"/>
    <x v="13"/>
    <x v="290"/>
    <x v="11"/>
    <x v="345"/>
    <x v="345"/>
    <x v="345"/>
    <x v="189"/>
    <x v="13"/>
    <x v="8"/>
    <x v="19"/>
    <x v="0"/>
    <x v="0"/>
    <x v="2"/>
    <x v="2"/>
    <x v="0"/>
    <x v="13"/>
    <x v="0"/>
    <x v="0"/>
    <x v="158"/>
    <x v="345"/>
    <x v="44"/>
    <x v="345"/>
    <x v="345"/>
  </r>
  <r>
    <x v="345"/>
    <x v="176"/>
    <x v="294"/>
    <x v="0"/>
    <x v="1"/>
    <x v="6"/>
    <x v="3"/>
    <x v="2"/>
    <x v="1"/>
    <x v="3"/>
    <x v="346"/>
    <x v="346"/>
    <x v="345"/>
    <x v="4"/>
    <x v="11"/>
    <x v="0"/>
    <x v="345"/>
    <x v="0"/>
    <x v="4"/>
    <x v="8"/>
    <x v="291"/>
    <x v="7"/>
    <x v="346"/>
    <x v="346"/>
    <x v="346"/>
    <x v="4"/>
    <x v="14"/>
    <x v="7"/>
    <x v="6"/>
    <x v="2"/>
    <x v="1"/>
    <x v="1"/>
    <x v="1"/>
    <x v="0"/>
    <x v="14"/>
    <x v="0"/>
    <x v="0"/>
    <x v="4"/>
    <x v="346"/>
    <x v="11"/>
    <x v="346"/>
    <x v="346"/>
  </r>
  <r>
    <x v="346"/>
    <x v="294"/>
    <x v="295"/>
    <x v="0"/>
    <x v="1"/>
    <x v="35"/>
    <x v="0"/>
    <x v="2"/>
    <x v="10"/>
    <x v="0"/>
    <x v="347"/>
    <x v="347"/>
    <x v="346"/>
    <x v="40"/>
    <x v="13"/>
    <x v="0"/>
    <x v="346"/>
    <x v="0"/>
    <x v="40"/>
    <x v="14"/>
    <x v="292"/>
    <x v="12"/>
    <x v="347"/>
    <x v="347"/>
    <x v="347"/>
    <x v="40"/>
    <x v="26"/>
    <x v="10"/>
    <x v="42"/>
    <x v="0"/>
    <x v="0"/>
    <x v="1"/>
    <x v="1"/>
    <x v="0"/>
    <x v="26"/>
    <x v="0"/>
    <x v="0"/>
    <x v="37"/>
    <x v="347"/>
    <x v="13"/>
    <x v="347"/>
    <x v="347"/>
  </r>
  <r>
    <x v="347"/>
    <x v="295"/>
    <x v="227"/>
    <x v="2"/>
    <x v="3"/>
    <x v="18"/>
    <x v="5"/>
    <x v="2"/>
    <x v="14"/>
    <x v="4"/>
    <x v="348"/>
    <x v="348"/>
    <x v="347"/>
    <x v="139"/>
    <x v="7"/>
    <x v="0"/>
    <x v="347"/>
    <x v="0"/>
    <x v="138"/>
    <x v="5"/>
    <x v="226"/>
    <x v="5"/>
    <x v="348"/>
    <x v="348"/>
    <x v="348"/>
    <x v="139"/>
    <x v="15"/>
    <x v="5"/>
    <x v="18"/>
    <x v="2"/>
    <x v="2"/>
    <x v="3"/>
    <x v="3"/>
    <x v="0"/>
    <x v="15"/>
    <x v="0"/>
    <x v="0"/>
    <x v="128"/>
    <x v="348"/>
    <x v="7"/>
    <x v="348"/>
    <x v="348"/>
  </r>
  <r>
    <x v="348"/>
    <x v="28"/>
    <x v="296"/>
    <x v="3"/>
    <x v="8"/>
    <x v="31"/>
    <x v="3"/>
    <x v="4"/>
    <x v="0"/>
    <x v="1"/>
    <x v="349"/>
    <x v="349"/>
    <x v="348"/>
    <x v="69"/>
    <x v="21"/>
    <x v="0"/>
    <x v="348"/>
    <x v="0"/>
    <x v="68"/>
    <x v="21"/>
    <x v="293"/>
    <x v="19"/>
    <x v="349"/>
    <x v="349"/>
    <x v="349"/>
    <x v="68"/>
    <x v="2"/>
    <x v="2"/>
    <x v="31"/>
    <x v="1"/>
    <x v="1"/>
    <x v="8"/>
    <x v="7"/>
    <x v="0"/>
    <x v="2"/>
    <x v="0"/>
    <x v="0"/>
    <x v="63"/>
    <x v="349"/>
    <x v="21"/>
    <x v="349"/>
    <x v="349"/>
  </r>
  <r>
    <x v="349"/>
    <x v="296"/>
    <x v="297"/>
    <x v="3"/>
    <x v="5"/>
    <x v="37"/>
    <x v="1"/>
    <x v="4"/>
    <x v="12"/>
    <x v="5"/>
    <x v="350"/>
    <x v="350"/>
    <x v="349"/>
    <x v="139"/>
    <x v="17"/>
    <x v="0"/>
    <x v="349"/>
    <x v="0"/>
    <x v="138"/>
    <x v="18"/>
    <x v="294"/>
    <x v="16"/>
    <x v="350"/>
    <x v="350"/>
    <x v="350"/>
    <x v="139"/>
    <x v="26"/>
    <x v="10"/>
    <x v="37"/>
    <x v="1"/>
    <x v="1"/>
    <x v="5"/>
    <x v="4"/>
    <x v="0"/>
    <x v="26"/>
    <x v="0"/>
    <x v="0"/>
    <x v="128"/>
    <x v="350"/>
    <x v="17"/>
    <x v="350"/>
    <x v="350"/>
  </r>
  <r>
    <x v="350"/>
    <x v="288"/>
    <x v="137"/>
    <x v="0"/>
    <x v="1"/>
    <x v="3"/>
    <x v="1"/>
    <x v="0"/>
    <x v="2"/>
    <x v="6"/>
    <x v="351"/>
    <x v="351"/>
    <x v="350"/>
    <x v="188"/>
    <x v="14"/>
    <x v="0"/>
    <x v="350"/>
    <x v="0"/>
    <x v="184"/>
    <x v="20"/>
    <x v="136"/>
    <x v="18"/>
    <x v="351"/>
    <x v="351"/>
    <x v="351"/>
    <x v="190"/>
    <x v="23"/>
    <x v="9"/>
    <x v="3"/>
    <x v="0"/>
    <x v="1"/>
    <x v="1"/>
    <x v="1"/>
    <x v="0"/>
    <x v="23"/>
    <x v="1"/>
    <x v="0"/>
    <x v="168"/>
    <x v="351"/>
    <x v="14"/>
    <x v="351"/>
    <x v="351"/>
  </r>
  <r>
    <x v="351"/>
    <x v="297"/>
    <x v="298"/>
    <x v="2"/>
    <x v="6"/>
    <x v="9"/>
    <x v="3"/>
    <x v="0"/>
    <x v="9"/>
    <x v="2"/>
    <x v="352"/>
    <x v="352"/>
    <x v="351"/>
    <x v="93"/>
    <x v="9"/>
    <x v="0"/>
    <x v="351"/>
    <x v="0"/>
    <x v="92"/>
    <x v="8"/>
    <x v="295"/>
    <x v="7"/>
    <x v="352"/>
    <x v="352"/>
    <x v="352"/>
    <x v="92"/>
    <x v="20"/>
    <x v="8"/>
    <x v="9"/>
    <x v="0"/>
    <x v="0"/>
    <x v="6"/>
    <x v="5"/>
    <x v="1"/>
    <x v="20"/>
    <x v="0"/>
    <x v="0"/>
    <x v="86"/>
    <x v="352"/>
    <x v="9"/>
    <x v="352"/>
    <x v="352"/>
  </r>
  <r>
    <x v="352"/>
    <x v="298"/>
    <x v="299"/>
    <x v="1"/>
    <x v="4"/>
    <x v="30"/>
    <x v="2"/>
    <x v="3"/>
    <x v="1"/>
    <x v="1"/>
    <x v="353"/>
    <x v="353"/>
    <x v="352"/>
    <x v="137"/>
    <x v="10"/>
    <x v="0"/>
    <x v="352"/>
    <x v="0"/>
    <x v="136"/>
    <x v="7"/>
    <x v="296"/>
    <x v="6"/>
    <x v="353"/>
    <x v="353"/>
    <x v="353"/>
    <x v="137"/>
    <x v="17"/>
    <x v="1"/>
    <x v="30"/>
    <x v="1"/>
    <x v="2"/>
    <x v="4"/>
    <x v="3"/>
    <x v="0"/>
    <x v="17"/>
    <x v="0"/>
    <x v="0"/>
    <x v="126"/>
    <x v="353"/>
    <x v="10"/>
    <x v="353"/>
    <x v="353"/>
  </r>
  <r>
    <x v="353"/>
    <x v="299"/>
    <x v="242"/>
    <x v="3"/>
    <x v="8"/>
    <x v="31"/>
    <x v="1"/>
    <x v="3"/>
    <x v="13"/>
    <x v="6"/>
    <x v="354"/>
    <x v="354"/>
    <x v="353"/>
    <x v="150"/>
    <x v="42"/>
    <x v="0"/>
    <x v="353"/>
    <x v="0"/>
    <x v="149"/>
    <x v="0"/>
    <x v="240"/>
    <x v="0"/>
    <x v="354"/>
    <x v="354"/>
    <x v="354"/>
    <x v="151"/>
    <x v="8"/>
    <x v="0"/>
    <x v="31"/>
    <x v="0"/>
    <x v="0"/>
    <x v="8"/>
    <x v="7"/>
    <x v="0"/>
    <x v="8"/>
    <x v="0"/>
    <x v="0"/>
    <x v="138"/>
    <x v="354"/>
    <x v="42"/>
    <x v="354"/>
    <x v="354"/>
  </r>
  <r>
    <x v="354"/>
    <x v="300"/>
    <x v="232"/>
    <x v="1"/>
    <x v="4"/>
    <x v="7"/>
    <x v="2"/>
    <x v="4"/>
    <x v="8"/>
    <x v="1"/>
    <x v="355"/>
    <x v="355"/>
    <x v="354"/>
    <x v="4"/>
    <x v="6"/>
    <x v="0"/>
    <x v="354"/>
    <x v="0"/>
    <x v="4"/>
    <x v="30"/>
    <x v="231"/>
    <x v="27"/>
    <x v="355"/>
    <x v="355"/>
    <x v="355"/>
    <x v="4"/>
    <x v="28"/>
    <x v="6"/>
    <x v="7"/>
    <x v="1"/>
    <x v="2"/>
    <x v="4"/>
    <x v="3"/>
    <x v="0"/>
    <x v="28"/>
    <x v="0"/>
    <x v="0"/>
    <x v="4"/>
    <x v="355"/>
    <x v="6"/>
    <x v="355"/>
    <x v="355"/>
  </r>
  <r>
    <x v="355"/>
    <x v="148"/>
    <x v="300"/>
    <x v="1"/>
    <x v="4"/>
    <x v="10"/>
    <x v="3"/>
    <x v="3"/>
    <x v="4"/>
    <x v="2"/>
    <x v="356"/>
    <x v="356"/>
    <x v="355"/>
    <x v="189"/>
    <x v="19"/>
    <x v="0"/>
    <x v="355"/>
    <x v="0"/>
    <x v="185"/>
    <x v="5"/>
    <x v="297"/>
    <x v="5"/>
    <x v="356"/>
    <x v="356"/>
    <x v="356"/>
    <x v="191"/>
    <x v="19"/>
    <x v="4"/>
    <x v="10"/>
    <x v="0"/>
    <x v="0"/>
    <x v="4"/>
    <x v="3"/>
    <x v="0"/>
    <x v="19"/>
    <x v="0"/>
    <x v="0"/>
    <x v="169"/>
    <x v="356"/>
    <x v="19"/>
    <x v="356"/>
    <x v="356"/>
  </r>
  <r>
    <x v="356"/>
    <x v="301"/>
    <x v="301"/>
    <x v="2"/>
    <x v="9"/>
    <x v="23"/>
    <x v="0"/>
    <x v="3"/>
    <x v="7"/>
    <x v="6"/>
    <x v="357"/>
    <x v="357"/>
    <x v="356"/>
    <x v="4"/>
    <x v="27"/>
    <x v="0"/>
    <x v="356"/>
    <x v="0"/>
    <x v="4"/>
    <x v="8"/>
    <x v="298"/>
    <x v="7"/>
    <x v="357"/>
    <x v="357"/>
    <x v="357"/>
    <x v="4"/>
    <x v="17"/>
    <x v="1"/>
    <x v="23"/>
    <x v="0"/>
    <x v="2"/>
    <x v="9"/>
    <x v="8"/>
    <x v="0"/>
    <x v="17"/>
    <x v="0"/>
    <x v="0"/>
    <x v="4"/>
    <x v="357"/>
    <x v="27"/>
    <x v="357"/>
    <x v="357"/>
  </r>
  <r>
    <x v="357"/>
    <x v="302"/>
    <x v="302"/>
    <x v="0"/>
    <x v="11"/>
    <x v="33"/>
    <x v="2"/>
    <x v="3"/>
    <x v="14"/>
    <x v="1"/>
    <x v="358"/>
    <x v="358"/>
    <x v="357"/>
    <x v="166"/>
    <x v="20"/>
    <x v="0"/>
    <x v="357"/>
    <x v="0"/>
    <x v="164"/>
    <x v="14"/>
    <x v="299"/>
    <x v="12"/>
    <x v="358"/>
    <x v="358"/>
    <x v="358"/>
    <x v="168"/>
    <x v="8"/>
    <x v="0"/>
    <x v="33"/>
    <x v="1"/>
    <x v="0"/>
    <x v="11"/>
    <x v="10"/>
    <x v="0"/>
    <x v="8"/>
    <x v="0"/>
    <x v="0"/>
    <x v="152"/>
    <x v="358"/>
    <x v="20"/>
    <x v="358"/>
    <x v="358"/>
  </r>
  <r>
    <x v="358"/>
    <x v="303"/>
    <x v="303"/>
    <x v="3"/>
    <x v="8"/>
    <x v="12"/>
    <x v="3"/>
    <x v="2"/>
    <x v="14"/>
    <x v="6"/>
    <x v="359"/>
    <x v="359"/>
    <x v="358"/>
    <x v="45"/>
    <x v="22"/>
    <x v="0"/>
    <x v="358"/>
    <x v="0"/>
    <x v="45"/>
    <x v="27"/>
    <x v="300"/>
    <x v="24"/>
    <x v="359"/>
    <x v="359"/>
    <x v="359"/>
    <x v="45"/>
    <x v="16"/>
    <x v="4"/>
    <x v="12"/>
    <x v="0"/>
    <x v="0"/>
    <x v="8"/>
    <x v="7"/>
    <x v="0"/>
    <x v="16"/>
    <x v="1"/>
    <x v="0"/>
    <x v="42"/>
    <x v="359"/>
    <x v="22"/>
    <x v="359"/>
    <x v="359"/>
  </r>
  <r>
    <x v="359"/>
    <x v="304"/>
    <x v="34"/>
    <x v="3"/>
    <x v="8"/>
    <x v="12"/>
    <x v="2"/>
    <x v="2"/>
    <x v="13"/>
    <x v="3"/>
    <x v="360"/>
    <x v="360"/>
    <x v="359"/>
    <x v="116"/>
    <x v="20"/>
    <x v="0"/>
    <x v="359"/>
    <x v="0"/>
    <x v="115"/>
    <x v="16"/>
    <x v="35"/>
    <x v="14"/>
    <x v="360"/>
    <x v="360"/>
    <x v="360"/>
    <x v="116"/>
    <x v="15"/>
    <x v="5"/>
    <x v="12"/>
    <x v="2"/>
    <x v="2"/>
    <x v="8"/>
    <x v="7"/>
    <x v="0"/>
    <x v="15"/>
    <x v="0"/>
    <x v="0"/>
    <x v="106"/>
    <x v="360"/>
    <x v="20"/>
    <x v="360"/>
    <x v="360"/>
  </r>
  <r>
    <x v="360"/>
    <x v="305"/>
    <x v="259"/>
    <x v="0"/>
    <x v="1"/>
    <x v="1"/>
    <x v="0"/>
    <x v="0"/>
    <x v="7"/>
    <x v="4"/>
    <x v="361"/>
    <x v="361"/>
    <x v="360"/>
    <x v="170"/>
    <x v="36"/>
    <x v="0"/>
    <x v="360"/>
    <x v="0"/>
    <x v="168"/>
    <x v="22"/>
    <x v="257"/>
    <x v="1"/>
    <x v="361"/>
    <x v="361"/>
    <x v="361"/>
    <x v="173"/>
    <x v="23"/>
    <x v="9"/>
    <x v="1"/>
    <x v="2"/>
    <x v="1"/>
    <x v="1"/>
    <x v="1"/>
    <x v="0"/>
    <x v="23"/>
    <x v="1"/>
    <x v="0"/>
    <x v="156"/>
    <x v="361"/>
    <x v="36"/>
    <x v="361"/>
    <x v="361"/>
  </r>
  <r>
    <x v="361"/>
    <x v="306"/>
    <x v="220"/>
    <x v="2"/>
    <x v="9"/>
    <x v="14"/>
    <x v="4"/>
    <x v="1"/>
    <x v="10"/>
    <x v="5"/>
    <x v="362"/>
    <x v="362"/>
    <x v="361"/>
    <x v="190"/>
    <x v="0"/>
    <x v="0"/>
    <x v="361"/>
    <x v="0"/>
    <x v="186"/>
    <x v="15"/>
    <x v="219"/>
    <x v="13"/>
    <x v="362"/>
    <x v="362"/>
    <x v="362"/>
    <x v="192"/>
    <x v="0"/>
    <x v="0"/>
    <x v="14"/>
    <x v="1"/>
    <x v="0"/>
    <x v="9"/>
    <x v="8"/>
    <x v="0"/>
    <x v="0"/>
    <x v="0"/>
    <x v="1"/>
    <x v="10"/>
    <x v="362"/>
    <x v="0"/>
    <x v="362"/>
    <x v="362"/>
  </r>
  <r>
    <x v="362"/>
    <x v="307"/>
    <x v="304"/>
    <x v="3"/>
    <x v="8"/>
    <x v="12"/>
    <x v="0"/>
    <x v="4"/>
    <x v="10"/>
    <x v="1"/>
    <x v="363"/>
    <x v="363"/>
    <x v="362"/>
    <x v="191"/>
    <x v="14"/>
    <x v="0"/>
    <x v="362"/>
    <x v="0"/>
    <x v="187"/>
    <x v="23"/>
    <x v="301"/>
    <x v="20"/>
    <x v="363"/>
    <x v="363"/>
    <x v="363"/>
    <x v="193"/>
    <x v="22"/>
    <x v="7"/>
    <x v="12"/>
    <x v="1"/>
    <x v="1"/>
    <x v="8"/>
    <x v="7"/>
    <x v="0"/>
    <x v="22"/>
    <x v="0"/>
    <x v="0"/>
    <x v="170"/>
    <x v="363"/>
    <x v="14"/>
    <x v="363"/>
    <x v="363"/>
  </r>
  <r>
    <x v="363"/>
    <x v="308"/>
    <x v="305"/>
    <x v="2"/>
    <x v="6"/>
    <x v="27"/>
    <x v="3"/>
    <x v="3"/>
    <x v="5"/>
    <x v="0"/>
    <x v="364"/>
    <x v="364"/>
    <x v="363"/>
    <x v="98"/>
    <x v="6"/>
    <x v="0"/>
    <x v="363"/>
    <x v="0"/>
    <x v="97"/>
    <x v="7"/>
    <x v="302"/>
    <x v="6"/>
    <x v="364"/>
    <x v="364"/>
    <x v="364"/>
    <x v="97"/>
    <x v="3"/>
    <x v="3"/>
    <x v="27"/>
    <x v="0"/>
    <x v="2"/>
    <x v="6"/>
    <x v="5"/>
    <x v="1"/>
    <x v="3"/>
    <x v="0"/>
    <x v="0"/>
    <x v="91"/>
    <x v="364"/>
    <x v="6"/>
    <x v="364"/>
    <x v="364"/>
  </r>
  <r>
    <x v="364"/>
    <x v="100"/>
    <x v="306"/>
    <x v="0"/>
    <x v="0"/>
    <x v="13"/>
    <x v="1"/>
    <x v="1"/>
    <x v="6"/>
    <x v="3"/>
    <x v="365"/>
    <x v="365"/>
    <x v="364"/>
    <x v="97"/>
    <x v="15"/>
    <x v="0"/>
    <x v="364"/>
    <x v="0"/>
    <x v="96"/>
    <x v="21"/>
    <x v="303"/>
    <x v="19"/>
    <x v="365"/>
    <x v="365"/>
    <x v="365"/>
    <x v="96"/>
    <x v="16"/>
    <x v="4"/>
    <x v="13"/>
    <x v="2"/>
    <x v="0"/>
    <x v="0"/>
    <x v="0"/>
    <x v="0"/>
    <x v="16"/>
    <x v="0"/>
    <x v="0"/>
    <x v="90"/>
    <x v="365"/>
    <x v="15"/>
    <x v="365"/>
    <x v="365"/>
  </r>
  <r>
    <x v="365"/>
    <x v="309"/>
    <x v="247"/>
    <x v="2"/>
    <x v="3"/>
    <x v="29"/>
    <x v="4"/>
    <x v="4"/>
    <x v="0"/>
    <x v="0"/>
    <x v="366"/>
    <x v="366"/>
    <x v="365"/>
    <x v="51"/>
    <x v="0"/>
    <x v="0"/>
    <x v="365"/>
    <x v="0"/>
    <x v="51"/>
    <x v="18"/>
    <x v="246"/>
    <x v="16"/>
    <x v="366"/>
    <x v="366"/>
    <x v="366"/>
    <x v="51"/>
    <x v="3"/>
    <x v="3"/>
    <x v="29"/>
    <x v="0"/>
    <x v="2"/>
    <x v="3"/>
    <x v="3"/>
    <x v="0"/>
    <x v="3"/>
    <x v="0"/>
    <x v="0"/>
    <x v="47"/>
    <x v="366"/>
    <x v="0"/>
    <x v="366"/>
    <x v="366"/>
  </r>
  <r>
    <x v="366"/>
    <x v="198"/>
    <x v="307"/>
    <x v="1"/>
    <x v="10"/>
    <x v="39"/>
    <x v="3"/>
    <x v="2"/>
    <x v="1"/>
    <x v="4"/>
    <x v="367"/>
    <x v="367"/>
    <x v="366"/>
    <x v="192"/>
    <x v="27"/>
    <x v="0"/>
    <x v="366"/>
    <x v="0"/>
    <x v="188"/>
    <x v="18"/>
    <x v="304"/>
    <x v="16"/>
    <x v="367"/>
    <x v="367"/>
    <x v="367"/>
    <x v="194"/>
    <x v="27"/>
    <x v="9"/>
    <x v="40"/>
    <x v="2"/>
    <x v="1"/>
    <x v="10"/>
    <x v="9"/>
    <x v="0"/>
    <x v="27"/>
    <x v="0"/>
    <x v="0"/>
    <x v="171"/>
    <x v="367"/>
    <x v="27"/>
    <x v="367"/>
    <x v="367"/>
  </r>
  <r>
    <x v="367"/>
    <x v="34"/>
    <x v="215"/>
    <x v="1"/>
    <x v="2"/>
    <x v="26"/>
    <x v="2"/>
    <x v="2"/>
    <x v="2"/>
    <x v="1"/>
    <x v="368"/>
    <x v="368"/>
    <x v="367"/>
    <x v="158"/>
    <x v="13"/>
    <x v="0"/>
    <x v="367"/>
    <x v="0"/>
    <x v="157"/>
    <x v="11"/>
    <x v="215"/>
    <x v="10"/>
    <x v="368"/>
    <x v="368"/>
    <x v="368"/>
    <x v="161"/>
    <x v="15"/>
    <x v="5"/>
    <x v="26"/>
    <x v="1"/>
    <x v="2"/>
    <x v="2"/>
    <x v="2"/>
    <x v="0"/>
    <x v="15"/>
    <x v="0"/>
    <x v="0"/>
    <x v="145"/>
    <x v="368"/>
    <x v="13"/>
    <x v="368"/>
    <x v="368"/>
  </r>
  <r>
    <x v="368"/>
    <x v="310"/>
    <x v="308"/>
    <x v="3"/>
    <x v="7"/>
    <x v="17"/>
    <x v="3"/>
    <x v="0"/>
    <x v="11"/>
    <x v="4"/>
    <x v="369"/>
    <x v="369"/>
    <x v="368"/>
    <x v="193"/>
    <x v="7"/>
    <x v="0"/>
    <x v="368"/>
    <x v="0"/>
    <x v="189"/>
    <x v="13"/>
    <x v="305"/>
    <x v="11"/>
    <x v="369"/>
    <x v="369"/>
    <x v="369"/>
    <x v="195"/>
    <x v="26"/>
    <x v="10"/>
    <x v="17"/>
    <x v="2"/>
    <x v="0"/>
    <x v="7"/>
    <x v="6"/>
    <x v="0"/>
    <x v="26"/>
    <x v="0"/>
    <x v="0"/>
    <x v="172"/>
    <x v="369"/>
    <x v="7"/>
    <x v="369"/>
    <x v="369"/>
  </r>
  <r>
    <x v="369"/>
    <x v="311"/>
    <x v="173"/>
    <x v="1"/>
    <x v="10"/>
    <x v="36"/>
    <x v="2"/>
    <x v="3"/>
    <x v="14"/>
    <x v="3"/>
    <x v="370"/>
    <x v="370"/>
    <x v="369"/>
    <x v="4"/>
    <x v="21"/>
    <x v="0"/>
    <x v="369"/>
    <x v="0"/>
    <x v="4"/>
    <x v="23"/>
    <x v="173"/>
    <x v="20"/>
    <x v="370"/>
    <x v="370"/>
    <x v="370"/>
    <x v="4"/>
    <x v="2"/>
    <x v="2"/>
    <x v="36"/>
    <x v="2"/>
    <x v="1"/>
    <x v="10"/>
    <x v="9"/>
    <x v="0"/>
    <x v="2"/>
    <x v="0"/>
    <x v="0"/>
    <x v="4"/>
    <x v="370"/>
    <x v="21"/>
    <x v="370"/>
    <x v="370"/>
  </r>
  <r>
    <x v="370"/>
    <x v="88"/>
    <x v="309"/>
    <x v="0"/>
    <x v="1"/>
    <x v="6"/>
    <x v="3"/>
    <x v="2"/>
    <x v="10"/>
    <x v="5"/>
    <x v="371"/>
    <x v="371"/>
    <x v="370"/>
    <x v="104"/>
    <x v="8"/>
    <x v="0"/>
    <x v="370"/>
    <x v="0"/>
    <x v="103"/>
    <x v="27"/>
    <x v="306"/>
    <x v="24"/>
    <x v="371"/>
    <x v="371"/>
    <x v="371"/>
    <x v="103"/>
    <x v="11"/>
    <x v="7"/>
    <x v="6"/>
    <x v="1"/>
    <x v="1"/>
    <x v="1"/>
    <x v="1"/>
    <x v="0"/>
    <x v="11"/>
    <x v="1"/>
    <x v="0"/>
    <x v="95"/>
    <x v="371"/>
    <x v="8"/>
    <x v="371"/>
    <x v="371"/>
  </r>
  <r>
    <x v="371"/>
    <x v="253"/>
    <x v="310"/>
    <x v="3"/>
    <x v="8"/>
    <x v="12"/>
    <x v="2"/>
    <x v="4"/>
    <x v="12"/>
    <x v="1"/>
    <x v="372"/>
    <x v="372"/>
    <x v="371"/>
    <x v="75"/>
    <x v="17"/>
    <x v="0"/>
    <x v="371"/>
    <x v="0"/>
    <x v="74"/>
    <x v="33"/>
    <x v="307"/>
    <x v="30"/>
    <x v="372"/>
    <x v="372"/>
    <x v="372"/>
    <x v="74"/>
    <x v="18"/>
    <x v="5"/>
    <x v="12"/>
    <x v="1"/>
    <x v="2"/>
    <x v="8"/>
    <x v="7"/>
    <x v="0"/>
    <x v="18"/>
    <x v="1"/>
    <x v="0"/>
    <x v="69"/>
    <x v="372"/>
    <x v="17"/>
    <x v="372"/>
    <x v="372"/>
  </r>
  <r>
    <x v="372"/>
    <x v="312"/>
    <x v="101"/>
    <x v="1"/>
    <x v="10"/>
    <x v="36"/>
    <x v="2"/>
    <x v="1"/>
    <x v="0"/>
    <x v="3"/>
    <x v="373"/>
    <x v="373"/>
    <x v="372"/>
    <x v="194"/>
    <x v="2"/>
    <x v="0"/>
    <x v="372"/>
    <x v="0"/>
    <x v="190"/>
    <x v="26"/>
    <x v="100"/>
    <x v="23"/>
    <x v="373"/>
    <x v="373"/>
    <x v="373"/>
    <x v="196"/>
    <x v="6"/>
    <x v="4"/>
    <x v="36"/>
    <x v="2"/>
    <x v="0"/>
    <x v="10"/>
    <x v="9"/>
    <x v="0"/>
    <x v="6"/>
    <x v="0"/>
    <x v="1"/>
    <x v="10"/>
    <x v="373"/>
    <x v="2"/>
    <x v="373"/>
    <x v="373"/>
  </r>
  <r>
    <x v="373"/>
    <x v="313"/>
    <x v="311"/>
    <x v="2"/>
    <x v="9"/>
    <x v="38"/>
    <x v="5"/>
    <x v="3"/>
    <x v="3"/>
    <x v="3"/>
    <x v="374"/>
    <x v="374"/>
    <x v="373"/>
    <x v="95"/>
    <x v="45"/>
    <x v="0"/>
    <x v="373"/>
    <x v="0"/>
    <x v="94"/>
    <x v="14"/>
    <x v="308"/>
    <x v="12"/>
    <x v="374"/>
    <x v="374"/>
    <x v="374"/>
    <x v="94"/>
    <x v="0"/>
    <x v="0"/>
    <x v="38"/>
    <x v="2"/>
    <x v="0"/>
    <x v="9"/>
    <x v="8"/>
    <x v="0"/>
    <x v="0"/>
    <x v="0"/>
    <x v="0"/>
    <x v="88"/>
    <x v="374"/>
    <x v="45"/>
    <x v="374"/>
    <x v="374"/>
  </r>
  <r>
    <x v="374"/>
    <x v="231"/>
    <x v="312"/>
    <x v="2"/>
    <x v="9"/>
    <x v="23"/>
    <x v="3"/>
    <x v="2"/>
    <x v="14"/>
    <x v="2"/>
    <x v="375"/>
    <x v="375"/>
    <x v="374"/>
    <x v="73"/>
    <x v="3"/>
    <x v="0"/>
    <x v="374"/>
    <x v="0"/>
    <x v="72"/>
    <x v="18"/>
    <x v="309"/>
    <x v="16"/>
    <x v="375"/>
    <x v="375"/>
    <x v="375"/>
    <x v="197"/>
    <x v="15"/>
    <x v="5"/>
    <x v="23"/>
    <x v="0"/>
    <x v="2"/>
    <x v="9"/>
    <x v="8"/>
    <x v="0"/>
    <x v="15"/>
    <x v="0"/>
    <x v="0"/>
    <x v="67"/>
    <x v="375"/>
    <x v="3"/>
    <x v="375"/>
    <x v="375"/>
  </r>
  <r>
    <x v="375"/>
    <x v="314"/>
    <x v="313"/>
    <x v="0"/>
    <x v="11"/>
    <x v="25"/>
    <x v="3"/>
    <x v="0"/>
    <x v="7"/>
    <x v="0"/>
    <x v="376"/>
    <x v="376"/>
    <x v="375"/>
    <x v="22"/>
    <x v="21"/>
    <x v="0"/>
    <x v="375"/>
    <x v="0"/>
    <x v="22"/>
    <x v="24"/>
    <x v="310"/>
    <x v="21"/>
    <x v="376"/>
    <x v="376"/>
    <x v="376"/>
    <x v="115"/>
    <x v="21"/>
    <x v="2"/>
    <x v="25"/>
    <x v="0"/>
    <x v="1"/>
    <x v="11"/>
    <x v="10"/>
    <x v="0"/>
    <x v="21"/>
    <x v="0"/>
    <x v="0"/>
    <x v="22"/>
    <x v="376"/>
    <x v="21"/>
    <x v="376"/>
    <x v="376"/>
  </r>
  <r>
    <x v="376"/>
    <x v="315"/>
    <x v="314"/>
    <x v="0"/>
    <x v="11"/>
    <x v="33"/>
    <x v="0"/>
    <x v="4"/>
    <x v="10"/>
    <x v="2"/>
    <x v="377"/>
    <x v="377"/>
    <x v="376"/>
    <x v="76"/>
    <x v="4"/>
    <x v="0"/>
    <x v="376"/>
    <x v="0"/>
    <x v="75"/>
    <x v="21"/>
    <x v="311"/>
    <x v="19"/>
    <x v="377"/>
    <x v="377"/>
    <x v="377"/>
    <x v="75"/>
    <x v="9"/>
    <x v="3"/>
    <x v="33"/>
    <x v="0"/>
    <x v="2"/>
    <x v="11"/>
    <x v="10"/>
    <x v="0"/>
    <x v="9"/>
    <x v="0"/>
    <x v="0"/>
    <x v="70"/>
    <x v="377"/>
    <x v="4"/>
    <x v="377"/>
    <x v="377"/>
  </r>
  <r>
    <x v="377"/>
    <x v="316"/>
    <x v="96"/>
    <x v="1"/>
    <x v="4"/>
    <x v="7"/>
    <x v="2"/>
    <x v="3"/>
    <x v="8"/>
    <x v="2"/>
    <x v="378"/>
    <x v="378"/>
    <x v="377"/>
    <x v="195"/>
    <x v="6"/>
    <x v="0"/>
    <x v="377"/>
    <x v="0"/>
    <x v="191"/>
    <x v="29"/>
    <x v="95"/>
    <x v="26"/>
    <x v="378"/>
    <x v="378"/>
    <x v="378"/>
    <x v="198"/>
    <x v="25"/>
    <x v="3"/>
    <x v="7"/>
    <x v="0"/>
    <x v="2"/>
    <x v="4"/>
    <x v="3"/>
    <x v="0"/>
    <x v="25"/>
    <x v="0"/>
    <x v="0"/>
    <x v="173"/>
    <x v="378"/>
    <x v="6"/>
    <x v="378"/>
    <x v="378"/>
  </r>
  <r>
    <x v="378"/>
    <x v="317"/>
    <x v="315"/>
    <x v="3"/>
    <x v="8"/>
    <x v="21"/>
    <x v="4"/>
    <x v="0"/>
    <x v="9"/>
    <x v="0"/>
    <x v="77"/>
    <x v="379"/>
    <x v="378"/>
    <x v="196"/>
    <x v="30"/>
    <x v="0"/>
    <x v="378"/>
    <x v="0"/>
    <x v="192"/>
    <x v="15"/>
    <x v="312"/>
    <x v="13"/>
    <x v="379"/>
    <x v="379"/>
    <x v="379"/>
    <x v="199"/>
    <x v="9"/>
    <x v="3"/>
    <x v="21"/>
    <x v="0"/>
    <x v="2"/>
    <x v="8"/>
    <x v="7"/>
    <x v="0"/>
    <x v="9"/>
    <x v="0"/>
    <x v="0"/>
    <x v="174"/>
    <x v="379"/>
    <x v="30"/>
    <x v="379"/>
    <x v="379"/>
  </r>
  <r>
    <x v="379"/>
    <x v="82"/>
    <x v="316"/>
    <x v="1"/>
    <x v="2"/>
    <x v="19"/>
    <x v="1"/>
    <x v="4"/>
    <x v="11"/>
    <x v="2"/>
    <x v="379"/>
    <x v="380"/>
    <x v="379"/>
    <x v="166"/>
    <x v="16"/>
    <x v="0"/>
    <x v="379"/>
    <x v="0"/>
    <x v="164"/>
    <x v="19"/>
    <x v="313"/>
    <x v="17"/>
    <x v="380"/>
    <x v="380"/>
    <x v="380"/>
    <x v="168"/>
    <x v="28"/>
    <x v="6"/>
    <x v="19"/>
    <x v="0"/>
    <x v="2"/>
    <x v="2"/>
    <x v="2"/>
    <x v="0"/>
    <x v="28"/>
    <x v="0"/>
    <x v="0"/>
    <x v="152"/>
    <x v="380"/>
    <x v="16"/>
    <x v="380"/>
    <x v="380"/>
  </r>
  <r>
    <x v="380"/>
    <x v="318"/>
    <x v="317"/>
    <x v="3"/>
    <x v="8"/>
    <x v="12"/>
    <x v="1"/>
    <x v="1"/>
    <x v="2"/>
    <x v="1"/>
    <x v="380"/>
    <x v="381"/>
    <x v="380"/>
    <x v="116"/>
    <x v="12"/>
    <x v="0"/>
    <x v="380"/>
    <x v="0"/>
    <x v="115"/>
    <x v="2"/>
    <x v="314"/>
    <x v="2"/>
    <x v="381"/>
    <x v="381"/>
    <x v="381"/>
    <x v="116"/>
    <x v="12"/>
    <x v="6"/>
    <x v="12"/>
    <x v="1"/>
    <x v="2"/>
    <x v="8"/>
    <x v="7"/>
    <x v="0"/>
    <x v="12"/>
    <x v="0"/>
    <x v="0"/>
    <x v="106"/>
    <x v="381"/>
    <x v="12"/>
    <x v="381"/>
    <x v="381"/>
  </r>
  <r>
    <x v="381"/>
    <x v="263"/>
    <x v="259"/>
    <x v="1"/>
    <x v="10"/>
    <x v="39"/>
    <x v="5"/>
    <x v="2"/>
    <x v="6"/>
    <x v="2"/>
    <x v="381"/>
    <x v="382"/>
    <x v="381"/>
    <x v="168"/>
    <x v="39"/>
    <x v="0"/>
    <x v="381"/>
    <x v="0"/>
    <x v="166"/>
    <x v="5"/>
    <x v="257"/>
    <x v="5"/>
    <x v="382"/>
    <x v="382"/>
    <x v="382"/>
    <x v="171"/>
    <x v="22"/>
    <x v="7"/>
    <x v="40"/>
    <x v="0"/>
    <x v="1"/>
    <x v="10"/>
    <x v="9"/>
    <x v="0"/>
    <x v="22"/>
    <x v="0"/>
    <x v="0"/>
    <x v="154"/>
    <x v="382"/>
    <x v="39"/>
    <x v="382"/>
    <x v="382"/>
  </r>
  <r>
    <x v="382"/>
    <x v="319"/>
    <x v="318"/>
    <x v="3"/>
    <x v="7"/>
    <x v="11"/>
    <x v="0"/>
    <x v="0"/>
    <x v="8"/>
    <x v="5"/>
    <x v="382"/>
    <x v="383"/>
    <x v="382"/>
    <x v="193"/>
    <x v="6"/>
    <x v="0"/>
    <x v="382"/>
    <x v="0"/>
    <x v="189"/>
    <x v="9"/>
    <x v="315"/>
    <x v="8"/>
    <x v="383"/>
    <x v="383"/>
    <x v="383"/>
    <x v="195"/>
    <x v="13"/>
    <x v="8"/>
    <x v="11"/>
    <x v="1"/>
    <x v="0"/>
    <x v="7"/>
    <x v="6"/>
    <x v="0"/>
    <x v="13"/>
    <x v="0"/>
    <x v="0"/>
    <x v="172"/>
    <x v="383"/>
    <x v="6"/>
    <x v="383"/>
    <x v="383"/>
  </r>
  <r>
    <x v="383"/>
    <x v="71"/>
    <x v="113"/>
    <x v="2"/>
    <x v="3"/>
    <x v="18"/>
    <x v="2"/>
    <x v="2"/>
    <x v="9"/>
    <x v="4"/>
    <x v="383"/>
    <x v="384"/>
    <x v="383"/>
    <x v="197"/>
    <x v="1"/>
    <x v="0"/>
    <x v="383"/>
    <x v="0"/>
    <x v="193"/>
    <x v="19"/>
    <x v="111"/>
    <x v="17"/>
    <x v="384"/>
    <x v="384"/>
    <x v="384"/>
    <x v="200"/>
    <x v="14"/>
    <x v="7"/>
    <x v="18"/>
    <x v="2"/>
    <x v="1"/>
    <x v="3"/>
    <x v="3"/>
    <x v="0"/>
    <x v="14"/>
    <x v="0"/>
    <x v="0"/>
    <x v="175"/>
    <x v="384"/>
    <x v="1"/>
    <x v="384"/>
    <x v="384"/>
  </r>
  <r>
    <x v="384"/>
    <x v="320"/>
    <x v="319"/>
    <x v="2"/>
    <x v="3"/>
    <x v="34"/>
    <x v="0"/>
    <x v="2"/>
    <x v="3"/>
    <x v="1"/>
    <x v="384"/>
    <x v="385"/>
    <x v="384"/>
    <x v="66"/>
    <x v="6"/>
    <x v="0"/>
    <x v="384"/>
    <x v="0"/>
    <x v="65"/>
    <x v="18"/>
    <x v="279"/>
    <x v="16"/>
    <x v="385"/>
    <x v="385"/>
    <x v="385"/>
    <x v="65"/>
    <x v="7"/>
    <x v="5"/>
    <x v="34"/>
    <x v="1"/>
    <x v="2"/>
    <x v="3"/>
    <x v="3"/>
    <x v="0"/>
    <x v="7"/>
    <x v="0"/>
    <x v="0"/>
    <x v="60"/>
    <x v="385"/>
    <x v="6"/>
    <x v="385"/>
    <x v="385"/>
  </r>
  <r>
    <x v="385"/>
    <x v="321"/>
    <x v="320"/>
    <x v="0"/>
    <x v="1"/>
    <x v="6"/>
    <x v="2"/>
    <x v="3"/>
    <x v="14"/>
    <x v="4"/>
    <x v="385"/>
    <x v="386"/>
    <x v="385"/>
    <x v="109"/>
    <x v="16"/>
    <x v="0"/>
    <x v="385"/>
    <x v="0"/>
    <x v="108"/>
    <x v="17"/>
    <x v="316"/>
    <x v="15"/>
    <x v="386"/>
    <x v="386"/>
    <x v="386"/>
    <x v="108"/>
    <x v="6"/>
    <x v="4"/>
    <x v="6"/>
    <x v="2"/>
    <x v="0"/>
    <x v="1"/>
    <x v="1"/>
    <x v="0"/>
    <x v="6"/>
    <x v="1"/>
    <x v="0"/>
    <x v="100"/>
    <x v="386"/>
    <x v="16"/>
    <x v="386"/>
    <x v="386"/>
  </r>
  <r>
    <x v="386"/>
    <x v="322"/>
    <x v="321"/>
    <x v="2"/>
    <x v="9"/>
    <x v="38"/>
    <x v="2"/>
    <x v="0"/>
    <x v="1"/>
    <x v="4"/>
    <x v="386"/>
    <x v="387"/>
    <x v="386"/>
    <x v="5"/>
    <x v="17"/>
    <x v="0"/>
    <x v="386"/>
    <x v="0"/>
    <x v="5"/>
    <x v="4"/>
    <x v="317"/>
    <x v="4"/>
    <x v="387"/>
    <x v="387"/>
    <x v="387"/>
    <x v="5"/>
    <x v="27"/>
    <x v="9"/>
    <x v="38"/>
    <x v="2"/>
    <x v="1"/>
    <x v="9"/>
    <x v="8"/>
    <x v="0"/>
    <x v="27"/>
    <x v="1"/>
    <x v="0"/>
    <x v="5"/>
    <x v="387"/>
    <x v="17"/>
    <x v="387"/>
    <x v="387"/>
  </r>
  <r>
    <x v="387"/>
    <x v="323"/>
    <x v="322"/>
    <x v="0"/>
    <x v="11"/>
    <x v="33"/>
    <x v="2"/>
    <x v="1"/>
    <x v="2"/>
    <x v="4"/>
    <x v="387"/>
    <x v="388"/>
    <x v="387"/>
    <x v="3"/>
    <x v="21"/>
    <x v="0"/>
    <x v="387"/>
    <x v="0"/>
    <x v="3"/>
    <x v="26"/>
    <x v="318"/>
    <x v="23"/>
    <x v="388"/>
    <x v="388"/>
    <x v="388"/>
    <x v="3"/>
    <x v="32"/>
    <x v="10"/>
    <x v="33"/>
    <x v="2"/>
    <x v="1"/>
    <x v="11"/>
    <x v="10"/>
    <x v="0"/>
    <x v="32"/>
    <x v="0"/>
    <x v="0"/>
    <x v="3"/>
    <x v="388"/>
    <x v="21"/>
    <x v="388"/>
    <x v="388"/>
  </r>
  <r>
    <x v="388"/>
    <x v="324"/>
    <x v="323"/>
    <x v="0"/>
    <x v="11"/>
    <x v="20"/>
    <x v="3"/>
    <x v="4"/>
    <x v="0"/>
    <x v="5"/>
    <x v="388"/>
    <x v="389"/>
    <x v="388"/>
    <x v="98"/>
    <x v="21"/>
    <x v="0"/>
    <x v="388"/>
    <x v="0"/>
    <x v="97"/>
    <x v="16"/>
    <x v="319"/>
    <x v="14"/>
    <x v="389"/>
    <x v="389"/>
    <x v="389"/>
    <x v="97"/>
    <x v="15"/>
    <x v="5"/>
    <x v="20"/>
    <x v="1"/>
    <x v="2"/>
    <x v="11"/>
    <x v="10"/>
    <x v="0"/>
    <x v="15"/>
    <x v="0"/>
    <x v="0"/>
    <x v="91"/>
    <x v="389"/>
    <x v="21"/>
    <x v="389"/>
    <x v="389"/>
  </r>
  <r>
    <x v="389"/>
    <x v="325"/>
    <x v="251"/>
    <x v="3"/>
    <x v="7"/>
    <x v="11"/>
    <x v="2"/>
    <x v="4"/>
    <x v="8"/>
    <x v="1"/>
    <x v="389"/>
    <x v="390"/>
    <x v="389"/>
    <x v="51"/>
    <x v="27"/>
    <x v="0"/>
    <x v="389"/>
    <x v="0"/>
    <x v="51"/>
    <x v="30"/>
    <x v="249"/>
    <x v="27"/>
    <x v="390"/>
    <x v="390"/>
    <x v="390"/>
    <x v="51"/>
    <x v="20"/>
    <x v="8"/>
    <x v="11"/>
    <x v="1"/>
    <x v="0"/>
    <x v="7"/>
    <x v="6"/>
    <x v="0"/>
    <x v="20"/>
    <x v="0"/>
    <x v="0"/>
    <x v="47"/>
    <x v="390"/>
    <x v="27"/>
    <x v="390"/>
    <x v="390"/>
  </r>
  <r>
    <x v="390"/>
    <x v="326"/>
    <x v="324"/>
    <x v="2"/>
    <x v="9"/>
    <x v="23"/>
    <x v="5"/>
    <x v="2"/>
    <x v="0"/>
    <x v="0"/>
    <x v="390"/>
    <x v="391"/>
    <x v="390"/>
    <x v="198"/>
    <x v="46"/>
    <x v="0"/>
    <x v="390"/>
    <x v="1"/>
    <x v="32"/>
    <x v="15"/>
    <x v="320"/>
    <x v="13"/>
    <x v="391"/>
    <x v="391"/>
    <x v="391"/>
    <x v="32"/>
    <x v="32"/>
    <x v="10"/>
    <x v="23"/>
    <x v="0"/>
    <x v="1"/>
    <x v="9"/>
    <x v="8"/>
    <x v="0"/>
    <x v="32"/>
    <x v="0"/>
    <x v="1"/>
    <x v="10"/>
    <x v="391"/>
    <x v="46"/>
    <x v="391"/>
    <x v="391"/>
  </r>
  <r>
    <x v="391"/>
    <x v="306"/>
    <x v="220"/>
    <x v="1"/>
    <x v="10"/>
    <x v="24"/>
    <x v="1"/>
    <x v="4"/>
    <x v="2"/>
    <x v="3"/>
    <x v="391"/>
    <x v="392"/>
    <x v="391"/>
    <x v="115"/>
    <x v="0"/>
    <x v="0"/>
    <x v="391"/>
    <x v="0"/>
    <x v="114"/>
    <x v="15"/>
    <x v="219"/>
    <x v="13"/>
    <x v="392"/>
    <x v="392"/>
    <x v="392"/>
    <x v="114"/>
    <x v="0"/>
    <x v="0"/>
    <x v="24"/>
    <x v="2"/>
    <x v="0"/>
    <x v="10"/>
    <x v="9"/>
    <x v="0"/>
    <x v="0"/>
    <x v="0"/>
    <x v="1"/>
    <x v="10"/>
    <x v="392"/>
    <x v="0"/>
    <x v="392"/>
    <x v="392"/>
  </r>
  <r>
    <x v="392"/>
    <x v="327"/>
    <x v="325"/>
    <x v="3"/>
    <x v="8"/>
    <x v="21"/>
    <x v="3"/>
    <x v="4"/>
    <x v="10"/>
    <x v="0"/>
    <x v="392"/>
    <x v="393"/>
    <x v="392"/>
    <x v="134"/>
    <x v="15"/>
    <x v="0"/>
    <x v="392"/>
    <x v="0"/>
    <x v="133"/>
    <x v="24"/>
    <x v="321"/>
    <x v="21"/>
    <x v="393"/>
    <x v="393"/>
    <x v="393"/>
    <x v="134"/>
    <x v="14"/>
    <x v="7"/>
    <x v="21"/>
    <x v="0"/>
    <x v="1"/>
    <x v="8"/>
    <x v="7"/>
    <x v="0"/>
    <x v="14"/>
    <x v="0"/>
    <x v="0"/>
    <x v="123"/>
    <x v="393"/>
    <x v="15"/>
    <x v="393"/>
    <x v="393"/>
  </r>
  <r>
    <x v="393"/>
    <x v="328"/>
    <x v="326"/>
    <x v="2"/>
    <x v="6"/>
    <x v="9"/>
    <x v="0"/>
    <x v="0"/>
    <x v="9"/>
    <x v="6"/>
    <x v="393"/>
    <x v="394"/>
    <x v="393"/>
    <x v="199"/>
    <x v="14"/>
    <x v="0"/>
    <x v="393"/>
    <x v="0"/>
    <x v="194"/>
    <x v="8"/>
    <x v="322"/>
    <x v="7"/>
    <x v="394"/>
    <x v="394"/>
    <x v="394"/>
    <x v="201"/>
    <x v="7"/>
    <x v="5"/>
    <x v="9"/>
    <x v="0"/>
    <x v="2"/>
    <x v="6"/>
    <x v="5"/>
    <x v="1"/>
    <x v="7"/>
    <x v="0"/>
    <x v="0"/>
    <x v="176"/>
    <x v="394"/>
    <x v="14"/>
    <x v="394"/>
    <x v="394"/>
  </r>
  <r>
    <x v="394"/>
    <x v="163"/>
    <x v="327"/>
    <x v="3"/>
    <x v="5"/>
    <x v="8"/>
    <x v="2"/>
    <x v="1"/>
    <x v="7"/>
    <x v="5"/>
    <x v="394"/>
    <x v="395"/>
    <x v="394"/>
    <x v="172"/>
    <x v="9"/>
    <x v="0"/>
    <x v="394"/>
    <x v="0"/>
    <x v="170"/>
    <x v="10"/>
    <x v="323"/>
    <x v="9"/>
    <x v="395"/>
    <x v="395"/>
    <x v="395"/>
    <x v="175"/>
    <x v="28"/>
    <x v="6"/>
    <x v="8"/>
    <x v="1"/>
    <x v="2"/>
    <x v="5"/>
    <x v="4"/>
    <x v="0"/>
    <x v="28"/>
    <x v="0"/>
    <x v="0"/>
    <x v="158"/>
    <x v="395"/>
    <x v="9"/>
    <x v="395"/>
    <x v="395"/>
  </r>
  <r>
    <x v="395"/>
    <x v="329"/>
    <x v="70"/>
    <x v="2"/>
    <x v="6"/>
    <x v="27"/>
    <x v="0"/>
    <x v="0"/>
    <x v="4"/>
    <x v="4"/>
    <x v="395"/>
    <x v="396"/>
    <x v="395"/>
    <x v="64"/>
    <x v="17"/>
    <x v="0"/>
    <x v="395"/>
    <x v="0"/>
    <x v="63"/>
    <x v="13"/>
    <x v="70"/>
    <x v="11"/>
    <x v="396"/>
    <x v="396"/>
    <x v="396"/>
    <x v="63"/>
    <x v="5"/>
    <x v="1"/>
    <x v="27"/>
    <x v="2"/>
    <x v="2"/>
    <x v="6"/>
    <x v="5"/>
    <x v="1"/>
    <x v="5"/>
    <x v="0"/>
    <x v="1"/>
    <x v="58"/>
    <x v="396"/>
    <x v="17"/>
    <x v="396"/>
    <x v="396"/>
  </r>
  <r>
    <x v="396"/>
    <x v="283"/>
    <x v="328"/>
    <x v="0"/>
    <x v="11"/>
    <x v="25"/>
    <x v="2"/>
    <x v="1"/>
    <x v="13"/>
    <x v="0"/>
    <x v="396"/>
    <x v="397"/>
    <x v="396"/>
    <x v="200"/>
    <x v="27"/>
    <x v="0"/>
    <x v="396"/>
    <x v="0"/>
    <x v="195"/>
    <x v="29"/>
    <x v="324"/>
    <x v="26"/>
    <x v="397"/>
    <x v="397"/>
    <x v="397"/>
    <x v="202"/>
    <x v="10"/>
    <x v="6"/>
    <x v="25"/>
    <x v="0"/>
    <x v="2"/>
    <x v="11"/>
    <x v="10"/>
    <x v="0"/>
    <x v="10"/>
    <x v="0"/>
    <x v="0"/>
    <x v="177"/>
    <x v="397"/>
    <x v="27"/>
    <x v="397"/>
    <x v="397"/>
  </r>
  <r>
    <x v="397"/>
    <x v="330"/>
    <x v="329"/>
    <x v="0"/>
    <x v="11"/>
    <x v="33"/>
    <x v="0"/>
    <x v="2"/>
    <x v="13"/>
    <x v="5"/>
    <x v="397"/>
    <x v="398"/>
    <x v="397"/>
    <x v="153"/>
    <x v="0"/>
    <x v="0"/>
    <x v="397"/>
    <x v="0"/>
    <x v="152"/>
    <x v="30"/>
    <x v="325"/>
    <x v="27"/>
    <x v="398"/>
    <x v="398"/>
    <x v="398"/>
    <x v="155"/>
    <x v="29"/>
    <x v="8"/>
    <x v="33"/>
    <x v="1"/>
    <x v="0"/>
    <x v="11"/>
    <x v="10"/>
    <x v="0"/>
    <x v="29"/>
    <x v="0"/>
    <x v="0"/>
    <x v="140"/>
    <x v="398"/>
    <x v="0"/>
    <x v="398"/>
    <x v="398"/>
  </r>
  <r>
    <x v="398"/>
    <x v="331"/>
    <x v="52"/>
    <x v="0"/>
    <x v="0"/>
    <x v="0"/>
    <x v="0"/>
    <x v="2"/>
    <x v="8"/>
    <x v="2"/>
    <x v="398"/>
    <x v="399"/>
    <x v="398"/>
    <x v="108"/>
    <x v="16"/>
    <x v="0"/>
    <x v="398"/>
    <x v="0"/>
    <x v="107"/>
    <x v="5"/>
    <x v="52"/>
    <x v="5"/>
    <x v="399"/>
    <x v="399"/>
    <x v="399"/>
    <x v="107"/>
    <x v="18"/>
    <x v="5"/>
    <x v="0"/>
    <x v="0"/>
    <x v="2"/>
    <x v="0"/>
    <x v="0"/>
    <x v="0"/>
    <x v="18"/>
    <x v="0"/>
    <x v="0"/>
    <x v="99"/>
    <x v="399"/>
    <x v="16"/>
    <x v="399"/>
    <x v="399"/>
  </r>
  <r>
    <x v="399"/>
    <x v="174"/>
    <x v="330"/>
    <x v="1"/>
    <x v="10"/>
    <x v="15"/>
    <x v="0"/>
    <x v="2"/>
    <x v="13"/>
    <x v="1"/>
    <x v="399"/>
    <x v="400"/>
    <x v="399"/>
    <x v="78"/>
    <x v="14"/>
    <x v="0"/>
    <x v="399"/>
    <x v="0"/>
    <x v="77"/>
    <x v="4"/>
    <x v="326"/>
    <x v="4"/>
    <x v="400"/>
    <x v="400"/>
    <x v="400"/>
    <x v="77"/>
    <x v="20"/>
    <x v="8"/>
    <x v="15"/>
    <x v="1"/>
    <x v="0"/>
    <x v="10"/>
    <x v="9"/>
    <x v="0"/>
    <x v="20"/>
    <x v="1"/>
    <x v="0"/>
    <x v="72"/>
    <x v="400"/>
    <x v="14"/>
    <x v="400"/>
    <x v="400"/>
  </r>
  <r>
    <x v="400"/>
    <x v="332"/>
    <x v="45"/>
    <x v="1"/>
    <x v="2"/>
    <x v="4"/>
    <x v="1"/>
    <x v="2"/>
    <x v="6"/>
    <x v="0"/>
    <x v="400"/>
    <x v="401"/>
    <x v="400"/>
    <x v="192"/>
    <x v="13"/>
    <x v="0"/>
    <x v="400"/>
    <x v="0"/>
    <x v="188"/>
    <x v="4"/>
    <x v="45"/>
    <x v="4"/>
    <x v="401"/>
    <x v="401"/>
    <x v="401"/>
    <x v="194"/>
    <x v="17"/>
    <x v="1"/>
    <x v="4"/>
    <x v="0"/>
    <x v="2"/>
    <x v="2"/>
    <x v="2"/>
    <x v="0"/>
    <x v="17"/>
    <x v="1"/>
    <x v="0"/>
    <x v="171"/>
    <x v="401"/>
    <x v="13"/>
    <x v="401"/>
    <x v="401"/>
  </r>
  <r>
    <x v="401"/>
    <x v="333"/>
    <x v="331"/>
    <x v="3"/>
    <x v="7"/>
    <x v="11"/>
    <x v="4"/>
    <x v="2"/>
    <x v="9"/>
    <x v="4"/>
    <x v="401"/>
    <x v="402"/>
    <x v="401"/>
    <x v="37"/>
    <x v="27"/>
    <x v="0"/>
    <x v="401"/>
    <x v="0"/>
    <x v="37"/>
    <x v="16"/>
    <x v="327"/>
    <x v="14"/>
    <x v="402"/>
    <x v="402"/>
    <x v="402"/>
    <x v="37"/>
    <x v="13"/>
    <x v="8"/>
    <x v="11"/>
    <x v="2"/>
    <x v="0"/>
    <x v="7"/>
    <x v="6"/>
    <x v="0"/>
    <x v="13"/>
    <x v="0"/>
    <x v="0"/>
    <x v="36"/>
    <x v="402"/>
    <x v="27"/>
    <x v="402"/>
    <x v="402"/>
  </r>
  <r>
    <x v="402"/>
    <x v="334"/>
    <x v="332"/>
    <x v="1"/>
    <x v="4"/>
    <x v="10"/>
    <x v="4"/>
    <x v="2"/>
    <x v="8"/>
    <x v="0"/>
    <x v="402"/>
    <x v="403"/>
    <x v="402"/>
    <x v="94"/>
    <x v="10"/>
    <x v="0"/>
    <x v="402"/>
    <x v="0"/>
    <x v="93"/>
    <x v="18"/>
    <x v="328"/>
    <x v="16"/>
    <x v="403"/>
    <x v="403"/>
    <x v="403"/>
    <x v="93"/>
    <x v="9"/>
    <x v="3"/>
    <x v="10"/>
    <x v="0"/>
    <x v="2"/>
    <x v="4"/>
    <x v="3"/>
    <x v="0"/>
    <x v="9"/>
    <x v="0"/>
    <x v="0"/>
    <x v="87"/>
    <x v="403"/>
    <x v="10"/>
    <x v="403"/>
    <x v="403"/>
  </r>
  <r>
    <x v="403"/>
    <x v="335"/>
    <x v="313"/>
    <x v="2"/>
    <x v="9"/>
    <x v="38"/>
    <x v="3"/>
    <x v="4"/>
    <x v="0"/>
    <x v="5"/>
    <x v="403"/>
    <x v="404"/>
    <x v="403"/>
    <x v="201"/>
    <x v="4"/>
    <x v="0"/>
    <x v="403"/>
    <x v="0"/>
    <x v="196"/>
    <x v="11"/>
    <x v="310"/>
    <x v="10"/>
    <x v="404"/>
    <x v="404"/>
    <x v="404"/>
    <x v="203"/>
    <x v="21"/>
    <x v="2"/>
    <x v="38"/>
    <x v="1"/>
    <x v="1"/>
    <x v="9"/>
    <x v="8"/>
    <x v="0"/>
    <x v="21"/>
    <x v="0"/>
    <x v="0"/>
    <x v="178"/>
    <x v="404"/>
    <x v="4"/>
    <x v="404"/>
    <x v="404"/>
  </r>
  <r>
    <x v="404"/>
    <x v="336"/>
    <x v="5"/>
    <x v="2"/>
    <x v="3"/>
    <x v="18"/>
    <x v="3"/>
    <x v="0"/>
    <x v="11"/>
    <x v="1"/>
    <x v="404"/>
    <x v="405"/>
    <x v="404"/>
    <x v="202"/>
    <x v="16"/>
    <x v="0"/>
    <x v="404"/>
    <x v="0"/>
    <x v="197"/>
    <x v="2"/>
    <x v="5"/>
    <x v="2"/>
    <x v="405"/>
    <x v="405"/>
    <x v="405"/>
    <x v="204"/>
    <x v="5"/>
    <x v="1"/>
    <x v="18"/>
    <x v="1"/>
    <x v="2"/>
    <x v="3"/>
    <x v="3"/>
    <x v="0"/>
    <x v="5"/>
    <x v="0"/>
    <x v="0"/>
    <x v="179"/>
    <x v="405"/>
    <x v="16"/>
    <x v="405"/>
    <x v="405"/>
  </r>
  <r>
    <x v="405"/>
    <x v="337"/>
    <x v="333"/>
    <x v="0"/>
    <x v="1"/>
    <x v="6"/>
    <x v="4"/>
    <x v="2"/>
    <x v="2"/>
    <x v="3"/>
    <x v="405"/>
    <x v="406"/>
    <x v="405"/>
    <x v="159"/>
    <x v="6"/>
    <x v="0"/>
    <x v="405"/>
    <x v="0"/>
    <x v="158"/>
    <x v="30"/>
    <x v="329"/>
    <x v="27"/>
    <x v="406"/>
    <x v="406"/>
    <x v="406"/>
    <x v="162"/>
    <x v="25"/>
    <x v="3"/>
    <x v="6"/>
    <x v="2"/>
    <x v="2"/>
    <x v="1"/>
    <x v="1"/>
    <x v="0"/>
    <x v="25"/>
    <x v="0"/>
    <x v="0"/>
    <x v="146"/>
    <x v="406"/>
    <x v="6"/>
    <x v="406"/>
    <x v="406"/>
  </r>
  <r>
    <x v="406"/>
    <x v="338"/>
    <x v="334"/>
    <x v="2"/>
    <x v="3"/>
    <x v="5"/>
    <x v="0"/>
    <x v="3"/>
    <x v="10"/>
    <x v="4"/>
    <x v="406"/>
    <x v="407"/>
    <x v="406"/>
    <x v="123"/>
    <x v="21"/>
    <x v="0"/>
    <x v="406"/>
    <x v="0"/>
    <x v="122"/>
    <x v="22"/>
    <x v="330"/>
    <x v="1"/>
    <x v="407"/>
    <x v="407"/>
    <x v="407"/>
    <x v="123"/>
    <x v="3"/>
    <x v="3"/>
    <x v="5"/>
    <x v="2"/>
    <x v="2"/>
    <x v="3"/>
    <x v="3"/>
    <x v="0"/>
    <x v="3"/>
    <x v="1"/>
    <x v="0"/>
    <x v="113"/>
    <x v="407"/>
    <x v="21"/>
    <x v="407"/>
    <x v="407"/>
  </r>
  <r>
    <x v="407"/>
    <x v="339"/>
    <x v="335"/>
    <x v="2"/>
    <x v="9"/>
    <x v="38"/>
    <x v="1"/>
    <x v="0"/>
    <x v="7"/>
    <x v="6"/>
    <x v="407"/>
    <x v="408"/>
    <x v="407"/>
    <x v="4"/>
    <x v="2"/>
    <x v="0"/>
    <x v="407"/>
    <x v="0"/>
    <x v="4"/>
    <x v="4"/>
    <x v="331"/>
    <x v="4"/>
    <x v="408"/>
    <x v="408"/>
    <x v="408"/>
    <x v="4"/>
    <x v="26"/>
    <x v="10"/>
    <x v="38"/>
    <x v="0"/>
    <x v="0"/>
    <x v="9"/>
    <x v="8"/>
    <x v="0"/>
    <x v="26"/>
    <x v="1"/>
    <x v="0"/>
    <x v="4"/>
    <x v="408"/>
    <x v="2"/>
    <x v="408"/>
    <x v="408"/>
  </r>
  <r>
    <x v="408"/>
    <x v="340"/>
    <x v="336"/>
    <x v="2"/>
    <x v="6"/>
    <x v="32"/>
    <x v="1"/>
    <x v="1"/>
    <x v="12"/>
    <x v="4"/>
    <x v="408"/>
    <x v="409"/>
    <x v="408"/>
    <x v="64"/>
    <x v="15"/>
    <x v="0"/>
    <x v="408"/>
    <x v="0"/>
    <x v="63"/>
    <x v="33"/>
    <x v="332"/>
    <x v="30"/>
    <x v="409"/>
    <x v="409"/>
    <x v="409"/>
    <x v="63"/>
    <x v="20"/>
    <x v="8"/>
    <x v="32"/>
    <x v="2"/>
    <x v="0"/>
    <x v="6"/>
    <x v="5"/>
    <x v="1"/>
    <x v="20"/>
    <x v="1"/>
    <x v="1"/>
    <x v="58"/>
    <x v="409"/>
    <x v="15"/>
    <x v="409"/>
    <x v="409"/>
  </r>
  <r>
    <x v="409"/>
    <x v="21"/>
    <x v="337"/>
    <x v="3"/>
    <x v="7"/>
    <x v="11"/>
    <x v="2"/>
    <x v="2"/>
    <x v="13"/>
    <x v="1"/>
    <x v="409"/>
    <x v="410"/>
    <x v="409"/>
    <x v="177"/>
    <x v="21"/>
    <x v="0"/>
    <x v="409"/>
    <x v="0"/>
    <x v="174"/>
    <x v="4"/>
    <x v="333"/>
    <x v="4"/>
    <x v="410"/>
    <x v="410"/>
    <x v="410"/>
    <x v="179"/>
    <x v="6"/>
    <x v="4"/>
    <x v="11"/>
    <x v="1"/>
    <x v="0"/>
    <x v="7"/>
    <x v="6"/>
    <x v="0"/>
    <x v="6"/>
    <x v="1"/>
    <x v="1"/>
    <x v="162"/>
    <x v="410"/>
    <x v="21"/>
    <x v="410"/>
    <x v="410"/>
  </r>
  <r>
    <x v="410"/>
    <x v="341"/>
    <x v="338"/>
    <x v="3"/>
    <x v="5"/>
    <x v="22"/>
    <x v="5"/>
    <x v="0"/>
    <x v="6"/>
    <x v="3"/>
    <x v="410"/>
    <x v="411"/>
    <x v="410"/>
    <x v="0"/>
    <x v="33"/>
    <x v="0"/>
    <x v="410"/>
    <x v="0"/>
    <x v="0"/>
    <x v="9"/>
    <x v="334"/>
    <x v="8"/>
    <x v="411"/>
    <x v="411"/>
    <x v="411"/>
    <x v="0"/>
    <x v="21"/>
    <x v="2"/>
    <x v="22"/>
    <x v="2"/>
    <x v="1"/>
    <x v="5"/>
    <x v="4"/>
    <x v="0"/>
    <x v="21"/>
    <x v="0"/>
    <x v="0"/>
    <x v="0"/>
    <x v="411"/>
    <x v="33"/>
    <x v="411"/>
    <x v="411"/>
  </r>
  <r>
    <x v="411"/>
    <x v="342"/>
    <x v="141"/>
    <x v="0"/>
    <x v="1"/>
    <x v="6"/>
    <x v="0"/>
    <x v="2"/>
    <x v="14"/>
    <x v="3"/>
    <x v="411"/>
    <x v="412"/>
    <x v="411"/>
    <x v="200"/>
    <x v="4"/>
    <x v="0"/>
    <x v="411"/>
    <x v="0"/>
    <x v="195"/>
    <x v="24"/>
    <x v="140"/>
    <x v="21"/>
    <x v="412"/>
    <x v="412"/>
    <x v="412"/>
    <x v="202"/>
    <x v="24"/>
    <x v="9"/>
    <x v="6"/>
    <x v="2"/>
    <x v="1"/>
    <x v="1"/>
    <x v="1"/>
    <x v="0"/>
    <x v="24"/>
    <x v="0"/>
    <x v="0"/>
    <x v="177"/>
    <x v="412"/>
    <x v="4"/>
    <x v="412"/>
    <x v="412"/>
  </r>
  <r>
    <x v="412"/>
    <x v="343"/>
    <x v="272"/>
    <x v="2"/>
    <x v="3"/>
    <x v="5"/>
    <x v="3"/>
    <x v="4"/>
    <x v="9"/>
    <x v="2"/>
    <x v="412"/>
    <x v="413"/>
    <x v="412"/>
    <x v="3"/>
    <x v="21"/>
    <x v="0"/>
    <x v="412"/>
    <x v="0"/>
    <x v="3"/>
    <x v="5"/>
    <x v="268"/>
    <x v="5"/>
    <x v="413"/>
    <x v="413"/>
    <x v="413"/>
    <x v="3"/>
    <x v="16"/>
    <x v="4"/>
    <x v="5"/>
    <x v="0"/>
    <x v="0"/>
    <x v="3"/>
    <x v="3"/>
    <x v="0"/>
    <x v="16"/>
    <x v="0"/>
    <x v="0"/>
    <x v="3"/>
    <x v="413"/>
    <x v="21"/>
    <x v="413"/>
    <x v="413"/>
  </r>
  <r>
    <x v="413"/>
    <x v="344"/>
    <x v="339"/>
    <x v="1"/>
    <x v="2"/>
    <x v="26"/>
    <x v="3"/>
    <x v="2"/>
    <x v="6"/>
    <x v="1"/>
    <x v="413"/>
    <x v="414"/>
    <x v="413"/>
    <x v="195"/>
    <x v="4"/>
    <x v="0"/>
    <x v="413"/>
    <x v="0"/>
    <x v="191"/>
    <x v="16"/>
    <x v="335"/>
    <x v="14"/>
    <x v="414"/>
    <x v="414"/>
    <x v="414"/>
    <x v="198"/>
    <x v="24"/>
    <x v="9"/>
    <x v="26"/>
    <x v="1"/>
    <x v="1"/>
    <x v="2"/>
    <x v="2"/>
    <x v="0"/>
    <x v="24"/>
    <x v="0"/>
    <x v="0"/>
    <x v="173"/>
    <x v="414"/>
    <x v="4"/>
    <x v="414"/>
    <x v="414"/>
  </r>
  <r>
    <x v="414"/>
    <x v="24"/>
    <x v="340"/>
    <x v="2"/>
    <x v="3"/>
    <x v="34"/>
    <x v="3"/>
    <x v="0"/>
    <x v="8"/>
    <x v="6"/>
    <x v="414"/>
    <x v="415"/>
    <x v="414"/>
    <x v="102"/>
    <x v="13"/>
    <x v="0"/>
    <x v="414"/>
    <x v="0"/>
    <x v="101"/>
    <x v="26"/>
    <x v="336"/>
    <x v="23"/>
    <x v="415"/>
    <x v="415"/>
    <x v="415"/>
    <x v="101"/>
    <x v="17"/>
    <x v="1"/>
    <x v="34"/>
    <x v="0"/>
    <x v="2"/>
    <x v="3"/>
    <x v="3"/>
    <x v="0"/>
    <x v="17"/>
    <x v="0"/>
    <x v="1"/>
    <x v="93"/>
    <x v="415"/>
    <x v="13"/>
    <x v="415"/>
    <x v="415"/>
  </r>
  <r>
    <x v="415"/>
    <x v="345"/>
    <x v="341"/>
    <x v="2"/>
    <x v="3"/>
    <x v="18"/>
    <x v="2"/>
    <x v="0"/>
    <x v="7"/>
    <x v="6"/>
    <x v="415"/>
    <x v="416"/>
    <x v="415"/>
    <x v="168"/>
    <x v="21"/>
    <x v="0"/>
    <x v="415"/>
    <x v="0"/>
    <x v="166"/>
    <x v="29"/>
    <x v="337"/>
    <x v="26"/>
    <x v="416"/>
    <x v="416"/>
    <x v="416"/>
    <x v="171"/>
    <x v="15"/>
    <x v="5"/>
    <x v="18"/>
    <x v="0"/>
    <x v="2"/>
    <x v="3"/>
    <x v="3"/>
    <x v="0"/>
    <x v="15"/>
    <x v="0"/>
    <x v="0"/>
    <x v="154"/>
    <x v="416"/>
    <x v="21"/>
    <x v="416"/>
    <x v="416"/>
  </r>
  <r>
    <x v="416"/>
    <x v="251"/>
    <x v="342"/>
    <x v="2"/>
    <x v="9"/>
    <x v="35"/>
    <x v="0"/>
    <x v="3"/>
    <x v="13"/>
    <x v="1"/>
    <x v="416"/>
    <x v="417"/>
    <x v="416"/>
    <x v="203"/>
    <x v="7"/>
    <x v="0"/>
    <x v="416"/>
    <x v="0"/>
    <x v="198"/>
    <x v="2"/>
    <x v="338"/>
    <x v="2"/>
    <x v="417"/>
    <x v="417"/>
    <x v="417"/>
    <x v="205"/>
    <x v="3"/>
    <x v="3"/>
    <x v="43"/>
    <x v="1"/>
    <x v="2"/>
    <x v="9"/>
    <x v="8"/>
    <x v="0"/>
    <x v="3"/>
    <x v="0"/>
    <x v="1"/>
    <x v="180"/>
    <x v="417"/>
    <x v="7"/>
    <x v="417"/>
    <x v="417"/>
  </r>
  <r>
    <x v="417"/>
    <x v="346"/>
    <x v="343"/>
    <x v="3"/>
    <x v="5"/>
    <x v="37"/>
    <x v="2"/>
    <x v="3"/>
    <x v="5"/>
    <x v="5"/>
    <x v="417"/>
    <x v="418"/>
    <x v="417"/>
    <x v="204"/>
    <x v="11"/>
    <x v="0"/>
    <x v="417"/>
    <x v="0"/>
    <x v="199"/>
    <x v="0"/>
    <x v="339"/>
    <x v="0"/>
    <x v="418"/>
    <x v="418"/>
    <x v="418"/>
    <x v="206"/>
    <x v="8"/>
    <x v="0"/>
    <x v="37"/>
    <x v="1"/>
    <x v="0"/>
    <x v="5"/>
    <x v="4"/>
    <x v="0"/>
    <x v="8"/>
    <x v="0"/>
    <x v="1"/>
    <x v="181"/>
    <x v="418"/>
    <x v="11"/>
    <x v="418"/>
    <x v="418"/>
  </r>
  <r>
    <x v="418"/>
    <x v="347"/>
    <x v="208"/>
    <x v="2"/>
    <x v="6"/>
    <x v="32"/>
    <x v="2"/>
    <x v="4"/>
    <x v="9"/>
    <x v="3"/>
    <x v="418"/>
    <x v="419"/>
    <x v="418"/>
    <x v="101"/>
    <x v="10"/>
    <x v="0"/>
    <x v="418"/>
    <x v="0"/>
    <x v="100"/>
    <x v="15"/>
    <x v="208"/>
    <x v="13"/>
    <x v="419"/>
    <x v="419"/>
    <x v="419"/>
    <x v="153"/>
    <x v="32"/>
    <x v="10"/>
    <x v="32"/>
    <x v="2"/>
    <x v="1"/>
    <x v="6"/>
    <x v="5"/>
    <x v="1"/>
    <x v="32"/>
    <x v="0"/>
    <x v="0"/>
    <x v="92"/>
    <x v="419"/>
    <x v="10"/>
    <x v="419"/>
    <x v="419"/>
  </r>
  <r>
    <x v="419"/>
    <x v="348"/>
    <x v="344"/>
    <x v="1"/>
    <x v="10"/>
    <x v="24"/>
    <x v="2"/>
    <x v="2"/>
    <x v="9"/>
    <x v="3"/>
    <x v="419"/>
    <x v="420"/>
    <x v="419"/>
    <x v="205"/>
    <x v="7"/>
    <x v="0"/>
    <x v="419"/>
    <x v="0"/>
    <x v="200"/>
    <x v="9"/>
    <x v="340"/>
    <x v="8"/>
    <x v="420"/>
    <x v="420"/>
    <x v="420"/>
    <x v="207"/>
    <x v="25"/>
    <x v="3"/>
    <x v="24"/>
    <x v="2"/>
    <x v="2"/>
    <x v="10"/>
    <x v="9"/>
    <x v="0"/>
    <x v="25"/>
    <x v="0"/>
    <x v="0"/>
    <x v="182"/>
    <x v="420"/>
    <x v="7"/>
    <x v="420"/>
    <x v="420"/>
  </r>
  <r>
    <x v="420"/>
    <x v="349"/>
    <x v="345"/>
    <x v="0"/>
    <x v="1"/>
    <x v="3"/>
    <x v="5"/>
    <x v="1"/>
    <x v="15"/>
    <x v="4"/>
    <x v="420"/>
    <x v="421"/>
    <x v="420"/>
    <x v="86"/>
    <x v="47"/>
    <x v="0"/>
    <x v="420"/>
    <x v="0"/>
    <x v="85"/>
    <x v="4"/>
    <x v="341"/>
    <x v="4"/>
    <x v="421"/>
    <x v="421"/>
    <x v="421"/>
    <x v="85"/>
    <x v="12"/>
    <x v="6"/>
    <x v="3"/>
    <x v="2"/>
    <x v="2"/>
    <x v="1"/>
    <x v="1"/>
    <x v="0"/>
    <x v="12"/>
    <x v="1"/>
    <x v="0"/>
    <x v="79"/>
    <x v="421"/>
    <x v="47"/>
    <x v="421"/>
    <x v="421"/>
  </r>
  <r>
    <x v="421"/>
    <x v="164"/>
    <x v="346"/>
    <x v="2"/>
    <x v="3"/>
    <x v="18"/>
    <x v="5"/>
    <x v="0"/>
    <x v="7"/>
    <x v="3"/>
    <x v="421"/>
    <x v="422"/>
    <x v="421"/>
    <x v="20"/>
    <x v="22"/>
    <x v="0"/>
    <x v="421"/>
    <x v="0"/>
    <x v="20"/>
    <x v="26"/>
    <x v="342"/>
    <x v="23"/>
    <x v="422"/>
    <x v="422"/>
    <x v="422"/>
    <x v="20"/>
    <x v="10"/>
    <x v="6"/>
    <x v="18"/>
    <x v="2"/>
    <x v="2"/>
    <x v="3"/>
    <x v="3"/>
    <x v="0"/>
    <x v="10"/>
    <x v="0"/>
    <x v="0"/>
    <x v="20"/>
    <x v="422"/>
    <x v="22"/>
    <x v="422"/>
    <x v="422"/>
  </r>
  <r>
    <x v="422"/>
    <x v="350"/>
    <x v="347"/>
    <x v="2"/>
    <x v="9"/>
    <x v="38"/>
    <x v="1"/>
    <x v="2"/>
    <x v="6"/>
    <x v="1"/>
    <x v="422"/>
    <x v="423"/>
    <x v="422"/>
    <x v="27"/>
    <x v="22"/>
    <x v="0"/>
    <x v="422"/>
    <x v="0"/>
    <x v="27"/>
    <x v="14"/>
    <x v="343"/>
    <x v="12"/>
    <x v="423"/>
    <x v="423"/>
    <x v="423"/>
    <x v="27"/>
    <x v="31"/>
    <x v="0"/>
    <x v="38"/>
    <x v="1"/>
    <x v="0"/>
    <x v="9"/>
    <x v="8"/>
    <x v="0"/>
    <x v="31"/>
    <x v="0"/>
    <x v="1"/>
    <x v="27"/>
    <x v="423"/>
    <x v="22"/>
    <x v="423"/>
    <x v="423"/>
  </r>
  <r>
    <x v="423"/>
    <x v="351"/>
    <x v="220"/>
    <x v="2"/>
    <x v="3"/>
    <x v="29"/>
    <x v="1"/>
    <x v="2"/>
    <x v="3"/>
    <x v="4"/>
    <x v="423"/>
    <x v="424"/>
    <x v="423"/>
    <x v="121"/>
    <x v="15"/>
    <x v="0"/>
    <x v="423"/>
    <x v="0"/>
    <x v="120"/>
    <x v="30"/>
    <x v="219"/>
    <x v="27"/>
    <x v="424"/>
    <x v="424"/>
    <x v="424"/>
    <x v="121"/>
    <x v="31"/>
    <x v="0"/>
    <x v="29"/>
    <x v="2"/>
    <x v="0"/>
    <x v="3"/>
    <x v="3"/>
    <x v="0"/>
    <x v="31"/>
    <x v="0"/>
    <x v="0"/>
    <x v="111"/>
    <x v="424"/>
    <x v="15"/>
    <x v="424"/>
    <x v="424"/>
  </r>
  <r>
    <x v="424"/>
    <x v="256"/>
    <x v="348"/>
    <x v="0"/>
    <x v="1"/>
    <x v="1"/>
    <x v="3"/>
    <x v="2"/>
    <x v="5"/>
    <x v="4"/>
    <x v="424"/>
    <x v="425"/>
    <x v="424"/>
    <x v="10"/>
    <x v="42"/>
    <x v="0"/>
    <x v="424"/>
    <x v="0"/>
    <x v="10"/>
    <x v="13"/>
    <x v="344"/>
    <x v="11"/>
    <x v="425"/>
    <x v="425"/>
    <x v="425"/>
    <x v="208"/>
    <x v="28"/>
    <x v="6"/>
    <x v="1"/>
    <x v="2"/>
    <x v="2"/>
    <x v="1"/>
    <x v="1"/>
    <x v="0"/>
    <x v="28"/>
    <x v="0"/>
    <x v="1"/>
    <x v="10"/>
    <x v="425"/>
    <x v="42"/>
    <x v="425"/>
    <x v="425"/>
  </r>
  <r>
    <x v="425"/>
    <x v="352"/>
    <x v="349"/>
    <x v="2"/>
    <x v="3"/>
    <x v="29"/>
    <x v="5"/>
    <x v="2"/>
    <x v="0"/>
    <x v="3"/>
    <x v="425"/>
    <x v="426"/>
    <x v="425"/>
    <x v="206"/>
    <x v="6"/>
    <x v="0"/>
    <x v="425"/>
    <x v="1"/>
    <x v="32"/>
    <x v="2"/>
    <x v="345"/>
    <x v="2"/>
    <x v="426"/>
    <x v="426"/>
    <x v="426"/>
    <x v="32"/>
    <x v="20"/>
    <x v="8"/>
    <x v="29"/>
    <x v="2"/>
    <x v="0"/>
    <x v="3"/>
    <x v="3"/>
    <x v="0"/>
    <x v="20"/>
    <x v="0"/>
    <x v="1"/>
    <x v="10"/>
    <x v="426"/>
    <x v="6"/>
    <x v="426"/>
    <x v="426"/>
  </r>
  <r>
    <x v="426"/>
    <x v="353"/>
    <x v="350"/>
    <x v="3"/>
    <x v="7"/>
    <x v="11"/>
    <x v="3"/>
    <x v="3"/>
    <x v="5"/>
    <x v="5"/>
    <x v="426"/>
    <x v="427"/>
    <x v="426"/>
    <x v="4"/>
    <x v="45"/>
    <x v="0"/>
    <x v="426"/>
    <x v="0"/>
    <x v="4"/>
    <x v="21"/>
    <x v="346"/>
    <x v="19"/>
    <x v="427"/>
    <x v="427"/>
    <x v="427"/>
    <x v="4"/>
    <x v="31"/>
    <x v="0"/>
    <x v="11"/>
    <x v="1"/>
    <x v="0"/>
    <x v="7"/>
    <x v="6"/>
    <x v="0"/>
    <x v="31"/>
    <x v="0"/>
    <x v="0"/>
    <x v="4"/>
    <x v="427"/>
    <x v="45"/>
    <x v="427"/>
    <x v="427"/>
  </r>
  <r>
    <x v="427"/>
    <x v="354"/>
    <x v="56"/>
    <x v="2"/>
    <x v="3"/>
    <x v="5"/>
    <x v="4"/>
    <x v="4"/>
    <x v="1"/>
    <x v="3"/>
    <x v="427"/>
    <x v="428"/>
    <x v="427"/>
    <x v="29"/>
    <x v="22"/>
    <x v="0"/>
    <x v="427"/>
    <x v="0"/>
    <x v="29"/>
    <x v="33"/>
    <x v="56"/>
    <x v="30"/>
    <x v="428"/>
    <x v="428"/>
    <x v="428"/>
    <x v="29"/>
    <x v="7"/>
    <x v="5"/>
    <x v="5"/>
    <x v="2"/>
    <x v="2"/>
    <x v="3"/>
    <x v="3"/>
    <x v="0"/>
    <x v="7"/>
    <x v="1"/>
    <x v="0"/>
    <x v="29"/>
    <x v="428"/>
    <x v="22"/>
    <x v="428"/>
    <x v="428"/>
  </r>
  <r>
    <x v="428"/>
    <x v="355"/>
    <x v="351"/>
    <x v="3"/>
    <x v="5"/>
    <x v="37"/>
    <x v="5"/>
    <x v="1"/>
    <x v="4"/>
    <x v="1"/>
    <x v="428"/>
    <x v="429"/>
    <x v="428"/>
    <x v="158"/>
    <x v="21"/>
    <x v="0"/>
    <x v="428"/>
    <x v="0"/>
    <x v="157"/>
    <x v="25"/>
    <x v="347"/>
    <x v="22"/>
    <x v="429"/>
    <x v="429"/>
    <x v="429"/>
    <x v="161"/>
    <x v="17"/>
    <x v="1"/>
    <x v="37"/>
    <x v="1"/>
    <x v="2"/>
    <x v="5"/>
    <x v="4"/>
    <x v="0"/>
    <x v="17"/>
    <x v="0"/>
    <x v="0"/>
    <x v="145"/>
    <x v="429"/>
    <x v="21"/>
    <x v="429"/>
    <x v="429"/>
  </r>
  <r>
    <x v="429"/>
    <x v="356"/>
    <x v="15"/>
    <x v="2"/>
    <x v="9"/>
    <x v="14"/>
    <x v="4"/>
    <x v="1"/>
    <x v="10"/>
    <x v="4"/>
    <x v="429"/>
    <x v="430"/>
    <x v="429"/>
    <x v="4"/>
    <x v="42"/>
    <x v="0"/>
    <x v="429"/>
    <x v="0"/>
    <x v="4"/>
    <x v="25"/>
    <x v="15"/>
    <x v="22"/>
    <x v="430"/>
    <x v="430"/>
    <x v="430"/>
    <x v="4"/>
    <x v="5"/>
    <x v="1"/>
    <x v="14"/>
    <x v="2"/>
    <x v="2"/>
    <x v="9"/>
    <x v="8"/>
    <x v="0"/>
    <x v="5"/>
    <x v="0"/>
    <x v="0"/>
    <x v="4"/>
    <x v="430"/>
    <x v="42"/>
    <x v="430"/>
    <x v="430"/>
  </r>
  <r>
    <x v="430"/>
    <x v="258"/>
    <x v="352"/>
    <x v="3"/>
    <x v="8"/>
    <x v="31"/>
    <x v="4"/>
    <x v="3"/>
    <x v="1"/>
    <x v="5"/>
    <x v="430"/>
    <x v="431"/>
    <x v="430"/>
    <x v="120"/>
    <x v="10"/>
    <x v="0"/>
    <x v="430"/>
    <x v="0"/>
    <x v="119"/>
    <x v="20"/>
    <x v="348"/>
    <x v="18"/>
    <x v="431"/>
    <x v="431"/>
    <x v="431"/>
    <x v="120"/>
    <x v="32"/>
    <x v="10"/>
    <x v="31"/>
    <x v="1"/>
    <x v="1"/>
    <x v="8"/>
    <x v="7"/>
    <x v="0"/>
    <x v="32"/>
    <x v="1"/>
    <x v="0"/>
    <x v="110"/>
    <x v="431"/>
    <x v="10"/>
    <x v="431"/>
    <x v="431"/>
  </r>
  <r>
    <x v="431"/>
    <x v="15"/>
    <x v="353"/>
    <x v="0"/>
    <x v="1"/>
    <x v="3"/>
    <x v="0"/>
    <x v="0"/>
    <x v="6"/>
    <x v="5"/>
    <x v="431"/>
    <x v="432"/>
    <x v="431"/>
    <x v="163"/>
    <x v="16"/>
    <x v="0"/>
    <x v="431"/>
    <x v="0"/>
    <x v="161"/>
    <x v="29"/>
    <x v="349"/>
    <x v="26"/>
    <x v="432"/>
    <x v="432"/>
    <x v="432"/>
    <x v="165"/>
    <x v="5"/>
    <x v="1"/>
    <x v="3"/>
    <x v="1"/>
    <x v="2"/>
    <x v="1"/>
    <x v="1"/>
    <x v="0"/>
    <x v="5"/>
    <x v="0"/>
    <x v="0"/>
    <x v="149"/>
    <x v="432"/>
    <x v="16"/>
    <x v="432"/>
    <x v="432"/>
  </r>
  <r>
    <x v="432"/>
    <x v="254"/>
    <x v="149"/>
    <x v="2"/>
    <x v="9"/>
    <x v="38"/>
    <x v="5"/>
    <x v="3"/>
    <x v="6"/>
    <x v="2"/>
    <x v="432"/>
    <x v="433"/>
    <x v="432"/>
    <x v="207"/>
    <x v="20"/>
    <x v="0"/>
    <x v="432"/>
    <x v="0"/>
    <x v="201"/>
    <x v="25"/>
    <x v="149"/>
    <x v="22"/>
    <x v="433"/>
    <x v="433"/>
    <x v="433"/>
    <x v="209"/>
    <x v="29"/>
    <x v="8"/>
    <x v="38"/>
    <x v="0"/>
    <x v="0"/>
    <x v="9"/>
    <x v="8"/>
    <x v="0"/>
    <x v="29"/>
    <x v="0"/>
    <x v="1"/>
    <x v="183"/>
    <x v="433"/>
    <x v="20"/>
    <x v="433"/>
    <x v="433"/>
  </r>
  <r>
    <x v="433"/>
    <x v="357"/>
    <x v="354"/>
    <x v="0"/>
    <x v="0"/>
    <x v="0"/>
    <x v="5"/>
    <x v="0"/>
    <x v="1"/>
    <x v="3"/>
    <x v="433"/>
    <x v="434"/>
    <x v="433"/>
    <x v="4"/>
    <x v="31"/>
    <x v="0"/>
    <x v="433"/>
    <x v="0"/>
    <x v="4"/>
    <x v="27"/>
    <x v="350"/>
    <x v="24"/>
    <x v="434"/>
    <x v="434"/>
    <x v="434"/>
    <x v="4"/>
    <x v="32"/>
    <x v="10"/>
    <x v="0"/>
    <x v="2"/>
    <x v="1"/>
    <x v="0"/>
    <x v="0"/>
    <x v="0"/>
    <x v="32"/>
    <x v="1"/>
    <x v="0"/>
    <x v="4"/>
    <x v="434"/>
    <x v="31"/>
    <x v="434"/>
    <x v="434"/>
  </r>
  <r>
    <x v="434"/>
    <x v="358"/>
    <x v="355"/>
    <x v="2"/>
    <x v="3"/>
    <x v="5"/>
    <x v="0"/>
    <x v="2"/>
    <x v="13"/>
    <x v="2"/>
    <x v="434"/>
    <x v="435"/>
    <x v="434"/>
    <x v="139"/>
    <x v="3"/>
    <x v="0"/>
    <x v="434"/>
    <x v="0"/>
    <x v="138"/>
    <x v="9"/>
    <x v="351"/>
    <x v="8"/>
    <x v="435"/>
    <x v="435"/>
    <x v="435"/>
    <x v="139"/>
    <x v="5"/>
    <x v="1"/>
    <x v="5"/>
    <x v="0"/>
    <x v="2"/>
    <x v="3"/>
    <x v="3"/>
    <x v="0"/>
    <x v="5"/>
    <x v="0"/>
    <x v="0"/>
    <x v="128"/>
    <x v="435"/>
    <x v="3"/>
    <x v="435"/>
    <x v="435"/>
  </r>
  <r>
    <x v="435"/>
    <x v="66"/>
    <x v="356"/>
    <x v="2"/>
    <x v="6"/>
    <x v="32"/>
    <x v="3"/>
    <x v="4"/>
    <x v="11"/>
    <x v="0"/>
    <x v="435"/>
    <x v="436"/>
    <x v="435"/>
    <x v="5"/>
    <x v="4"/>
    <x v="0"/>
    <x v="435"/>
    <x v="0"/>
    <x v="5"/>
    <x v="6"/>
    <x v="188"/>
    <x v="1"/>
    <x v="436"/>
    <x v="436"/>
    <x v="436"/>
    <x v="5"/>
    <x v="11"/>
    <x v="7"/>
    <x v="32"/>
    <x v="0"/>
    <x v="1"/>
    <x v="6"/>
    <x v="5"/>
    <x v="1"/>
    <x v="11"/>
    <x v="1"/>
    <x v="0"/>
    <x v="5"/>
    <x v="436"/>
    <x v="4"/>
    <x v="436"/>
    <x v="436"/>
  </r>
  <r>
    <x v="436"/>
    <x v="359"/>
    <x v="357"/>
    <x v="3"/>
    <x v="7"/>
    <x v="11"/>
    <x v="5"/>
    <x v="2"/>
    <x v="14"/>
    <x v="6"/>
    <x v="436"/>
    <x v="437"/>
    <x v="436"/>
    <x v="155"/>
    <x v="22"/>
    <x v="0"/>
    <x v="436"/>
    <x v="0"/>
    <x v="154"/>
    <x v="29"/>
    <x v="352"/>
    <x v="26"/>
    <x v="437"/>
    <x v="437"/>
    <x v="437"/>
    <x v="158"/>
    <x v="26"/>
    <x v="10"/>
    <x v="11"/>
    <x v="0"/>
    <x v="0"/>
    <x v="7"/>
    <x v="6"/>
    <x v="0"/>
    <x v="26"/>
    <x v="0"/>
    <x v="0"/>
    <x v="142"/>
    <x v="437"/>
    <x v="22"/>
    <x v="437"/>
    <x v="437"/>
  </r>
  <r>
    <x v="437"/>
    <x v="360"/>
    <x v="156"/>
    <x v="0"/>
    <x v="0"/>
    <x v="16"/>
    <x v="0"/>
    <x v="1"/>
    <x v="8"/>
    <x v="2"/>
    <x v="437"/>
    <x v="438"/>
    <x v="437"/>
    <x v="208"/>
    <x v="7"/>
    <x v="0"/>
    <x v="437"/>
    <x v="0"/>
    <x v="202"/>
    <x v="7"/>
    <x v="156"/>
    <x v="6"/>
    <x v="438"/>
    <x v="438"/>
    <x v="438"/>
    <x v="210"/>
    <x v="2"/>
    <x v="2"/>
    <x v="16"/>
    <x v="0"/>
    <x v="1"/>
    <x v="0"/>
    <x v="0"/>
    <x v="0"/>
    <x v="2"/>
    <x v="0"/>
    <x v="0"/>
    <x v="184"/>
    <x v="438"/>
    <x v="7"/>
    <x v="438"/>
    <x v="438"/>
  </r>
  <r>
    <x v="438"/>
    <x v="361"/>
    <x v="358"/>
    <x v="2"/>
    <x v="9"/>
    <x v="38"/>
    <x v="2"/>
    <x v="3"/>
    <x v="11"/>
    <x v="1"/>
    <x v="438"/>
    <x v="439"/>
    <x v="438"/>
    <x v="209"/>
    <x v="21"/>
    <x v="0"/>
    <x v="438"/>
    <x v="0"/>
    <x v="203"/>
    <x v="15"/>
    <x v="353"/>
    <x v="13"/>
    <x v="439"/>
    <x v="439"/>
    <x v="439"/>
    <x v="211"/>
    <x v="14"/>
    <x v="7"/>
    <x v="38"/>
    <x v="1"/>
    <x v="1"/>
    <x v="9"/>
    <x v="8"/>
    <x v="0"/>
    <x v="14"/>
    <x v="0"/>
    <x v="0"/>
    <x v="185"/>
    <x v="439"/>
    <x v="21"/>
    <x v="439"/>
    <x v="439"/>
  </r>
  <r>
    <x v="439"/>
    <x v="362"/>
    <x v="220"/>
    <x v="2"/>
    <x v="3"/>
    <x v="5"/>
    <x v="1"/>
    <x v="4"/>
    <x v="3"/>
    <x v="3"/>
    <x v="439"/>
    <x v="440"/>
    <x v="439"/>
    <x v="134"/>
    <x v="29"/>
    <x v="0"/>
    <x v="439"/>
    <x v="0"/>
    <x v="133"/>
    <x v="4"/>
    <x v="219"/>
    <x v="4"/>
    <x v="440"/>
    <x v="440"/>
    <x v="440"/>
    <x v="134"/>
    <x v="0"/>
    <x v="0"/>
    <x v="5"/>
    <x v="2"/>
    <x v="0"/>
    <x v="3"/>
    <x v="3"/>
    <x v="0"/>
    <x v="0"/>
    <x v="1"/>
    <x v="0"/>
    <x v="123"/>
    <x v="440"/>
    <x v="29"/>
    <x v="440"/>
    <x v="440"/>
  </r>
  <r>
    <x v="440"/>
    <x v="363"/>
    <x v="359"/>
    <x v="2"/>
    <x v="3"/>
    <x v="35"/>
    <x v="0"/>
    <x v="5"/>
    <x v="4"/>
    <x v="6"/>
    <x v="440"/>
    <x v="441"/>
    <x v="440"/>
    <x v="86"/>
    <x v="21"/>
    <x v="0"/>
    <x v="440"/>
    <x v="0"/>
    <x v="85"/>
    <x v="13"/>
    <x v="354"/>
    <x v="11"/>
    <x v="441"/>
    <x v="441"/>
    <x v="441"/>
    <x v="85"/>
    <x v="27"/>
    <x v="9"/>
    <x v="35"/>
    <x v="0"/>
    <x v="1"/>
    <x v="3"/>
    <x v="3"/>
    <x v="0"/>
    <x v="27"/>
    <x v="0"/>
    <x v="0"/>
    <x v="79"/>
    <x v="441"/>
    <x v="21"/>
    <x v="441"/>
    <x v="441"/>
  </r>
  <r>
    <x v="441"/>
    <x v="364"/>
    <x v="103"/>
    <x v="3"/>
    <x v="5"/>
    <x v="37"/>
    <x v="2"/>
    <x v="0"/>
    <x v="14"/>
    <x v="1"/>
    <x v="441"/>
    <x v="442"/>
    <x v="441"/>
    <x v="88"/>
    <x v="48"/>
    <x v="0"/>
    <x v="441"/>
    <x v="0"/>
    <x v="87"/>
    <x v="21"/>
    <x v="102"/>
    <x v="19"/>
    <x v="442"/>
    <x v="442"/>
    <x v="442"/>
    <x v="87"/>
    <x v="20"/>
    <x v="8"/>
    <x v="37"/>
    <x v="1"/>
    <x v="0"/>
    <x v="5"/>
    <x v="4"/>
    <x v="0"/>
    <x v="20"/>
    <x v="0"/>
    <x v="0"/>
    <x v="81"/>
    <x v="442"/>
    <x v="48"/>
    <x v="442"/>
    <x v="442"/>
  </r>
  <r>
    <x v="442"/>
    <x v="365"/>
    <x v="360"/>
    <x v="1"/>
    <x v="2"/>
    <x v="4"/>
    <x v="5"/>
    <x v="1"/>
    <x v="5"/>
    <x v="1"/>
    <x v="442"/>
    <x v="443"/>
    <x v="442"/>
    <x v="4"/>
    <x v="42"/>
    <x v="0"/>
    <x v="442"/>
    <x v="0"/>
    <x v="4"/>
    <x v="13"/>
    <x v="355"/>
    <x v="11"/>
    <x v="443"/>
    <x v="443"/>
    <x v="443"/>
    <x v="4"/>
    <x v="29"/>
    <x v="8"/>
    <x v="4"/>
    <x v="1"/>
    <x v="0"/>
    <x v="2"/>
    <x v="2"/>
    <x v="0"/>
    <x v="29"/>
    <x v="0"/>
    <x v="0"/>
    <x v="4"/>
    <x v="443"/>
    <x v="42"/>
    <x v="443"/>
    <x v="443"/>
  </r>
  <r>
    <x v="443"/>
    <x v="366"/>
    <x v="36"/>
    <x v="1"/>
    <x v="2"/>
    <x v="4"/>
    <x v="0"/>
    <x v="1"/>
    <x v="0"/>
    <x v="1"/>
    <x v="443"/>
    <x v="444"/>
    <x v="443"/>
    <x v="179"/>
    <x v="5"/>
    <x v="0"/>
    <x v="443"/>
    <x v="0"/>
    <x v="176"/>
    <x v="25"/>
    <x v="37"/>
    <x v="22"/>
    <x v="444"/>
    <x v="444"/>
    <x v="444"/>
    <x v="212"/>
    <x v="22"/>
    <x v="7"/>
    <x v="4"/>
    <x v="1"/>
    <x v="1"/>
    <x v="2"/>
    <x v="2"/>
    <x v="0"/>
    <x v="22"/>
    <x v="0"/>
    <x v="0"/>
    <x v="163"/>
    <x v="444"/>
    <x v="5"/>
    <x v="444"/>
    <x v="444"/>
  </r>
  <r>
    <x v="444"/>
    <x v="239"/>
    <x v="361"/>
    <x v="2"/>
    <x v="6"/>
    <x v="32"/>
    <x v="1"/>
    <x v="4"/>
    <x v="4"/>
    <x v="4"/>
    <x v="444"/>
    <x v="445"/>
    <x v="444"/>
    <x v="12"/>
    <x v="15"/>
    <x v="0"/>
    <x v="444"/>
    <x v="0"/>
    <x v="12"/>
    <x v="9"/>
    <x v="356"/>
    <x v="8"/>
    <x v="445"/>
    <x v="445"/>
    <x v="445"/>
    <x v="12"/>
    <x v="26"/>
    <x v="10"/>
    <x v="32"/>
    <x v="2"/>
    <x v="0"/>
    <x v="6"/>
    <x v="5"/>
    <x v="1"/>
    <x v="26"/>
    <x v="0"/>
    <x v="0"/>
    <x v="12"/>
    <x v="445"/>
    <x v="15"/>
    <x v="445"/>
    <x v="445"/>
  </r>
  <r>
    <x v="445"/>
    <x v="257"/>
    <x v="362"/>
    <x v="0"/>
    <x v="11"/>
    <x v="25"/>
    <x v="5"/>
    <x v="2"/>
    <x v="1"/>
    <x v="5"/>
    <x v="445"/>
    <x v="446"/>
    <x v="445"/>
    <x v="210"/>
    <x v="30"/>
    <x v="0"/>
    <x v="445"/>
    <x v="0"/>
    <x v="204"/>
    <x v="19"/>
    <x v="357"/>
    <x v="17"/>
    <x v="446"/>
    <x v="446"/>
    <x v="446"/>
    <x v="213"/>
    <x v="3"/>
    <x v="3"/>
    <x v="25"/>
    <x v="1"/>
    <x v="2"/>
    <x v="11"/>
    <x v="10"/>
    <x v="0"/>
    <x v="3"/>
    <x v="0"/>
    <x v="1"/>
    <x v="10"/>
    <x v="446"/>
    <x v="30"/>
    <x v="446"/>
    <x v="446"/>
  </r>
  <r>
    <x v="446"/>
    <x v="367"/>
    <x v="272"/>
    <x v="1"/>
    <x v="2"/>
    <x v="4"/>
    <x v="3"/>
    <x v="4"/>
    <x v="3"/>
    <x v="5"/>
    <x v="446"/>
    <x v="447"/>
    <x v="446"/>
    <x v="66"/>
    <x v="8"/>
    <x v="0"/>
    <x v="446"/>
    <x v="0"/>
    <x v="65"/>
    <x v="31"/>
    <x v="268"/>
    <x v="28"/>
    <x v="447"/>
    <x v="447"/>
    <x v="447"/>
    <x v="65"/>
    <x v="16"/>
    <x v="4"/>
    <x v="4"/>
    <x v="1"/>
    <x v="0"/>
    <x v="2"/>
    <x v="2"/>
    <x v="0"/>
    <x v="16"/>
    <x v="0"/>
    <x v="0"/>
    <x v="60"/>
    <x v="447"/>
    <x v="8"/>
    <x v="447"/>
    <x v="447"/>
  </r>
  <r>
    <x v="447"/>
    <x v="368"/>
    <x v="363"/>
    <x v="0"/>
    <x v="1"/>
    <x v="1"/>
    <x v="0"/>
    <x v="2"/>
    <x v="2"/>
    <x v="3"/>
    <x v="447"/>
    <x v="448"/>
    <x v="447"/>
    <x v="154"/>
    <x v="11"/>
    <x v="0"/>
    <x v="447"/>
    <x v="0"/>
    <x v="153"/>
    <x v="30"/>
    <x v="358"/>
    <x v="27"/>
    <x v="448"/>
    <x v="448"/>
    <x v="448"/>
    <x v="156"/>
    <x v="16"/>
    <x v="4"/>
    <x v="1"/>
    <x v="2"/>
    <x v="0"/>
    <x v="1"/>
    <x v="1"/>
    <x v="0"/>
    <x v="16"/>
    <x v="0"/>
    <x v="1"/>
    <x v="141"/>
    <x v="448"/>
    <x v="11"/>
    <x v="448"/>
    <x v="448"/>
  </r>
  <r>
    <x v="448"/>
    <x v="369"/>
    <x v="171"/>
    <x v="2"/>
    <x v="3"/>
    <x v="18"/>
    <x v="3"/>
    <x v="3"/>
    <x v="5"/>
    <x v="1"/>
    <x v="448"/>
    <x v="449"/>
    <x v="448"/>
    <x v="211"/>
    <x v="4"/>
    <x v="0"/>
    <x v="448"/>
    <x v="0"/>
    <x v="205"/>
    <x v="12"/>
    <x v="359"/>
    <x v="1"/>
    <x v="449"/>
    <x v="449"/>
    <x v="449"/>
    <x v="214"/>
    <x v="23"/>
    <x v="9"/>
    <x v="18"/>
    <x v="1"/>
    <x v="1"/>
    <x v="3"/>
    <x v="3"/>
    <x v="0"/>
    <x v="23"/>
    <x v="1"/>
    <x v="0"/>
    <x v="186"/>
    <x v="449"/>
    <x v="4"/>
    <x v="449"/>
    <x v="449"/>
  </r>
  <r>
    <x v="449"/>
    <x v="370"/>
    <x v="186"/>
    <x v="3"/>
    <x v="8"/>
    <x v="21"/>
    <x v="4"/>
    <x v="3"/>
    <x v="3"/>
    <x v="6"/>
    <x v="449"/>
    <x v="450"/>
    <x v="449"/>
    <x v="71"/>
    <x v="10"/>
    <x v="0"/>
    <x v="449"/>
    <x v="0"/>
    <x v="70"/>
    <x v="16"/>
    <x v="186"/>
    <x v="14"/>
    <x v="450"/>
    <x v="450"/>
    <x v="450"/>
    <x v="70"/>
    <x v="4"/>
    <x v="2"/>
    <x v="21"/>
    <x v="0"/>
    <x v="1"/>
    <x v="8"/>
    <x v="7"/>
    <x v="0"/>
    <x v="4"/>
    <x v="0"/>
    <x v="0"/>
    <x v="65"/>
    <x v="450"/>
    <x v="10"/>
    <x v="450"/>
    <x v="450"/>
  </r>
  <r>
    <x v="450"/>
    <x v="371"/>
    <x v="364"/>
    <x v="2"/>
    <x v="3"/>
    <x v="5"/>
    <x v="3"/>
    <x v="0"/>
    <x v="14"/>
    <x v="0"/>
    <x v="450"/>
    <x v="451"/>
    <x v="450"/>
    <x v="87"/>
    <x v="2"/>
    <x v="0"/>
    <x v="450"/>
    <x v="0"/>
    <x v="86"/>
    <x v="16"/>
    <x v="360"/>
    <x v="14"/>
    <x v="451"/>
    <x v="451"/>
    <x v="451"/>
    <x v="86"/>
    <x v="6"/>
    <x v="4"/>
    <x v="5"/>
    <x v="0"/>
    <x v="0"/>
    <x v="3"/>
    <x v="3"/>
    <x v="0"/>
    <x v="6"/>
    <x v="0"/>
    <x v="0"/>
    <x v="80"/>
    <x v="451"/>
    <x v="2"/>
    <x v="451"/>
    <x v="451"/>
  </r>
  <r>
    <x v="451"/>
    <x v="55"/>
    <x v="365"/>
    <x v="2"/>
    <x v="6"/>
    <x v="32"/>
    <x v="0"/>
    <x v="4"/>
    <x v="4"/>
    <x v="3"/>
    <x v="451"/>
    <x v="452"/>
    <x v="451"/>
    <x v="158"/>
    <x v="14"/>
    <x v="0"/>
    <x v="451"/>
    <x v="0"/>
    <x v="157"/>
    <x v="16"/>
    <x v="361"/>
    <x v="14"/>
    <x v="452"/>
    <x v="452"/>
    <x v="452"/>
    <x v="161"/>
    <x v="15"/>
    <x v="5"/>
    <x v="32"/>
    <x v="2"/>
    <x v="2"/>
    <x v="6"/>
    <x v="5"/>
    <x v="1"/>
    <x v="15"/>
    <x v="0"/>
    <x v="0"/>
    <x v="145"/>
    <x v="452"/>
    <x v="14"/>
    <x v="452"/>
    <x v="452"/>
  </r>
  <r>
    <x v="452"/>
    <x v="372"/>
    <x v="366"/>
    <x v="1"/>
    <x v="10"/>
    <x v="36"/>
    <x v="3"/>
    <x v="2"/>
    <x v="3"/>
    <x v="5"/>
    <x v="452"/>
    <x v="453"/>
    <x v="452"/>
    <x v="212"/>
    <x v="11"/>
    <x v="0"/>
    <x v="452"/>
    <x v="0"/>
    <x v="206"/>
    <x v="30"/>
    <x v="362"/>
    <x v="27"/>
    <x v="453"/>
    <x v="453"/>
    <x v="453"/>
    <x v="215"/>
    <x v="14"/>
    <x v="7"/>
    <x v="36"/>
    <x v="1"/>
    <x v="1"/>
    <x v="10"/>
    <x v="9"/>
    <x v="0"/>
    <x v="14"/>
    <x v="0"/>
    <x v="0"/>
    <x v="187"/>
    <x v="453"/>
    <x v="11"/>
    <x v="453"/>
    <x v="453"/>
  </r>
  <r>
    <x v="453"/>
    <x v="5"/>
    <x v="367"/>
    <x v="1"/>
    <x v="2"/>
    <x v="26"/>
    <x v="4"/>
    <x v="2"/>
    <x v="0"/>
    <x v="6"/>
    <x v="453"/>
    <x v="454"/>
    <x v="453"/>
    <x v="94"/>
    <x v="15"/>
    <x v="0"/>
    <x v="453"/>
    <x v="0"/>
    <x v="93"/>
    <x v="27"/>
    <x v="363"/>
    <x v="24"/>
    <x v="454"/>
    <x v="454"/>
    <x v="454"/>
    <x v="93"/>
    <x v="5"/>
    <x v="1"/>
    <x v="26"/>
    <x v="0"/>
    <x v="2"/>
    <x v="2"/>
    <x v="2"/>
    <x v="0"/>
    <x v="5"/>
    <x v="1"/>
    <x v="0"/>
    <x v="87"/>
    <x v="454"/>
    <x v="15"/>
    <x v="454"/>
    <x v="454"/>
  </r>
  <r>
    <x v="454"/>
    <x v="373"/>
    <x v="368"/>
    <x v="1"/>
    <x v="4"/>
    <x v="10"/>
    <x v="0"/>
    <x v="4"/>
    <x v="8"/>
    <x v="3"/>
    <x v="454"/>
    <x v="455"/>
    <x v="443"/>
    <x v="4"/>
    <x v="47"/>
    <x v="0"/>
    <x v="443"/>
    <x v="0"/>
    <x v="4"/>
    <x v="22"/>
    <x v="364"/>
    <x v="1"/>
    <x v="455"/>
    <x v="455"/>
    <x v="455"/>
    <x v="4"/>
    <x v="26"/>
    <x v="10"/>
    <x v="10"/>
    <x v="2"/>
    <x v="0"/>
    <x v="4"/>
    <x v="3"/>
    <x v="0"/>
    <x v="26"/>
    <x v="1"/>
    <x v="0"/>
    <x v="4"/>
    <x v="455"/>
    <x v="47"/>
    <x v="455"/>
    <x v="455"/>
  </r>
  <r>
    <x v="455"/>
    <x v="128"/>
    <x v="369"/>
    <x v="2"/>
    <x v="9"/>
    <x v="23"/>
    <x v="2"/>
    <x v="4"/>
    <x v="1"/>
    <x v="5"/>
    <x v="455"/>
    <x v="456"/>
    <x v="454"/>
    <x v="28"/>
    <x v="2"/>
    <x v="0"/>
    <x v="454"/>
    <x v="0"/>
    <x v="28"/>
    <x v="15"/>
    <x v="365"/>
    <x v="13"/>
    <x v="456"/>
    <x v="456"/>
    <x v="456"/>
    <x v="28"/>
    <x v="14"/>
    <x v="7"/>
    <x v="23"/>
    <x v="1"/>
    <x v="1"/>
    <x v="9"/>
    <x v="8"/>
    <x v="0"/>
    <x v="14"/>
    <x v="0"/>
    <x v="0"/>
    <x v="28"/>
    <x v="456"/>
    <x v="2"/>
    <x v="456"/>
    <x v="456"/>
  </r>
  <r>
    <x v="456"/>
    <x v="133"/>
    <x v="370"/>
    <x v="3"/>
    <x v="5"/>
    <x v="22"/>
    <x v="3"/>
    <x v="4"/>
    <x v="8"/>
    <x v="4"/>
    <x v="456"/>
    <x v="457"/>
    <x v="455"/>
    <x v="21"/>
    <x v="42"/>
    <x v="0"/>
    <x v="455"/>
    <x v="0"/>
    <x v="21"/>
    <x v="26"/>
    <x v="366"/>
    <x v="23"/>
    <x v="457"/>
    <x v="457"/>
    <x v="457"/>
    <x v="21"/>
    <x v="30"/>
    <x v="10"/>
    <x v="22"/>
    <x v="2"/>
    <x v="1"/>
    <x v="5"/>
    <x v="4"/>
    <x v="0"/>
    <x v="30"/>
    <x v="0"/>
    <x v="0"/>
    <x v="21"/>
    <x v="457"/>
    <x v="42"/>
    <x v="457"/>
    <x v="457"/>
  </r>
  <r>
    <x v="457"/>
    <x v="374"/>
    <x v="371"/>
    <x v="3"/>
    <x v="7"/>
    <x v="11"/>
    <x v="0"/>
    <x v="2"/>
    <x v="7"/>
    <x v="0"/>
    <x v="457"/>
    <x v="458"/>
    <x v="456"/>
    <x v="4"/>
    <x v="20"/>
    <x v="0"/>
    <x v="456"/>
    <x v="0"/>
    <x v="4"/>
    <x v="21"/>
    <x v="367"/>
    <x v="19"/>
    <x v="458"/>
    <x v="458"/>
    <x v="458"/>
    <x v="4"/>
    <x v="6"/>
    <x v="4"/>
    <x v="11"/>
    <x v="0"/>
    <x v="0"/>
    <x v="7"/>
    <x v="6"/>
    <x v="0"/>
    <x v="6"/>
    <x v="0"/>
    <x v="0"/>
    <x v="4"/>
    <x v="458"/>
    <x v="20"/>
    <x v="458"/>
    <x v="458"/>
  </r>
  <r>
    <x v="458"/>
    <x v="375"/>
    <x v="372"/>
    <x v="2"/>
    <x v="6"/>
    <x v="27"/>
    <x v="4"/>
    <x v="3"/>
    <x v="12"/>
    <x v="0"/>
    <x v="458"/>
    <x v="459"/>
    <x v="457"/>
    <x v="104"/>
    <x v="0"/>
    <x v="0"/>
    <x v="457"/>
    <x v="0"/>
    <x v="103"/>
    <x v="26"/>
    <x v="368"/>
    <x v="23"/>
    <x v="459"/>
    <x v="459"/>
    <x v="459"/>
    <x v="103"/>
    <x v="23"/>
    <x v="9"/>
    <x v="27"/>
    <x v="0"/>
    <x v="1"/>
    <x v="6"/>
    <x v="5"/>
    <x v="1"/>
    <x v="23"/>
    <x v="0"/>
    <x v="0"/>
    <x v="95"/>
    <x v="459"/>
    <x v="0"/>
    <x v="459"/>
    <x v="459"/>
  </r>
  <r>
    <x v="459"/>
    <x v="361"/>
    <x v="373"/>
    <x v="0"/>
    <x v="11"/>
    <x v="25"/>
    <x v="4"/>
    <x v="0"/>
    <x v="10"/>
    <x v="6"/>
    <x v="459"/>
    <x v="460"/>
    <x v="458"/>
    <x v="30"/>
    <x v="17"/>
    <x v="0"/>
    <x v="458"/>
    <x v="0"/>
    <x v="30"/>
    <x v="11"/>
    <x v="369"/>
    <x v="10"/>
    <x v="460"/>
    <x v="460"/>
    <x v="460"/>
    <x v="30"/>
    <x v="14"/>
    <x v="7"/>
    <x v="25"/>
    <x v="0"/>
    <x v="1"/>
    <x v="11"/>
    <x v="10"/>
    <x v="0"/>
    <x v="14"/>
    <x v="0"/>
    <x v="0"/>
    <x v="30"/>
    <x v="460"/>
    <x v="17"/>
    <x v="460"/>
    <x v="460"/>
  </r>
  <r>
    <x v="460"/>
    <x v="33"/>
    <x v="374"/>
    <x v="3"/>
    <x v="5"/>
    <x v="37"/>
    <x v="0"/>
    <x v="4"/>
    <x v="11"/>
    <x v="1"/>
    <x v="460"/>
    <x v="461"/>
    <x v="459"/>
    <x v="135"/>
    <x v="27"/>
    <x v="0"/>
    <x v="459"/>
    <x v="0"/>
    <x v="134"/>
    <x v="32"/>
    <x v="370"/>
    <x v="29"/>
    <x v="461"/>
    <x v="461"/>
    <x v="461"/>
    <x v="216"/>
    <x v="0"/>
    <x v="0"/>
    <x v="37"/>
    <x v="1"/>
    <x v="0"/>
    <x v="5"/>
    <x v="4"/>
    <x v="0"/>
    <x v="0"/>
    <x v="0"/>
    <x v="0"/>
    <x v="124"/>
    <x v="461"/>
    <x v="27"/>
    <x v="461"/>
    <x v="461"/>
  </r>
  <r>
    <x v="461"/>
    <x v="376"/>
    <x v="375"/>
    <x v="0"/>
    <x v="11"/>
    <x v="25"/>
    <x v="4"/>
    <x v="5"/>
    <x v="3"/>
    <x v="2"/>
    <x v="461"/>
    <x v="462"/>
    <x v="460"/>
    <x v="213"/>
    <x v="20"/>
    <x v="0"/>
    <x v="460"/>
    <x v="0"/>
    <x v="207"/>
    <x v="29"/>
    <x v="371"/>
    <x v="26"/>
    <x v="462"/>
    <x v="462"/>
    <x v="462"/>
    <x v="217"/>
    <x v="18"/>
    <x v="5"/>
    <x v="25"/>
    <x v="0"/>
    <x v="2"/>
    <x v="11"/>
    <x v="10"/>
    <x v="0"/>
    <x v="18"/>
    <x v="0"/>
    <x v="0"/>
    <x v="188"/>
    <x v="462"/>
    <x v="20"/>
    <x v="462"/>
    <x v="462"/>
  </r>
  <r>
    <x v="462"/>
    <x v="377"/>
    <x v="376"/>
    <x v="2"/>
    <x v="6"/>
    <x v="27"/>
    <x v="3"/>
    <x v="2"/>
    <x v="1"/>
    <x v="0"/>
    <x v="462"/>
    <x v="463"/>
    <x v="461"/>
    <x v="61"/>
    <x v="5"/>
    <x v="0"/>
    <x v="461"/>
    <x v="0"/>
    <x v="60"/>
    <x v="7"/>
    <x v="372"/>
    <x v="6"/>
    <x v="463"/>
    <x v="463"/>
    <x v="463"/>
    <x v="60"/>
    <x v="12"/>
    <x v="6"/>
    <x v="27"/>
    <x v="0"/>
    <x v="2"/>
    <x v="6"/>
    <x v="5"/>
    <x v="1"/>
    <x v="12"/>
    <x v="0"/>
    <x v="1"/>
    <x v="10"/>
    <x v="463"/>
    <x v="5"/>
    <x v="463"/>
    <x v="463"/>
  </r>
  <r>
    <x v="463"/>
    <x v="378"/>
    <x v="132"/>
    <x v="0"/>
    <x v="0"/>
    <x v="13"/>
    <x v="2"/>
    <x v="3"/>
    <x v="0"/>
    <x v="0"/>
    <x v="463"/>
    <x v="464"/>
    <x v="462"/>
    <x v="125"/>
    <x v="26"/>
    <x v="0"/>
    <x v="462"/>
    <x v="0"/>
    <x v="124"/>
    <x v="23"/>
    <x v="130"/>
    <x v="20"/>
    <x v="464"/>
    <x v="464"/>
    <x v="464"/>
    <x v="125"/>
    <x v="17"/>
    <x v="1"/>
    <x v="13"/>
    <x v="0"/>
    <x v="2"/>
    <x v="0"/>
    <x v="0"/>
    <x v="0"/>
    <x v="17"/>
    <x v="0"/>
    <x v="1"/>
    <x v="115"/>
    <x v="464"/>
    <x v="26"/>
    <x v="464"/>
    <x v="464"/>
  </r>
  <r>
    <x v="464"/>
    <x v="303"/>
    <x v="74"/>
    <x v="0"/>
    <x v="1"/>
    <x v="1"/>
    <x v="2"/>
    <x v="4"/>
    <x v="11"/>
    <x v="6"/>
    <x v="464"/>
    <x v="465"/>
    <x v="463"/>
    <x v="82"/>
    <x v="7"/>
    <x v="0"/>
    <x v="463"/>
    <x v="0"/>
    <x v="81"/>
    <x v="17"/>
    <x v="373"/>
    <x v="15"/>
    <x v="465"/>
    <x v="465"/>
    <x v="465"/>
    <x v="218"/>
    <x v="16"/>
    <x v="4"/>
    <x v="1"/>
    <x v="0"/>
    <x v="0"/>
    <x v="1"/>
    <x v="1"/>
    <x v="0"/>
    <x v="16"/>
    <x v="1"/>
    <x v="1"/>
    <x v="75"/>
    <x v="465"/>
    <x v="7"/>
    <x v="465"/>
    <x v="465"/>
  </r>
  <r>
    <x v="465"/>
    <x v="379"/>
    <x v="197"/>
    <x v="2"/>
    <x v="3"/>
    <x v="29"/>
    <x v="5"/>
    <x v="3"/>
    <x v="13"/>
    <x v="2"/>
    <x v="465"/>
    <x v="466"/>
    <x v="464"/>
    <x v="87"/>
    <x v="4"/>
    <x v="0"/>
    <x v="464"/>
    <x v="0"/>
    <x v="86"/>
    <x v="32"/>
    <x v="197"/>
    <x v="29"/>
    <x v="466"/>
    <x v="466"/>
    <x v="466"/>
    <x v="86"/>
    <x v="26"/>
    <x v="10"/>
    <x v="29"/>
    <x v="0"/>
    <x v="0"/>
    <x v="3"/>
    <x v="3"/>
    <x v="0"/>
    <x v="26"/>
    <x v="0"/>
    <x v="0"/>
    <x v="80"/>
    <x v="466"/>
    <x v="4"/>
    <x v="466"/>
    <x v="466"/>
  </r>
  <r>
    <x v="466"/>
    <x v="261"/>
    <x v="377"/>
    <x v="3"/>
    <x v="5"/>
    <x v="22"/>
    <x v="4"/>
    <x v="4"/>
    <x v="11"/>
    <x v="0"/>
    <x v="466"/>
    <x v="467"/>
    <x v="465"/>
    <x v="214"/>
    <x v="11"/>
    <x v="0"/>
    <x v="465"/>
    <x v="0"/>
    <x v="208"/>
    <x v="3"/>
    <x v="374"/>
    <x v="3"/>
    <x v="467"/>
    <x v="467"/>
    <x v="467"/>
    <x v="219"/>
    <x v="15"/>
    <x v="5"/>
    <x v="22"/>
    <x v="0"/>
    <x v="2"/>
    <x v="5"/>
    <x v="4"/>
    <x v="0"/>
    <x v="15"/>
    <x v="1"/>
    <x v="1"/>
    <x v="189"/>
    <x v="467"/>
    <x v="11"/>
    <x v="467"/>
    <x v="467"/>
  </r>
  <r>
    <x v="467"/>
    <x v="380"/>
    <x v="3"/>
    <x v="3"/>
    <x v="5"/>
    <x v="8"/>
    <x v="4"/>
    <x v="1"/>
    <x v="5"/>
    <x v="1"/>
    <x v="467"/>
    <x v="468"/>
    <x v="466"/>
    <x v="215"/>
    <x v="17"/>
    <x v="0"/>
    <x v="466"/>
    <x v="0"/>
    <x v="209"/>
    <x v="26"/>
    <x v="3"/>
    <x v="23"/>
    <x v="468"/>
    <x v="468"/>
    <x v="468"/>
    <x v="220"/>
    <x v="3"/>
    <x v="3"/>
    <x v="8"/>
    <x v="1"/>
    <x v="2"/>
    <x v="5"/>
    <x v="4"/>
    <x v="0"/>
    <x v="3"/>
    <x v="0"/>
    <x v="0"/>
    <x v="190"/>
    <x v="468"/>
    <x v="17"/>
    <x v="468"/>
    <x v="468"/>
  </r>
  <r>
    <x v="468"/>
    <x v="381"/>
    <x v="378"/>
    <x v="0"/>
    <x v="0"/>
    <x v="13"/>
    <x v="3"/>
    <x v="3"/>
    <x v="8"/>
    <x v="1"/>
    <x v="468"/>
    <x v="469"/>
    <x v="467"/>
    <x v="216"/>
    <x v="2"/>
    <x v="0"/>
    <x v="467"/>
    <x v="0"/>
    <x v="210"/>
    <x v="13"/>
    <x v="375"/>
    <x v="11"/>
    <x v="469"/>
    <x v="469"/>
    <x v="469"/>
    <x v="221"/>
    <x v="14"/>
    <x v="7"/>
    <x v="13"/>
    <x v="1"/>
    <x v="1"/>
    <x v="0"/>
    <x v="0"/>
    <x v="0"/>
    <x v="14"/>
    <x v="0"/>
    <x v="0"/>
    <x v="191"/>
    <x v="469"/>
    <x v="2"/>
    <x v="469"/>
    <x v="469"/>
  </r>
  <r>
    <x v="469"/>
    <x v="344"/>
    <x v="379"/>
    <x v="3"/>
    <x v="7"/>
    <x v="17"/>
    <x v="3"/>
    <x v="4"/>
    <x v="4"/>
    <x v="1"/>
    <x v="469"/>
    <x v="470"/>
    <x v="468"/>
    <x v="159"/>
    <x v="8"/>
    <x v="0"/>
    <x v="468"/>
    <x v="0"/>
    <x v="158"/>
    <x v="31"/>
    <x v="376"/>
    <x v="28"/>
    <x v="470"/>
    <x v="470"/>
    <x v="470"/>
    <x v="162"/>
    <x v="24"/>
    <x v="9"/>
    <x v="17"/>
    <x v="1"/>
    <x v="1"/>
    <x v="7"/>
    <x v="6"/>
    <x v="0"/>
    <x v="24"/>
    <x v="0"/>
    <x v="0"/>
    <x v="146"/>
    <x v="470"/>
    <x v="8"/>
    <x v="470"/>
    <x v="470"/>
  </r>
  <r>
    <x v="470"/>
    <x v="349"/>
    <x v="215"/>
    <x v="2"/>
    <x v="9"/>
    <x v="38"/>
    <x v="3"/>
    <x v="1"/>
    <x v="11"/>
    <x v="0"/>
    <x v="470"/>
    <x v="471"/>
    <x v="469"/>
    <x v="12"/>
    <x v="2"/>
    <x v="0"/>
    <x v="469"/>
    <x v="0"/>
    <x v="12"/>
    <x v="9"/>
    <x v="215"/>
    <x v="8"/>
    <x v="471"/>
    <x v="471"/>
    <x v="471"/>
    <x v="12"/>
    <x v="12"/>
    <x v="6"/>
    <x v="38"/>
    <x v="0"/>
    <x v="2"/>
    <x v="9"/>
    <x v="8"/>
    <x v="0"/>
    <x v="12"/>
    <x v="0"/>
    <x v="0"/>
    <x v="12"/>
    <x v="471"/>
    <x v="2"/>
    <x v="471"/>
    <x v="471"/>
  </r>
  <r>
    <x v="471"/>
    <x v="382"/>
    <x v="380"/>
    <x v="0"/>
    <x v="0"/>
    <x v="0"/>
    <x v="2"/>
    <x v="1"/>
    <x v="10"/>
    <x v="5"/>
    <x v="471"/>
    <x v="472"/>
    <x v="470"/>
    <x v="37"/>
    <x v="7"/>
    <x v="0"/>
    <x v="470"/>
    <x v="0"/>
    <x v="37"/>
    <x v="24"/>
    <x v="377"/>
    <x v="21"/>
    <x v="472"/>
    <x v="472"/>
    <x v="472"/>
    <x v="37"/>
    <x v="31"/>
    <x v="0"/>
    <x v="0"/>
    <x v="1"/>
    <x v="0"/>
    <x v="0"/>
    <x v="0"/>
    <x v="0"/>
    <x v="31"/>
    <x v="0"/>
    <x v="0"/>
    <x v="36"/>
    <x v="472"/>
    <x v="7"/>
    <x v="472"/>
    <x v="472"/>
  </r>
  <r>
    <x v="472"/>
    <x v="383"/>
    <x v="381"/>
    <x v="3"/>
    <x v="7"/>
    <x v="28"/>
    <x v="1"/>
    <x v="0"/>
    <x v="2"/>
    <x v="3"/>
    <x v="472"/>
    <x v="473"/>
    <x v="471"/>
    <x v="43"/>
    <x v="6"/>
    <x v="0"/>
    <x v="471"/>
    <x v="0"/>
    <x v="43"/>
    <x v="31"/>
    <x v="378"/>
    <x v="28"/>
    <x v="473"/>
    <x v="473"/>
    <x v="473"/>
    <x v="43"/>
    <x v="28"/>
    <x v="6"/>
    <x v="28"/>
    <x v="2"/>
    <x v="2"/>
    <x v="7"/>
    <x v="6"/>
    <x v="0"/>
    <x v="28"/>
    <x v="0"/>
    <x v="1"/>
    <x v="40"/>
    <x v="473"/>
    <x v="6"/>
    <x v="473"/>
    <x v="473"/>
  </r>
  <r>
    <x v="473"/>
    <x v="206"/>
    <x v="382"/>
    <x v="1"/>
    <x v="4"/>
    <x v="30"/>
    <x v="4"/>
    <x v="0"/>
    <x v="11"/>
    <x v="1"/>
    <x v="473"/>
    <x v="474"/>
    <x v="472"/>
    <x v="174"/>
    <x v="3"/>
    <x v="0"/>
    <x v="472"/>
    <x v="0"/>
    <x v="172"/>
    <x v="27"/>
    <x v="379"/>
    <x v="24"/>
    <x v="474"/>
    <x v="474"/>
    <x v="474"/>
    <x v="177"/>
    <x v="14"/>
    <x v="7"/>
    <x v="30"/>
    <x v="1"/>
    <x v="1"/>
    <x v="4"/>
    <x v="3"/>
    <x v="0"/>
    <x v="14"/>
    <x v="1"/>
    <x v="0"/>
    <x v="160"/>
    <x v="474"/>
    <x v="3"/>
    <x v="474"/>
    <x v="474"/>
  </r>
  <r>
    <x v="474"/>
    <x v="384"/>
    <x v="364"/>
    <x v="3"/>
    <x v="8"/>
    <x v="12"/>
    <x v="2"/>
    <x v="4"/>
    <x v="3"/>
    <x v="4"/>
    <x v="474"/>
    <x v="475"/>
    <x v="473"/>
    <x v="24"/>
    <x v="27"/>
    <x v="0"/>
    <x v="473"/>
    <x v="0"/>
    <x v="24"/>
    <x v="33"/>
    <x v="360"/>
    <x v="30"/>
    <x v="475"/>
    <x v="475"/>
    <x v="475"/>
    <x v="24"/>
    <x v="6"/>
    <x v="4"/>
    <x v="12"/>
    <x v="2"/>
    <x v="0"/>
    <x v="8"/>
    <x v="7"/>
    <x v="0"/>
    <x v="6"/>
    <x v="1"/>
    <x v="0"/>
    <x v="24"/>
    <x v="475"/>
    <x v="27"/>
    <x v="475"/>
    <x v="475"/>
  </r>
  <r>
    <x v="475"/>
    <x v="210"/>
    <x v="383"/>
    <x v="3"/>
    <x v="5"/>
    <x v="37"/>
    <x v="4"/>
    <x v="4"/>
    <x v="7"/>
    <x v="0"/>
    <x v="475"/>
    <x v="476"/>
    <x v="474"/>
    <x v="211"/>
    <x v="16"/>
    <x v="0"/>
    <x v="474"/>
    <x v="0"/>
    <x v="205"/>
    <x v="3"/>
    <x v="380"/>
    <x v="3"/>
    <x v="476"/>
    <x v="476"/>
    <x v="476"/>
    <x v="222"/>
    <x v="21"/>
    <x v="2"/>
    <x v="37"/>
    <x v="0"/>
    <x v="1"/>
    <x v="5"/>
    <x v="4"/>
    <x v="0"/>
    <x v="21"/>
    <x v="1"/>
    <x v="0"/>
    <x v="186"/>
    <x v="476"/>
    <x v="16"/>
    <x v="476"/>
    <x v="476"/>
  </r>
  <r>
    <x v="476"/>
    <x v="385"/>
    <x v="240"/>
    <x v="3"/>
    <x v="8"/>
    <x v="31"/>
    <x v="2"/>
    <x v="1"/>
    <x v="1"/>
    <x v="4"/>
    <x v="476"/>
    <x v="477"/>
    <x v="475"/>
    <x v="154"/>
    <x v="42"/>
    <x v="0"/>
    <x v="475"/>
    <x v="0"/>
    <x v="153"/>
    <x v="30"/>
    <x v="238"/>
    <x v="27"/>
    <x v="477"/>
    <x v="477"/>
    <x v="477"/>
    <x v="156"/>
    <x v="23"/>
    <x v="9"/>
    <x v="31"/>
    <x v="2"/>
    <x v="1"/>
    <x v="8"/>
    <x v="7"/>
    <x v="0"/>
    <x v="23"/>
    <x v="0"/>
    <x v="1"/>
    <x v="141"/>
    <x v="477"/>
    <x v="42"/>
    <x v="477"/>
    <x v="477"/>
  </r>
  <r>
    <x v="477"/>
    <x v="386"/>
    <x v="356"/>
    <x v="3"/>
    <x v="5"/>
    <x v="22"/>
    <x v="0"/>
    <x v="4"/>
    <x v="4"/>
    <x v="6"/>
    <x v="477"/>
    <x v="478"/>
    <x v="476"/>
    <x v="112"/>
    <x v="49"/>
    <x v="0"/>
    <x v="476"/>
    <x v="0"/>
    <x v="111"/>
    <x v="4"/>
    <x v="381"/>
    <x v="4"/>
    <x v="478"/>
    <x v="478"/>
    <x v="478"/>
    <x v="111"/>
    <x v="11"/>
    <x v="7"/>
    <x v="22"/>
    <x v="0"/>
    <x v="1"/>
    <x v="5"/>
    <x v="4"/>
    <x v="0"/>
    <x v="11"/>
    <x v="1"/>
    <x v="0"/>
    <x v="103"/>
    <x v="478"/>
    <x v="49"/>
    <x v="478"/>
    <x v="478"/>
  </r>
  <r>
    <x v="478"/>
    <x v="278"/>
    <x v="384"/>
    <x v="2"/>
    <x v="6"/>
    <x v="32"/>
    <x v="3"/>
    <x v="2"/>
    <x v="3"/>
    <x v="2"/>
    <x v="478"/>
    <x v="479"/>
    <x v="477"/>
    <x v="171"/>
    <x v="13"/>
    <x v="0"/>
    <x v="477"/>
    <x v="0"/>
    <x v="169"/>
    <x v="21"/>
    <x v="382"/>
    <x v="19"/>
    <x v="479"/>
    <x v="479"/>
    <x v="479"/>
    <x v="174"/>
    <x v="8"/>
    <x v="0"/>
    <x v="32"/>
    <x v="0"/>
    <x v="0"/>
    <x v="6"/>
    <x v="5"/>
    <x v="1"/>
    <x v="8"/>
    <x v="0"/>
    <x v="0"/>
    <x v="157"/>
    <x v="479"/>
    <x v="13"/>
    <x v="479"/>
    <x v="479"/>
  </r>
  <r>
    <x v="479"/>
    <x v="208"/>
    <x v="251"/>
    <x v="2"/>
    <x v="6"/>
    <x v="27"/>
    <x v="3"/>
    <x v="3"/>
    <x v="12"/>
    <x v="1"/>
    <x v="479"/>
    <x v="480"/>
    <x v="478"/>
    <x v="118"/>
    <x v="50"/>
    <x v="0"/>
    <x v="478"/>
    <x v="0"/>
    <x v="117"/>
    <x v="3"/>
    <x v="249"/>
    <x v="3"/>
    <x v="480"/>
    <x v="480"/>
    <x v="480"/>
    <x v="118"/>
    <x v="29"/>
    <x v="8"/>
    <x v="27"/>
    <x v="1"/>
    <x v="0"/>
    <x v="6"/>
    <x v="5"/>
    <x v="1"/>
    <x v="29"/>
    <x v="1"/>
    <x v="0"/>
    <x v="108"/>
    <x v="480"/>
    <x v="50"/>
    <x v="480"/>
    <x v="480"/>
  </r>
  <r>
    <x v="480"/>
    <x v="387"/>
    <x v="381"/>
    <x v="3"/>
    <x v="7"/>
    <x v="11"/>
    <x v="3"/>
    <x v="2"/>
    <x v="1"/>
    <x v="4"/>
    <x v="480"/>
    <x v="481"/>
    <x v="479"/>
    <x v="191"/>
    <x v="11"/>
    <x v="0"/>
    <x v="479"/>
    <x v="0"/>
    <x v="187"/>
    <x v="3"/>
    <x v="378"/>
    <x v="3"/>
    <x v="481"/>
    <x v="481"/>
    <x v="481"/>
    <x v="193"/>
    <x v="28"/>
    <x v="6"/>
    <x v="11"/>
    <x v="2"/>
    <x v="2"/>
    <x v="7"/>
    <x v="6"/>
    <x v="0"/>
    <x v="28"/>
    <x v="1"/>
    <x v="0"/>
    <x v="170"/>
    <x v="481"/>
    <x v="11"/>
    <x v="481"/>
    <x v="481"/>
  </r>
  <r>
    <x v="481"/>
    <x v="85"/>
    <x v="18"/>
    <x v="3"/>
    <x v="5"/>
    <x v="8"/>
    <x v="0"/>
    <x v="3"/>
    <x v="4"/>
    <x v="3"/>
    <x v="481"/>
    <x v="482"/>
    <x v="480"/>
    <x v="113"/>
    <x v="21"/>
    <x v="0"/>
    <x v="480"/>
    <x v="0"/>
    <x v="112"/>
    <x v="31"/>
    <x v="383"/>
    <x v="28"/>
    <x v="482"/>
    <x v="482"/>
    <x v="482"/>
    <x v="223"/>
    <x v="18"/>
    <x v="5"/>
    <x v="8"/>
    <x v="2"/>
    <x v="2"/>
    <x v="5"/>
    <x v="4"/>
    <x v="0"/>
    <x v="18"/>
    <x v="0"/>
    <x v="0"/>
    <x v="104"/>
    <x v="482"/>
    <x v="21"/>
    <x v="482"/>
    <x v="482"/>
  </r>
  <r>
    <x v="482"/>
    <x v="388"/>
    <x v="385"/>
    <x v="1"/>
    <x v="4"/>
    <x v="7"/>
    <x v="1"/>
    <x v="4"/>
    <x v="3"/>
    <x v="2"/>
    <x v="482"/>
    <x v="483"/>
    <x v="481"/>
    <x v="81"/>
    <x v="20"/>
    <x v="0"/>
    <x v="481"/>
    <x v="0"/>
    <x v="80"/>
    <x v="17"/>
    <x v="384"/>
    <x v="15"/>
    <x v="483"/>
    <x v="483"/>
    <x v="483"/>
    <x v="80"/>
    <x v="24"/>
    <x v="9"/>
    <x v="7"/>
    <x v="0"/>
    <x v="1"/>
    <x v="4"/>
    <x v="3"/>
    <x v="0"/>
    <x v="24"/>
    <x v="1"/>
    <x v="0"/>
    <x v="74"/>
    <x v="483"/>
    <x v="20"/>
    <x v="483"/>
    <x v="483"/>
  </r>
  <r>
    <x v="483"/>
    <x v="389"/>
    <x v="386"/>
    <x v="3"/>
    <x v="7"/>
    <x v="17"/>
    <x v="4"/>
    <x v="0"/>
    <x v="9"/>
    <x v="0"/>
    <x v="483"/>
    <x v="484"/>
    <x v="482"/>
    <x v="76"/>
    <x v="8"/>
    <x v="0"/>
    <x v="482"/>
    <x v="0"/>
    <x v="75"/>
    <x v="20"/>
    <x v="385"/>
    <x v="18"/>
    <x v="484"/>
    <x v="484"/>
    <x v="484"/>
    <x v="75"/>
    <x v="5"/>
    <x v="1"/>
    <x v="17"/>
    <x v="0"/>
    <x v="2"/>
    <x v="7"/>
    <x v="6"/>
    <x v="0"/>
    <x v="5"/>
    <x v="1"/>
    <x v="0"/>
    <x v="70"/>
    <x v="484"/>
    <x v="8"/>
    <x v="484"/>
    <x v="484"/>
  </r>
  <r>
    <x v="484"/>
    <x v="390"/>
    <x v="387"/>
    <x v="3"/>
    <x v="7"/>
    <x v="28"/>
    <x v="4"/>
    <x v="3"/>
    <x v="0"/>
    <x v="3"/>
    <x v="484"/>
    <x v="485"/>
    <x v="483"/>
    <x v="217"/>
    <x v="21"/>
    <x v="0"/>
    <x v="483"/>
    <x v="0"/>
    <x v="211"/>
    <x v="19"/>
    <x v="386"/>
    <x v="17"/>
    <x v="485"/>
    <x v="485"/>
    <x v="485"/>
    <x v="224"/>
    <x v="32"/>
    <x v="10"/>
    <x v="28"/>
    <x v="2"/>
    <x v="1"/>
    <x v="7"/>
    <x v="6"/>
    <x v="0"/>
    <x v="32"/>
    <x v="0"/>
    <x v="1"/>
    <x v="192"/>
    <x v="485"/>
    <x v="21"/>
    <x v="485"/>
    <x v="485"/>
  </r>
  <r>
    <x v="485"/>
    <x v="391"/>
    <x v="388"/>
    <x v="1"/>
    <x v="2"/>
    <x v="35"/>
    <x v="5"/>
    <x v="3"/>
    <x v="7"/>
    <x v="1"/>
    <x v="485"/>
    <x v="486"/>
    <x v="484"/>
    <x v="12"/>
    <x v="11"/>
    <x v="0"/>
    <x v="484"/>
    <x v="0"/>
    <x v="12"/>
    <x v="25"/>
    <x v="387"/>
    <x v="22"/>
    <x v="486"/>
    <x v="486"/>
    <x v="486"/>
    <x v="12"/>
    <x v="17"/>
    <x v="1"/>
    <x v="44"/>
    <x v="1"/>
    <x v="2"/>
    <x v="2"/>
    <x v="2"/>
    <x v="0"/>
    <x v="17"/>
    <x v="0"/>
    <x v="0"/>
    <x v="12"/>
    <x v="486"/>
    <x v="11"/>
    <x v="486"/>
    <x v="486"/>
  </r>
  <r>
    <x v="486"/>
    <x v="392"/>
    <x v="389"/>
    <x v="3"/>
    <x v="8"/>
    <x v="31"/>
    <x v="1"/>
    <x v="2"/>
    <x v="10"/>
    <x v="1"/>
    <x v="486"/>
    <x v="487"/>
    <x v="485"/>
    <x v="114"/>
    <x v="51"/>
    <x v="0"/>
    <x v="485"/>
    <x v="0"/>
    <x v="113"/>
    <x v="8"/>
    <x v="388"/>
    <x v="7"/>
    <x v="487"/>
    <x v="487"/>
    <x v="487"/>
    <x v="113"/>
    <x v="6"/>
    <x v="4"/>
    <x v="31"/>
    <x v="1"/>
    <x v="0"/>
    <x v="8"/>
    <x v="7"/>
    <x v="0"/>
    <x v="6"/>
    <x v="0"/>
    <x v="0"/>
    <x v="105"/>
    <x v="487"/>
    <x v="51"/>
    <x v="487"/>
    <x v="487"/>
  </r>
  <r>
    <x v="487"/>
    <x v="393"/>
    <x v="377"/>
    <x v="2"/>
    <x v="6"/>
    <x v="9"/>
    <x v="4"/>
    <x v="4"/>
    <x v="9"/>
    <x v="3"/>
    <x v="487"/>
    <x v="488"/>
    <x v="486"/>
    <x v="157"/>
    <x v="5"/>
    <x v="0"/>
    <x v="486"/>
    <x v="0"/>
    <x v="156"/>
    <x v="31"/>
    <x v="374"/>
    <x v="28"/>
    <x v="488"/>
    <x v="488"/>
    <x v="488"/>
    <x v="160"/>
    <x v="7"/>
    <x v="5"/>
    <x v="9"/>
    <x v="2"/>
    <x v="2"/>
    <x v="6"/>
    <x v="5"/>
    <x v="1"/>
    <x v="7"/>
    <x v="0"/>
    <x v="0"/>
    <x v="144"/>
    <x v="488"/>
    <x v="5"/>
    <x v="488"/>
    <x v="488"/>
  </r>
  <r>
    <x v="488"/>
    <x v="394"/>
    <x v="225"/>
    <x v="0"/>
    <x v="1"/>
    <x v="3"/>
    <x v="0"/>
    <x v="3"/>
    <x v="7"/>
    <x v="6"/>
    <x v="488"/>
    <x v="489"/>
    <x v="487"/>
    <x v="4"/>
    <x v="27"/>
    <x v="0"/>
    <x v="487"/>
    <x v="0"/>
    <x v="4"/>
    <x v="30"/>
    <x v="224"/>
    <x v="27"/>
    <x v="489"/>
    <x v="489"/>
    <x v="489"/>
    <x v="4"/>
    <x v="19"/>
    <x v="4"/>
    <x v="3"/>
    <x v="0"/>
    <x v="0"/>
    <x v="1"/>
    <x v="1"/>
    <x v="0"/>
    <x v="19"/>
    <x v="0"/>
    <x v="0"/>
    <x v="4"/>
    <x v="489"/>
    <x v="27"/>
    <x v="489"/>
    <x v="489"/>
  </r>
  <r>
    <x v="489"/>
    <x v="395"/>
    <x v="251"/>
    <x v="3"/>
    <x v="7"/>
    <x v="17"/>
    <x v="0"/>
    <x v="4"/>
    <x v="1"/>
    <x v="0"/>
    <x v="489"/>
    <x v="490"/>
    <x v="488"/>
    <x v="4"/>
    <x v="10"/>
    <x v="0"/>
    <x v="488"/>
    <x v="0"/>
    <x v="4"/>
    <x v="7"/>
    <x v="249"/>
    <x v="6"/>
    <x v="490"/>
    <x v="490"/>
    <x v="490"/>
    <x v="4"/>
    <x v="20"/>
    <x v="8"/>
    <x v="17"/>
    <x v="0"/>
    <x v="0"/>
    <x v="7"/>
    <x v="6"/>
    <x v="0"/>
    <x v="20"/>
    <x v="0"/>
    <x v="0"/>
    <x v="4"/>
    <x v="490"/>
    <x v="10"/>
    <x v="490"/>
    <x v="490"/>
  </r>
  <r>
    <x v="490"/>
    <x v="318"/>
    <x v="84"/>
    <x v="2"/>
    <x v="6"/>
    <x v="32"/>
    <x v="5"/>
    <x v="2"/>
    <x v="4"/>
    <x v="6"/>
    <x v="490"/>
    <x v="491"/>
    <x v="489"/>
    <x v="200"/>
    <x v="21"/>
    <x v="0"/>
    <x v="489"/>
    <x v="0"/>
    <x v="195"/>
    <x v="32"/>
    <x v="83"/>
    <x v="29"/>
    <x v="491"/>
    <x v="491"/>
    <x v="491"/>
    <x v="225"/>
    <x v="12"/>
    <x v="6"/>
    <x v="32"/>
    <x v="0"/>
    <x v="2"/>
    <x v="6"/>
    <x v="5"/>
    <x v="1"/>
    <x v="12"/>
    <x v="0"/>
    <x v="0"/>
    <x v="177"/>
    <x v="491"/>
    <x v="21"/>
    <x v="491"/>
    <x v="491"/>
  </r>
  <r>
    <x v="491"/>
    <x v="396"/>
    <x v="390"/>
    <x v="1"/>
    <x v="4"/>
    <x v="7"/>
    <x v="2"/>
    <x v="4"/>
    <x v="2"/>
    <x v="3"/>
    <x v="491"/>
    <x v="492"/>
    <x v="490"/>
    <x v="191"/>
    <x v="10"/>
    <x v="0"/>
    <x v="490"/>
    <x v="0"/>
    <x v="187"/>
    <x v="12"/>
    <x v="389"/>
    <x v="1"/>
    <x v="492"/>
    <x v="492"/>
    <x v="492"/>
    <x v="193"/>
    <x v="0"/>
    <x v="0"/>
    <x v="7"/>
    <x v="2"/>
    <x v="0"/>
    <x v="4"/>
    <x v="3"/>
    <x v="0"/>
    <x v="0"/>
    <x v="1"/>
    <x v="0"/>
    <x v="170"/>
    <x v="492"/>
    <x v="10"/>
    <x v="492"/>
    <x v="492"/>
  </r>
  <r>
    <x v="492"/>
    <x v="397"/>
    <x v="391"/>
    <x v="2"/>
    <x v="3"/>
    <x v="18"/>
    <x v="3"/>
    <x v="1"/>
    <x v="9"/>
    <x v="6"/>
    <x v="492"/>
    <x v="493"/>
    <x v="491"/>
    <x v="174"/>
    <x v="14"/>
    <x v="0"/>
    <x v="491"/>
    <x v="0"/>
    <x v="172"/>
    <x v="31"/>
    <x v="390"/>
    <x v="28"/>
    <x v="493"/>
    <x v="493"/>
    <x v="493"/>
    <x v="177"/>
    <x v="6"/>
    <x v="4"/>
    <x v="18"/>
    <x v="0"/>
    <x v="0"/>
    <x v="3"/>
    <x v="3"/>
    <x v="0"/>
    <x v="6"/>
    <x v="0"/>
    <x v="0"/>
    <x v="160"/>
    <x v="493"/>
    <x v="14"/>
    <x v="493"/>
    <x v="493"/>
  </r>
  <r>
    <x v="493"/>
    <x v="398"/>
    <x v="147"/>
    <x v="1"/>
    <x v="10"/>
    <x v="36"/>
    <x v="5"/>
    <x v="0"/>
    <x v="13"/>
    <x v="5"/>
    <x v="493"/>
    <x v="494"/>
    <x v="492"/>
    <x v="139"/>
    <x v="4"/>
    <x v="0"/>
    <x v="492"/>
    <x v="0"/>
    <x v="138"/>
    <x v="21"/>
    <x v="147"/>
    <x v="19"/>
    <x v="494"/>
    <x v="494"/>
    <x v="494"/>
    <x v="139"/>
    <x v="20"/>
    <x v="8"/>
    <x v="36"/>
    <x v="1"/>
    <x v="0"/>
    <x v="10"/>
    <x v="9"/>
    <x v="0"/>
    <x v="20"/>
    <x v="0"/>
    <x v="0"/>
    <x v="128"/>
    <x v="494"/>
    <x v="4"/>
    <x v="494"/>
    <x v="494"/>
  </r>
  <r>
    <x v="494"/>
    <x v="263"/>
    <x v="392"/>
    <x v="1"/>
    <x v="4"/>
    <x v="10"/>
    <x v="2"/>
    <x v="4"/>
    <x v="0"/>
    <x v="2"/>
    <x v="494"/>
    <x v="495"/>
    <x v="493"/>
    <x v="55"/>
    <x v="2"/>
    <x v="0"/>
    <x v="493"/>
    <x v="0"/>
    <x v="55"/>
    <x v="18"/>
    <x v="391"/>
    <x v="16"/>
    <x v="495"/>
    <x v="495"/>
    <x v="495"/>
    <x v="55"/>
    <x v="22"/>
    <x v="7"/>
    <x v="10"/>
    <x v="0"/>
    <x v="1"/>
    <x v="4"/>
    <x v="3"/>
    <x v="0"/>
    <x v="22"/>
    <x v="0"/>
    <x v="0"/>
    <x v="51"/>
    <x v="495"/>
    <x v="2"/>
    <x v="495"/>
    <x v="495"/>
  </r>
  <r>
    <x v="495"/>
    <x v="190"/>
    <x v="393"/>
    <x v="3"/>
    <x v="8"/>
    <x v="21"/>
    <x v="5"/>
    <x v="2"/>
    <x v="8"/>
    <x v="2"/>
    <x v="495"/>
    <x v="496"/>
    <x v="494"/>
    <x v="174"/>
    <x v="19"/>
    <x v="0"/>
    <x v="494"/>
    <x v="0"/>
    <x v="172"/>
    <x v="3"/>
    <x v="392"/>
    <x v="3"/>
    <x v="496"/>
    <x v="496"/>
    <x v="496"/>
    <x v="177"/>
    <x v="29"/>
    <x v="8"/>
    <x v="21"/>
    <x v="0"/>
    <x v="0"/>
    <x v="8"/>
    <x v="7"/>
    <x v="0"/>
    <x v="29"/>
    <x v="1"/>
    <x v="0"/>
    <x v="160"/>
    <x v="496"/>
    <x v="19"/>
    <x v="496"/>
    <x v="496"/>
  </r>
  <r>
    <x v="496"/>
    <x v="390"/>
    <x v="394"/>
    <x v="1"/>
    <x v="4"/>
    <x v="10"/>
    <x v="0"/>
    <x v="3"/>
    <x v="14"/>
    <x v="6"/>
    <x v="496"/>
    <x v="497"/>
    <x v="495"/>
    <x v="91"/>
    <x v="15"/>
    <x v="0"/>
    <x v="495"/>
    <x v="0"/>
    <x v="90"/>
    <x v="4"/>
    <x v="393"/>
    <x v="4"/>
    <x v="497"/>
    <x v="497"/>
    <x v="497"/>
    <x v="90"/>
    <x v="32"/>
    <x v="10"/>
    <x v="10"/>
    <x v="0"/>
    <x v="1"/>
    <x v="4"/>
    <x v="3"/>
    <x v="0"/>
    <x v="32"/>
    <x v="1"/>
    <x v="0"/>
    <x v="84"/>
    <x v="497"/>
    <x v="15"/>
    <x v="497"/>
    <x v="497"/>
  </r>
  <r>
    <x v="497"/>
    <x v="16"/>
    <x v="395"/>
    <x v="1"/>
    <x v="4"/>
    <x v="30"/>
    <x v="1"/>
    <x v="1"/>
    <x v="0"/>
    <x v="5"/>
    <x v="497"/>
    <x v="498"/>
    <x v="496"/>
    <x v="218"/>
    <x v="20"/>
    <x v="0"/>
    <x v="496"/>
    <x v="0"/>
    <x v="212"/>
    <x v="32"/>
    <x v="394"/>
    <x v="29"/>
    <x v="498"/>
    <x v="498"/>
    <x v="498"/>
    <x v="226"/>
    <x v="10"/>
    <x v="6"/>
    <x v="30"/>
    <x v="1"/>
    <x v="2"/>
    <x v="4"/>
    <x v="3"/>
    <x v="0"/>
    <x v="10"/>
    <x v="0"/>
    <x v="1"/>
    <x v="193"/>
    <x v="498"/>
    <x v="20"/>
    <x v="498"/>
    <x v="498"/>
  </r>
  <r>
    <x v="498"/>
    <x v="128"/>
    <x v="294"/>
    <x v="2"/>
    <x v="3"/>
    <x v="5"/>
    <x v="2"/>
    <x v="0"/>
    <x v="14"/>
    <x v="5"/>
    <x v="498"/>
    <x v="499"/>
    <x v="497"/>
    <x v="208"/>
    <x v="3"/>
    <x v="0"/>
    <x v="497"/>
    <x v="0"/>
    <x v="202"/>
    <x v="18"/>
    <x v="291"/>
    <x v="16"/>
    <x v="499"/>
    <x v="499"/>
    <x v="499"/>
    <x v="210"/>
    <x v="14"/>
    <x v="7"/>
    <x v="5"/>
    <x v="1"/>
    <x v="1"/>
    <x v="3"/>
    <x v="3"/>
    <x v="0"/>
    <x v="14"/>
    <x v="0"/>
    <x v="0"/>
    <x v="184"/>
    <x v="499"/>
    <x v="3"/>
    <x v="499"/>
    <x v="499"/>
  </r>
  <r>
    <x v="499"/>
    <x v="399"/>
    <x v="140"/>
    <x v="3"/>
    <x v="8"/>
    <x v="21"/>
    <x v="2"/>
    <x v="3"/>
    <x v="12"/>
    <x v="3"/>
    <x v="499"/>
    <x v="500"/>
    <x v="498"/>
    <x v="150"/>
    <x v="10"/>
    <x v="0"/>
    <x v="498"/>
    <x v="0"/>
    <x v="149"/>
    <x v="6"/>
    <x v="395"/>
    <x v="1"/>
    <x v="500"/>
    <x v="500"/>
    <x v="500"/>
    <x v="151"/>
    <x v="19"/>
    <x v="4"/>
    <x v="21"/>
    <x v="2"/>
    <x v="0"/>
    <x v="8"/>
    <x v="7"/>
    <x v="0"/>
    <x v="19"/>
    <x v="1"/>
    <x v="0"/>
    <x v="138"/>
    <x v="500"/>
    <x v="10"/>
    <x v="500"/>
    <x v="500"/>
  </r>
  <r>
    <x v="500"/>
    <x v="28"/>
    <x v="383"/>
    <x v="2"/>
    <x v="9"/>
    <x v="38"/>
    <x v="1"/>
    <x v="3"/>
    <x v="10"/>
    <x v="1"/>
    <x v="500"/>
    <x v="501"/>
    <x v="499"/>
    <x v="89"/>
    <x v="4"/>
    <x v="0"/>
    <x v="499"/>
    <x v="0"/>
    <x v="88"/>
    <x v="23"/>
    <x v="380"/>
    <x v="20"/>
    <x v="501"/>
    <x v="501"/>
    <x v="501"/>
    <x v="88"/>
    <x v="2"/>
    <x v="2"/>
    <x v="38"/>
    <x v="1"/>
    <x v="1"/>
    <x v="9"/>
    <x v="8"/>
    <x v="0"/>
    <x v="2"/>
    <x v="0"/>
    <x v="0"/>
    <x v="82"/>
    <x v="501"/>
    <x v="4"/>
    <x v="501"/>
    <x v="501"/>
  </r>
  <r>
    <x v="501"/>
    <x v="400"/>
    <x v="396"/>
    <x v="2"/>
    <x v="9"/>
    <x v="38"/>
    <x v="2"/>
    <x v="1"/>
    <x v="3"/>
    <x v="2"/>
    <x v="501"/>
    <x v="502"/>
    <x v="500"/>
    <x v="26"/>
    <x v="27"/>
    <x v="0"/>
    <x v="500"/>
    <x v="0"/>
    <x v="26"/>
    <x v="28"/>
    <x v="396"/>
    <x v="25"/>
    <x v="502"/>
    <x v="502"/>
    <x v="502"/>
    <x v="26"/>
    <x v="3"/>
    <x v="3"/>
    <x v="38"/>
    <x v="0"/>
    <x v="2"/>
    <x v="9"/>
    <x v="8"/>
    <x v="0"/>
    <x v="3"/>
    <x v="1"/>
    <x v="0"/>
    <x v="26"/>
    <x v="502"/>
    <x v="27"/>
    <x v="502"/>
    <x v="502"/>
  </r>
  <r>
    <x v="502"/>
    <x v="401"/>
    <x v="397"/>
    <x v="1"/>
    <x v="4"/>
    <x v="30"/>
    <x v="4"/>
    <x v="4"/>
    <x v="8"/>
    <x v="2"/>
    <x v="502"/>
    <x v="503"/>
    <x v="501"/>
    <x v="67"/>
    <x v="0"/>
    <x v="0"/>
    <x v="501"/>
    <x v="0"/>
    <x v="66"/>
    <x v="15"/>
    <x v="397"/>
    <x v="13"/>
    <x v="503"/>
    <x v="503"/>
    <x v="503"/>
    <x v="66"/>
    <x v="3"/>
    <x v="3"/>
    <x v="30"/>
    <x v="0"/>
    <x v="2"/>
    <x v="4"/>
    <x v="3"/>
    <x v="0"/>
    <x v="3"/>
    <x v="0"/>
    <x v="0"/>
    <x v="61"/>
    <x v="503"/>
    <x v="0"/>
    <x v="503"/>
    <x v="503"/>
  </r>
  <r>
    <x v="503"/>
    <x v="402"/>
    <x v="57"/>
    <x v="0"/>
    <x v="1"/>
    <x v="3"/>
    <x v="2"/>
    <x v="4"/>
    <x v="10"/>
    <x v="0"/>
    <x v="503"/>
    <x v="504"/>
    <x v="502"/>
    <x v="81"/>
    <x v="23"/>
    <x v="0"/>
    <x v="502"/>
    <x v="0"/>
    <x v="80"/>
    <x v="3"/>
    <x v="57"/>
    <x v="3"/>
    <x v="504"/>
    <x v="504"/>
    <x v="504"/>
    <x v="80"/>
    <x v="19"/>
    <x v="4"/>
    <x v="3"/>
    <x v="0"/>
    <x v="0"/>
    <x v="1"/>
    <x v="1"/>
    <x v="0"/>
    <x v="19"/>
    <x v="1"/>
    <x v="0"/>
    <x v="74"/>
    <x v="504"/>
    <x v="23"/>
    <x v="504"/>
    <x v="504"/>
  </r>
  <r>
    <x v="504"/>
    <x v="59"/>
    <x v="282"/>
    <x v="1"/>
    <x v="10"/>
    <x v="36"/>
    <x v="0"/>
    <x v="4"/>
    <x v="12"/>
    <x v="3"/>
    <x v="504"/>
    <x v="505"/>
    <x v="503"/>
    <x v="146"/>
    <x v="12"/>
    <x v="0"/>
    <x v="503"/>
    <x v="0"/>
    <x v="145"/>
    <x v="9"/>
    <x v="398"/>
    <x v="8"/>
    <x v="505"/>
    <x v="505"/>
    <x v="505"/>
    <x v="146"/>
    <x v="18"/>
    <x v="5"/>
    <x v="36"/>
    <x v="2"/>
    <x v="2"/>
    <x v="10"/>
    <x v="9"/>
    <x v="0"/>
    <x v="18"/>
    <x v="0"/>
    <x v="1"/>
    <x v="134"/>
    <x v="505"/>
    <x v="12"/>
    <x v="505"/>
    <x v="505"/>
  </r>
  <r>
    <x v="505"/>
    <x v="403"/>
    <x v="398"/>
    <x v="2"/>
    <x v="9"/>
    <x v="23"/>
    <x v="3"/>
    <x v="3"/>
    <x v="2"/>
    <x v="2"/>
    <x v="505"/>
    <x v="506"/>
    <x v="504"/>
    <x v="112"/>
    <x v="7"/>
    <x v="0"/>
    <x v="504"/>
    <x v="0"/>
    <x v="111"/>
    <x v="3"/>
    <x v="399"/>
    <x v="3"/>
    <x v="506"/>
    <x v="506"/>
    <x v="506"/>
    <x v="111"/>
    <x v="1"/>
    <x v="1"/>
    <x v="23"/>
    <x v="0"/>
    <x v="2"/>
    <x v="9"/>
    <x v="8"/>
    <x v="0"/>
    <x v="1"/>
    <x v="1"/>
    <x v="0"/>
    <x v="103"/>
    <x v="506"/>
    <x v="7"/>
    <x v="506"/>
    <x v="506"/>
  </r>
  <r>
    <x v="506"/>
    <x v="289"/>
    <x v="399"/>
    <x v="3"/>
    <x v="7"/>
    <x v="17"/>
    <x v="3"/>
    <x v="1"/>
    <x v="7"/>
    <x v="4"/>
    <x v="506"/>
    <x v="507"/>
    <x v="505"/>
    <x v="199"/>
    <x v="10"/>
    <x v="0"/>
    <x v="505"/>
    <x v="0"/>
    <x v="194"/>
    <x v="22"/>
    <x v="286"/>
    <x v="1"/>
    <x v="507"/>
    <x v="507"/>
    <x v="507"/>
    <x v="201"/>
    <x v="11"/>
    <x v="7"/>
    <x v="17"/>
    <x v="2"/>
    <x v="1"/>
    <x v="7"/>
    <x v="6"/>
    <x v="0"/>
    <x v="11"/>
    <x v="1"/>
    <x v="0"/>
    <x v="176"/>
    <x v="507"/>
    <x v="10"/>
    <x v="507"/>
    <x v="507"/>
  </r>
  <r>
    <x v="507"/>
    <x v="404"/>
    <x v="400"/>
    <x v="2"/>
    <x v="3"/>
    <x v="29"/>
    <x v="0"/>
    <x v="4"/>
    <x v="9"/>
    <x v="4"/>
    <x v="507"/>
    <x v="508"/>
    <x v="506"/>
    <x v="85"/>
    <x v="27"/>
    <x v="0"/>
    <x v="506"/>
    <x v="0"/>
    <x v="84"/>
    <x v="29"/>
    <x v="400"/>
    <x v="26"/>
    <x v="508"/>
    <x v="508"/>
    <x v="508"/>
    <x v="84"/>
    <x v="17"/>
    <x v="1"/>
    <x v="29"/>
    <x v="2"/>
    <x v="2"/>
    <x v="3"/>
    <x v="3"/>
    <x v="0"/>
    <x v="17"/>
    <x v="0"/>
    <x v="0"/>
    <x v="78"/>
    <x v="508"/>
    <x v="27"/>
    <x v="508"/>
    <x v="508"/>
  </r>
  <r>
    <x v="508"/>
    <x v="405"/>
    <x v="27"/>
    <x v="2"/>
    <x v="3"/>
    <x v="18"/>
    <x v="2"/>
    <x v="3"/>
    <x v="0"/>
    <x v="5"/>
    <x v="508"/>
    <x v="509"/>
    <x v="507"/>
    <x v="219"/>
    <x v="16"/>
    <x v="0"/>
    <x v="507"/>
    <x v="0"/>
    <x v="213"/>
    <x v="3"/>
    <x v="27"/>
    <x v="3"/>
    <x v="509"/>
    <x v="509"/>
    <x v="509"/>
    <x v="227"/>
    <x v="14"/>
    <x v="7"/>
    <x v="18"/>
    <x v="1"/>
    <x v="1"/>
    <x v="3"/>
    <x v="3"/>
    <x v="0"/>
    <x v="14"/>
    <x v="1"/>
    <x v="1"/>
    <x v="194"/>
    <x v="509"/>
    <x v="16"/>
    <x v="509"/>
    <x v="509"/>
  </r>
  <r>
    <x v="509"/>
    <x v="262"/>
    <x v="401"/>
    <x v="1"/>
    <x v="10"/>
    <x v="15"/>
    <x v="3"/>
    <x v="1"/>
    <x v="8"/>
    <x v="0"/>
    <x v="509"/>
    <x v="510"/>
    <x v="508"/>
    <x v="44"/>
    <x v="2"/>
    <x v="0"/>
    <x v="508"/>
    <x v="0"/>
    <x v="44"/>
    <x v="31"/>
    <x v="401"/>
    <x v="28"/>
    <x v="510"/>
    <x v="510"/>
    <x v="510"/>
    <x v="44"/>
    <x v="0"/>
    <x v="0"/>
    <x v="15"/>
    <x v="0"/>
    <x v="0"/>
    <x v="10"/>
    <x v="9"/>
    <x v="0"/>
    <x v="0"/>
    <x v="0"/>
    <x v="0"/>
    <x v="41"/>
    <x v="510"/>
    <x v="2"/>
    <x v="510"/>
    <x v="510"/>
  </r>
  <r>
    <x v="510"/>
    <x v="406"/>
    <x v="167"/>
    <x v="3"/>
    <x v="8"/>
    <x v="31"/>
    <x v="2"/>
    <x v="3"/>
    <x v="14"/>
    <x v="0"/>
    <x v="510"/>
    <x v="511"/>
    <x v="509"/>
    <x v="33"/>
    <x v="49"/>
    <x v="0"/>
    <x v="509"/>
    <x v="0"/>
    <x v="33"/>
    <x v="28"/>
    <x v="167"/>
    <x v="25"/>
    <x v="511"/>
    <x v="511"/>
    <x v="511"/>
    <x v="33"/>
    <x v="1"/>
    <x v="1"/>
    <x v="31"/>
    <x v="0"/>
    <x v="0"/>
    <x v="8"/>
    <x v="7"/>
    <x v="0"/>
    <x v="1"/>
    <x v="1"/>
    <x v="0"/>
    <x v="32"/>
    <x v="511"/>
    <x v="49"/>
    <x v="511"/>
    <x v="511"/>
  </r>
  <r>
    <x v="511"/>
    <x v="407"/>
    <x v="402"/>
    <x v="3"/>
    <x v="5"/>
    <x v="37"/>
    <x v="5"/>
    <x v="1"/>
    <x v="7"/>
    <x v="3"/>
    <x v="511"/>
    <x v="512"/>
    <x v="510"/>
    <x v="195"/>
    <x v="27"/>
    <x v="0"/>
    <x v="510"/>
    <x v="0"/>
    <x v="191"/>
    <x v="22"/>
    <x v="402"/>
    <x v="1"/>
    <x v="512"/>
    <x v="512"/>
    <x v="512"/>
    <x v="198"/>
    <x v="22"/>
    <x v="7"/>
    <x v="37"/>
    <x v="2"/>
    <x v="1"/>
    <x v="5"/>
    <x v="4"/>
    <x v="0"/>
    <x v="22"/>
    <x v="1"/>
    <x v="0"/>
    <x v="173"/>
    <x v="512"/>
    <x v="27"/>
    <x v="512"/>
    <x v="512"/>
  </r>
  <r>
    <x v="512"/>
    <x v="408"/>
    <x v="403"/>
    <x v="2"/>
    <x v="3"/>
    <x v="18"/>
    <x v="1"/>
    <x v="0"/>
    <x v="2"/>
    <x v="0"/>
    <x v="512"/>
    <x v="513"/>
    <x v="511"/>
    <x v="4"/>
    <x v="21"/>
    <x v="0"/>
    <x v="511"/>
    <x v="0"/>
    <x v="4"/>
    <x v="28"/>
    <x v="403"/>
    <x v="25"/>
    <x v="513"/>
    <x v="513"/>
    <x v="513"/>
    <x v="4"/>
    <x v="9"/>
    <x v="3"/>
    <x v="18"/>
    <x v="0"/>
    <x v="2"/>
    <x v="3"/>
    <x v="3"/>
    <x v="0"/>
    <x v="9"/>
    <x v="1"/>
    <x v="0"/>
    <x v="4"/>
    <x v="513"/>
    <x v="21"/>
    <x v="513"/>
    <x v="513"/>
  </r>
  <r>
    <x v="513"/>
    <x v="116"/>
    <x v="404"/>
    <x v="2"/>
    <x v="3"/>
    <x v="29"/>
    <x v="2"/>
    <x v="3"/>
    <x v="12"/>
    <x v="4"/>
    <x v="513"/>
    <x v="514"/>
    <x v="512"/>
    <x v="4"/>
    <x v="21"/>
    <x v="0"/>
    <x v="512"/>
    <x v="0"/>
    <x v="4"/>
    <x v="23"/>
    <x v="404"/>
    <x v="20"/>
    <x v="514"/>
    <x v="514"/>
    <x v="514"/>
    <x v="4"/>
    <x v="28"/>
    <x v="6"/>
    <x v="29"/>
    <x v="2"/>
    <x v="2"/>
    <x v="3"/>
    <x v="3"/>
    <x v="0"/>
    <x v="28"/>
    <x v="0"/>
    <x v="0"/>
    <x v="4"/>
    <x v="514"/>
    <x v="21"/>
    <x v="514"/>
    <x v="514"/>
  </r>
  <r>
    <x v="514"/>
    <x v="322"/>
    <x v="405"/>
    <x v="2"/>
    <x v="6"/>
    <x v="27"/>
    <x v="4"/>
    <x v="1"/>
    <x v="13"/>
    <x v="1"/>
    <x v="514"/>
    <x v="515"/>
    <x v="513"/>
    <x v="86"/>
    <x v="19"/>
    <x v="0"/>
    <x v="513"/>
    <x v="0"/>
    <x v="85"/>
    <x v="19"/>
    <x v="405"/>
    <x v="17"/>
    <x v="515"/>
    <x v="515"/>
    <x v="515"/>
    <x v="85"/>
    <x v="27"/>
    <x v="9"/>
    <x v="27"/>
    <x v="1"/>
    <x v="1"/>
    <x v="6"/>
    <x v="5"/>
    <x v="1"/>
    <x v="27"/>
    <x v="0"/>
    <x v="0"/>
    <x v="79"/>
    <x v="515"/>
    <x v="19"/>
    <x v="515"/>
    <x v="515"/>
  </r>
  <r>
    <x v="515"/>
    <x v="252"/>
    <x v="406"/>
    <x v="0"/>
    <x v="1"/>
    <x v="3"/>
    <x v="5"/>
    <x v="3"/>
    <x v="8"/>
    <x v="6"/>
    <x v="515"/>
    <x v="516"/>
    <x v="514"/>
    <x v="104"/>
    <x v="15"/>
    <x v="0"/>
    <x v="514"/>
    <x v="0"/>
    <x v="103"/>
    <x v="21"/>
    <x v="406"/>
    <x v="19"/>
    <x v="516"/>
    <x v="516"/>
    <x v="516"/>
    <x v="157"/>
    <x v="7"/>
    <x v="5"/>
    <x v="3"/>
    <x v="0"/>
    <x v="2"/>
    <x v="1"/>
    <x v="1"/>
    <x v="0"/>
    <x v="7"/>
    <x v="0"/>
    <x v="0"/>
    <x v="95"/>
    <x v="516"/>
    <x v="15"/>
    <x v="516"/>
    <x v="516"/>
  </r>
  <r>
    <x v="516"/>
    <x v="371"/>
    <x v="93"/>
    <x v="3"/>
    <x v="5"/>
    <x v="8"/>
    <x v="2"/>
    <x v="0"/>
    <x v="4"/>
    <x v="2"/>
    <x v="516"/>
    <x v="517"/>
    <x v="515"/>
    <x v="159"/>
    <x v="4"/>
    <x v="0"/>
    <x v="515"/>
    <x v="0"/>
    <x v="158"/>
    <x v="2"/>
    <x v="407"/>
    <x v="2"/>
    <x v="517"/>
    <x v="517"/>
    <x v="517"/>
    <x v="162"/>
    <x v="6"/>
    <x v="4"/>
    <x v="8"/>
    <x v="0"/>
    <x v="0"/>
    <x v="5"/>
    <x v="4"/>
    <x v="0"/>
    <x v="6"/>
    <x v="0"/>
    <x v="0"/>
    <x v="146"/>
    <x v="517"/>
    <x v="4"/>
    <x v="517"/>
    <x v="517"/>
  </r>
  <r>
    <x v="517"/>
    <x v="409"/>
    <x v="71"/>
    <x v="0"/>
    <x v="1"/>
    <x v="1"/>
    <x v="0"/>
    <x v="4"/>
    <x v="8"/>
    <x v="0"/>
    <x v="517"/>
    <x v="518"/>
    <x v="516"/>
    <x v="216"/>
    <x v="28"/>
    <x v="0"/>
    <x v="516"/>
    <x v="0"/>
    <x v="210"/>
    <x v="15"/>
    <x v="132"/>
    <x v="13"/>
    <x v="518"/>
    <x v="518"/>
    <x v="518"/>
    <x v="221"/>
    <x v="14"/>
    <x v="7"/>
    <x v="1"/>
    <x v="0"/>
    <x v="1"/>
    <x v="1"/>
    <x v="1"/>
    <x v="0"/>
    <x v="14"/>
    <x v="0"/>
    <x v="0"/>
    <x v="191"/>
    <x v="518"/>
    <x v="28"/>
    <x v="518"/>
    <x v="518"/>
  </r>
  <r>
    <x v="518"/>
    <x v="410"/>
    <x v="331"/>
    <x v="3"/>
    <x v="7"/>
    <x v="11"/>
    <x v="0"/>
    <x v="4"/>
    <x v="1"/>
    <x v="0"/>
    <x v="518"/>
    <x v="519"/>
    <x v="517"/>
    <x v="78"/>
    <x v="7"/>
    <x v="0"/>
    <x v="517"/>
    <x v="0"/>
    <x v="77"/>
    <x v="19"/>
    <x v="327"/>
    <x v="17"/>
    <x v="519"/>
    <x v="519"/>
    <x v="519"/>
    <x v="77"/>
    <x v="13"/>
    <x v="8"/>
    <x v="11"/>
    <x v="0"/>
    <x v="0"/>
    <x v="7"/>
    <x v="6"/>
    <x v="0"/>
    <x v="13"/>
    <x v="0"/>
    <x v="0"/>
    <x v="72"/>
    <x v="519"/>
    <x v="7"/>
    <x v="519"/>
    <x v="519"/>
  </r>
  <r>
    <x v="519"/>
    <x v="405"/>
    <x v="407"/>
    <x v="2"/>
    <x v="3"/>
    <x v="29"/>
    <x v="5"/>
    <x v="0"/>
    <x v="11"/>
    <x v="4"/>
    <x v="519"/>
    <x v="520"/>
    <x v="518"/>
    <x v="165"/>
    <x v="8"/>
    <x v="0"/>
    <x v="518"/>
    <x v="0"/>
    <x v="163"/>
    <x v="15"/>
    <x v="71"/>
    <x v="13"/>
    <x v="520"/>
    <x v="520"/>
    <x v="520"/>
    <x v="167"/>
    <x v="14"/>
    <x v="7"/>
    <x v="29"/>
    <x v="2"/>
    <x v="1"/>
    <x v="3"/>
    <x v="3"/>
    <x v="0"/>
    <x v="14"/>
    <x v="0"/>
    <x v="0"/>
    <x v="151"/>
    <x v="520"/>
    <x v="8"/>
    <x v="520"/>
    <x v="520"/>
  </r>
  <r>
    <x v="520"/>
    <x v="410"/>
    <x v="291"/>
    <x v="2"/>
    <x v="9"/>
    <x v="23"/>
    <x v="3"/>
    <x v="0"/>
    <x v="13"/>
    <x v="6"/>
    <x v="520"/>
    <x v="521"/>
    <x v="519"/>
    <x v="4"/>
    <x v="8"/>
    <x v="0"/>
    <x v="519"/>
    <x v="0"/>
    <x v="4"/>
    <x v="4"/>
    <x v="408"/>
    <x v="4"/>
    <x v="521"/>
    <x v="521"/>
    <x v="521"/>
    <x v="4"/>
    <x v="13"/>
    <x v="8"/>
    <x v="23"/>
    <x v="0"/>
    <x v="0"/>
    <x v="9"/>
    <x v="8"/>
    <x v="0"/>
    <x v="13"/>
    <x v="1"/>
    <x v="0"/>
    <x v="4"/>
    <x v="521"/>
    <x v="8"/>
    <x v="521"/>
    <x v="521"/>
  </r>
  <r>
    <x v="521"/>
    <x v="411"/>
    <x v="408"/>
    <x v="0"/>
    <x v="0"/>
    <x v="0"/>
    <x v="2"/>
    <x v="1"/>
    <x v="12"/>
    <x v="5"/>
    <x v="521"/>
    <x v="522"/>
    <x v="520"/>
    <x v="11"/>
    <x v="11"/>
    <x v="0"/>
    <x v="520"/>
    <x v="0"/>
    <x v="11"/>
    <x v="14"/>
    <x v="409"/>
    <x v="12"/>
    <x v="522"/>
    <x v="522"/>
    <x v="522"/>
    <x v="228"/>
    <x v="19"/>
    <x v="4"/>
    <x v="0"/>
    <x v="1"/>
    <x v="0"/>
    <x v="0"/>
    <x v="0"/>
    <x v="0"/>
    <x v="19"/>
    <x v="0"/>
    <x v="0"/>
    <x v="11"/>
    <x v="522"/>
    <x v="11"/>
    <x v="522"/>
    <x v="522"/>
  </r>
  <r>
    <x v="522"/>
    <x v="93"/>
    <x v="384"/>
    <x v="1"/>
    <x v="10"/>
    <x v="24"/>
    <x v="2"/>
    <x v="4"/>
    <x v="5"/>
    <x v="0"/>
    <x v="522"/>
    <x v="523"/>
    <x v="521"/>
    <x v="189"/>
    <x v="5"/>
    <x v="0"/>
    <x v="521"/>
    <x v="0"/>
    <x v="185"/>
    <x v="27"/>
    <x v="382"/>
    <x v="24"/>
    <x v="523"/>
    <x v="523"/>
    <x v="523"/>
    <x v="191"/>
    <x v="8"/>
    <x v="0"/>
    <x v="24"/>
    <x v="0"/>
    <x v="0"/>
    <x v="10"/>
    <x v="9"/>
    <x v="0"/>
    <x v="8"/>
    <x v="1"/>
    <x v="0"/>
    <x v="169"/>
    <x v="523"/>
    <x v="5"/>
    <x v="523"/>
    <x v="523"/>
  </r>
  <r>
    <x v="523"/>
    <x v="412"/>
    <x v="409"/>
    <x v="0"/>
    <x v="0"/>
    <x v="16"/>
    <x v="4"/>
    <x v="1"/>
    <x v="13"/>
    <x v="1"/>
    <x v="523"/>
    <x v="524"/>
    <x v="522"/>
    <x v="152"/>
    <x v="20"/>
    <x v="0"/>
    <x v="522"/>
    <x v="0"/>
    <x v="151"/>
    <x v="25"/>
    <x v="410"/>
    <x v="22"/>
    <x v="524"/>
    <x v="524"/>
    <x v="524"/>
    <x v="154"/>
    <x v="19"/>
    <x v="4"/>
    <x v="16"/>
    <x v="1"/>
    <x v="0"/>
    <x v="0"/>
    <x v="0"/>
    <x v="0"/>
    <x v="19"/>
    <x v="0"/>
    <x v="1"/>
    <x v="139"/>
    <x v="524"/>
    <x v="20"/>
    <x v="524"/>
    <x v="524"/>
  </r>
  <r>
    <x v="524"/>
    <x v="413"/>
    <x v="50"/>
    <x v="0"/>
    <x v="1"/>
    <x v="3"/>
    <x v="3"/>
    <x v="3"/>
    <x v="0"/>
    <x v="1"/>
    <x v="524"/>
    <x v="525"/>
    <x v="523"/>
    <x v="157"/>
    <x v="42"/>
    <x v="0"/>
    <x v="523"/>
    <x v="0"/>
    <x v="156"/>
    <x v="29"/>
    <x v="50"/>
    <x v="26"/>
    <x v="525"/>
    <x v="525"/>
    <x v="525"/>
    <x v="160"/>
    <x v="25"/>
    <x v="3"/>
    <x v="3"/>
    <x v="1"/>
    <x v="2"/>
    <x v="1"/>
    <x v="1"/>
    <x v="0"/>
    <x v="25"/>
    <x v="0"/>
    <x v="0"/>
    <x v="144"/>
    <x v="525"/>
    <x v="42"/>
    <x v="525"/>
    <x v="525"/>
  </r>
  <r>
    <x v="525"/>
    <x v="414"/>
    <x v="410"/>
    <x v="2"/>
    <x v="9"/>
    <x v="14"/>
    <x v="2"/>
    <x v="0"/>
    <x v="11"/>
    <x v="1"/>
    <x v="525"/>
    <x v="526"/>
    <x v="524"/>
    <x v="4"/>
    <x v="15"/>
    <x v="0"/>
    <x v="524"/>
    <x v="0"/>
    <x v="4"/>
    <x v="18"/>
    <x v="411"/>
    <x v="16"/>
    <x v="526"/>
    <x v="526"/>
    <x v="526"/>
    <x v="4"/>
    <x v="4"/>
    <x v="2"/>
    <x v="14"/>
    <x v="1"/>
    <x v="1"/>
    <x v="9"/>
    <x v="8"/>
    <x v="0"/>
    <x v="4"/>
    <x v="0"/>
    <x v="0"/>
    <x v="4"/>
    <x v="526"/>
    <x v="15"/>
    <x v="526"/>
    <x v="526"/>
  </r>
  <r>
    <x v="526"/>
    <x v="415"/>
    <x v="411"/>
    <x v="0"/>
    <x v="0"/>
    <x v="2"/>
    <x v="5"/>
    <x v="3"/>
    <x v="13"/>
    <x v="4"/>
    <x v="526"/>
    <x v="527"/>
    <x v="525"/>
    <x v="163"/>
    <x v="32"/>
    <x v="0"/>
    <x v="525"/>
    <x v="0"/>
    <x v="161"/>
    <x v="5"/>
    <x v="412"/>
    <x v="5"/>
    <x v="527"/>
    <x v="527"/>
    <x v="527"/>
    <x v="165"/>
    <x v="16"/>
    <x v="4"/>
    <x v="2"/>
    <x v="2"/>
    <x v="0"/>
    <x v="0"/>
    <x v="0"/>
    <x v="0"/>
    <x v="16"/>
    <x v="0"/>
    <x v="0"/>
    <x v="149"/>
    <x v="527"/>
    <x v="32"/>
    <x v="527"/>
    <x v="527"/>
  </r>
  <r>
    <x v="527"/>
    <x v="416"/>
    <x v="412"/>
    <x v="0"/>
    <x v="11"/>
    <x v="25"/>
    <x v="3"/>
    <x v="2"/>
    <x v="11"/>
    <x v="1"/>
    <x v="527"/>
    <x v="528"/>
    <x v="526"/>
    <x v="4"/>
    <x v="10"/>
    <x v="0"/>
    <x v="526"/>
    <x v="0"/>
    <x v="4"/>
    <x v="32"/>
    <x v="413"/>
    <x v="29"/>
    <x v="528"/>
    <x v="528"/>
    <x v="528"/>
    <x v="4"/>
    <x v="24"/>
    <x v="9"/>
    <x v="25"/>
    <x v="1"/>
    <x v="1"/>
    <x v="11"/>
    <x v="10"/>
    <x v="0"/>
    <x v="24"/>
    <x v="0"/>
    <x v="0"/>
    <x v="4"/>
    <x v="528"/>
    <x v="10"/>
    <x v="528"/>
    <x v="528"/>
  </r>
  <r>
    <x v="528"/>
    <x v="246"/>
    <x v="413"/>
    <x v="2"/>
    <x v="6"/>
    <x v="9"/>
    <x v="5"/>
    <x v="2"/>
    <x v="2"/>
    <x v="2"/>
    <x v="528"/>
    <x v="529"/>
    <x v="527"/>
    <x v="15"/>
    <x v="0"/>
    <x v="0"/>
    <x v="527"/>
    <x v="0"/>
    <x v="15"/>
    <x v="18"/>
    <x v="414"/>
    <x v="16"/>
    <x v="529"/>
    <x v="529"/>
    <x v="529"/>
    <x v="15"/>
    <x v="8"/>
    <x v="0"/>
    <x v="9"/>
    <x v="0"/>
    <x v="0"/>
    <x v="6"/>
    <x v="5"/>
    <x v="1"/>
    <x v="8"/>
    <x v="0"/>
    <x v="0"/>
    <x v="15"/>
    <x v="529"/>
    <x v="0"/>
    <x v="529"/>
    <x v="529"/>
  </r>
  <r>
    <x v="529"/>
    <x v="417"/>
    <x v="267"/>
    <x v="3"/>
    <x v="5"/>
    <x v="8"/>
    <x v="3"/>
    <x v="1"/>
    <x v="2"/>
    <x v="3"/>
    <x v="529"/>
    <x v="530"/>
    <x v="528"/>
    <x v="153"/>
    <x v="27"/>
    <x v="0"/>
    <x v="528"/>
    <x v="0"/>
    <x v="152"/>
    <x v="16"/>
    <x v="265"/>
    <x v="14"/>
    <x v="530"/>
    <x v="530"/>
    <x v="530"/>
    <x v="155"/>
    <x v="3"/>
    <x v="3"/>
    <x v="8"/>
    <x v="2"/>
    <x v="2"/>
    <x v="5"/>
    <x v="4"/>
    <x v="0"/>
    <x v="3"/>
    <x v="0"/>
    <x v="0"/>
    <x v="140"/>
    <x v="530"/>
    <x v="27"/>
    <x v="530"/>
    <x v="530"/>
  </r>
  <r>
    <x v="530"/>
    <x v="221"/>
    <x v="414"/>
    <x v="3"/>
    <x v="7"/>
    <x v="17"/>
    <x v="4"/>
    <x v="2"/>
    <x v="10"/>
    <x v="5"/>
    <x v="530"/>
    <x v="531"/>
    <x v="529"/>
    <x v="59"/>
    <x v="0"/>
    <x v="0"/>
    <x v="529"/>
    <x v="0"/>
    <x v="58"/>
    <x v="9"/>
    <x v="415"/>
    <x v="8"/>
    <x v="531"/>
    <x v="531"/>
    <x v="531"/>
    <x v="58"/>
    <x v="18"/>
    <x v="5"/>
    <x v="17"/>
    <x v="1"/>
    <x v="2"/>
    <x v="7"/>
    <x v="6"/>
    <x v="0"/>
    <x v="18"/>
    <x v="0"/>
    <x v="0"/>
    <x v="54"/>
    <x v="531"/>
    <x v="0"/>
    <x v="531"/>
    <x v="531"/>
  </r>
  <r>
    <x v="531"/>
    <x v="418"/>
    <x v="285"/>
    <x v="0"/>
    <x v="11"/>
    <x v="25"/>
    <x v="4"/>
    <x v="0"/>
    <x v="7"/>
    <x v="3"/>
    <x v="531"/>
    <x v="532"/>
    <x v="530"/>
    <x v="71"/>
    <x v="10"/>
    <x v="0"/>
    <x v="530"/>
    <x v="0"/>
    <x v="70"/>
    <x v="15"/>
    <x v="282"/>
    <x v="13"/>
    <x v="532"/>
    <x v="532"/>
    <x v="532"/>
    <x v="70"/>
    <x v="24"/>
    <x v="9"/>
    <x v="25"/>
    <x v="2"/>
    <x v="1"/>
    <x v="11"/>
    <x v="10"/>
    <x v="0"/>
    <x v="24"/>
    <x v="0"/>
    <x v="0"/>
    <x v="65"/>
    <x v="532"/>
    <x v="10"/>
    <x v="532"/>
    <x v="532"/>
  </r>
  <r>
    <x v="532"/>
    <x v="34"/>
    <x v="244"/>
    <x v="0"/>
    <x v="11"/>
    <x v="20"/>
    <x v="4"/>
    <x v="2"/>
    <x v="1"/>
    <x v="4"/>
    <x v="532"/>
    <x v="533"/>
    <x v="531"/>
    <x v="220"/>
    <x v="9"/>
    <x v="0"/>
    <x v="531"/>
    <x v="0"/>
    <x v="214"/>
    <x v="9"/>
    <x v="242"/>
    <x v="8"/>
    <x v="533"/>
    <x v="533"/>
    <x v="533"/>
    <x v="229"/>
    <x v="15"/>
    <x v="5"/>
    <x v="20"/>
    <x v="2"/>
    <x v="2"/>
    <x v="11"/>
    <x v="10"/>
    <x v="0"/>
    <x v="15"/>
    <x v="0"/>
    <x v="1"/>
    <x v="195"/>
    <x v="533"/>
    <x v="9"/>
    <x v="533"/>
    <x v="533"/>
  </r>
  <r>
    <x v="533"/>
    <x v="419"/>
    <x v="194"/>
    <x v="1"/>
    <x v="4"/>
    <x v="10"/>
    <x v="2"/>
    <x v="0"/>
    <x v="4"/>
    <x v="4"/>
    <x v="533"/>
    <x v="534"/>
    <x v="532"/>
    <x v="197"/>
    <x v="2"/>
    <x v="0"/>
    <x v="532"/>
    <x v="0"/>
    <x v="193"/>
    <x v="32"/>
    <x v="194"/>
    <x v="29"/>
    <x v="534"/>
    <x v="534"/>
    <x v="534"/>
    <x v="200"/>
    <x v="9"/>
    <x v="3"/>
    <x v="10"/>
    <x v="2"/>
    <x v="2"/>
    <x v="4"/>
    <x v="3"/>
    <x v="0"/>
    <x v="9"/>
    <x v="0"/>
    <x v="0"/>
    <x v="175"/>
    <x v="534"/>
    <x v="2"/>
    <x v="534"/>
    <x v="534"/>
  </r>
  <r>
    <x v="534"/>
    <x v="305"/>
    <x v="415"/>
    <x v="3"/>
    <x v="7"/>
    <x v="28"/>
    <x v="0"/>
    <x v="4"/>
    <x v="8"/>
    <x v="2"/>
    <x v="534"/>
    <x v="535"/>
    <x v="533"/>
    <x v="8"/>
    <x v="16"/>
    <x v="0"/>
    <x v="533"/>
    <x v="0"/>
    <x v="8"/>
    <x v="26"/>
    <x v="416"/>
    <x v="23"/>
    <x v="535"/>
    <x v="535"/>
    <x v="535"/>
    <x v="8"/>
    <x v="23"/>
    <x v="9"/>
    <x v="28"/>
    <x v="0"/>
    <x v="1"/>
    <x v="7"/>
    <x v="6"/>
    <x v="0"/>
    <x v="23"/>
    <x v="0"/>
    <x v="0"/>
    <x v="8"/>
    <x v="535"/>
    <x v="16"/>
    <x v="535"/>
    <x v="535"/>
  </r>
  <r>
    <x v="535"/>
    <x v="420"/>
    <x v="416"/>
    <x v="1"/>
    <x v="10"/>
    <x v="15"/>
    <x v="0"/>
    <x v="3"/>
    <x v="14"/>
    <x v="4"/>
    <x v="386"/>
    <x v="536"/>
    <x v="534"/>
    <x v="23"/>
    <x v="42"/>
    <x v="0"/>
    <x v="534"/>
    <x v="0"/>
    <x v="23"/>
    <x v="26"/>
    <x v="417"/>
    <x v="23"/>
    <x v="536"/>
    <x v="536"/>
    <x v="536"/>
    <x v="23"/>
    <x v="20"/>
    <x v="8"/>
    <x v="15"/>
    <x v="2"/>
    <x v="0"/>
    <x v="10"/>
    <x v="9"/>
    <x v="0"/>
    <x v="20"/>
    <x v="0"/>
    <x v="0"/>
    <x v="23"/>
    <x v="536"/>
    <x v="42"/>
    <x v="536"/>
    <x v="536"/>
  </r>
  <r>
    <x v="536"/>
    <x v="421"/>
    <x v="417"/>
    <x v="0"/>
    <x v="11"/>
    <x v="33"/>
    <x v="3"/>
    <x v="2"/>
    <x v="4"/>
    <x v="6"/>
    <x v="535"/>
    <x v="537"/>
    <x v="535"/>
    <x v="221"/>
    <x v="11"/>
    <x v="0"/>
    <x v="535"/>
    <x v="0"/>
    <x v="215"/>
    <x v="33"/>
    <x v="418"/>
    <x v="30"/>
    <x v="537"/>
    <x v="537"/>
    <x v="537"/>
    <x v="230"/>
    <x v="23"/>
    <x v="9"/>
    <x v="33"/>
    <x v="0"/>
    <x v="1"/>
    <x v="11"/>
    <x v="10"/>
    <x v="0"/>
    <x v="23"/>
    <x v="1"/>
    <x v="0"/>
    <x v="196"/>
    <x v="537"/>
    <x v="11"/>
    <x v="537"/>
    <x v="537"/>
  </r>
  <r>
    <x v="537"/>
    <x v="422"/>
    <x v="235"/>
    <x v="0"/>
    <x v="11"/>
    <x v="33"/>
    <x v="1"/>
    <x v="3"/>
    <x v="7"/>
    <x v="1"/>
    <x v="536"/>
    <x v="538"/>
    <x v="536"/>
    <x v="104"/>
    <x v="48"/>
    <x v="0"/>
    <x v="536"/>
    <x v="0"/>
    <x v="103"/>
    <x v="3"/>
    <x v="233"/>
    <x v="3"/>
    <x v="538"/>
    <x v="538"/>
    <x v="538"/>
    <x v="157"/>
    <x v="26"/>
    <x v="10"/>
    <x v="33"/>
    <x v="1"/>
    <x v="0"/>
    <x v="11"/>
    <x v="10"/>
    <x v="0"/>
    <x v="26"/>
    <x v="1"/>
    <x v="0"/>
    <x v="95"/>
    <x v="538"/>
    <x v="48"/>
    <x v="538"/>
    <x v="538"/>
  </r>
  <r>
    <x v="538"/>
    <x v="423"/>
    <x v="418"/>
    <x v="3"/>
    <x v="5"/>
    <x v="8"/>
    <x v="3"/>
    <x v="1"/>
    <x v="6"/>
    <x v="2"/>
    <x v="537"/>
    <x v="539"/>
    <x v="537"/>
    <x v="24"/>
    <x v="10"/>
    <x v="0"/>
    <x v="537"/>
    <x v="0"/>
    <x v="24"/>
    <x v="9"/>
    <x v="419"/>
    <x v="8"/>
    <x v="539"/>
    <x v="539"/>
    <x v="539"/>
    <x v="24"/>
    <x v="4"/>
    <x v="2"/>
    <x v="8"/>
    <x v="0"/>
    <x v="1"/>
    <x v="5"/>
    <x v="4"/>
    <x v="0"/>
    <x v="4"/>
    <x v="0"/>
    <x v="0"/>
    <x v="24"/>
    <x v="539"/>
    <x v="10"/>
    <x v="539"/>
    <x v="539"/>
  </r>
  <r>
    <x v="539"/>
    <x v="424"/>
    <x v="419"/>
    <x v="0"/>
    <x v="0"/>
    <x v="2"/>
    <x v="5"/>
    <x v="1"/>
    <x v="13"/>
    <x v="4"/>
    <x v="538"/>
    <x v="540"/>
    <x v="538"/>
    <x v="4"/>
    <x v="4"/>
    <x v="0"/>
    <x v="538"/>
    <x v="0"/>
    <x v="4"/>
    <x v="28"/>
    <x v="420"/>
    <x v="25"/>
    <x v="540"/>
    <x v="540"/>
    <x v="540"/>
    <x v="4"/>
    <x v="23"/>
    <x v="9"/>
    <x v="2"/>
    <x v="2"/>
    <x v="1"/>
    <x v="0"/>
    <x v="0"/>
    <x v="0"/>
    <x v="23"/>
    <x v="1"/>
    <x v="0"/>
    <x v="4"/>
    <x v="540"/>
    <x v="4"/>
    <x v="540"/>
    <x v="540"/>
  </r>
  <r>
    <x v="540"/>
    <x v="115"/>
    <x v="420"/>
    <x v="2"/>
    <x v="9"/>
    <x v="23"/>
    <x v="0"/>
    <x v="0"/>
    <x v="6"/>
    <x v="5"/>
    <x v="539"/>
    <x v="541"/>
    <x v="539"/>
    <x v="111"/>
    <x v="13"/>
    <x v="0"/>
    <x v="539"/>
    <x v="0"/>
    <x v="110"/>
    <x v="27"/>
    <x v="421"/>
    <x v="24"/>
    <x v="541"/>
    <x v="541"/>
    <x v="541"/>
    <x v="110"/>
    <x v="16"/>
    <x v="4"/>
    <x v="23"/>
    <x v="1"/>
    <x v="0"/>
    <x v="9"/>
    <x v="8"/>
    <x v="0"/>
    <x v="16"/>
    <x v="1"/>
    <x v="0"/>
    <x v="102"/>
    <x v="541"/>
    <x v="13"/>
    <x v="541"/>
    <x v="541"/>
  </r>
  <r>
    <x v="541"/>
    <x v="425"/>
    <x v="23"/>
    <x v="0"/>
    <x v="1"/>
    <x v="1"/>
    <x v="2"/>
    <x v="4"/>
    <x v="13"/>
    <x v="6"/>
    <x v="540"/>
    <x v="542"/>
    <x v="540"/>
    <x v="163"/>
    <x v="7"/>
    <x v="0"/>
    <x v="540"/>
    <x v="0"/>
    <x v="161"/>
    <x v="28"/>
    <x v="23"/>
    <x v="25"/>
    <x v="542"/>
    <x v="542"/>
    <x v="542"/>
    <x v="165"/>
    <x v="2"/>
    <x v="2"/>
    <x v="1"/>
    <x v="0"/>
    <x v="1"/>
    <x v="1"/>
    <x v="1"/>
    <x v="0"/>
    <x v="2"/>
    <x v="1"/>
    <x v="0"/>
    <x v="149"/>
    <x v="542"/>
    <x v="7"/>
    <x v="542"/>
    <x v="542"/>
  </r>
  <r>
    <x v="542"/>
    <x v="305"/>
    <x v="259"/>
    <x v="3"/>
    <x v="5"/>
    <x v="37"/>
    <x v="3"/>
    <x v="3"/>
    <x v="12"/>
    <x v="4"/>
    <x v="541"/>
    <x v="543"/>
    <x v="541"/>
    <x v="158"/>
    <x v="16"/>
    <x v="0"/>
    <x v="541"/>
    <x v="0"/>
    <x v="157"/>
    <x v="22"/>
    <x v="257"/>
    <x v="1"/>
    <x v="543"/>
    <x v="543"/>
    <x v="543"/>
    <x v="161"/>
    <x v="23"/>
    <x v="9"/>
    <x v="37"/>
    <x v="2"/>
    <x v="1"/>
    <x v="5"/>
    <x v="4"/>
    <x v="0"/>
    <x v="23"/>
    <x v="1"/>
    <x v="0"/>
    <x v="145"/>
    <x v="543"/>
    <x v="16"/>
    <x v="543"/>
    <x v="543"/>
  </r>
  <r>
    <x v="543"/>
    <x v="426"/>
    <x v="254"/>
    <x v="1"/>
    <x v="10"/>
    <x v="39"/>
    <x v="0"/>
    <x v="0"/>
    <x v="11"/>
    <x v="2"/>
    <x v="542"/>
    <x v="544"/>
    <x v="542"/>
    <x v="122"/>
    <x v="15"/>
    <x v="0"/>
    <x v="542"/>
    <x v="0"/>
    <x v="121"/>
    <x v="33"/>
    <x v="422"/>
    <x v="30"/>
    <x v="544"/>
    <x v="544"/>
    <x v="544"/>
    <x v="122"/>
    <x v="28"/>
    <x v="6"/>
    <x v="40"/>
    <x v="0"/>
    <x v="2"/>
    <x v="10"/>
    <x v="9"/>
    <x v="0"/>
    <x v="28"/>
    <x v="1"/>
    <x v="1"/>
    <x v="112"/>
    <x v="544"/>
    <x v="15"/>
    <x v="544"/>
    <x v="544"/>
  </r>
  <r>
    <x v="544"/>
    <x v="427"/>
    <x v="258"/>
    <x v="0"/>
    <x v="11"/>
    <x v="20"/>
    <x v="4"/>
    <x v="3"/>
    <x v="11"/>
    <x v="5"/>
    <x v="543"/>
    <x v="545"/>
    <x v="543"/>
    <x v="1"/>
    <x v="7"/>
    <x v="0"/>
    <x v="543"/>
    <x v="0"/>
    <x v="1"/>
    <x v="8"/>
    <x v="256"/>
    <x v="7"/>
    <x v="545"/>
    <x v="545"/>
    <x v="545"/>
    <x v="1"/>
    <x v="0"/>
    <x v="0"/>
    <x v="20"/>
    <x v="1"/>
    <x v="0"/>
    <x v="11"/>
    <x v="10"/>
    <x v="0"/>
    <x v="0"/>
    <x v="0"/>
    <x v="1"/>
    <x v="1"/>
    <x v="545"/>
    <x v="7"/>
    <x v="545"/>
    <x v="545"/>
  </r>
  <r>
    <x v="545"/>
    <x v="428"/>
    <x v="202"/>
    <x v="1"/>
    <x v="2"/>
    <x v="4"/>
    <x v="1"/>
    <x v="4"/>
    <x v="7"/>
    <x v="6"/>
    <x v="544"/>
    <x v="546"/>
    <x v="544"/>
    <x v="222"/>
    <x v="15"/>
    <x v="0"/>
    <x v="544"/>
    <x v="0"/>
    <x v="216"/>
    <x v="10"/>
    <x v="202"/>
    <x v="9"/>
    <x v="546"/>
    <x v="546"/>
    <x v="546"/>
    <x v="231"/>
    <x v="27"/>
    <x v="9"/>
    <x v="4"/>
    <x v="0"/>
    <x v="1"/>
    <x v="2"/>
    <x v="2"/>
    <x v="0"/>
    <x v="27"/>
    <x v="0"/>
    <x v="1"/>
    <x v="197"/>
    <x v="546"/>
    <x v="15"/>
    <x v="546"/>
    <x v="546"/>
  </r>
  <r>
    <x v="546"/>
    <x v="2"/>
    <x v="421"/>
    <x v="3"/>
    <x v="5"/>
    <x v="37"/>
    <x v="3"/>
    <x v="2"/>
    <x v="13"/>
    <x v="1"/>
    <x v="545"/>
    <x v="547"/>
    <x v="545"/>
    <x v="81"/>
    <x v="51"/>
    <x v="0"/>
    <x v="545"/>
    <x v="0"/>
    <x v="80"/>
    <x v="33"/>
    <x v="423"/>
    <x v="30"/>
    <x v="547"/>
    <x v="547"/>
    <x v="547"/>
    <x v="80"/>
    <x v="2"/>
    <x v="2"/>
    <x v="37"/>
    <x v="1"/>
    <x v="1"/>
    <x v="5"/>
    <x v="4"/>
    <x v="0"/>
    <x v="2"/>
    <x v="1"/>
    <x v="0"/>
    <x v="74"/>
    <x v="547"/>
    <x v="51"/>
    <x v="547"/>
    <x v="547"/>
  </r>
  <r>
    <x v="547"/>
    <x v="292"/>
    <x v="422"/>
    <x v="1"/>
    <x v="4"/>
    <x v="30"/>
    <x v="0"/>
    <x v="2"/>
    <x v="11"/>
    <x v="5"/>
    <x v="546"/>
    <x v="548"/>
    <x v="546"/>
    <x v="29"/>
    <x v="2"/>
    <x v="0"/>
    <x v="546"/>
    <x v="0"/>
    <x v="29"/>
    <x v="31"/>
    <x v="424"/>
    <x v="28"/>
    <x v="548"/>
    <x v="548"/>
    <x v="548"/>
    <x v="29"/>
    <x v="13"/>
    <x v="8"/>
    <x v="30"/>
    <x v="1"/>
    <x v="0"/>
    <x v="4"/>
    <x v="3"/>
    <x v="0"/>
    <x v="13"/>
    <x v="0"/>
    <x v="0"/>
    <x v="29"/>
    <x v="548"/>
    <x v="2"/>
    <x v="548"/>
    <x v="548"/>
  </r>
  <r>
    <x v="548"/>
    <x v="429"/>
    <x v="128"/>
    <x v="3"/>
    <x v="8"/>
    <x v="21"/>
    <x v="4"/>
    <x v="1"/>
    <x v="13"/>
    <x v="2"/>
    <x v="547"/>
    <x v="549"/>
    <x v="547"/>
    <x v="189"/>
    <x v="11"/>
    <x v="0"/>
    <x v="547"/>
    <x v="0"/>
    <x v="185"/>
    <x v="7"/>
    <x v="126"/>
    <x v="6"/>
    <x v="549"/>
    <x v="549"/>
    <x v="549"/>
    <x v="191"/>
    <x v="5"/>
    <x v="1"/>
    <x v="21"/>
    <x v="0"/>
    <x v="2"/>
    <x v="8"/>
    <x v="7"/>
    <x v="0"/>
    <x v="5"/>
    <x v="0"/>
    <x v="0"/>
    <x v="169"/>
    <x v="549"/>
    <x v="11"/>
    <x v="549"/>
    <x v="549"/>
  </r>
  <r>
    <x v="549"/>
    <x v="430"/>
    <x v="423"/>
    <x v="1"/>
    <x v="4"/>
    <x v="10"/>
    <x v="5"/>
    <x v="3"/>
    <x v="7"/>
    <x v="5"/>
    <x v="548"/>
    <x v="550"/>
    <x v="548"/>
    <x v="122"/>
    <x v="21"/>
    <x v="0"/>
    <x v="548"/>
    <x v="0"/>
    <x v="121"/>
    <x v="15"/>
    <x v="425"/>
    <x v="13"/>
    <x v="550"/>
    <x v="550"/>
    <x v="550"/>
    <x v="122"/>
    <x v="28"/>
    <x v="6"/>
    <x v="10"/>
    <x v="1"/>
    <x v="2"/>
    <x v="4"/>
    <x v="3"/>
    <x v="0"/>
    <x v="28"/>
    <x v="0"/>
    <x v="1"/>
    <x v="112"/>
    <x v="550"/>
    <x v="21"/>
    <x v="550"/>
    <x v="550"/>
  </r>
  <r>
    <x v="550"/>
    <x v="431"/>
    <x v="95"/>
    <x v="2"/>
    <x v="6"/>
    <x v="32"/>
    <x v="3"/>
    <x v="1"/>
    <x v="13"/>
    <x v="2"/>
    <x v="549"/>
    <x v="551"/>
    <x v="549"/>
    <x v="86"/>
    <x v="21"/>
    <x v="0"/>
    <x v="549"/>
    <x v="0"/>
    <x v="85"/>
    <x v="15"/>
    <x v="94"/>
    <x v="13"/>
    <x v="551"/>
    <x v="551"/>
    <x v="551"/>
    <x v="85"/>
    <x v="21"/>
    <x v="2"/>
    <x v="32"/>
    <x v="0"/>
    <x v="1"/>
    <x v="6"/>
    <x v="5"/>
    <x v="1"/>
    <x v="21"/>
    <x v="0"/>
    <x v="0"/>
    <x v="79"/>
    <x v="551"/>
    <x v="21"/>
    <x v="551"/>
    <x v="551"/>
  </r>
  <r>
    <x v="551"/>
    <x v="432"/>
    <x v="344"/>
    <x v="3"/>
    <x v="5"/>
    <x v="22"/>
    <x v="5"/>
    <x v="0"/>
    <x v="14"/>
    <x v="6"/>
    <x v="550"/>
    <x v="552"/>
    <x v="550"/>
    <x v="174"/>
    <x v="3"/>
    <x v="0"/>
    <x v="550"/>
    <x v="0"/>
    <x v="172"/>
    <x v="11"/>
    <x v="340"/>
    <x v="10"/>
    <x v="552"/>
    <x v="552"/>
    <x v="552"/>
    <x v="177"/>
    <x v="25"/>
    <x v="3"/>
    <x v="22"/>
    <x v="0"/>
    <x v="2"/>
    <x v="5"/>
    <x v="4"/>
    <x v="0"/>
    <x v="25"/>
    <x v="0"/>
    <x v="0"/>
    <x v="160"/>
    <x v="552"/>
    <x v="3"/>
    <x v="552"/>
    <x v="552"/>
  </r>
  <r>
    <x v="552"/>
    <x v="145"/>
    <x v="53"/>
    <x v="0"/>
    <x v="0"/>
    <x v="13"/>
    <x v="1"/>
    <x v="4"/>
    <x v="14"/>
    <x v="6"/>
    <x v="551"/>
    <x v="553"/>
    <x v="551"/>
    <x v="23"/>
    <x v="2"/>
    <x v="0"/>
    <x v="551"/>
    <x v="0"/>
    <x v="23"/>
    <x v="18"/>
    <x v="53"/>
    <x v="16"/>
    <x v="553"/>
    <x v="553"/>
    <x v="553"/>
    <x v="23"/>
    <x v="25"/>
    <x v="3"/>
    <x v="13"/>
    <x v="0"/>
    <x v="2"/>
    <x v="0"/>
    <x v="0"/>
    <x v="0"/>
    <x v="25"/>
    <x v="0"/>
    <x v="0"/>
    <x v="23"/>
    <x v="553"/>
    <x v="2"/>
    <x v="553"/>
    <x v="553"/>
  </r>
  <r>
    <x v="553"/>
    <x v="433"/>
    <x v="424"/>
    <x v="2"/>
    <x v="6"/>
    <x v="27"/>
    <x v="1"/>
    <x v="1"/>
    <x v="2"/>
    <x v="3"/>
    <x v="552"/>
    <x v="554"/>
    <x v="552"/>
    <x v="21"/>
    <x v="20"/>
    <x v="0"/>
    <x v="552"/>
    <x v="0"/>
    <x v="21"/>
    <x v="0"/>
    <x v="426"/>
    <x v="0"/>
    <x v="554"/>
    <x v="554"/>
    <x v="554"/>
    <x v="21"/>
    <x v="20"/>
    <x v="8"/>
    <x v="27"/>
    <x v="2"/>
    <x v="0"/>
    <x v="6"/>
    <x v="5"/>
    <x v="1"/>
    <x v="20"/>
    <x v="0"/>
    <x v="0"/>
    <x v="21"/>
    <x v="554"/>
    <x v="20"/>
    <x v="554"/>
    <x v="554"/>
  </r>
  <r>
    <x v="554"/>
    <x v="238"/>
    <x v="425"/>
    <x v="2"/>
    <x v="3"/>
    <x v="29"/>
    <x v="4"/>
    <x v="0"/>
    <x v="13"/>
    <x v="6"/>
    <x v="553"/>
    <x v="555"/>
    <x v="553"/>
    <x v="4"/>
    <x v="6"/>
    <x v="0"/>
    <x v="553"/>
    <x v="0"/>
    <x v="4"/>
    <x v="21"/>
    <x v="427"/>
    <x v="19"/>
    <x v="555"/>
    <x v="555"/>
    <x v="555"/>
    <x v="4"/>
    <x v="14"/>
    <x v="7"/>
    <x v="29"/>
    <x v="0"/>
    <x v="1"/>
    <x v="3"/>
    <x v="3"/>
    <x v="0"/>
    <x v="14"/>
    <x v="0"/>
    <x v="0"/>
    <x v="4"/>
    <x v="555"/>
    <x v="6"/>
    <x v="555"/>
    <x v="555"/>
  </r>
  <r>
    <x v="555"/>
    <x v="77"/>
    <x v="414"/>
    <x v="1"/>
    <x v="2"/>
    <x v="26"/>
    <x v="2"/>
    <x v="3"/>
    <x v="8"/>
    <x v="1"/>
    <x v="554"/>
    <x v="556"/>
    <x v="554"/>
    <x v="223"/>
    <x v="19"/>
    <x v="0"/>
    <x v="554"/>
    <x v="0"/>
    <x v="217"/>
    <x v="6"/>
    <x v="428"/>
    <x v="1"/>
    <x v="556"/>
    <x v="556"/>
    <x v="556"/>
    <x v="232"/>
    <x v="7"/>
    <x v="5"/>
    <x v="26"/>
    <x v="1"/>
    <x v="2"/>
    <x v="2"/>
    <x v="2"/>
    <x v="0"/>
    <x v="7"/>
    <x v="1"/>
    <x v="0"/>
    <x v="198"/>
    <x v="556"/>
    <x v="19"/>
    <x v="556"/>
    <x v="556"/>
  </r>
  <r>
    <x v="556"/>
    <x v="0"/>
    <x v="426"/>
    <x v="1"/>
    <x v="10"/>
    <x v="39"/>
    <x v="0"/>
    <x v="0"/>
    <x v="11"/>
    <x v="5"/>
    <x v="555"/>
    <x v="557"/>
    <x v="555"/>
    <x v="125"/>
    <x v="0"/>
    <x v="0"/>
    <x v="555"/>
    <x v="0"/>
    <x v="124"/>
    <x v="5"/>
    <x v="429"/>
    <x v="5"/>
    <x v="557"/>
    <x v="557"/>
    <x v="557"/>
    <x v="125"/>
    <x v="0"/>
    <x v="0"/>
    <x v="40"/>
    <x v="1"/>
    <x v="0"/>
    <x v="10"/>
    <x v="9"/>
    <x v="0"/>
    <x v="0"/>
    <x v="0"/>
    <x v="1"/>
    <x v="115"/>
    <x v="557"/>
    <x v="0"/>
    <x v="557"/>
    <x v="557"/>
  </r>
  <r>
    <x v="557"/>
    <x v="21"/>
    <x v="427"/>
    <x v="0"/>
    <x v="0"/>
    <x v="2"/>
    <x v="0"/>
    <x v="4"/>
    <x v="9"/>
    <x v="6"/>
    <x v="556"/>
    <x v="558"/>
    <x v="556"/>
    <x v="153"/>
    <x v="0"/>
    <x v="0"/>
    <x v="556"/>
    <x v="0"/>
    <x v="152"/>
    <x v="3"/>
    <x v="430"/>
    <x v="3"/>
    <x v="558"/>
    <x v="558"/>
    <x v="558"/>
    <x v="155"/>
    <x v="6"/>
    <x v="4"/>
    <x v="2"/>
    <x v="0"/>
    <x v="0"/>
    <x v="0"/>
    <x v="0"/>
    <x v="0"/>
    <x v="6"/>
    <x v="1"/>
    <x v="0"/>
    <x v="140"/>
    <x v="558"/>
    <x v="0"/>
    <x v="558"/>
    <x v="558"/>
  </r>
  <r>
    <x v="558"/>
    <x v="434"/>
    <x v="428"/>
    <x v="2"/>
    <x v="3"/>
    <x v="5"/>
    <x v="0"/>
    <x v="4"/>
    <x v="5"/>
    <x v="1"/>
    <x v="557"/>
    <x v="559"/>
    <x v="557"/>
    <x v="17"/>
    <x v="30"/>
    <x v="0"/>
    <x v="557"/>
    <x v="0"/>
    <x v="17"/>
    <x v="3"/>
    <x v="431"/>
    <x v="3"/>
    <x v="559"/>
    <x v="559"/>
    <x v="559"/>
    <x v="17"/>
    <x v="8"/>
    <x v="0"/>
    <x v="5"/>
    <x v="1"/>
    <x v="0"/>
    <x v="3"/>
    <x v="3"/>
    <x v="0"/>
    <x v="8"/>
    <x v="1"/>
    <x v="0"/>
    <x v="17"/>
    <x v="559"/>
    <x v="30"/>
    <x v="559"/>
    <x v="559"/>
  </r>
  <r>
    <x v="559"/>
    <x v="39"/>
    <x v="271"/>
    <x v="1"/>
    <x v="10"/>
    <x v="39"/>
    <x v="0"/>
    <x v="3"/>
    <x v="12"/>
    <x v="0"/>
    <x v="558"/>
    <x v="560"/>
    <x v="558"/>
    <x v="180"/>
    <x v="11"/>
    <x v="0"/>
    <x v="558"/>
    <x v="0"/>
    <x v="177"/>
    <x v="25"/>
    <x v="267"/>
    <x v="22"/>
    <x v="560"/>
    <x v="560"/>
    <x v="560"/>
    <x v="182"/>
    <x v="1"/>
    <x v="1"/>
    <x v="40"/>
    <x v="0"/>
    <x v="2"/>
    <x v="10"/>
    <x v="9"/>
    <x v="0"/>
    <x v="1"/>
    <x v="0"/>
    <x v="0"/>
    <x v="164"/>
    <x v="560"/>
    <x v="11"/>
    <x v="560"/>
    <x v="560"/>
  </r>
  <r>
    <x v="560"/>
    <x v="24"/>
    <x v="353"/>
    <x v="0"/>
    <x v="0"/>
    <x v="0"/>
    <x v="0"/>
    <x v="1"/>
    <x v="14"/>
    <x v="3"/>
    <x v="559"/>
    <x v="561"/>
    <x v="559"/>
    <x v="132"/>
    <x v="14"/>
    <x v="0"/>
    <x v="559"/>
    <x v="0"/>
    <x v="131"/>
    <x v="7"/>
    <x v="349"/>
    <x v="6"/>
    <x v="561"/>
    <x v="561"/>
    <x v="561"/>
    <x v="132"/>
    <x v="17"/>
    <x v="1"/>
    <x v="0"/>
    <x v="2"/>
    <x v="2"/>
    <x v="0"/>
    <x v="0"/>
    <x v="0"/>
    <x v="17"/>
    <x v="0"/>
    <x v="0"/>
    <x v="121"/>
    <x v="561"/>
    <x v="14"/>
    <x v="561"/>
    <x v="561"/>
  </r>
  <r>
    <x v="561"/>
    <x v="289"/>
    <x v="429"/>
    <x v="1"/>
    <x v="2"/>
    <x v="19"/>
    <x v="5"/>
    <x v="3"/>
    <x v="5"/>
    <x v="5"/>
    <x v="560"/>
    <x v="562"/>
    <x v="560"/>
    <x v="80"/>
    <x v="7"/>
    <x v="0"/>
    <x v="560"/>
    <x v="0"/>
    <x v="79"/>
    <x v="7"/>
    <x v="432"/>
    <x v="6"/>
    <x v="562"/>
    <x v="562"/>
    <x v="562"/>
    <x v="79"/>
    <x v="11"/>
    <x v="7"/>
    <x v="19"/>
    <x v="1"/>
    <x v="1"/>
    <x v="2"/>
    <x v="2"/>
    <x v="0"/>
    <x v="11"/>
    <x v="0"/>
    <x v="0"/>
    <x v="73"/>
    <x v="562"/>
    <x v="7"/>
    <x v="562"/>
    <x v="562"/>
  </r>
  <r>
    <x v="562"/>
    <x v="184"/>
    <x v="172"/>
    <x v="3"/>
    <x v="8"/>
    <x v="31"/>
    <x v="4"/>
    <x v="2"/>
    <x v="14"/>
    <x v="2"/>
    <x v="561"/>
    <x v="563"/>
    <x v="561"/>
    <x v="54"/>
    <x v="11"/>
    <x v="0"/>
    <x v="561"/>
    <x v="0"/>
    <x v="54"/>
    <x v="3"/>
    <x v="172"/>
    <x v="3"/>
    <x v="563"/>
    <x v="563"/>
    <x v="563"/>
    <x v="54"/>
    <x v="25"/>
    <x v="3"/>
    <x v="31"/>
    <x v="0"/>
    <x v="2"/>
    <x v="8"/>
    <x v="7"/>
    <x v="0"/>
    <x v="25"/>
    <x v="1"/>
    <x v="0"/>
    <x v="50"/>
    <x v="563"/>
    <x v="11"/>
    <x v="563"/>
    <x v="563"/>
  </r>
  <r>
    <x v="563"/>
    <x v="435"/>
    <x v="430"/>
    <x v="3"/>
    <x v="8"/>
    <x v="31"/>
    <x v="5"/>
    <x v="0"/>
    <x v="4"/>
    <x v="4"/>
    <x v="562"/>
    <x v="564"/>
    <x v="562"/>
    <x v="16"/>
    <x v="5"/>
    <x v="0"/>
    <x v="562"/>
    <x v="0"/>
    <x v="16"/>
    <x v="25"/>
    <x v="433"/>
    <x v="22"/>
    <x v="564"/>
    <x v="564"/>
    <x v="564"/>
    <x v="16"/>
    <x v="8"/>
    <x v="0"/>
    <x v="31"/>
    <x v="2"/>
    <x v="0"/>
    <x v="8"/>
    <x v="7"/>
    <x v="0"/>
    <x v="8"/>
    <x v="0"/>
    <x v="0"/>
    <x v="16"/>
    <x v="564"/>
    <x v="5"/>
    <x v="564"/>
    <x v="564"/>
  </r>
  <r>
    <x v="564"/>
    <x v="436"/>
    <x v="9"/>
    <x v="0"/>
    <x v="0"/>
    <x v="13"/>
    <x v="0"/>
    <x v="4"/>
    <x v="8"/>
    <x v="0"/>
    <x v="563"/>
    <x v="565"/>
    <x v="563"/>
    <x v="37"/>
    <x v="20"/>
    <x v="0"/>
    <x v="563"/>
    <x v="0"/>
    <x v="37"/>
    <x v="28"/>
    <x v="9"/>
    <x v="25"/>
    <x v="565"/>
    <x v="565"/>
    <x v="565"/>
    <x v="37"/>
    <x v="31"/>
    <x v="0"/>
    <x v="13"/>
    <x v="0"/>
    <x v="0"/>
    <x v="0"/>
    <x v="0"/>
    <x v="0"/>
    <x v="31"/>
    <x v="1"/>
    <x v="0"/>
    <x v="36"/>
    <x v="565"/>
    <x v="20"/>
    <x v="565"/>
    <x v="565"/>
  </r>
  <r>
    <x v="565"/>
    <x v="437"/>
    <x v="312"/>
    <x v="0"/>
    <x v="1"/>
    <x v="1"/>
    <x v="3"/>
    <x v="1"/>
    <x v="7"/>
    <x v="4"/>
    <x v="564"/>
    <x v="566"/>
    <x v="564"/>
    <x v="76"/>
    <x v="8"/>
    <x v="0"/>
    <x v="564"/>
    <x v="0"/>
    <x v="75"/>
    <x v="16"/>
    <x v="309"/>
    <x v="14"/>
    <x v="566"/>
    <x v="566"/>
    <x v="566"/>
    <x v="75"/>
    <x v="15"/>
    <x v="5"/>
    <x v="1"/>
    <x v="2"/>
    <x v="2"/>
    <x v="1"/>
    <x v="1"/>
    <x v="0"/>
    <x v="15"/>
    <x v="0"/>
    <x v="0"/>
    <x v="70"/>
    <x v="566"/>
    <x v="8"/>
    <x v="566"/>
    <x v="566"/>
  </r>
  <r>
    <x v="566"/>
    <x v="272"/>
    <x v="431"/>
    <x v="3"/>
    <x v="7"/>
    <x v="17"/>
    <x v="0"/>
    <x v="1"/>
    <x v="6"/>
    <x v="5"/>
    <x v="565"/>
    <x v="567"/>
    <x v="565"/>
    <x v="114"/>
    <x v="17"/>
    <x v="0"/>
    <x v="565"/>
    <x v="0"/>
    <x v="113"/>
    <x v="4"/>
    <x v="434"/>
    <x v="4"/>
    <x v="567"/>
    <x v="567"/>
    <x v="567"/>
    <x v="113"/>
    <x v="17"/>
    <x v="1"/>
    <x v="17"/>
    <x v="1"/>
    <x v="2"/>
    <x v="7"/>
    <x v="6"/>
    <x v="0"/>
    <x v="17"/>
    <x v="1"/>
    <x v="0"/>
    <x v="105"/>
    <x v="567"/>
    <x v="17"/>
    <x v="567"/>
    <x v="567"/>
  </r>
  <r>
    <x v="567"/>
    <x v="438"/>
    <x v="432"/>
    <x v="1"/>
    <x v="10"/>
    <x v="39"/>
    <x v="4"/>
    <x v="1"/>
    <x v="0"/>
    <x v="2"/>
    <x v="566"/>
    <x v="568"/>
    <x v="566"/>
    <x v="4"/>
    <x v="2"/>
    <x v="0"/>
    <x v="566"/>
    <x v="0"/>
    <x v="4"/>
    <x v="20"/>
    <x v="435"/>
    <x v="18"/>
    <x v="568"/>
    <x v="568"/>
    <x v="568"/>
    <x v="4"/>
    <x v="31"/>
    <x v="0"/>
    <x v="40"/>
    <x v="0"/>
    <x v="0"/>
    <x v="10"/>
    <x v="9"/>
    <x v="0"/>
    <x v="31"/>
    <x v="1"/>
    <x v="0"/>
    <x v="4"/>
    <x v="568"/>
    <x v="2"/>
    <x v="568"/>
    <x v="568"/>
  </r>
  <r>
    <x v="568"/>
    <x v="439"/>
    <x v="433"/>
    <x v="2"/>
    <x v="6"/>
    <x v="9"/>
    <x v="4"/>
    <x v="1"/>
    <x v="3"/>
    <x v="0"/>
    <x v="567"/>
    <x v="569"/>
    <x v="567"/>
    <x v="133"/>
    <x v="2"/>
    <x v="0"/>
    <x v="567"/>
    <x v="0"/>
    <x v="132"/>
    <x v="28"/>
    <x v="436"/>
    <x v="25"/>
    <x v="569"/>
    <x v="569"/>
    <x v="569"/>
    <x v="133"/>
    <x v="18"/>
    <x v="5"/>
    <x v="9"/>
    <x v="0"/>
    <x v="2"/>
    <x v="6"/>
    <x v="5"/>
    <x v="1"/>
    <x v="18"/>
    <x v="1"/>
    <x v="0"/>
    <x v="122"/>
    <x v="569"/>
    <x v="2"/>
    <x v="569"/>
    <x v="569"/>
  </r>
  <r>
    <x v="569"/>
    <x v="407"/>
    <x v="434"/>
    <x v="2"/>
    <x v="3"/>
    <x v="5"/>
    <x v="0"/>
    <x v="0"/>
    <x v="5"/>
    <x v="6"/>
    <x v="568"/>
    <x v="570"/>
    <x v="568"/>
    <x v="103"/>
    <x v="27"/>
    <x v="0"/>
    <x v="568"/>
    <x v="0"/>
    <x v="102"/>
    <x v="20"/>
    <x v="437"/>
    <x v="18"/>
    <x v="570"/>
    <x v="570"/>
    <x v="570"/>
    <x v="102"/>
    <x v="22"/>
    <x v="7"/>
    <x v="5"/>
    <x v="0"/>
    <x v="1"/>
    <x v="3"/>
    <x v="3"/>
    <x v="0"/>
    <x v="22"/>
    <x v="1"/>
    <x v="0"/>
    <x v="94"/>
    <x v="570"/>
    <x v="27"/>
    <x v="570"/>
    <x v="570"/>
  </r>
  <r>
    <x v="570"/>
    <x v="400"/>
    <x v="98"/>
    <x v="2"/>
    <x v="3"/>
    <x v="29"/>
    <x v="1"/>
    <x v="2"/>
    <x v="1"/>
    <x v="3"/>
    <x v="569"/>
    <x v="571"/>
    <x v="569"/>
    <x v="201"/>
    <x v="14"/>
    <x v="0"/>
    <x v="569"/>
    <x v="0"/>
    <x v="196"/>
    <x v="25"/>
    <x v="97"/>
    <x v="22"/>
    <x v="571"/>
    <x v="571"/>
    <x v="571"/>
    <x v="203"/>
    <x v="3"/>
    <x v="3"/>
    <x v="29"/>
    <x v="2"/>
    <x v="2"/>
    <x v="3"/>
    <x v="3"/>
    <x v="0"/>
    <x v="3"/>
    <x v="0"/>
    <x v="0"/>
    <x v="178"/>
    <x v="571"/>
    <x v="14"/>
    <x v="571"/>
    <x v="571"/>
  </r>
  <r>
    <x v="571"/>
    <x v="278"/>
    <x v="435"/>
    <x v="1"/>
    <x v="2"/>
    <x v="26"/>
    <x v="1"/>
    <x v="4"/>
    <x v="7"/>
    <x v="4"/>
    <x v="570"/>
    <x v="572"/>
    <x v="570"/>
    <x v="162"/>
    <x v="48"/>
    <x v="0"/>
    <x v="570"/>
    <x v="0"/>
    <x v="160"/>
    <x v="20"/>
    <x v="438"/>
    <x v="18"/>
    <x v="572"/>
    <x v="572"/>
    <x v="572"/>
    <x v="164"/>
    <x v="8"/>
    <x v="0"/>
    <x v="26"/>
    <x v="2"/>
    <x v="0"/>
    <x v="2"/>
    <x v="2"/>
    <x v="0"/>
    <x v="8"/>
    <x v="1"/>
    <x v="1"/>
    <x v="148"/>
    <x v="572"/>
    <x v="48"/>
    <x v="572"/>
    <x v="572"/>
  </r>
  <r>
    <x v="572"/>
    <x v="201"/>
    <x v="235"/>
    <x v="1"/>
    <x v="2"/>
    <x v="4"/>
    <x v="4"/>
    <x v="0"/>
    <x v="10"/>
    <x v="5"/>
    <x v="571"/>
    <x v="573"/>
    <x v="571"/>
    <x v="120"/>
    <x v="17"/>
    <x v="0"/>
    <x v="571"/>
    <x v="0"/>
    <x v="119"/>
    <x v="21"/>
    <x v="233"/>
    <x v="19"/>
    <x v="573"/>
    <x v="573"/>
    <x v="573"/>
    <x v="120"/>
    <x v="26"/>
    <x v="10"/>
    <x v="4"/>
    <x v="1"/>
    <x v="0"/>
    <x v="2"/>
    <x v="2"/>
    <x v="0"/>
    <x v="26"/>
    <x v="0"/>
    <x v="0"/>
    <x v="110"/>
    <x v="573"/>
    <x v="17"/>
    <x v="573"/>
    <x v="573"/>
  </r>
  <r>
    <x v="573"/>
    <x v="440"/>
    <x v="436"/>
    <x v="3"/>
    <x v="7"/>
    <x v="11"/>
    <x v="5"/>
    <x v="4"/>
    <x v="11"/>
    <x v="0"/>
    <x v="572"/>
    <x v="574"/>
    <x v="572"/>
    <x v="173"/>
    <x v="27"/>
    <x v="0"/>
    <x v="572"/>
    <x v="0"/>
    <x v="171"/>
    <x v="20"/>
    <x v="439"/>
    <x v="18"/>
    <x v="574"/>
    <x v="574"/>
    <x v="574"/>
    <x v="176"/>
    <x v="11"/>
    <x v="7"/>
    <x v="11"/>
    <x v="0"/>
    <x v="1"/>
    <x v="7"/>
    <x v="6"/>
    <x v="0"/>
    <x v="11"/>
    <x v="1"/>
    <x v="0"/>
    <x v="159"/>
    <x v="574"/>
    <x v="27"/>
    <x v="574"/>
    <x v="574"/>
  </r>
  <r>
    <x v="574"/>
    <x v="441"/>
    <x v="92"/>
    <x v="1"/>
    <x v="2"/>
    <x v="19"/>
    <x v="4"/>
    <x v="3"/>
    <x v="6"/>
    <x v="2"/>
    <x v="573"/>
    <x v="575"/>
    <x v="573"/>
    <x v="3"/>
    <x v="11"/>
    <x v="0"/>
    <x v="573"/>
    <x v="0"/>
    <x v="3"/>
    <x v="21"/>
    <x v="91"/>
    <x v="19"/>
    <x v="575"/>
    <x v="575"/>
    <x v="575"/>
    <x v="3"/>
    <x v="28"/>
    <x v="6"/>
    <x v="19"/>
    <x v="0"/>
    <x v="2"/>
    <x v="2"/>
    <x v="2"/>
    <x v="0"/>
    <x v="28"/>
    <x v="0"/>
    <x v="0"/>
    <x v="3"/>
    <x v="575"/>
    <x v="11"/>
    <x v="575"/>
    <x v="575"/>
  </r>
  <r>
    <x v="575"/>
    <x v="442"/>
    <x v="288"/>
    <x v="1"/>
    <x v="2"/>
    <x v="26"/>
    <x v="0"/>
    <x v="1"/>
    <x v="8"/>
    <x v="2"/>
    <x v="574"/>
    <x v="576"/>
    <x v="574"/>
    <x v="3"/>
    <x v="44"/>
    <x v="0"/>
    <x v="574"/>
    <x v="0"/>
    <x v="3"/>
    <x v="15"/>
    <x v="285"/>
    <x v="13"/>
    <x v="576"/>
    <x v="576"/>
    <x v="576"/>
    <x v="3"/>
    <x v="24"/>
    <x v="9"/>
    <x v="26"/>
    <x v="0"/>
    <x v="1"/>
    <x v="2"/>
    <x v="2"/>
    <x v="0"/>
    <x v="24"/>
    <x v="0"/>
    <x v="0"/>
    <x v="3"/>
    <x v="576"/>
    <x v="44"/>
    <x v="576"/>
    <x v="576"/>
  </r>
  <r>
    <x v="576"/>
    <x v="250"/>
    <x v="437"/>
    <x v="3"/>
    <x v="8"/>
    <x v="31"/>
    <x v="5"/>
    <x v="4"/>
    <x v="2"/>
    <x v="6"/>
    <x v="575"/>
    <x v="577"/>
    <x v="575"/>
    <x v="157"/>
    <x v="4"/>
    <x v="0"/>
    <x v="575"/>
    <x v="0"/>
    <x v="156"/>
    <x v="32"/>
    <x v="440"/>
    <x v="29"/>
    <x v="577"/>
    <x v="577"/>
    <x v="577"/>
    <x v="160"/>
    <x v="22"/>
    <x v="7"/>
    <x v="31"/>
    <x v="0"/>
    <x v="1"/>
    <x v="8"/>
    <x v="7"/>
    <x v="0"/>
    <x v="22"/>
    <x v="0"/>
    <x v="0"/>
    <x v="144"/>
    <x v="577"/>
    <x v="4"/>
    <x v="577"/>
    <x v="577"/>
  </r>
  <r>
    <x v="577"/>
    <x v="443"/>
    <x v="152"/>
    <x v="3"/>
    <x v="8"/>
    <x v="21"/>
    <x v="0"/>
    <x v="0"/>
    <x v="5"/>
    <x v="2"/>
    <x v="576"/>
    <x v="578"/>
    <x v="576"/>
    <x v="143"/>
    <x v="16"/>
    <x v="0"/>
    <x v="576"/>
    <x v="0"/>
    <x v="142"/>
    <x v="21"/>
    <x v="152"/>
    <x v="19"/>
    <x v="578"/>
    <x v="578"/>
    <x v="578"/>
    <x v="143"/>
    <x v="17"/>
    <x v="1"/>
    <x v="21"/>
    <x v="0"/>
    <x v="2"/>
    <x v="8"/>
    <x v="7"/>
    <x v="0"/>
    <x v="17"/>
    <x v="0"/>
    <x v="0"/>
    <x v="131"/>
    <x v="578"/>
    <x v="16"/>
    <x v="578"/>
    <x v="578"/>
  </r>
  <r>
    <x v="578"/>
    <x v="444"/>
    <x v="438"/>
    <x v="0"/>
    <x v="0"/>
    <x v="16"/>
    <x v="3"/>
    <x v="0"/>
    <x v="0"/>
    <x v="3"/>
    <x v="577"/>
    <x v="579"/>
    <x v="577"/>
    <x v="191"/>
    <x v="17"/>
    <x v="0"/>
    <x v="577"/>
    <x v="0"/>
    <x v="187"/>
    <x v="23"/>
    <x v="441"/>
    <x v="20"/>
    <x v="579"/>
    <x v="579"/>
    <x v="579"/>
    <x v="193"/>
    <x v="12"/>
    <x v="6"/>
    <x v="16"/>
    <x v="2"/>
    <x v="2"/>
    <x v="0"/>
    <x v="0"/>
    <x v="0"/>
    <x v="12"/>
    <x v="0"/>
    <x v="0"/>
    <x v="170"/>
    <x v="579"/>
    <x v="17"/>
    <x v="579"/>
    <x v="579"/>
  </r>
  <r>
    <x v="579"/>
    <x v="445"/>
    <x v="439"/>
    <x v="1"/>
    <x v="4"/>
    <x v="10"/>
    <x v="3"/>
    <x v="2"/>
    <x v="7"/>
    <x v="0"/>
    <x v="578"/>
    <x v="580"/>
    <x v="578"/>
    <x v="18"/>
    <x v="28"/>
    <x v="0"/>
    <x v="578"/>
    <x v="0"/>
    <x v="18"/>
    <x v="30"/>
    <x v="88"/>
    <x v="27"/>
    <x v="580"/>
    <x v="580"/>
    <x v="580"/>
    <x v="18"/>
    <x v="22"/>
    <x v="7"/>
    <x v="10"/>
    <x v="0"/>
    <x v="1"/>
    <x v="4"/>
    <x v="3"/>
    <x v="0"/>
    <x v="22"/>
    <x v="0"/>
    <x v="0"/>
    <x v="18"/>
    <x v="580"/>
    <x v="28"/>
    <x v="580"/>
    <x v="580"/>
  </r>
  <r>
    <x v="580"/>
    <x v="170"/>
    <x v="440"/>
    <x v="1"/>
    <x v="4"/>
    <x v="10"/>
    <x v="0"/>
    <x v="2"/>
    <x v="13"/>
    <x v="5"/>
    <x v="579"/>
    <x v="581"/>
    <x v="579"/>
    <x v="204"/>
    <x v="19"/>
    <x v="0"/>
    <x v="579"/>
    <x v="0"/>
    <x v="199"/>
    <x v="13"/>
    <x v="442"/>
    <x v="11"/>
    <x v="581"/>
    <x v="581"/>
    <x v="581"/>
    <x v="206"/>
    <x v="4"/>
    <x v="2"/>
    <x v="10"/>
    <x v="1"/>
    <x v="1"/>
    <x v="4"/>
    <x v="3"/>
    <x v="0"/>
    <x v="4"/>
    <x v="0"/>
    <x v="1"/>
    <x v="181"/>
    <x v="581"/>
    <x v="19"/>
    <x v="581"/>
    <x v="581"/>
  </r>
  <r>
    <x v="581"/>
    <x v="330"/>
    <x v="103"/>
    <x v="2"/>
    <x v="6"/>
    <x v="9"/>
    <x v="0"/>
    <x v="4"/>
    <x v="7"/>
    <x v="4"/>
    <x v="580"/>
    <x v="582"/>
    <x v="580"/>
    <x v="196"/>
    <x v="42"/>
    <x v="0"/>
    <x v="580"/>
    <x v="0"/>
    <x v="192"/>
    <x v="6"/>
    <x v="392"/>
    <x v="1"/>
    <x v="582"/>
    <x v="582"/>
    <x v="582"/>
    <x v="199"/>
    <x v="29"/>
    <x v="8"/>
    <x v="9"/>
    <x v="2"/>
    <x v="0"/>
    <x v="6"/>
    <x v="5"/>
    <x v="1"/>
    <x v="29"/>
    <x v="1"/>
    <x v="0"/>
    <x v="174"/>
    <x v="582"/>
    <x v="42"/>
    <x v="582"/>
    <x v="582"/>
  </r>
  <r>
    <x v="582"/>
    <x v="446"/>
    <x v="441"/>
    <x v="0"/>
    <x v="0"/>
    <x v="13"/>
    <x v="5"/>
    <x v="2"/>
    <x v="9"/>
    <x v="4"/>
    <x v="581"/>
    <x v="583"/>
    <x v="581"/>
    <x v="169"/>
    <x v="5"/>
    <x v="0"/>
    <x v="581"/>
    <x v="0"/>
    <x v="167"/>
    <x v="33"/>
    <x v="443"/>
    <x v="30"/>
    <x v="583"/>
    <x v="583"/>
    <x v="583"/>
    <x v="172"/>
    <x v="20"/>
    <x v="8"/>
    <x v="13"/>
    <x v="2"/>
    <x v="0"/>
    <x v="0"/>
    <x v="0"/>
    <x v="0"/>
    <x v="20"/>
    <x v="1"/>
    <x v="0"/>
    <x v="155"/>
    <x v="583"/>
    <x v="5"/>
    <x v="583"/>
    <x v="583"/>
  </r>
  <r>
    <x v="583"/>
    <x v="447"/>
    <x v="81"/>
    <x v="1"/>
    <x v="4"/>
    <x v="7"/>
    <x v="0"/>
    <x v="3"/>
    <x v="14"/>
    <x v="3"/>
    <x v="582"/>
    <x v="584"/>
    <x v="582"/>
    <x v="208"/>
    <x v="42"/>
    <x v="0"/>
    <x v="582"/>
    <x v="0"/>
    <x v="202"/>
    <x v="20"/>
    <x v="80"/>
    <x v="18"/>
    <x v="584"/>
    <x v="584"/>
    <x v="584"/>
    <x v="210"/>
    <x v="18"/>
    <x v="5"/>
    <x v="7"/>
    <x v="2"/>
    <x v="2"/>
    <x v="4"/>
    <x v="3"/>
    <x v="0"/>
    <x v="18"/>
    <x v="1"/>
    <x v="0"/>
    <x v="184"/>
    <x v="584"/>
    <x v="42"/>
    <x v="584"/>
    <x v="584"/>
  </r>
  <r>
    <x v="584"/>
    <x v="448"/>
    <x v="294"/>
    <x v="1"/>
    <x v="10"/>
    <x v="39"/>
    <x v="0"/>
    <x v="2"/>
    <x v="14"/>
    <x v="3"/>
    <x v="583"/>
    <x v="585"/>
    <x v="583"/>
    <x v="4"/>
    <x v="28"/>
    <x v="0"/>
    <x v="583"/>
    <x v="0"/>
    <x v="4"/>
    <x v="21"/>
    <x v="291"/>
    <x v="19"/>
    <x v="585"/>
    <x v="585"/>
    <x v="585"/>
    <x v="4"/>
    <x v="14"/>
    <x v="7"/>
    <x v="40"/>
    <x v="2"/>
    <x v="1"/>
    <x v="10"/>
    <x v="9"/>
    <x v="0"/>
    <x v="14"/>
    <x v="0"/>
    <x v="0"/>
    <x v="4"/>
    <x v="585"/>
    <x v="28"/>
    <x v="585"/>
    <x v="585"/>
  </r>
  <r>
    <x v="585"/>
    <x v="449"/>
    <x v="0"/>
    <x v="0"/>
    <x v="1"/>
    <x v="6"/>
    <x v="5"/>
    <x v="3"/>
    <x v="14"/>
    <x v="0"/>
    <x v="584"/>
    <x v="586"/>
    <x v="584"/>
    <x v="142"/>
    <x v="13"/>
    <x v="0"/>
    <x v="584"/>
    <x v="0"/>
    <x v="141"/>
    <x v="10"/>
    <x v="0"/>
    <x v="9"/>
    <x v="586"/>
    <x v="586"/>
    <x v="586"/>
    <x v="142"/>
    <x v="0"/>
    <x v="0"/>
    <x v="6"/>
    <x v="0"/>
    <x v="0"/>
    <x v="1"/>
    <x v="1"/>
    <x v="0"/>
    <x v="0"/>
    <x v="0"/>
    <x v="0"/>
    <x v="130"/>
    <x v="586"/>
    <x v="13"/>
    <x v="586"/>
    <x v="586"/>
  </r>
  <r>
    <x v="586"/>
    <x v="248"/>
    <x v="442"/>
    <x v="2"/>
    <x v="6"/>
    <x v="27"/>
    <x v="3"/>
    <x v="3"/>
    <x v="8"/>
    <x v="3"/>
    <x v="585"/>
    <x v="587"/>
    <x v="585"/>
    <x v="172"/>
    <x v="30"/>
    <x v="0"/>
    <x v="585"/>
    <x v="0"/>
    <x v="170"/>
    <x v="17"/>
    <x v="444"/>
    <x v="15"/>
    <x v="587"/>
    <x v="587"/>
    <x v="587"/>
    <x v="189"/>
    <x v="16"/>
    <x v="4"/>
    <x v="27"/>
    <x v="2"/>
    <x v="0"/>
    <x v="6"/>
    <x v="5"/>
    <x v="1"/>
    <x v="16"/>
    <x v="1"/>
    <x v="0"/>
    <x v="158"/>
    <x v="587"/>
    <x v="30"/>
    <x v="587"/>
    <x v="587"/>
  </r>
  <r>
    <x v="587"/>
    <x v="145"/>
    <x v="443"/>
    <x v="3"/>
    <x v="7"/>
    <x v="17"/>
    <x v="2"/>
    <x v="4"/>
    <x v="10"/>
    <x v="6"/>
    <x v="586"/>
    <x v="588"/>
    <x v="586"/>
    <x v="167"/>
    <x v="7"/>
    <x v="0"/>
    <x v="586"/>
    <x v="0"/>
    <x v="165"/>
    <x v="8"/>
    <x v="445"/>
    <x v="7"/>
    <x v="588"/>
    <x v="588"/>
    <x v="588"/>
    <x v="170"/>
    <x v="25"/>
    <x v="3"/>
    <x v="17"/>
    <x v="0"/>
    <x v="2"/>
    <x v="7"/>
    <x v="6"/>
    <x v="0"/>
    <x v="25"/>
    <x v="0"/>
    <x v="0"/>
    <x v="153"/>
    <x v="588"/>
    <x v="7"/>
    <x v="588"/>
    <x v="588"/>
  </r>
  <r>
    <x v="588"/>
    <x v="450"/>
    <x v="165"/>
    <x v="3"/>
    <x v="7"/>
    <x v="11"/>
    <x v="2"/>
    <x v="2"/>
    <x v="11"/>
    <x v="6"/>
    <x v="587"/>
    <x v="589"/>
    <x v="587"/>
    <x v="4"/>
    <x v="11"/>
    <x v="0"/>
    <x v="587"/>
    <x v="0"/>
    <x v="4"/>
    <x v="21"/>
    <x v="165"/>
    <x v="19"/>
    <x v="589"/>
    <x v="589"/>
    <x v="589"/>
    <x v="4"/>
    <x v="11"/>
    <x v="7"/>
    <x v="11"/>
    <x v="0"/>
    <x v="1"/>
    <x v="7"/>
    <x v="6"/>
    <x v="0"/>
    <x v="11"/>
    <x v="0"/>
    <x v="0"/>
    <x v="4"/>
    <x v="589"/>
    <x v="11"/>
    <x v="589"/>
    <x v="589"/>
  </r>
  <r>
    <x v="589"/>
    <x v="387"/>
    <x v="444"/>
    <x v="3"/>
    <x v="7"/>
    <x v="11"/>
    <x v="0"/>
    <x v="4"/>
    <x v="5"/>
    <x v="0"/>
    <x v="588"/>
    <x v="590"/>
    <x v="588"/>
    <x v="155"/>
    <x v="11"/>
    <x v="0"/>
    <x v="588"/>
    <x v="0"/>
    <x v="154"/>
    <x v="23"/>
    <x v="446"/>
    <x v="20"/>
    <x v="590"/>
    <x v="590"/>
    <x v="590"/>
    <x v="158"/>
    <x v="28"/>
    <x v="6"/>
    <x v="11"/>
    <x v="0"/>
    <x v="2"/>
    <x v="7"/>
    <x v="6"/>
    <x v="0"/>
    <x v="28"/>
    <x v="0"/>
    <x v="0"/>
    <x v="142"/>
    <x v="590"/>
    <x v="11"/>
    <x v="590"/>
    <x v="590"/>
  </r>
  <r>
    <x v="590"/>
    <x v="451"/>
    <x v="61"/>
    <x v="1"/>
    <x v="10"/>
    <x v="24"/>
    <x v="2"/>
    <x v="1"/>
    <x v="14"/>
    <x v="2"/>
    <x v="589"/>
    <x v="591"/>
    <x v="589"/>
    <x v="33"/>
    <x v="29"/>
    <x v="0"/>
    <x v="589"/>
    <x v="0"/>
    <x v="33"/>
    <x v="12"/>
    <x v="423"/>
    <x v="1"/>
    <x v="591"/>
    <x v="591"/>
    <x v="591"/>
    <x v="33"/>
    <x v="2"/>
    <x v="2"/>
    <x v="24"/>
    <x v="0"/>
    <x v="1"/>
    <x v="10"/>
    <x v="9"/>
    <x v="0"/>
    <x v="2"/>
    <x v="1"/>
    <x v="0"/>
    <x v="32"/>
    <x v="591"/>
    <x v="29"/>
    <x v="591"/>
    <x v="591"/>
  </r>
  <r>
    <x v="591"/>
    <x v="452"/>
    <x v="330"/>
    <x v="2"/>
    <x v="6"/>
    <x v="27"/>
    <x v="0"/>
    <x v="2"/>
    <x v="8"/>
    <x v="5"/>
    <x v="590"/>
    <x v="592"/>
    <x v="590"/>
    <x v="97"/>
    <x v="27"/>
    <x v="0"/>
    <x v="590"/>
    <x v="0"/>
    <x v="96"/>
    <x v="16"/>
    <x v="326"/>
    <x v="14"/>
    <x v="592"/>
    <x v="592"/>
    <x v="592"/>
    <x v="96"/>
    <x v="13"/>
    <x v="8"/>
    <x v="27"/>
    <x v="1"/>
    <x v="0"/>
    <x v="6"/>
    <x v="5"/>
    <x v="1"/>
    <x v="13"/>
    <x v="0"/>
    <x v="0"/>
    <x v="90"/>
    <x v="592"/>
    <x v="27"/>
    <x v="592"/>
    <x v="592"/>
  </r>
  <r>
    <x v="592"/>
    <x v="324"/>
    <x v="115"/>
    <x v="3"/>
    <x v="7"/>
    <x v="11"/>
    <x v="5"/>
    <x v="4"/>
    <x v="0"/>
    <x v="6"/>
    <x v="591"/>
    <x v="593"/>
    <x v="591"/>
    <x v="164"/>
    <x v="20"/>
    <x v="0"/>
    <x v="591"/>
    <x v="0"/>
    <x v="162"/>
    <x v="32"/>
    <x v="113"/>
    <x v="29"/>
    <x v="593"/>
    <x v="593"/>
    <x v="593"/>
    <x v="166"/>
    <x v="15"/>
    <x v="5"/>
    <x v="11"/>
    <x v="0"/>
    <x v="2"/>
    <x v="7"/>
    <x v="6"/>
    <x v="0"/>
    <x v="15"/>
    <x v="0"/>
    <x v="0"/>
    <x v="150"/>
    <x v="593"/>
    <x v="20"/>
    <x v="593"/>
    <x v="593"/>
  </r>
  <r>
    <x v="593"/>
    <x v="23"/>
    <x v="445"/>
    <x v="0"/>
    <x v="0"/>
    <x v="0"/>
    <x v="3"/>
    <x v="0"/>
    <x v="10"/>
    <x v="4"/>
    <x v="592"/>
    <x v="594"/>
    <x v="592"/>
    <x v="92"/>
    <x v="0"/>
    <x v="0"/>
    <x v="592"/>
    <x v="0"/>
    <x v="91"/>
    <x v="31"/>
    <x v="447"/>
    <x v="28"/>
    <x v="594"/>
    <x v="594"/>
    <x v="594"/>
    <x v="91"/>
    <x v="16"/>
    <x v="4"/>
    <x v="0"/>
    <x v="2"/>
    <x v="0"/>
    <x v="0"/>
    <x v="0"/>
    <x v="0"/>
    <x v="16"/>
    <x v="0"/>
    <x v="0"/>
    <x v="85"/>
    <x v="594"/>
    <x v="0"/>
    <x v="594"/>
    <x v="594"/>
  </r>
  <r>
    <x v="594"/>
    <x v="453"/>
    <x v="96"/>
    <x v="1"/>
    <x v="2"/>
    <x v="4"/>
    <x v="3"/>
    <x v="0"/>
    <x v="13"/>
    <x v="0"/>
    <x v="593"/>
    <x v="595"/>
    <x v="593"/>
    <x v="88"/>
    <x v="27"/>
    <x v="0"/>
    <x v="593"/>
    <x v="0"/>
    <x v="87"/>
    <x v="6"/>
    <x v="448"/>
    <x v="1"/>
    <x v="595"/>
    <x v="595"/>
    <x v="595"/>
    <x v="87"/>
    <x v="25"/>
    <x v="3"/>
    <x v="4"/>
    <x v="0"/>
    <x v="2"/>
    <x v="2"/>
    <x v="2"/>
    <x v="0"/>
    <x v="25"/>
    <x v="1"/>
    <x v="0"/>
    <x v="81"/>
    <x v="595"/>
    <x v="27"/>
    <x v="595"/>
    <x v="595"/>
  </r>
  <r>
    <x v="595"/>
    <x v="454"/>
    <x v="124"/>
    <x v="0"/>
    <x v="11"/>
    <x v="33"/>
    <x v="5"/>
    <x v="1"/>
    <x v="7"/>
    <x v="1"/>
    <x v="594"/>
    <x v="596"/>
    <x v="594"/>
    <x v="77"/>
    <x v="27"/>
    <x v="0"/>
    <x v="594"/>
    <x v="0"/>
    <x v="76"/>
    <x v="23"/>
    <x v="122"/>
    <x v="20"/>
    <x v="596"/>
    <x v="596"/>
    <x v="596"/>
    <x v="76"/>
    <x v="4"/>
    <x v="2"/>
    <x v="33"/>
    <x v="1"/>
    <x v="1"/>
    <x v="11"/>
    <x v="10"/>
    <x v="0"/>
    <x v="4"/>
    <x v="0"/>
    <x v="0"/>
    <x v="71"/>
    <x v="596"/>
    <x v="27"/>
    <x v="596"/>
    <x v="596"/>
  </r>
  <r>
    <x v="596"/>
    <x v="401"/>
    <x v="98"/>
    <x v="2"/>
    <x v="6"/>
    <x v="9"/>
    <x v="0"/>
    <x v="4"/>
    <x v="9"/>
    <x v="1"/>
    <x v="595"/>
    <x v="597"/>
    <x v="595"/>
    <x v="36"/>
    <x v="5"/>
    <x v="0"/>
    <x v="595"/>
    <x v="0"/>
    <x v="36"/>
    <x v="2"/>
    <x v="97"/>
    <x v="2"/>
    <x v="597"/>
    <x v="597"/>
    <x v="597"/>
    <x v="36"/>
    <x v="3"/>
    <x v="3"/>
    <x v="9"/>
    <x v="1"/>
    <x v="2"/>
    <x v="6"/>
    <x v="5"/>
    <x v="1"/>
    <x v="3"/>
    <x v="0"/>
    <x v="0"/>
    <x v="35"/>
    <x v="597"/>
    <x v="5"/>
    <x v="597"/>
    <x v="597"/>
  </r>
  <r>
    <x v="597"/>
    <x v="455"/>
    <x v="330"/>
    <x v="1"/>
    <x v="4"/>
    <x v="30"/>
    <x v="5"/>
    <x v="4"/>
    <x v="11"/>
    <x v="5"/>
    <x v="596"/>
    <x v="598"/>
    <x v="596"/>
    <x v="111"/>
    <x v="30"/>
    <x v="0"/>
    <x v="596"/>
    <x v="0"/>
    <x v="110"/>
    <x v="6"/>
    <x v="449"/>
    <x v="1"/>
    <x v="598"/>
    <x v="598"/>
    <x v="598"/>
    <x v="110"/>
    <x v="20"/>
    <x v="8"/>
    <x v="30"/>
    <x v="1"/>
    <x v="0"/>
    <x v="4"/>
    <x v="3"/>
    <x v="0"/>
    <x v="20"/>
    <x v="1"/>
    <x v="0"/>
    <x v="102"/>
    <x v="598"/>
    <x v="30"/>
    <x v="598"/>
    <x v="598"/>
  </r>
  <r>
    <x v="598"/>
    <x v="306"/>
    <x v="446"/>
    <x v="3"/>
    <x v="8"/>
    <x v="31"/>
    <x v="5"/>
    <x v="1"/>
    <x v="5"/>
    <x v="4"/>
    <x v="597"/>
    <x v="599"/>
    <x v="597"/>
    <x v="98"/>
    <x v="14"/>
    <x v="0"/>
    <x v="597"/>
    <x v="0"/>
    <x v="97"/>
    <x v="21"/>
    <x v="450"/>
    <x v="19"/>
    <x v="599"/>
    <x v="599"/>
    <x v="599"/>
    <x v="97"/>
    <x v="0"/>
    <x v="0"/>
    <x v="31"/>
    <x v="2"/>
    <x v="0"/>
    <x v="8"/>
    <x v="7"/>
    <x v="0"/>
    <x v="0"/>
    <x v="0"/>
    <x v="0"/>
    <x v="91"/>
    <x v="599"/>
    <x v="14"/>
    <x v="599"/>
    <x v="599"/>
  </r>
  <r>
    <x v="599"/>
    <x v="395"/>
    <x v="447"/>
    <x v="1"/>
    <x v="2"/>
    <x v="4"/>
    <x v="5"/>
    <x v="3"/>
    <x v="0"/>
    <x v="1"/>
    <x v="598"/>
    <x v="600"/>
    <x v="598"/>
    <x v="74"/>
    <x v="4"/>
    <x v="0"/>
    <x v="598"/>
    <x v="0"/>
    <x v="73"/>
    <x v="18"/>
    <x v="451"/>
    <x v="16"/>
    <x v="600"/>
    <x v="600"/>
    <x v="600"/>
    <x v="233"/>
    <x v="20"/>
    <x v="8"/>
    <x v="4"/>
    <x v="1"/>
    <x v="0"/>
    <x v="2"/>
    <x v="2"/>
    <x v="0"/>
    <x v="20"/>
    <x v="0"/>
    <x v="0"/>
    <x v="68"/>
    <x v="600"/>
    <x v="4"/>
    <x v="600"/>
    <x v="600"/>
  </r>
  <r>
    <x v="600"/>
    <x v="456"/>
    <x v="404"/>
    <x v="3"/>
    <x v="7"/>
    <x v="28"/>
    <x v="1"/>
    <x v="1"/>
    <x v="8"/>
    <x v="2"/>
    <x v="599"/>
    <x v="601"/>
    <x v="599"/>
    <x v="87"/>
    <x v="33"/>
    <x v="0"/>
    <x v="599"/>
    <x v="0"/>
    <x v="86"/>
    <x v="15"/>
    <x v="404"/>
    <x v="13"/>
    <x v="601"/>
    <x v="601"/>
    <x v="601"/>
    <x v="86"/>
    <x v="28"/>
    <x v="6"/>
    <x v="28"/>
    <x v="0"/>
    <x v="2"/>
    <x v="7"/>
    <x v="6"/>
    <x v="0"/>
    <x v="28"/>
    <x v="0"/>
    <x v="0"/>
    <x v="80"/>
    <x v="601"/>
    <x v="33"/>
    <x v="601"/>
    <x v="601"/>
  </r>
  <r>
    <x v="601"/>
    <x v="216"/>
    <x v="448"/>
    <x v="2"/>
    <x v="6"/>
    <x v="27"/>
    <x v="4"/>
    <x v="0"/>
    <x v="1"/>
    <x v="1"/>
    <x v="600"/>
    <x v="602"/>
    <x v="600"/>
    <x v="209"/>
    <x v="17"/>
    <x v="0"/>
    <x v="600"/>
    <x v="0"/>
    <x v="203"/>
    <x v="27"/>
    <x v="452"/>
    <x v="24"/>
    <x v="602"/>
    <x v="602"/>
    <x v="602"/>
    <x v="211"/>
    <x v="7"/>
    <x v="5"/>
    <x v="27"/>
    <x v="1"/>
    <x v="2"/>
    <x v="6"/>
    <x v="5"/>
    <x v="1"/>
    <x v="7"/>
    <x v="1"/>
    <x v="0"/>
    <x v="185"/>
    <x v="602"/>
    <x v="17"/>
    <x v="602"/>
    <x v="602"/>
  </r>
  <r>
    <x v="602"/>
    <x v="457"/>
    <x v="449"/>
    <x v="3"/>
    <x v="8"/>
    <x v="21"/>
    <x v="3"/>
    <x v="0"/>
    <x v="13"/>
    <x v="1"/>
    <x v="601"/>
    <x v="603"/>
    <x v="601"/>
    <x v="197"/>
    <x v="4"/>
    <x v="0"/>
    <x v="601"/>
    <x v="0"/>
    <x v="193"/>
    <x v="16"/>
    <x v="453"/>
    <x v="14"/>
    <x v="603"/>
    <x v="603"/>
    <x v="603"/>
    <x v="234"/>
    <x v="11"/>
    <x v="7"/>
    <x v="21"/>
    <x v="1"/>
    <x v="1"/>
    <x v="8"/>
    <x v="7"/>
    <x v="0"/>
    <x v="11"/>
    <x v="0"/>
    <x v="0"/>
    <x v="175"/>
    <x v="603"/>
    <x v="4"/>
    <x v="603"/>
    <x v="603"/>
  </r>
  <r>
    <x v="603"/>
    <x v="458"/>
    <x v="202"/>
    <x v="1"/>
    <x v="4"/>
    <x v="30"/>
    <x v="3"/>
    <x v="0"/>
    <x v="4"/>
    <x v="4"/>
    <x v="602"/>
    <x v="604"/>
    <x v="602"/>
    <x v="62"/>
    <x v="20"/>
    <x v="0"/>
    <x v="602"/>
    <x v="0"/>
    <x v="61"/>
    <x v="16"/>
    <x v="202"/>
    <x v="14"/>
    <x v="604"/>
    <x v="604"/>
    <x v="604"/>
    <x v="61"/>
    <x v="27"/>
    <x v="9"/>
    <x v="30"/>
    <x v="2"/>
    <x v="1"/>
    <x v="4"/>
    <x v="3"/>
    <x v="0"/>
    <x v="27"/>
    <x v="0"/>
    <x v="0"/>
    <x v="56"/>
    <x v="604"/>
    <x v="20"/>
    <x v="604"/>
    <x v="604"/>
  </r>
  <r>
    <x v="604"/>
    <x v="459"/>
    <x v="27"/>
    <x v="2"/>
    <x v="6"/>
    <x v="32"/>
    <x v="4"/>
    <x v="0"/>
    <x v="7"/>
    <x v="6"/>
    <x v="603"/>
    <x v="605"/>
    <x v="603"/>
    <x v="172"/>
    <x v="21"/>
    <x v="0"/>
    <x v="603"/>
    <x v="0"/>
    <x v="170"/>
    <x v="24"/>
    <x v="27"/>
    <x v="21"/>
    <x v="605"/>
    <x v="605"/>
    <x v="605"/>
    <x v="189"/>
    <x v="11"/>
    <x v="7"/>
    <x v="32"/>
    <x v="0"/>
    <x v="1"/>
    <x v="6"/>
    <x v="5"/>
    <x v="1"/>
    <x v="11"/>
    <x v="0"/>
    <x v="0"/>
    <x v="158"/>
    <x v="605"/>
    <x v="21"/>
    <x v="605"/>
    <x v="605"/>
  </r>
  <r>
    <x v="605"/>
    <x v="110"/>
    <x v="450"/>
    <x v="0"/>
    <x v="11"/>
    <x v="20"/>
    <x v="3"/>
    <x v="5"/>
    <x v="9"/>
    <x v="3"/>
    <x v="604"/>
    <x v="606"/>
    <x v="604"/>
    <x v="224"/>
    <x v="0"/>
    <x v="0"/>
    <x v="604"/>
    <x v="0"/>
    <x v="218"/>
    <x v="27"/>
    <x v="454"/>
    <x v="24"/>
    <x v="606"/>
    <x v="606"/>
    <x v="606"/>
    <x v="235"/>
    <x v="15"/>
    <x v="5"/>
    <x v="20"/>
    <x v="2"/>
    <x v="2"/>
    <x v="11"/>
    <x v="10"/>
    <x v="0"/>
    <x v="15"/>
    <x v="1"/>
    <x v="0"/>
    <x v="199"/>
    <x v="606"/>
    <x v="0"/>
    <x v="606"/>
    <x v="606"/>
  </r>
  <r>
    <x v="606"/>
    <x v="460"/>
    <x v="451"/>
    <x v="0"/>
    <x v="0"/>
    <x v="13"/>
    <x v="0"/>
    <x v="3"/>
    <x v="4"/>
    <x v="1"/>
    <x v="605"/>
    <x v="607"/>
    <x v="605"/>
    <x v="196"/>
    <x v="16"/>
    <x v="0"/>
    <x v="605"/>
    <x v="0"/>
    <x v="192"/>
    <x v="32"/>
    <x v="455"/>
    <x v="29"/>
    <x v="607"/>
    <x v="607"/>
    <x v="607"/>
    <x v="199"/>
    <x v="17"/>
    <x v="1"/>
    <x v="13"/>
    <x v="1"/>
    <x v="2"/>
    <x v="0"/>
    <x v="0"/>
    <x v="0"/>
    <x v="17"/>
    <x v="0"/>
    <x v="0"/>
    <x v="174"/>
    <x v="607"/>
    <x v="16"/>
    <x v="607"/>
    <x v="607"/>
  </r>
  <r>
    <x v="607"/>
    <x v="9"/>
    <x v="242"/>
    <x v="0"/>
    <x v="11"/>
    <x v="33"/>
    <x v="4"/>
    <x v="4"/>
    <x v="6"/>
    <x v="0"/>
    <x v="606"/>
    <x v="608"/>
    <x v="606"/>
    <x v="17"/>
    <x v="14"/>
    <x v="0"/>
    <x v="606"/>
    <x v="0"/>
    <x v="17"/>
    <x v="12"/>
    <x v="433"/>
    <x v="1"/>
    <x v="608"/>
    <x v="608"/>
    <x v="608"/>
    <x v="17"/>
    <x v="8"/>
    <x v="0"/>
    <x v="33"/>
    <x v="0"/>
    <x v="0"/>
    <x v="11"/>
    <x v="10"/>
    <x v="0"/>
    <x v="8"/>
    <x v="1"/>
    <x v="0"/>
    <x v="17"/>
    <x v="608"/>
    <x v="14"/>
    <x v="608"/>
    <x v="608"/>
  </r>
  <r>
    <x v="608"/>
    <x v="386"/>
    <x v="452"/>
    <x v="1"/>
    <x v="10"/>
    <x v="36"/>
    <x v="0"/>
    <x v="3"/>
    <x v="6"/>
    <x v="1"/>
    <x v="607"/>
    <x v="609"/>
    <x v="607"/>
    <x v="66"/>
    <x v="15"/>
    <x v="0"/>
    <x v="607"/>
    <x v="0"/>
    <x v="65"/>
    <x v="22"/>
    <x v="456"/>
    <x v="1"/>
    <x v="609"/>
    <x v="609"/>
    <x v="609"/>
    <x v="65"/>
    <x v="11"/>
    <x v="7"/>
    <x v="36"/>
    <x v="1"/>
    <x v="1"/>
    <x v="10"/>
    <x v="9"/>
    <x v="0"/>
    <x v="11"/>
    <x v="1"/>
    <x v="0"/>
    <x v="60"/>
    <x v="609"/>
    <x v="15"/>
    <x v="609"/>
    <x v="609"/>
  </r>
  <r>
    <x v="609"/>
    <x v="144"/>
    <x v="453"/>
    <x v="1"/>
    <x v="10"/>
    <x v="36"/>
    <x v="5"/>
    <x v="3"/>
    <x v="9"/>
    <x v="1"/>
    <x v="608"/>
    <x v="610"/>
    <x v="608"/>
    <x v="6"/>
    <x v="16"/>
    <x v="0"/>
    <x v="608"/>
    <x v="0"/>
    <x v="6"/>
    <x v="20"/>
    <x v="457"/>
    <x v="18"/>
    <x v="610"/>
    <x v="610"/>
    <x v="610"/>
    <x v="6"/>
    <x v="31"/>
    <x v="0"/>
    <x v="36"/>
    <x v="1"/>
    <x v="0"/>
    <x v="10"/>
    <x v="9"/>
    <x v="0"/>
    <x v="31"/>
    <x v="1"/>
    <x v="0"/>
    <x v="6"/>
    <x v="610"/>
    <x v="16"/>
    <x v="610"/>
    <x v="610"/>
  </r>
  <r>
    <x v="610"/>
    <x v="461"/>
    <x v="48"/>
    <x v="1"/>
    <x v="10"/>
    <x v="15"/>
    <x v="1"/>
    <x v="5"/>
    <x v="0"/>
    <x v="5"/>
    <x v="609"/>
    <x v="611"/>
    <x v="609"/>
    <x v="4"/>
    <x v="0"/>
    <x v="0"/>
    <x v="609"/>
    <x v="0"/>
    <x v="4"/>
    <x v="5"/>
    <x v="48"/>
    <x v="5"/>
    <x v="611"/>
    <x v="611"/>
    <x v="611"/>
    <x v="4"/>
    <x v="1"/>
    <x v="1"/>
    <x v="15"/>
    <x v="1"/>
    <x v="0"/>
    <x v="10"/>
    <x v="9"/>
    <x v="0"/>
    <x v="1"/>
    <x v="0"/>
    <x v="0"/>
    <x v="4"/>
    <x v="611"/>
    <x v="0"/>
    <x v="611"/>
    <x v="611"/>
  </r>
  <r>
    <x v="611"/>
    <x v="462"/>
    <x v="454"/>
    <x v="0"/>
    <x v="0"/>
    <x v="0"/>
    <x v="1"/>
    <x v="4"/>
    <x v="11"/>
    <x v="2"/>
    <x v="610"/>
    <x v="612"/>
    <x v="610"/>
    <x v="117"/>
    <x v="29"/>
    <x v="0"/>
    <x v="610"/>
    <x v="0"/>
    <x v="116"/>
    <x v="17"/>
    <x v="458"/>
    <x v="15"/>
    <x v="612"/>
    <x v="612"/>
    <x v="612"/>
    <x v="117"/>
    <x v="16"/>
    <x v="4"/>
    <x v="0"/>
    <x v="0"/>
    <x v="0"/>
    <x v="0"/>
    <x v="0"/>
    <x v="0"/>
    <x v="16"/>
    <x v="1"/>
    <x v="0"/>
    <x v="107"/>
    <x v="612"/>
    <x v="29"/>
    <x v="612"/>
    <x v="612"/>
  </r>
  <r>
    <x v="612"/>
    <x v="202"/>
    <x v="288"/>
    <x v="3"/>
    <x v="7"/>
    <x v="28"/>
    <x v="4"/>
    <x v="2"/>
    <x v="3"/>
    <x v="2"/>
    <x v="611"/>
    <x v="613"/>
    <x v="611"/>
    <x v="225"/>
    <x v="15"/>
    <x v="0"/>
    <x v="611"/>
    <x v="0"/>
    <x v="219"/>
    <x v="9"/>
    <x v="285"/>
    <x v="8"/>
    <x v="613"/>
    <x v="613"/>
    <x v="613"/>
    <x v="236"/>
    <x v="23"/>
    <x v="9"/>
    <x v="28"/>
    <x v="0"/>
    <x v="1"/>
    <x v="7"/>
    <x v="6"/>
    <x v="0"/>
    <x v="23"/>
    <x v="0"/>
    <x v="0"/>
    <x v="200"/>
    <x v="613"/>
    <x v="15"/>
    <x v="613"/>
    <x v="613"/>
  </r>
  <r>
    <x v="613"/>
    <x v="417"/>
    <x v="397"/>
    <x v="2"/>
    <x v="6"/>
    <x v="27"/>
    <x v="4"/>
    <x v="3"/>
    <x v="4"/>
    <x v="1"/>
    <x v="612"/>
    <x v="614"/>
    <x v="612"/>
    <x v="226"/>
    <x v="7"/>
    <x v="0"/>
    <x v="612"/>
    <x v="0"/>
    <x v="220"/>
    <x v="14"/>
    <x v="397"/>
    <x v="12"/>
    <x v="614"/>
    <x v="614"/>
    <x v="614"/>
    <x v="237"/>
    <x v="3"/>
    <x v="3"/>
    <x v="27"/>
    <x v="1"/>
    <x v="2"/>
    <x v="6"/>
    <x v="5"/>
    <x v="1"/>
    <x v="3"/>
    <x v="0"/>
    <x v="0"/>
    <x v="201"/>
    <x v="614"/>
    <x v="7"/>
    <x v="614"/>
    <x v="614"/>
  </r>
  <r>
    <x v="614"/>
    <x v="326"/>
    <x v="455"/>
    <x v="0"/>
    <x v="1"/>
    <x v="1"/>
    <x v="1"/>
    <x v="2"/>
    <x v="10"/>
    <x v="2"/>
    <x v="613"/>
    <x v="615"/>
    <x v="613"/>
    <x v="140"/>
    <x v="2"/>
    <x v="0"/>
    <x v="613"/>
    <x v="0"/>
    <x v="139"/>
    <x v="27"/>
    <x v="459"/>
    <x v="24"/>
    <x v="615"/>
    <x v="615"/>
    <x v="615"/>
    <x v="238"/>
    <x v="32"/>
    <x v="10"/>
    <x v="1"/>
    <x v="0"/>
    <x v="1"/>
    <x v="1"/>
    <x v="1"/>
    <x v="0"/>
    <x v="32"/>
    <x v="1"/>
    <x v="0"/>
    <x v="129"/>
    <x v="615"/>
    <x v="2"/>
    <x v="615"/>
    <x v="615"/>
  </r>
  <r>
    <x v="615"/>
    <x v="54"/>
    <x v="456"/>
    <x v="3"/>
    <x v="8"/>
    <x v="31"/>
    <x v="0"/>
    <x v="0"/>
    <x v="13"/>
    <x v="5"/>
    <x v="614"/>
    <x v="616"/>
    <x v="614"/>
    <x v="136"/>
    <x v="12"/>
    <x v="1"/>
    <x v="614"/>
    <x v="0"/>
    <x v="135"/>
    <x v="19"/>
    <x v="460"/>
    <x v="17"/>
    <x v="616"/>
    <x v="616"/>
    <x v="616"/>
    <x v="136"/>
    <x v="5"/>
    <x v="1"/>
    <x v="31"/>
    <x v="1"/>
    <x v="2"/>
    <x v="8"/>
    <x v="7"/>
    <x v="0"/>
    <x v="5"/>
    <x v="0"/>
    <x v="0"/>
    <x v="125"/>
    <x v="616"/>
    <x v="12"/>
    <x v="616"/>
    <x v="616"/>
  </r>
  <r>
    <x v="616"/>
    <x v="444"/>
    <x v="457"/>
    <x v="3"/>
    <x v="8"/>
    <x v="21"/>
    <x v="4"/>
    <x v="1"/>
    <x v="10"/>
    <x v="1"/>
    <x v="615"/>
    <x v="617"/>
    <x v="615"/>
    <x v="13"/>
    <x v="29"/>
    <x v="0"/>
    <x v="615"/>
    <x v="0"/>
    <x v="13"/>
    <x v="17"/>
    <x v="461"/>
    <x v="15"/>
    <x v="617"/>
    <x v="617"/>
    <x v="617"/>
    <x v="13"/>
    <x v="12"/>
    <x v="6"/>
    <x v="21"/>
    <x v="1"/>
    <x v="2"/>
    <x v="8"/>
    <x v="7"/>
    <x v="0"/>
    <x v="12"/>
    <x v="1"/>
    <x v="0"/>
    <x v="13"/>
    <x v="617"/>
    <x v="29"/>
    <x v="617"/>
    <x v="617"/>
  </r>
  <r>
    <x v="617"/>
    <x v="463"/>
    <x v="458"/>
    <x v="3"/>
    <x v="7"/>
    <x v="28"/>
    <x v="1"/>
    <x v="3"/>
    <x v="8"/>
    <x v="0"/>
    <x v="616"/>
    <x v="618"/>
    <x v="616"/>
    <x v="57"/>
    <x v="44"/>
    <x v="0"/>
    <x v="616"/>
    <x v="0"/>
    <x v="57"/>
    <x v="25"/>
    <x v="462"/>
    <x v="22"/>
    <x v="618"/>
    <x v="618"/>
    <x v="618"/>
    <x v="57"/>
    <x v="1"/>
    <x v="1"/>
    <x v="28"/>
    <x v="0"/>
    <x v="0"/>
    <x v="7"/>
    <x v="6"/>
    <x v="0"/>
    <x v="1"/>
    <x v="0"/>
    <x v="0"/>
    <x v="53"/>
    <x v="618"/>
    <x v="44"/>
    <x v="618"/>
    <x v="618"/>
  </r>
  <r>
    <x v="618"/>
    <x v="428"/>
    <x v="459"/>
    <x v="0"/>
    <x v="0"/>
    <x v="16"/>
    <x v="1"/>
    <x v="4"/>
    <x v="2"/>
    <x v="6"/>
    <x v="617"/>
    <x v="619"/>
    <x v="617"/>
    <x v="211"/>
    <x v="28"/>
    <x v="0"/>
    <x v="617"/>
    <x v="0"/>
    <x v="205"/>
    <x v="33"/>
    <x v="463"/>
    <x v="30"/>
    <x v="619"/>
    <x v="619"/>
    <x v="619"/>
    <x v="222"/>
    <x v="27"/>
    <x v="9"/>
    <x v="16"/>
    <x v="0"/>
    <x v="1"/>
    <x v="0"/>
    <x v="0"/>
    <x v="0"/>
    <x v="27"/>
    <x v="1"/>
    <x v="0"/>
    <x v="186"/>
    <x v="619"/>
    <x v="28"/>
    <x v="619"/>
    <x v="619"/>
  </r>
  <r>
    <x v="619"/>
    <x v="447"/>
    <x v="460"/>
    <x v="1"/>
    <x v="4"/>
    <x v="30"/>
    <x v="5"/>
    <x v="2"/>
    <x v="1"/>
    <x v="2"/>
    <x v="618"/>
    <x v="620"/>
    <x v="618"/>
    <x v="62"/>
    <x v="4"/>
    <x v="0"/>
    <x v="618"/>
    <x v="0"/>
    <x v="61"/>
    <x v="14"/>
    <x v="464"/>
    <x v="12"/>
    <x v="620"/>
    <x v="620"/>
    <x v="620"/>
    <x v="61"/>
    <x v="18"/>
    <x v="5"/>
    <x v="30"/>
    <x v="0"/>
    <x v="2"/>
    <x v="4"/>
    <x v="3"/>
    <x v="0"/>
    <x v="18"/>
    <x v="0"/>
    <x v="0"/>
    <x v="56"/>
    <x v="620"/>
    <x v="4"/>
    <x v="620"/>
    <x v="620"/>
  </r>
  <r>
    <x v="620"/>
    <x v="464"/>
    <x v="461"/>
    <x v="2"/>
    <x v="3"/>
    <x v="34"/>
    <x v="0"/>
    <x v="0"/>
    <x v="1"/>
    <x v="2"/>
    <x v="619"/>
    <x v="621"/>
    <x v="619"/>
    <x v="97"/>
    <x v="22"/>
    <x v="0"/>
    <x v="619"/>
    <x v="0"/>
    <x v="96"/>
    <x v="0"/>
    <x v="465"/>
    <x v="0"/>
    <x v="621"/>
    <x v="621"/>
    <x v="621"/>
    <x v="96"/>
    <x v="13"/>
    <x v="8"/>
    <x v="34"/>
    <x v="0"/>
    <x v="0"/>
    <x v="3"/>
    <x v="3"/>
    <x v="0"/>
    <x v="13"/>
    <x v="0"/>
    <x v="0"/>
    <x v="90"/>
    <x v="621"/>
    <x v="22"/>
    <x v="621"/>
    <x v="621"/>
  </r>
  <r>
    <x v="621"/>
    <x v="465"/>
    <x v="462"/>
    <x v="0"/>
    <x v="0"/>
    <x v="2"/>
    <x v="3"/>
    <x v="2"/>
    <x v="6"/>
    <x v="6"/>
    <x v="620"/>
    <x v="622"/>
    <x v="620"/>
    <x v="139"/>
    <x v="16"/>
    <x v="0"/>
    <x v="620"/>
    <x v="0"/>
    <x v="138"/>
    <x v="8"/>
    <x v="466"/>
    <x v="7"/>
    <x v="622"/>
    <x v="622"/>
    <x v="622"/>
    <x v="139"/>
    <x v="12"/>
    <x v="6"/>
    <x v="2"/>
    <x v="0"/>
    <x v="2"/>
    <x v="0"/>
    <x v="0"/>
    <x v="0"/>
    <x v="12"/>
    <x v="0"/>
    <x v="0"/>
    <x v="128"/>
    <x v="622"/>
    <x v="16"/>
    <x v="622"/>
    <x v="622"/>
  </r>
  <r>
    <x v="622"/>
    <x v="241"/>
    <x v="463"/>
    <x v="2"/>
    <x v="9"/>
    <x v="23"/>
    <x v="2"/>
    <x v="4"/>
    <x v="1"/>
    <x v="2"/>
    <x v="621"/>
    <x v="623"/>
    <x v="621"/>
    <x v="63"/>
    <x v="29"/>
    <x v="0"/>
    <x v="621"/>
    <x v="0"/>
    <x v="62"/>
    <x v="12"/>
    <x v="251"/>
    <x v="1"/>
    <x v="623"/>
    <x v="623"/>
    <x v="623"/>
    <x v="62"/>
    <x v="24"/>
    <x v="9"/>
    <x v="23"/>
    <x v="0"/>
    <x v="1"/>
    <x v="9"/>
    <x v="8"/>
    <x v="0"/>
    <x v="24"/>
    <x v="1"/>
    <x v="0"/>
    <x v="57"/>
    <x v="623"/>
    <x v="29"/>
    <x v="623"/>
    <x v="623"/>
  </r>
  <r>
    <x v="623"/>
    <x v="111"/>
    <x v="368"/>
    <x v="2"/>
    <x v="3"/>
    <x v="18"/>
    <x v="3"/>
    <x v="4"/>
    <x v="0"/>
    <x v="2"/>
    <x v="622"/>
    <x v="624"/>
    <x v="622"/>
    <x v="59"/>
    <x v="16"/>
    <x v="0"/>
    <x v="622"/>
    <x v="0"/>
    <x v="58"/>
    <x v="23"/>
    <x v="364"/>
    <x v="20"/>
    <x v="624"/>
    <x v="624"/>
    <x v="624"/>
    <x v="58"/>
    <x v="30"/>
    <x v="10"/>
    <x v="18"/>
    <x v="0"/>
    <x v="1"/>
    <x v="3"/>
    <x v="3"/>
    <x v="0"/>
    <x v="30"/>
    <x v="0"/>
    <x v="0"/>
    <x v="54"/>
    <x v="624"/>
    <x v="16"/>
    <x v="624"/>
    <x v="624"/>
  </r>
  <r>
    <x v="624"/>
    <x v="80"/>
    <x v="464"/>
    <x v="2"/>
    <x v="3"/>
    <x v="34"/>
    <x v="3"/>
    <x v="0"/>
    <x v="7"/>
    <x v="0"/>
    <x v="623"/>
    <x v="625"/>
    <x v="623"/>
    <x v="128"/>
    <x v="17"/>
    <x v="0"/>
    <x v="623"/>
    <x v="0"/>
    <x v="127"/>
    <x v="2"/>
    <x v="467"/>
    <x v="2"/>
    <x v="625"/>
    <x v="625"/>
    <x v="625"/>
    <x v="128"/>
    <x v="26"/>
    <x v="10"/>
    <x v="34"/>
    <x v="0"/>
    <x v="0"/>
    <x v="3"/>
    <x v="3"/>
    <x v="0"/>
    <x v="26"/>
    <x v="0"/>
    <x v="0"/>
    <x v="118"/>
    <x v="625"/>
    <x v="17"/>
    <x v="625"/>
    <x v="625"/>
  </r>
  <r>
    <x v="625"/>
    <x v="241"/>
    <x v="465"/>
    <x v="2"/>
    <x v="9"/>
    <x v="23"/>
    <x v="5"/>
    <x v="3"/>
    <x v="12"/>
    <x v="5"/>
    <x v="624"/>
    <x v="626"/>
    <x v="624"/>
    <x v="101"/>
    <x v="21"/>
    <x v="0"/>
    <x v="624"/>
    <x v="0"/>
    <x v="100"/>
    <x v="32"/>
    <x v="468"/>
    <x v="29"/>
    <x v="626"/>
    <x v="626"/>
    <x v="626"/>
    <x v="153"/>
    <x v="24"/>
    <x v="9"/>
    <x v="23"/>
    <x v="1"/>
    <x v="1"/>
    <x v="9"/>
    <x v="8"/>
    <x v="0"/>
    <x v="24"/>
    <x v="0"/>
    <x v="0"/>
    <x v="92"/>
    <x v="626"/>
    <x v="21"/>
    <x v="626"/>
    <x v="626"/>
  </r>
  <r>
    <x v="626"/>
    <x v="43"/>
    <x v="466"/>
    <x v="1"/>
    <x v="2"/>
    <x v="26"/>
    <x v="4"/>
    <x v="1"/>
    <x v="12"/>
    <x v="3"/>
    <x v="625"/>
    <x v="627"/>
    <x v="625"/>
    <x v="4"/>
    <x v="8"/>
    <x v="0"/>
    <x v="625"/>
    <x v="0"/>
    <x v="4"/>
    <x v="2"/>
    <x v="469"/>
    <x v="2"/>
    <x v="627"/>
    <x v="627"/>
    <x v="627"/>
    <x v="4"/>
    <x v="22"/>
    <x v="7"/>
    <x v="26"/>
    <x v="2"/>
    <x v="1"/>
    <x v="2"/>
    <x v="2"/>
    <x v="0"/>
    <x v="22"/>
    <x v="0"/>
    <x v="0"/>
    <x v="4"/>
    <x v="627"/>
    <x v="8"/>
    <x v="627"/>
    <x v="627"/>
  </r>
  <r>
    <x v="627"/>
    <x v="140"/>
    <x v="435"/>
    <x v="3"/>
    <x v="5"/>
    <x v="37"/>
    <x v="4"/>
    <x v="3"/>
    <x v="5"/>
    <x v="0"/>
    <x v="626"/>
    <x v="628"/>
    <x v="626"/>
    <x v="227"/>
    <x v="6"/>
    <x v="0"/>
    <x v="626"/>
    <x v="0"/>
    <x v="221"/>
    <x v="0"/>
    <x v="438"/>
    <x v="0"/>
    <x v="628"/>
    <x v="628"/>
    <x v="628"/>
    <x v="239"/>
    <x v="26"/>
    <x v="10"/>
    <x v="37"/>
    <x v="0"/>
    <x v="0"/>
    <x v="5"/>
    <x v="4"/>
    <x v="0"/>
    <x v="26"/>
    <x v="0"/>
    <x v="0"/>
    <x v="202"/>
    <x v="628"/>
    <x v="6"/>
    <x v="628"/>
    <x v="628"/>
  </r>
  <r>
    <x v="628"/>
    <x v="111"/>
    <x v="335"/>
    <x v="2"/>
    <x v="6"/>
    <x v="32"/>
    <x v="5"/>
    <x v="0"/>
    <x v="15"/>
    <x v="3"/>
    <x v="627"/>
    <x v="629"/>
    <x v="627"/>
    <x v="22"/>
    <x v="15"/>
    <x v="0"/>
    <x v="627"/>
    <x v="0"/>
    <x v="22"/>
    <x v="19"/>
    <x v="331"/>
    <x v="17"/>
    <x v="629"/>
    <x v="629"/>
    <x v="629"/>
    <x v="22"/>
    <x v="30"/>
    <x v="10"/>
    <x v="32"/>
    <x v="2"/>
    <x v="1"/>
    <x v="6"/>
    <x v="5"/>
    <x v="1"/>
    <x v="30"/>
    <x v="0"/>
    <x v="0"/>
    <x v="22"/>
    <x v="629"/>
    <x v="15"/>
    <x v="629"/>
    <x v="629"/>
  </r>
  <r>
    <x v="629"/>
    <x v="466"/>
    <x v="467"/>
    <x v="2"/>
    <x v="6"/>
    <x v="9"/>
    <x v="1"/>
    <x v="3"/>
    <x v="12"/>
    <x v="4"/>
    <x v="628"/>
    <x v="630"/>
    <x v="628"/>
    <x v="121"/>
    <x v="4"/>
    <x v="0"/>
    <x v="628"/>
    <x v="0"/>
    <x v="120"/>
    <x v="26"/>
    <x v="470"/>
    <x v="23"/>
    <x v="630"/>
    <x v="630"/>
    <x v="630"/>
    <x v="121"/>
    <x v="25"/>
    <x v="3"/>
    <x v="9"/>
    <x v="2"/>
    <x v="2"/>
    <x v="6"/>
    <x v="5"/>
    <x v="1"/>
    <x v="25"/>
    <x v="0"/>
    <x v="0"/>
    <x v="111"/>
    <x v="630"/>
    <x v="4"/>
    <x v="630"/>
    <x v="6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2:B202" firstHeaderRow="1" firstDataRow="1" firstDataCol="1" rowPageCount="1" colPageCount="1"/>
  <pivotFields count="35">
    <pivotField compact="0" outline="0" showAll="0"/>
    <pivotField compact="0" outline="0" numFmtId="58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dataField="1"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h="1" x="1"/>
        <item h="1" x="0"/>
        <item t="default"/>
      </items>
    </pivotField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</pivotFields>
  <rowFields count="1">
    <field x="10"/>
  </rowFields>
  <rowItems count="170">
    <i>
      <x v="248"/>
    </i>
    <i>
      <x v="207"/>
    </i>
    <i>
      <x v="241"/>
    </i>
    <i>
      <x v="525"/>
    </i>
    <i>
      <x v="223"/>
    </i>
    <i>
      <x v="226"/>
    </i>
    <i>
      <x v="185"/>
    </i>
    <i>
      <x v="247"/>
    </i>
    <i>
      <x v="180"/>
    </i>
    <i>
      <x v="179"/>
    </i>
    <i>
      <x v="513"/>
    </i>
    <i>
      <x v="486"/>
    </i>
    <i>
      <x v="236"/>
    </i>
    <i>
      <x v="209"/>
    </i>
    <i>
      <x v="201"/>
    </i>
    <i>
      <x v="516"/>
    </i>
    <i>
      <x v="503"/>
    </i>
    <i>
      <x v="474"/>
    </i>
    <i>
      <x v="440"/>
    </i>
    <i>
      <x v="517"/>
    </i>
    <i>
      <x v="197"/>
    </i>
    <i>
      <x v="508"/>
    </i>
    <i>
      <x v="479"/>
    </i>
    <i>
      <x v="199"/>
    </i>
    <i>
      <x v="237"/>
    </i>
    <i>
      <x v="495"/>
    </i>
    <i>
      <x v="214"/>
    </i>
    <i>
      <x v="489"/>
    </i>
    <i>
      <x v="205"/>
    </i>
    <i>
      <x v="522"/>
    </i>
    <i>
      <x v="456"/>
    </i>
    <i>
      <x v="446"/>
    </i>
    <i>
      <x v="250"/>
    </i>
    <i>
      <x v="246"/>
    </i>
    <i>
      <x v="232"/>
    </i>
    <i>
      <x v="476"/>
    </i>
    <i>
      <x v="502"/>
    </i>
    <i>
      <x v="239"/>
    </i>
    <i>
      <x v="229"/>
    </i>
    <i>
      <x v="252"/>
    </i>
    <i>
      <x v="505"/>
    </i>
    <i>
      <x v="200"/>
    </i>
    <i>
      <x v="478"/>
    </i>
    <i>
      <x v="460"/>
    </i>
    <i>
      <x v="518"/>
    </i>
    <i>
      <x v="193"/>
    </i>
    <i>
      <x v="451"/>
    </i>
    <i>
      <x v="526"/>
    </i>
    <i>
      <x v="255"/>
    </i>
    <i>
      <x v="448"/>
    </i>
    <i>
      <x v="501"/>
    </i>
    <i>
      <x v="218"/>
    </i>
    <i>
      <x v="487"/>
    </i>
    <i>
      <x v="221"/>
    </i>
    <i>
      <x v="244"/>
    </i>
    <i>
      <x v="242"/>
    </i>
    <i>
      <x v="443"/>
    </i>
    <i>
      <x v="523"/>
    </i>
    <i>
      <x v="497"/>
    </i>
    <i>
      <x v="524"/>
    </i>
    <i>
      <x v="203"/>
    </i>
    <i>
      <x v="473"/>
    </i>
    <i>
      <x v="183"/>
    </i>
    <i>
      <x v="463"/>
    </i>
    <i>
      <x v="251"/>
    </i>
    <i>
      <x v="225"/>
    </i>
    <i>
      <x v="224"/>
    </i>
    <i>
      <x v="493"/>
    </i>
    <i>
      <x v="217"/>
    </i>
    <i>
      <x v="507"/>
    </i>
    <i>
      <x v="188"/>
    </i>
    <i>
      <x v="235"/>
    </i>
    <i>
      <x v="243"/>
    </i>
    <i>
      <x v="257"/>
    </i>
    <i>
      <x v="181"/>
    </i>
    <i>
      <x v="468"/>
    </i>
    <i>
      <x v="514"/>
    </i>
    <i>
      <x v="449"/>
    </i>
    <i>
      <x v="253"/>
    </i>
    <i>
      <x v="227"/>
    </i>
    <i>
      <x v="213"/>
    </i>
    <i>
      <x v="461"/>
    </i>
    <i>
      <x v="452"/>
    </i>
    <i>
      <x v="228"/>
    </i>
    <i>
      <x v="462"/>
    </i>
    <i>
      <x v="475"/>
    </i>
    <i>
      <x v="469"/>
    </i>
    <i>
      <x v="500"/>
    </i>
    <i>
      <x v="220"/>
    </i>
    <i>
      <x v="521"/>
    </i>
    <i>
      <x v="182"/>
    </i>
    <i>
      <x v="204"/>
    </i>
    <i>
      <x v="499"/>
    </i>
    <i>
      <x v="189"/>
    </i>
    <i>
      <x v="233"/>
    </i>
    <i>
      <x v="512"/>
    </i>
    <i>
      <x v="485"/>
    </i>
    <i>
      <x v="192"/>
    </i>
    <i>
      <x v="258"/>
    </i>
    <i>
      <x v="249"/>
    </i>
    <i>
      <x v="511"/>
    </i>
    <i>
      <x v="444"/>
    </i>
    <i>
      <x v="480"/>
    </i>
    <i>
      <x v="492"/>
    </i>
    <i>
      <x v="208"/>
    </i>
    <i>
      <x v="211"/>
    </i>
    <i>
      <x v="464"/>
    </i>
    <i>
      <x v="254"/>
    </i>
    <i>
      <x v="186"/>
    </i>
    <i>
      <x v="490"/>
    </i>
    <i>
      <x v="191"/>
    </i>
    <i>
      <x v="439"/>
    </i>
    <i>
      <x v="231"/>
    </i>
    <i>
      <x v="481"/>
    </i>
    <i>
      <x v="484"/>
    </i>
    <i>
      <x v="219"/>
    </i>
    <i>
      <x v="520"/>
    </i>
    <i>
      <x v="215"/>
    </i>
    <i>
      <x v="453"/>
    </i>
    <i>
      <x v="216"/>
    </i>
    <i>
      <x v="510"/>
    </i>
    <i>
      <x v="504"/>
    </i>
    <i>
      <x v="184"/>
    </i>
    <i>
      <x v="210"/>
    </i>
    <i>
      <x v="230"/>
    </i>
    <i>
      <x v="459"/>
    </i>
    <i>
      <x v="488"/>
    </i>
    <i>
      <x v="498"/>
    </i>
    <i>
      <x v="455"/>
    </i>
    <i>
      <x v="212"/>
    </i>
    <i>
      <x v="256"/>
    </i>
    <i>
      <x v="509"/>
    </i>
    <i>
      <x v="240"/>
    </i>
    <i>
      <x v="238"/>
    </i>
    <i>
      <x v="467"/>
    </i>
    <i>
      <x v="472"/>
    </i>
    <i>
      <x v="454"/>
    </i>
    <i>
      <x v="447"/>
    </i>
    <i>
      <x v="483"/>
    </i>
    <i>
      <x v="494"/>
    </i>
    <i>
      <x v="222"/>
    </i>
    <i>
      <x v="496"/>
    </i>
    <i>
      <x v="187"/>
    </i>
    <i>
      <x v="194"/>
    </i>
    <i>
      <x v="195"/>
    </i>
    <i>
      <x v="198"/>
    </i>
    <i>
      <x v="202"/>
    </i>
    <i>
      <x v="457"/>
    </i>
    <i>
      <x v="450"/>
    </i>
    <i>
      <x v="245"/>
    </i>
    <i>
      <x v="445"/>
    </i>
    <i>
      <x v="477"/>
    </i>
    <i>
      <x v="470"/>
    </i>
    <i>
      <x v="206"/>
    </i>
    <i>
      <x v="491"/>
    </i>
    <i>
      <x v="515"/>
    </i>
    <i>
      <x v="442"/>
    </i>
    <i>
      <x v="178"/>
    </i>
    <i>
      <x v="471"/>
    </i>
    <i>
      <x v="458"/>
    </i>
    <i>
      <x v="441"/>
    </i>
    <i>
      <x v="190"/>
    </i>
    <i>
      <x v="519"/>
    </i>
    <i>
      <x v="466"/>
    </i>
    <i>
      <x v="234"/>
    </i>
    <i>
      <x v="482"/>
    </i>
    <i>
      <x v="196"/>
    </i>
    <i>
      <x v="506"/>
    </i>
    <i>
      <x v="465"/>
    </i>
    <i t="grand">
      <x/>
    </i>
  </rowItems>
  <colItems count="1">
    <i/>
  </colItems>
  <pageFields count="1">
    <pageField fld="29" item="0"/>
  </pageFields>
  <dataFields count="1">
    <dataField name="Sum of Gross Revenue " fld="22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23:AI27" firstHeaderRow="1" firstDataRow="2" firstDataCol="1" rowPageCount="1" colPageCount="1"/>
  <pivotFields count="35">
    <pivotField compact="0" outline="0" showAll="0"/>
    <pivotField compact="0" outline="0" numFmtId="58" showAll="0"/>
    <pivotField compact="0" outline="0" numFmtId="58" showAll="0"/>
    <pivotField compact="0" outline="0" showAll="0"/>
    <pivotField axis="axisPage" compact="0" outline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dataField="1"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axis="axisRow" compact="0" outline="0" showAll="0">
      <items count="3">
        <item x="0"/>
        <item x="1"/>
        <item t="default"/>
      </items>
    </pivotField>
    <pivotField axis="axisCol" compact="0" outline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</pivotFields>
  <rowFields count="1">
    <field x="33"/>
  </rowFields>
  <rowItems count="3">
    <i>
      <x/>
    </i>
    <i>
      <x v="1"/>
    </i>
    <i t="grand">
      <x/>
    </i>
  </rowItems>
  <colFields count="1">
    <field x="34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4"/>
  </pageFields>
  <dataFields count="1">
    <dataField name="Sum of Gross Revenue " fld="22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V34:Y51" firstHeaderRow="0" firstDataRow="1" firstDataCol="1"/>
  <pivotFields count="35">
    <pivotField dataField="1" compact="0" outline="0" showAll="0"/>
    <pivotField compact="0" outline="0" numFmtId="58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/>
    <pivotField compact="0" outline="0" showAll="0"/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dataField="1" compact="0" outline="0" numFmtId="179" showAll="0"/>
    <pivotField compact="0" outline="0" numFmtId="179" showAll="0"/>
    <pivotField dataField="1"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</pivotFields>
  <rowFields count="1">
    <field x="8"/>
  </rowFields>
  <rowItems count="17">
    <i>
      <x v="12"/>
    </i>
    <i>
      <x v="10"/>
    </i>
    <i>
      <x/>
    </i>
    <i>
      <x v="1"/>
    </i>
    <i>
      <x v="11"/>
    </i>
    <i>
      <x v="9"/>
    </i>
    <i>
      <x v="5"/>
    </i>
    <i>
      <x v="7"/>
    </i>
    <i>
      <x v="2"/>
    </i>
    <i>
      <x v="14"/>
    </i>
    <i>
      <x v="3"/>
    </i>
    <i>
      <x v="8"/>
    </i>
    <i>
      <x v="4"/>
    </i>
    <i>
      <x v="6"/>
    </i>
    <i>
      <x v="13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Gross Revenue " fld="22" baseField="0" baseItem="0" numFmtId="179"/>
    <dataField name="Sum of Gross Profit" fld="24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B16" firstHeaderRow="1" firstDataRow="1" firstDataCol="1"/>
  <pivotFields count="31">
    <pivotField compact="0" outline="0" showAll="0"/>
    <pivotField dataField="1" compact="0" outline="0" numFmtId="58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outline="0" numFmtId="58" showAll="0"/>
    <pivotField compact="0" outline="0" showAll="0"/>
    <pivotField axis="axisRow" compact="0" outline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in of OrderDate" fld="1" subtotal="min" baseField="0" baseItem="0" numFmtId="5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P32:Q297" firstHeaderRow="1" firstDataRow="1" firstDataCol="1" rowPageCount="1" colPageCount="1"/>
  <pivotFields count="35">
    <pivotField compact="0" outline="0" showAll="0"/>
    <pivotField compact="0" outline="0" numFmtId="58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dataField="1"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</pivotFields>
  <rowFields count="1">
    <field x="10"/>
  </rowFields>
  <rowItems count="265">
    <i>
      <x v="171"/>
    </i>
    <i>
      <x v="368"/>
    </i>
    <i>
      <x v="117"/>
    </i>
    <i>
      <x v="403"/>
    </i>
    <i>
      <x v="60"/>
    </i>
    <i>
      <x v="405"/>
    </i>
    <i>
      <x v="100"/>
    </i>
    <i>
      <x v="396"/>
    </i>
    <i>
      <x v="114"/>
    </i>
    <i>
      <x v="359"/>
    </i>
    <i>
      <x v="99"/>
    </i>
    <i>
      <x v="407"/>
    </i>
    <i>
      <x v="23"/>
    </i>
    <i>
      <x v="356"/>
    </i>
    <i>
      <x v="395"/>
    </i>
    <i>
      <x v="387"/>
    </i>
    <i>
      <x v="160"/>
    </i>
    <i>
      <x v="386"/>
    </i>
    <i>
      <x v="381"/>
    </i>
    <i>
      <x v="84"/>
    </i>
    <i>
      <x v="82"/>
    </i>
    <i>
      <x v="361"/>
    </i>
    <i>
      <x v="410"/>
    </i>
    <i>
      <x v="397"/>
    </i>
    <i>
      <x v="365"/>
    </i>
    <i>
      <x v="399"/>
    </i>
    <i>
      <x v="128"/>
    </i>
    <i>
      <x v="97"/>
    </i>
    <i>
      <x v="72"/>
    </i>
    <i>
      <x v="428"/>
    </i>
    <i>
      <x v="41"/>
    </i>
    <i>
      <x v="68"/>
    </i>
    <i>
      <x v="4"/>
    </i>
    <i>
      <x v="367"/>
    </i>
    <i>
      <x v="158"/>
    </i>
    <i>
      <x v="63"/>
    </i>
    <i>
      <x v="394"/>
    </i>
    <i>
      <x v="6"/>
    </i>
    <i>
      <x v="371"/>
    </i>
    <i>
      <x v="145"/>
    </i>
    <i>
      <x v="355"/>
    </i>
    <i>
      <x v="392"/>
    </i>
    <i>
      <x v="81"/>
    </i>
    <i>
      <x v="360"/>
    </i>
    <i>
      <x v="44"/>
    </i>
    <i>
      <x v="431"/>
    </i>
    <i>
      <x v="402"/>
    </i>
    <i>
      <x v="50"/>
    </i>
    <i>
      <x v="413"/>
    </i>
    <i>
      <x v="90"/>
    </i>
    <i>
      <x v="10"/>
    </i>
    <i>
      <x v="120"/>
    </i>
    <i>
      <x v="124"/>
    </i>
    <i>
      <x v="151"/>
    </i>
    <i>
      <x v="75"/>
    </i>
    <i>
      <x v="59"/>
    </i>
    <i>
      <x v="56"/>
    </i>
    <i>
      <x v="369"/>
    </i>
    <i>
      <x v="26"/>
    </i>
    <i>
      <x v="172"/>
    </i>
    <i>
      <x v="143"/>
    </i>
    <i>
      <x v="53"/>
    </i>
    <i>
      <x v="137"/>
    </i>
    <i>
      <x v="108"/>
    </i>
    <i>
      <x v="95"/>
    </i>
    <i>
      <x v="174"/>
    </i>
    <i>
      <x v="353"/>
    </i>
    <i>
      <x v="147"/>
    </i>
    <i>
      <x v="105"/>
    </i>
    <i>
      <x v="157"/>
    </i>
    <i>
      <x v="375"/>
    </i>
    <i>
      <x v="123"/>
    </i>
    <i>
      <x v="116"/>
    </i>
    <i>
      <x v="111"/>
    </i>
    <i>
      <x v="86"/>
    </i>
    <i>
      <x v="414"/>
    </i>
    <i>
      <x v="435"/>
    </i>
    <i>
      <x v="166"/>
    </i>
    <i>
      <x v="378"/>
    </i>
    <i>
      <x v="437"/>
    </i>
    <i>
      <x v="12"/>
    </i>
    <i>
      <x v="125"/>
    </i>
    <i>
      <x v="33"/>
    </i>
    <i>
      <x v="415"/>
    </i>
    <i>
      <x v="40"/>
    </i>
    <i>
      <x v="401"/>
    </i>
    <i>
      <x v="79"/>
    </i>
    <i>
      <x v="140"/>
    </i>
    <i>
      <x v="152"/>
    </i>
    <i>
      <x v="83"/>
    </i>
    <i>
      <x v="118"/>
    </i>
    <i>
      <x v="49"/>
    </i>
    <i>
      <x v="32"/>
    </i>
    <i>
      <x v="57"/>
    </i>
    <i>
      <x v="110"/>
    </i>
    <i>
      <x v="78"/>
    </i>
    <i>
      <x v="139"/>
    </i>
    <i>
      <x v="80"/>
    </i>
    <i>
      <x v="175"/>
    </i>
    <i>
      <x v="29"/>
    </i>
    <i>
      <x v="18"/>
    </i>
    <i>
      <x v="416"/>
    </i>
    <i>
      <x v="422"/>
    </i>
    <i>
      <x v="98"/>
    </i>
    <i>
      <x v="379"/>
    </i>
    <i>
      <x v="389"/>
    </i>
    <i>
      <x v="14"/>
    </i>
    <i>
      <x v="104"/>
    </i>
    <i>
      <x v="388"/>
    </i>
    <i>
      <x v="48"/>
    </i>
    <i>
      <x v="162"/>
    </i>
    <i>
      <x v="159"/>
    </i>
    <i>
      <x v="94"/>
    </i>
    <i>
      <x v="91"/>
    </i>
    <i>
      <x v="76"/>
    </i>
    <i>
      <x v="70"/>
    </i>
    <i>
      <x v="5"/>
    </i>
    <i>
      <x v="163"/>
    </i>
    <i>
      <x v="383"/>
    </i>
    <i>
      <x v="357"/>
    </i>
    <i>
      <x v="67"/>
    </i>
    <i>
      <x v="406"/>
    </i>
    <i>
      <x v="382"/>
    </i>
    <i>
      <x v="65"/>
    </i>
    <i>
      <x v="3"/>
    </i>
    <i>
      <x v="148"/>
    </i>
    <i>
      <x v="127"/>
    </i>
    <i>
      <x v="156"/>
    </i>
    <i>
      <x v="133"/>
    </i>
    <i>
      <x v="121"/>
    </i>
    <i>
      <x v="165"/>
    </i>
    <i>
      <x v="398"/>
    </i>
    <i>
      <x v="39"/>
    </i>
    <i>
      <x v="58"/>
    </i>
    <i>
      <x v="9"/>
    </i>
    <i>
      <x v="385"/>
    </i>
    <i>
      <x v="169"/>
    </i>
    <i>
      <x v="54"/>
    </i>
    <i>
      <x v="36"/>
    </i>
    <i>
      <x v="64"/>
    </i>
    <i>
      <x v="22"/>
    </i>
    <i>
      <x v="1"/>
    </i>
    <i>
      <x v="37"/>
    </i>
    <i>
      <x v="429"/>
    </i>
    <i>
      <x v="423"/>
    </i>
    <i>
      <x v="19"/>
    </i>
    <i>
      <x v="390"/>
    </i>
    <i>
      <x v="16"/>
    </i>
    <i>
      <x v="409"/>
    </i>
    <i>
      <x v="373"/>
    </i>
    <i>
      <x v="427"/>
    </i>
    <i>
      <x v="149"/>
    </i>
    <i>
      <x v="28"/>
    </i>
    <i>
      <x v="358"/>
    </i>
    <i>
      <x v="419"/>
    </i>
    <i>
      <x v="430"/>
    </i>
    <i>
      <x v="77"/>
    </i>
    <i>
      <x v="132"/>
    </i>
    <i>
      <x v="380"/>
    </i>
    <i>
      <x v="418"/>
    </i>
    <i>
      <x v="364"/>
    </i>
    <i>
      <x v="113"/>
    </i>
    <i>
      <x v="142"/>
    </i>
    <i>
      <x v="25"/>
    </i>
    <i>
      <x v="115"/>
    </i>
    <i>
      <x v="119"/>
    </i>
    <i>
      <x v="432"/>
    </i>
    <i>
      <x v="421"/>
    </i>
    <i>
      <x v="85"/>
    </i>
    <i>
      <x v="393"/>
    </i>
    <i>
      <x v="155"/>
    </i>
    <i>
      <x v="52"/>
    </i>
    <i>
      <x v="412"/>
    </i>
    <i>
      <x v="20"/>
    </i>
    <i>
      <x v="69"/>
    </i>
    <i>
      <x v="46"/>
    </i>
    <i>
      <x v="138"/>
    </i>
    <i>
      <x v="366"/>
    </i>
    <i>
      <x v="168"/>
    </i>
    <i>
      <x v="31"/>
    </i>
    <i>
      <x v="21"/>
    </i>
    <i>
      <x v="167"/>
    </i>
    <i>
      <x v="129"/>
    </i>
    <i>
      <x v="35"/>
    </i>
    <i>
      <x v="8"/>
    </i>
    <i>
      <x v="176"/>
    </i>
    <i>
      <x v="7"/>
    </i>
    <i>
      <x v="34"/>
    </i>
    <i>
      <x v="88"/>
    </i>
    <i>
      <x v="103"/>
    </i>
    <i>
      <x v="11"/>
    </i>
    <i>
      <x v="161"/>
    </i>
    <i>
      <x v="425"/>
    </i>
    <i>
      <x v="17"/>
    </i>
    <i>
      <x v="417"/>
    </i>
    <i>
      <x v="71"/>
    </i>
    <i>
      <x v="154"/>
    </i>
    <i>
      <x v="131"/>
    </i>
    <i>
      <x v="102"/>
    </i>
    <i>
      <x v="134"/>
    </i>
    <i>
      <x v="436"/>
    </i>
    <i>
      <x v="92"/>
    </i>
    <i>
      <x v="122"/>
    </i>
    <i>
      <x v="47"/>
    </i>
    <i>
      <x v="362"/>
    </i>
    <i>
      <x v="107"/>
    </i>
    <i>
      <x v="2"/>
    </i>
    <i>
      <x v="15"/>
    </i>
    <i>
      <x v="55"/>
    </i>
    <i>
      <x v="112"/>
    </i>
    <i>
      <x v="164"/>
    </i>
    <i>
      <x v="38"/>
    </i>
    <i>
      <x v="170"/>
    </i>
    <i>
      <x v="74"/>
    </i>
    <i>
      <x v="43"/>
    </i>
    <i>
      <x v="153"/>
    </i>
    <i>
      <x v="376"/>
    </i>
    <i>
      <x v="384"/>
    </i>
    <i>
      <x v="404"/>
    </i>
    <i>
      <x v="62"/>
    </i>
    <i>
      <x v="374"/>
    </i>
    <i>
      <x v="109"/>
    </i>
    <i>
      <x v="73"/>
    </i>
    <i>
      <x v="426"/>
    </i>
    <i>
      <x v="66"/>
    </i>
    <i>
      <x v="144"/>
    </i>
    <i>
      <x v="433"/>
    </i>
    <i>
      <x v="370"/>
    </i>
    <i>
      <x v="372"/>
    </i>
    <i>
      <x v="424"/>
    </i>
    <i>
      <x v="89"/>
    </i>
    <i>
      <x v="130"/>
    </i>
    <i>
      <x v="420"/>
    </i>
    <i>
      <x v="136"/>
    </i>
    <i>
      <x v="42"/>
    </i>
    <i>
      <x v="93"/>
    </i>
    <i>
      <x v="101"/>
    </i>
    <i>
      <x v="400"/>
    </i>
    <i>
      <x v="106"/>
    </i>
    <i>
      <x/>
    </i>
    <i>
      <x v="146"/>
    </i>
    <i>
      <x v="411"/>
    </i>
    <i>
      <x v="363"/>
    </i>
    <i>
      <x v="24"/>
    </i>
    <i>
      <x v="377"/>
    </i>
    <i>
      <x v="45"/>
    </i>
    <i>
      <x v="408"/>
    </i>
    <i>
      <x v="30"/>
    </i>
    <i>
      <x v="27"/>
    </i>
    <i>
      <x v="51"/>
    </i>
    <i>
      <x v="141"/>
    </i>
    <i>
      <x v="354"/>
    </i>
    <i>
      <x v="135"/>
    </i>
    <i>
      <x v="177"/>
    </i>
    <i>
      <x v="150"/>
    </i>
    <i>
      <x v="87"/>
    </i>
    <i>
      <x v="126"/>
    </i>
    <i>
      <x v="173"/>
    </i>
    <i>
      <x v="434"/>
    </i>
    <i>
      <x v="13"/>
    </i>
    <i>
      <x v="438"/>
    </i>
    <i>
      <x v="96"/>
    </i>
    <i>
      <x v="391"/>
    </i>
    <i>
      <x v="61"/>
    </i>
    <i t="grand">
      <x/>
    </i>
  </rowItems>
  <colItems count="1">
    <i/>
  </colItems>
  <pageFields count="1">
    <pageField fld="29" item="2"/>
  </pageFields>
  <dataFields count="1">
    <dataField name="Sum of Gross Revenue " fld="22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3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H33:AK102" firstHeaderRow="0" firstDataRow="1" firstDataCol="2"/>
  <pivotFields count="37">
    <pivotField dataField="1" compact="0" outline="0" showAll="0"/>
    <pivotField compact="0" outline="0" numFmtId="58" showAll="0"/>
    <pivotField compact="0" outline="0" numFmtId="58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  <pivotField compact="0" outline="0" showAll="0"/>
    <pivotField dataField="1" compact="0" outline="0" showAll="0"/>
  </pivotFields>
  <rowFields count="2">
    <field x="3"/>
    <field x="8"/>
  </rowFields>
  <rowItems count="69">
    <i>
      <x/>
      <x v="12"/>
    </i>
    <i r="1">
      <x v="9"/>
    </i>
    <i r="1">
      <x/>
    </i>
    <i r="1">
      <x v="3"/>
    </i>
    <i r="1">
      <x v="11"/>
    </i>
    <i r="1">
      <x v="2"/>
    </i>
    <i r="1">
      <x v="8"/>
    </i>
    <i r="1">
      <x v="15"/>
    </i>
    <i r="1">
      <x v="4"/>
    </i>
    <i r="1">
      <x v="7"/>
    </i>
    <i r="1">
      <x v="13"/>
    </i>
    <i r="1">
      <x v="6"/>
    </i>
    <i r="1">
      <x v="14"/>
    </i>
    <i r="1">
      <x v="1"/>
    </i>
    <i r="1">
      <x v="10"/>
    </i>
    <i r="1">
      <x v="5"/>
    </i>
    <i t="default">
      <x/>
    </i>
    <i>
      <x v="1"/>
      <x v="8"/>
    </i>
    <i r="1">
      <x/>
    </i>
    <i r="1">
      <x v="3"/>
    </i>
    <i r="1">
      <x v="11"/>
    </i>
    <i r="1">
      <x v="2"/>
    </i>
    <i r="1">
      <x v="12"/>
    </i>
    <i r="1">
      <x v="13"/>
    </i>
    <i r="1">
      <x v="10"/>
    </i>
    <i r="1">
      <x v="5"/>
    </i>
    <i r="1">
      <x v="6"/>
    </i>
    <i r="1">
      <x v="15"/>
    </i>
    <i r="1">
      <x v="1"/>
    </i>
    <i r="1">
      <x v="4"/>
    </i>
    <i r="1">
      <x v="14"/>
    </i>
    <i r="1">
      <x v="9"/>
    </i>
    <i r="1">
      <x v="7"/>
    </i>
    <i t="default">
      <x v="1"/>
    </i>
    <i>
      <x v="2"/>
      <x v="14"/>
    </i>
    <i r="1">
      <x v="5"/>
    </i>
    <i r="1">
      <x v="11"/>
    </i>
    <i r="1">
      <x v="2"/>
    </i>
    <i r="1">
      <x v="1"/>
    </i>
    <i r="1">
      <x v="9"/>
    </i>
    <i r="1">
      <x v="7"/>
    </i>
    <i r="1">
      <x v="13"/>
    </i>
    <i r="1">
      <x v="10"/>
    </i>
    <i r="1">
      <x v="6"/>
    </i>
    <i r="1">
      <x v="8"/>
    </i>
    <i r="1">
      <x v="3"/>
    </i>
    <i r="1">
      <x v="15"/>
    </i>
    <i r="1">
      <x/>
    </i>
    <i r="1">
      <x v="12"/>
    </i>
    <i r="1">
      <x v="4"/>
    </i>
    <i t="default">
      <x v="2"/>
    </i>
    <i>
      <x v="3"/>
      <x v="13"/>
    </i>
    <i r="1">
      <x v="10"/>
    </i>
    <i r="1">
      <x v="1"/>
    </i>
    <i r="1">
      <x v="4"/>
    </i>
    <i r="1">
      <x v="8"/>
    </i>
    <i r="1">
      <x v="3"/>
    </i>
    <i r="1">
      <x v="9"/>
    </i>
    <i r="1">
      <x v="2"/>
    </i>
    <i r="1">
      <x v="12"/>
    </i>
    <i r="1">
      <x/>
    </i>
    <i r="1">
      <x v="6"/>
    </i>
    <i r="1">
      <x v="7"/>
    </i>
    <i r="1">
      <x v="15"/>
    </i>
    <i r="1">
      <x v="14"/>
    </i>
    <i r="1">
      <x v="5"/>
    </i>
    <i r="1">
      <x v="11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lagged Discount %" fld="36" baseField="0" baseItem="0"/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V92:Y141" firstHeaderRow="0" firstDataRow="1" firstDataCol="2"/>
  <pivotFields count="36">
    <pivotField dataField="1" compact="0" outline="0" showAll="0"/>
    <pivotField compact="0" outline="0" numFmtId="58" showAll="0"/>
    <pivotField compact="0" outline="0" numFmtId="58" showAll="0"/>
    <pivotField compact="0" outline="0" showAll="0"/>
    <pivotField axis="axisRow" compact="0" sortType="descending" outline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outline="0" showAll="0"/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  <pivotField dataField="1" compact="0" outline="0" showAll="0"/>
  </pivotFields>
  <rowFields count="2">
    <field x="4"/>
    <field x="29"/>
  </rowFields>
  <rowItems count="49">
    <i>
      <x v="8"/>
      <x v="2"/>
    </i>
    <i r="1">
      <x v="1"/>
    </i>
    <i r="1">
      <x/>
    </i>
    <i t="default">
      <x v="8"/>
    </i>
    <i>
      <x/>
      <x v="2"/>
    </i>
    <i r="1">
      <x/>
    </i>
    <i r="1">
      <x v="1"/>
    </i>
    <i t="default">
      <x/>
    </i>
    <i>
      <x v="11"/>
      <x v="2"/>
    </i>
    <i r="1">
      <x v="1"/>
    </i>
    <i r="1">
      <x/>
    </i>
    <i t="default">
      <x v="11"/>
    </i>
    <i>
      <x v="7"/>
      <x/>
    </i>
    <i r="1">
      <x v="2"/>
    </i>
    <i r="1">
      <x v="1"/>
    </i>
    <i t="default">
      <x v="7"/>
    </i>
    <i>
      <x v="9"/>
      <x v="2"/>
    </i>
    <i r="1">
      <x/>
    </i>
    <i r="1">
      <x v="1"/>
    </i>
    <i t="default">
      <x v="9"/>
    </i>
    <i>
      <x v="10"/>
      <x/>
    </i>
    <i r="1">
      <x v="2"/>
    </i>
    <i r="1">
      <x v="1"/>
    </i>
    <i t="default">
      <x v="10"/>
    </i>
    <i>
      <x v="6"/>
      <x v="2"/>
    </i>
    <i r="1">
      <x v="1"/>
    </i>
    <i r="1">
      <x/>
    </i>
    <i t="default">
      <x v="6"/>
    </i>
    <i>
      <x v="3"/>
      <x v="2"/>
    </i>
    <i r="1">
      <x v="1"/>
    </i>
    <i r="1">
      <x/>
    </i>
    <i t="default">
      <x v="3"/>
    </i>
    <i>
      <x v="4"/>
      <x v="2"/>
    </i>
    <i r="1">
      <x/>
    </i>
    <i r="1">
      <x v="1"/>
    </i>
    <i t="default">
      <x v="4"/>
    </i>
    <i>
      <x v="5"/>
      <x v="2"/>
    </i>
    <i r="1">
      <x v="1"/>
    </i>
    <i r="1">
      <x/>
    </i>
    <i t="default">
      <x v="5"/>
    </i>
    <i>
      <x v="2"/>
      <x v="2"/>
    </i>
    <i r="1">
      <x/>
    </i>
    <i r="1">
      <x v="1"/>
    </i>
    <i t="default">
      <x v="2"/>
    </i>
    <i>
      <x v="1"/>
      <x v="2"/>
    </i>
    <i r="1">
      <x/>
    </i>
    <i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n Time Flag" fld="35" baseField="0" baseItem="0"/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I33:J230" firstHeaderRow="1" firstDataRow="1" firstDataCol="1" rowPageCount="1" colPageCount="1"/>
  <pivotFields count="35">
    <pivotField compact="0" outline="0" showAll="0"/>
    <pivotField compact="0" outline="0" numFmtId="58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sortType="descending" outline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dataField="1"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x="1"/>
        <item h="1" x="0"/>
        <item t="default"/>
      </items>
    </pivotField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</pivotFields>
  <rowFields count="1">
    <field x="10"/>
  </rowFields>
  <rowItems count="197">
    <i>
      <x v="323"/>
    </i>
    <i>
      <x v="270"/>
    </i>
    <i>
      <x v="303"/>
    </i>
    <i>
      <x v="319"/>
    </i>
    <i>
      <x v="588"/>
    </i>
    <i>
      <x v="536"/>
    </i>
    <i>
      <x v="598"/>
    </i>
    <i>
      <x v="349"/>
    </i>
    <i>
      <x v="544"/>
    </i>
    <i>
      <x v="307"/>
    </i>
    <i>
      <x v="575"/>
    </i>
    <i>
      <x v="350"/>
    </i>
    <i>
      <x v="585"/>
    </i>
    <i>
      <x v="552"/>
    </i>
    <i>
      <x v="615"/>
    </i>
    <i>
      <x v="620"/>
    </i>
    <i>
      <x v="352"/>
    </i>
    <i>
      <x v="600"/>
    </i>
    <i>
      <x v="569"/>
    </i>
    <i>
      <x v="583"/>
    </i>
    <i>
      <x v="542"/>
    </i>
    <i>
      <x v="337"/>
    </i>
    <i>
      <x v="534"/>
    </i>
    <i>
      <x v="548"/>
    </i>
    <i>
      <x v="317"/>
    </i>
    <i>
      <x v="259"/>
    </i>
    <i>
      <x v="299"/>
    </i>
    <i>
      <x v="318"/>
    </i>
    <i>
      <x v="622"/>
    </i>
    <i>
      <x v="296"/>
    </i>
    <i>
      <x v="338"/>
    </i>
    <i>
      <x v="282"/>
    </i>
    <i>
      <x v="601"/>
    </i>
    <i>
      <x v="563"/>
    </i>
    <i>
      <x v="332"/>
    </i>
    <i>
      <x v="260"/>
    </i>
    <i>
      <x v="533"/>
    </i>
    <i>
      <x v="340"/>
    </i>
    <i>
      <x v="281"/>
    </i>
    <i>
      <x v="596"/>
    </i>
    <i>
      <x v="549"/>
    </i>
    <i>
      <x v="531"/>
    </i>
    <i>
      <x v="580"/>
    </i>
    <i>
      <x v="275"/>
    </i>
    <i>
      <x v="300"/>
    </i>
    <i>
      <x v="266"/>
    </i>
    <i>
      <x v="538"/>
    </i>
    <i>
      <x v="351"/>
    </i>
    <i>
      <x v="286"/>
    </i>
    <i>
      <x v="618"/>
    </i>
    <i>
      <x v="540"/>
    </i>
    <i>
      <x v="623"/>
    </i>
    <i>
      <x v="321"/>
    </i>
    <i>
      <x v="617"/>
    </i>
    <i>
      <x v="295"/>
    </i>
    <i>
      <x v="568"/>
    </i>
    <i>
      <x v="621"/>
    </i>
    <i>
      <x v="609"/>
    </i>
    <i>
      <x v="578"/>
    </i>
    <i>
      <x v="298"/>
    </i>
    <i>
      <x v="347"/>
    </i>
    <i>
      <x v="567"/>
    </i>
    <i>
      <x v="584"/>
    </i>
    <i>
      <x v="308"/>
    </i>
    <i>
      <x v="528"/>
    </i>
    <i>
      <x v="628"/>
    </i>
    <i>
      <x v="541"/>
    </i>
    <i>
      <x v="604"/>
    </i>
    <i>
      <x v="291"/>
    </i>
    <i>
      <x v="560"/>
    </i>
    <i>
      <x v="602"/>
    </i>
    <i>
      <x v="594"/>
    </i>
    <i>
      <x v="315"/>
    </i>
    <i>
      <x v="573"/>
    </i>
    <i>
      <x v="553"/>
    </i>
    <i>
      <x v="269"/>
    </i>
    <i>
      <x v="312"/>
    </i>
    <i>
      <x v="329"/>
    </i>
    <i>
      <x v="320"/>
    </i>
    <i>
      <x v="532"/>
    </i>
    <i>
      <x v="314"/>
    </i>
    <i>
      <x v="322"/>
    </i>
    <i>
      <x v="593"/>
    </i>
    <i>
      <x v="543"/>
    </i>
    <i>
      <x v="565"/>
    </i>
    <i>
      <x v="285"/>
    </i>
    <i>
      <x v="554"/>
    </i>
    <i>
      <x v="545"/>
    </i>
    <i>
      <x v="268"/>
    </i>
    <i>
      <x v="346"/>
    </i>
    <i>
      <x v="297"/>
    </i>
    <i>
      <x v="283"/>
    </i>
    <i>
      <x v="324"/>
    </i>
    <i>
      <x v="316"/>
    </i>
    <i>
      <x v="280"/>
    </i>
    <i>
      <x v="612"/>
    </i>
    <i>
      <x v="561"/>
    </i>
    <i>
      <x v="624"/>
    </i>
    <i>
      <x v="288"/>
    </i>
    <i>
      <x v="591"/>
    </i>
    <i>
      <x v="343"/>
    </i>
    <i>
      <x v="558"/>
    </i>
    <i>
      <x v="527"/>
    </i>
    <i>
      <x v="273"/>
    </i>
    <i>
      <x v="616"/>
    </i>
    <i>
      <x v="535"/>
    </i>
    <i>
      <x v="574"/>
    </i>
    <i>
      <x v="590"/>
    </i>
    <i>
      <x v="619"/>
    </i>
    <i>
      <x v="271"/>
    </i>
    <i>
      <x v="547"/>
    </i>
    <i>
      <x v="614"/>
    </i>
    <i>
      <x v="311"/>
    </i>
    <i>
      <x v="313"/>
    </i>
    <i>
      <x v="310"/>
    </i>
    <i>
      <x v="327"/>
    </i>
    <i>
      <x v="272"/>
    </i>
    <i>
      <x v="279"/>
    </i>
    <i>
      <x v="334"/>
    </i>
    <i>
      <x v="599"/>
    </i>
    <i>
      <x v="586"/>
    </i>
    <i>
      <x v="301"/>
    </i>
    <i>
      <x v="595"/>
    </i>
    <i>
      <x v="537"/>
    </i>
    <i>
      <x v="625"/>
    </i>
    <i>
      <x v="264"/>
    </i>
    <i>
      <x v="290"/>
    </i>
    <i>
      <x v="262"/>
    </i>
    <i>
      <x v="328"/>
    </i>
    <i>
      <x v="302"/>
    </i>
    <i>
      <x v="551"/>
    </i>
    <i>
      <x v="325"/>
    </i>
    <i>
      <x v="305"/>
    </i>
    <i>
      <x v="562"/>
    </i>
    <i>
      <x v="546"/>
    </i>
    <i>
      <x v="263"/>
    </i>
    <i>
      <x v="277"/>
    </i>
    <i>
      <x v="342"/>
    </i>
    <i>
      <x v="572"/>
    </i>
    <i>
      <x v="579"/>
    </i>
    <i>
      <x v="304"/>
    </i>
    <i>
      <x v="335"/>
    </i>
    <i>
      <x v="550"/>
    </i>
    <i>
      <x v="610"/>
    </i>
    <i>
      <x v="566"/>
    </i>
    <i>
      <x v="344"/>
    </i>
    <i>
      <x v="265"/>
    </i>
    <i>
      <x v="287"/>
    </i>
    <i>
      <x v="333"/>
    </i>
    <i>
      <x v="330"/>
    </i>
    <i>
      <x v="626"/>
    </i>
    <i>
      <x v="607"/>
    </i>
    <i>
      <x v="341"/>
    </i>
    <i>
      <x v="557"/>
    </i>
    <i>
      <x v="261"/>
    </i>
    <i>
      <x v="555"/>
    </i>
    <i>
      <x v="605"/>
    </i>
    <i>
      <x v="603"/>
    </i>
    <i>
      <x v="608"/>
    </i>
    <i>
      <x v="581"/>
    </i>
    <i>
      <x v="571"/>
    </i>
    <i>
      <x v="597"/>
    </i>
    <i>
      <x v="570"/>
    </i>
    <i>
      <x v="611"/>
    </i>
    <i>
      <x v="592"/>
    </i>
    <i>
      <x v="564"/>
    </i>
    <i>
      <x v="293"/>
    </i>
    <i>
      <x v="336"/>
    </i>
    <i>
      <x v="577"/>
    </i>
    <i>
      <x v="529"/>
    </i>
    <i>
      <x v="348"/>
    </i>
    <i>
      <x v="530"/>
    </i>
    <i>
      <x v="339"/>
    </i>
    <i>
      <x v="274"/>
    </i>
    <i>
      <x v="539"/>
    </i>
    <i>
      <x v="292"/>
    </i>
    <i>
      <x v="326"/>
    </i>
    <i>
      <x v="556"/>
    </i>
    <i>
      <x v="606"/>
    </i>
    <i>
      <x v="331"/>
    </i>
    <i>
      <x v="559"/>
    </i>
    <i>
      <x v="306"/>
    </i>
    <i>
      <x v="613"/>
    </i>
    <i>
      <x v="627"/>
    </i>
    <i>
      <x v="576"/>
    </i>
    <i>
      <x v="582"/>
    </i>
    <i>
      <x v="289"/>
    </i>
    <i>
      <x v="589"/>
    </i>
    <i>
      <x v="587"/>
    </i>
    <i>
      <x v="294"/>
    </i>
    <i>
      <x v="276"/>
    </i>
    <i>
      <x v="278"/>
    </i>
    <i>
      <x v="284"/>
    </i>
    <i>
      <x v="345"/>
    </i>
    <i>
      <x v="267"/>
    </i>
    <i>
      <x v="309"/>
    </i>
    <i t="grand">
      <x/>
    </i>
  </rowItems>
  <colItems count="1">
    <i/>
  </colItems>
  <pageFields count="1">
    <pageField fld="29" item="1"/>
  </pageFields>
  <dataFields count="1">
    <dataField name="Sum of Gross Revenue " fld="22" baseField="0" baseItem="0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V70:AC76" firstHeaderRow="1" firstDataRow="2" firstDataCol="1"/>
  <pivotFields count="35">
    <pivotField compact="0" outline="0" showAll="0"/>
    <pivotField compact="0" outline="0" numFmtId="58" showAll="0"/>
    <pivotField compact="0" outline="0" numFmtId="58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numFmtId="179" showAll="0"/>
    <pivotField compact="0" outline="0" numFmtId="179" showAll="0"/>
    <pivotField compact="0" outline="0" numFmtId="10" showAll="0"/>
    <pivotField compact="0" outline="0" showAll="0"/>
    <pivotField compact="0" outline="0" showAll="0"/>
    <pivotField compact="0" outline="0" numFmtId="179" showAll="0"/>
    <pivotField compact="0" outline="0" showAll="0"/>
    <pivotField compact="0" outline="0" numFmtId="10" showAll="0"/>
    <pivotField compact="0" outline="0" showAll="0"/>
    <pivotField compact="0" outline="0" numFmtId="58" showAll="0"/>
    <pivotField compact="0" outline="0" showAll="0"/>
    <pivotField dataField="1" compact="0" outline="0" numFmtId="179" showAll="0"/>
    <pivotField compact="0" outline="0" numFmtId="179" showAll="0"/>
    <pivotField compact="0" outline="0" numFmtId="179" showAll="0"/>
    <pivotField compact="0" outline="0" numFmtId="2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numFmtId="17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Gross Revenue " fld="22" showDataAs="percentOfRow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O3:V9" firstHeaderRow="1" firstDataRow="2" firstDataCol="1"/>
  <pivotFields count="42">
    <pivotField compact="0" showAll="0">
      <items count="631">
        <item x="604"/>
        <item x="448"/>
        <item x="6"/>
        <item x="517"/>
        <item x="572"/>
        <item x="45"/>
        <item x="366"/>
        <item x="200"/>
        <item x="550"/>
        <item x="323"/>
        <item x="437"/>
        <item x="165"/>
        <item x="79"/>
        <item x="360"/>
        <item x="327"/>
        <item x="299"/>
        <item x="452"/>
        <item x="576"/>
        <item x="192"/>
        <item x="121"/>
        <item x="331"/>
        <item x="438"/>
        <item x="456"/>
        <item x="147"/>
        <item x="223"/>
        <item x="189"/>
        <item x="346"/>
        <item x="277"/>
        <item x="349"/>
        <item x="534"/>
        <item x="53"/>
        <item x="64"/>
        <item x="162"/>
        <item x="469"/>
        <item x="579"/>
        <item x="624"/>
        <item x="105"/>
        <item x="268"/>
        <item x="255"/>
        <item x="88"/>
        <item x="338"/>
        <item x="23"/>
        <item x="219"/>
        <item x="280"/>
        <item x="249"/>
        <item x="375"/>
        <item x="539"/>
        <item x="171"/>
        <item x="224"/>
        <item x="77"/>
        <item x="48"/>
        <item x="602"/>
        <item x="225"/>
        <item x="167"/>
        <item x="44"/>
        <item x="143"/>
        <item x="182"/>
        <item x="573"/>
        <item x="80"/>
        <item x="511"/>
        <item x="561"/>
        <item x="314"/>
        <item x="390"/>
        <item x="287"/>
        <item x="271"/>
        <item x="2"/>
        <item x="91"/>
        <item x="291"/>
        <item x="433"/>
        <item x="584"/>
        <item x="198"/>
        <item x="73"/>
        <item x="362"/>
        <item x="203"/>
        <item x="184"/>
        <item x="496"/>
        <item x="51"/>
        <item x="98"/>
        <item x="117"/>
        <item x="131"/>
        <item x="214"/>
        <item x="494"/>
        <item x="170"/>
        <item x="612"/>
        <item x="542"/>
        <item x="628"/>
        <item x="519"/>
        <item x="546"/>
        <item x="254"/>
        <item x="350"/>
        <item x="63"/>
        <item x="545"/>
        <item x="150"/>
        <item x="222"/>
        <item x="614"/>
        <item x="238"/>
        <item x="259"/>
        <item x="128"/>
        <item x="531"/>
        <item x="325"/>
        <item x="458"/>
        <item x="370"/>
        <item x="65"/>
        <item x="625"/>
        <item x="603"/>
        <item x="623"/>
        <item x="30"/>
        <item x="514"/>
        <item x="476"/>
        <item x="343"/>
        <item x="498"/>
        <item x="196"/>
        <item x="120"/>
        <item x="444"/>
        <item x="454"/>
        <item x="201"/>
        <item x="473"/>
        <item x="300"/>
        <item x="381"/>
        <item x="151"/>
        <item x="484"/>
        <item x="295"/>
        <item x="123"/>
        <item x="228"/>
        <item x="477"/>
        <item x="283"/>
        <item x="136"/>
        <item x="215"/>
        <item x="386"/>
        <item x="590"/>
        <item x="315"/>
        <item x="536"/>
        <item x="418"/>
        <item x="260"/>
        <item x="265"/>
        <item x="258"/>
        <item x="527"/>
        <item x="38"/>
        <item x="212"/>
        <item x="430"/>
        <item x="336"/>
        <item x="175"/>
        <item x="608"/>
        <item x="290"/>
        <item x="407"/>
        <item x="383"/>
        <item x="595"/>
        <item x="525"/>
        <item x="197"/>
        <item x="459"/>
        <item x="220"/>
        <item x="575"/>
        <item x="278"/>
        <item x="74"/>
        <item x="4"/>
        <item x="588"/>
        <item x="465"/>
        <item x="411"/>
        <item x="348"/>
        <item x="500"/>
        <item x="242"/>
        <item x="67"/>
        <item x="435"/>
        <item x="618"/>
        <item x="339"/>
        <item x="443"/>
        <item x="449"/>
        <item x="475"/>
        <item x="436"/>
        <item x="68"/>
        <item x="538"/>
        <item x="368"/>
        <item x="337"/>
        <item x="144"/>
        <item x="186"/>
        <item x="317"/>
        <item x="387"/>
        <item x="84"/>
        <item x="153"/>
        <item x="440"/>
        <item x="159"/>
        <item x="403"/>
        <item x="369"/>
        <item x="580"/>
        <item x="34"/>
        <item x="506"/>
        <item x="482"/>
        <item x="134"/>
        <item x="20"/>
        <item x="569"/>
        <item x="94"/>
        <item x="114"/>
        <item x="455"/>
        <item x="124"/>
        <item x="307"/>
        <item x="164"/>
        <item x="622"/>
        <item x="257"/>
        <item x="320"/>
        <item x="310"/>
        <item x="27"/>
        <item x="345"/>
        <item x="139"/>
        <item x="141"/>
        <item x="508"/>
        <item x="204"/>
        <item x="626"/>
        <item x="191"/>
        <item x="392"/>
        <item x="468"/>
        <item x="410"/>
        <item x="14"/>
        <item x="330"/>
        <item x="232"/>
        <item x="227"/>
        <item x="554"/>
        <item x="541"/>
        <item x="627"/>
        <item x="236"/>
        <item x="266"/>
        <item x="537"/>
        <item x="113"/>
        <item x="413"/>
        <item x="177"/>
        <item x="395"/>
        <item x="478"/>
        <item x="335"/>
        <item x="163"/>
        <item x="154"/>
        <item x="548"/>
        <item x="324"/>
        <item x="104"/>
        <item x="133"/>
        <item x="308"/>
        <item x="108"/>
        <item x="33"/>
        <item x="400"/>
        <item x="29"/>
        <item x="78"/>
        <item x="213"/>
        <item x="152"/>
        <item x="457"/>
        <item x="547"/>
        <item x="15"/>
        <item x="321"/>
        <item x="522"/>
        <item x="296"/>
        <item x="563"/>
        <item x="479"/>
        <item x="9"/>
        <item x="146"/>
        <item x="190"/>
        <item x="24"/>
        <item x="161"/>
        <item x="250"/>
        <item x="110"/>
        <item x="352"/>
        <item x="138"/>
        <item x="180"/>
        <item x="585"/>
        <item x="488"/>
        <item x="62"/>
        <item x="559"/>
        <item x="391"/>
        <item x="453"/>
        <item x="50"/>
        <item x="606"/>
        <item x="0"/>
        <item x="286"/>
        <item x="233"/>
        <item x="106"/>
        <item x="69"/>
        <item x="56"/>
        <item x="40"/>
        <item x="251"/>
        <item x="389"/>
        <item x="503"/>
        <item x="246"/>
        <item x="166"/>
        <item x="560"/>
        <item x="609"/>
        <item x="333"/>
        <item x="340"/>
        <item x="5"/>
        <item x="611"/>
        <item x="361"/>
        <item x="66"/>
        <item x="252"/>
        <item x="535"/>
        <item x="571"/>
        <item x="460"/>
        <item x="160"/>
        <item x="1"/>
        <item x="523"/>
        <item x="282"/>
        <item x="485"/>
        <item x="409"/>
        <item x="428"/>
        <item x="483"/>
        <item x="142"/>
        <item x="43"/>
        <item x="404"/>
        <item x="382"/>
        <item x="516"/>
        <item x="309"/>
        <item x="544"/>
        <item x="230"/>
        <item x="312"/>
        <item x="493"/>
        <item x="567"/>
        <item x="148"/>
        <item x="593"/>
        <item x="193"/>
        <item x="439"/>
        <item x="75"/>
        <item x="76"/>
        <item x="412"/>
        <item x="49"/>
        <item x="520"/>
        <item x="422"/>
        <item x="116"/>
        <item x="102"/>
        <item x="577"/>
        <item x="273"/>
        <item x="22"/>
        <item x="264"/>
        <item x="322"/>
        <item x="187"/>
        <item x="463"/>
        <item x="442"/>
        <item x="355"/>
        <item x="423"/>
        <item x="491"/>
        <item x="385"/>
        <item x="528"/>
        <item x="553"/>
        <item x="408"/>
        <item x="244"/>
        <item x="46"/>
        <item x="599"/>
        <item x="156"/>
        <item x="557"/>
        <item x="447"/>
        <item x="499"/>
        <item x="231"/>
        <item x="334"/>
        <item x="586"/>
        <item x="492"/>
        <item x="276"/>
        <item x="432"/>
        <item x="125"/>
        <item x="597"/>
        <item x="122"/>
        <item x="7"/>
        <item x="581"/>
        <item x="85"/>
        <item x="37"/>
        <item x="87"/>
        <item x="127"/>
        <item x="169"/>
        <item x="399"/>
        <item x="540"/>
        <item x="32"/>
        <item x="39"/>
        <item x="96"/>
        <item x="183"/>
        <item x="474"/>
        <item x="341"/>
        <item x="471"/>
        <item x="429"/>
        <item x="414"/>
        <item x="248"/>
        <item x="194"/>
        <item x="401"/>
        <item x="208"/>
        <item x="556"/>
        <item x="206"/>
        <item x="582"/>
        <item x="372"/>
        <item x="35"/>
        <item x="358"/>
        <item x="526"/>
        <item x="319"/>
        <item x="216"/>
        <item x="495"/>
        <item x="505"/>
        <item x="610"/>
        <item x="441"/>
        <item x="270"/>
        <item x="417"/>
        <item x="617"/>
        <item x="188"/>
        <item x="155"/>
        <item x="566"/>
        <item x="103"/>
        <item x="507"/>
        <item x="217"/>
        <item x="137"/>
        <item x="464"/>
        <item x="25"/>
        <item x="294"/>
        <item x="489"/>
        <item x="107"/>
        <item x="19"/>
        <item x="72"/>
        <item x="234"/>
        <item x="426"/>
        <item x="620"/>
        <item x="364"/>
        <item x="318"/>
        <item x="521"/>
        <item x="272"/>
        <item x="135"/>
        <item x="431"/>
        <item x="607"/>
        <item x="100"/>
        <item x="450"/>
        <item x="243"/>
        <item x="26"/>
        <item x="253"/>
        <item x="285"/>
        <item x="241"/>
        <item x="373"/>
        <item x="558"/>
        <item x="302"/>
        <item x="267"/>
        <item x="446"/>
        <item x="12"/>
        <item x="357"/>
        <item x="518"/>
        <item x="342"/>
        <item x="237"/>
        <item x="344"/>
        <item x="140"/>
        <item x="59"/>
        <item x="598"/>
        <item x="109"/>
        <item x="351"/>
        <item x="111"/>
        <item x="353"/>
        <item x="311"/>
        <item x="615"/>
        <item x="71"/>
        <item x="168"/>
        <item x="591"/>
        <item x="274"/>
        <item x="176"/>
        <item x="509"/>
        <item x="356"/>
        <item x="510"/>
        <item x="47"/>
        <item x="195"/>
        <item x="173"/>
        <item x="434"/>
        <item x="397"/>
        <item x="486"/>
        <item x="564"/>
        <item x="210"/>
        <item x="425"/>
        <item x="92"/>
        <item x="41"/>
        <item x="199"/>
        <item x="81"/>
        <item x="363"/>
        <item x="235"/>
        <item x="512"/>
        <item x="303"/>
        <item x="205"/>
        <item x="533"/>
        <item x="616"/>
        <item x="578"/>
        <item x="3"/>
        <item x="568"/>
        <item x="570"/>
        <item x="119"/>
        <item x="256"/>
        <item x="374"/>
        <item x="600"/>
        <item x="298"/>
        <item x="378"/>
        <item x="416"/>
        <item x="313"/>
        <item x="16"/>
        <item x="145"/>
        <item x="149"/>
        <item x="583"/>
        <item x="247"/>
        <item x="481"/>
        <item x="487"/>
        <item x="605"/>
        <item x="95"/>
        <item x="371"/>
        <item x="419"/>
        <item x="301"/>
        <item x="587"/>
        <item x="574"/>
        <item x="226"/>
        <item x="461"/>
        <item x="367"/>
        <item x="532"/>
        <item x="332"/>
        <item x="99"/>
        <item x="83"/>
        <item x="501"/>
        <item x="552"/>
        <item x="551"/>
        <item x="132"/>
        <item x="305"/>
        <item x="293"/>
        <item x="415"/>
        <item x="306"/>
        <item x="480"/>
        <item x="451"/>
        <item x="158"/>
        <item x="549"/>
        <item x="262"/>
        <item x="524"/>
        <item x="445"/>
        <item x="504"/>
        <item x="31"/>
        <item x="347"/>
        <item x="269"/>
        <item x="388"/>
        <item x="393"/>
        <item x="292"/>
        <item x="11"/>
        <item x="82"/>
        <item x="462"/>
        <item x="130"/>
        <item x="239"/>
        <item x="406"/>
        <item x="10"/>
        <item x="61"/>
        <item x="90"/>
        <item x="613"/>
        <item x="126"/>
        <item x="284"/>
        <item x="97"/>
        <item x="185"/>
        <item x="28"/>
        <item x="211"/>
        <item x="52"/>
        <item x="21"/>
        <item x="209"/>
        <item x="396"/>
        <item x="359"/>
        <item x="398"/>
        <item x="365"/>
        <item x="89"/>
        <item x="207"/>
        <item x="513"/>
        <item x="376"/>
        <item x="57"/>
        <item x="70"/>
        <item x="240"/>
        <item x="112"/>
        <item x="621"/>
        <item x="129"/>
        <item x="420"/>
        <item x="178"/>
        <item x="328"/>
        <item x="562"/>
        <item x="101"/>
        <item x="179"/>
        <item x="427"/>
        <item x="394"/>
        <item x="275"/>
        <item x="221"/>
        <item x="502"/>
        <item x="472"/>
        <item x="596"/>
        <item x="279"/>
        <item x="115"/>
        <item x="172"/>
        <item x="490"/>
        <item x="594"/>
        <item x="36"/>
        <item x="93"/>
        <item x="629"/>
        <item x="329"/>
        <item x="18"/>
        <item x="601"/>
        <item x="289"/>
        <item x="229"/>
        <item x="218"/>
        <item x="58"/>
        <item x="54"/>
        <item x="157"/>
        <item x="530"/>
        <item x="326"/>
        <item x="60"/>
        <item x="470"/>
        <item x="380"/>
        <item x="466"/>
        <item x="424"/>
        <item x="42"/>
        <item x="379"/>
        <item x="497"/>
        <item x="515"/>
        <item x="421"/>
        <item x="13"/>
        <item x="17"/>
        <item x="174"/>
        <item x="592"/>
        <item x="316"/>
        <item x="86"/>
        <item x="384"/>
        <item x="555"/>
        <item x="405"/>
        <item x="263"/>
        <item x="181"/>
        <item x="619"/>
        <item x="261"/>
        <item x="402"/>
        <item x="377"/>
        <item x="288"/>
        <item x="529"/>
        <item x="565"/>
        <item x="55"/>
        <item x="297"/>
        <item x="304"/>
        <item x="245"/>
        <item x="467"/>
        <item x="354"/>
        <item x="118"/>
        <item x="543"/>
        <item x="202"/>
        <item x="281"/>
        <item x="589"/>
        <item x="8"/>
        <item t="default"/>
      </items>
    </pivotField>
    <pivotField compact="0" numFmtId="58" showAll="0">
      <items count="468">
        <item x="4"/>
        <item x="454"/>
        <item x="270"/>
        <item x="414"/>
        <item x="180"/>
        <item x="6"/>
        <item x="370"/>
        <item x="183"/>
        <item x="118"/>
        <item x="423"/>
        <item x="121"/>
        <item x="170"/>
        <item x="179"/>
        <item x="311"/>
        <item x="22"/>
        <item x="76"/>
        <item x="425"/>
        <item x="61"/>
        <item x="151"/>
        <item x="146"/>
        <item x="360"/>
        <item x="28"/>
        <item x="158"/>
        <item x="451"/>
        <item x="2"/>
        <item x="106"/>
        <item x="431"/>
        <item x="225"/>
        <item x="335"/>
        <item x="205"/>
        <item x="314"/>
        <item x="210"/>
        <item x="341"/>
        <item x="63"/>
        <item x="277"/>
        <item x="149"/>
        <item x="32"/>
        <item x="49"/>
        <item x="450"/>
        <item x="162"/>
        <item x="88"/>
        <item x="457"/>
        <item x="124"/>
        <item x="289"/>
        <item x="26"/>
        <item x="386"/>
        <item x="152"/>
        <item x="42"/>
        <item x="66"/>
        <item x="459"/>
        <item x="14"/>
        <item x="440"/>
        <item x="409"/>
        <item x="128"/>
        <item x="448"/>
        <item x="176"/>
        <item x="274"/>
        <item x="238"/>
        <item x="405"/>
        <item x="19"/>
        <item x="381"/>
        <item x="361"/>
        <item x="71"/>
        <item x="206"/>
        <item x="372"/>
        <item x="233"/>
        <item x="327"/>
        <item x="407"/>
        <item x="445"/>
        <item x="307"/>
        <item x="108"/>
        <item x="279"/>
        <item x="366"/>
        <item x="74"/>
        <item x="250"/>
        <item x="36"/>
        <item x="263"/>
        <item x="168"/>
        <item x="43"/>
        <item x="86"/>
        <item x="84"/>
        <item x="305"/>
        <item x="185"/>
        <item x="139"/>
        <item x="132"/>
        <item x="421"/>
        <item x="424"/>
        <item x="375"/>
        <item x="46"/>
        <item x="288"/>
        <item x="385"/>
        <item x="255"/>
        <item x="171"/>
        <item x="369"/>
        <item x="244"/>
        <item x="287"/>
        <item x="130"/>
        <item x="202"/>
        <item x="442"/>
        <item x="241"/>
        <item x="234"/>
        <item x="173"/>
        <item x="388"/>
        <item x="114"/>
        <item x="182"/>
        <item x="418"/>
        <item x="65"/>
        <item x="113"/>
        <item x="259"/>
        <item x="416"/>
        <item x="342"/>
        <item x="199"/>
        <item x="160"/>
        <item x="344"/>
        <item x="51"/>
        <item x="428"/>
        <item x="136"/>
        <item x="458"/>
        <item x="72"/>
        <item x="215"/>
        <item x="363"/>
        <item x="157"/>
        <item x="198"/>
        <item x="322"/>
        <item x="203"/>
        <item x="230"/>
        <item x="154"/>
        <item x="326"/>
        <item x="232"/>
        <item x="347"/>
        <item x="175"/>
        <item x="357"/>
        <item x="258"/>
        <item x="281"/>
        <item x="390"/>
        <item x="323"/>
        <item x="249"/>
        <item x="142"/>
        <item x="192"/>
        <item x="275"/>
        <item x="284"/>
        <item x="111"/>
        <item x="105"/>
        <item x="213"/>
        <item x="133"/>
        <item x="293"/>
        <item x="296"/>
        <item x="62"/>
        <item x="373"/>
        <item x="140"/>
        <item x="339"/>
        <item x="379"/>
        <item x="201"/>
        <item x="194"/>
        <item x="294"/>
        <item x="80"/>
        <item x="239"/>
        <item x="310"/>
        <item x="422"/>
        <item x="112"/>
        <item x="359"/>
        <item x="299"/>
        <item x="278"/>
        <item x="434"/>
        <item x="240"/>
        <item x="38"/>
        <item x="181"/>
        <item x="93"/>
        <item x="346"/>
        <item x="302"/>
        <item x="12"/>
        <item x="83"/>
        <item x="435"/>
        <item x="246"/>
        <item x="9"/>
        <item x="144"/>
        <item x="161"/>
        <item x="382"/>
        <item x="436"/>
        <item x="178"/>
        <item x="127"/>
        <item x="220"/>
        <item x="291"/>
        <item x="141"/>
        <item x="350"/>
        <item x="438"/>
        <item x="353"/>
        <item x="351"/>
        <item x="193"/>
        <item x="396"/>
        <item x="262"/>
        <item x="313"/>
        <item x="427"/>
        <item x="219"/>
        <item x="33"/>
        <item x="306"/>
        <item x="57"/>
        <item x="0"/>
        <item x="449"/>
        <item x="226"/>
        <item x="245"/>
        <item x="67"/>
        <item x="362"/>
        <item x="264"/>
        <item x="247"/>
        <item x="214"/>
        <item x="243"/>
        <item x="148"/>
        <item x="135"/>
        <item x="402"/>
        <item x="81"/>
        <item x="285"/>
        <item x="69"/>
        <item x="412"/>
        <item x="30"/>
        <item x="35"/>
        <item x="394"/>
        <item x="411"/>
        <item x="399"/>
        <item x="229"/>
        <item x="371"/>
        <item x="7"/>
        <item x="374"/>
        <item x="321"/>
        <item x="384"/>
        <item x="392"/>
        <item x="44"/>
        <item x="312"/>
        <item x="21"/>
        <item x="172"/>
        <item x="41"/>
        <item x="97"/>
        <item x="64"/>
        <item x="153"/>
        <item x="397"/>
        <item x="90"/>
        <item x="117"/>
        <item x="100"/>
        <item x="367"/>
        <item x="150"/>
        <item x="415"/>
        <item x="343"/>
        <item x="115"/>
        <item x="273"/>
        <item x="101"/>
        <item x="102"/>
        <item x="368"/>
        <item x="131"/>
        <item x="248"/>
        <item x="268"/>
        <item x="303"/>
        <item x="462"/>
        <item x="103"/>
        <item x="23"/>
        <item x="410"/>
        <item x="286"/>
        <item x="292"/>
        <item x="156"/>
        <item x="319"/>
        <item x="25"/>
        <item x="333"/>
        <item x="18"/>
        <item x="464"/>
        <item x="227"/>
        <item x="452"/>
        <item x="446"/>
        <item x="398"/>
        <item x="143"/>
        <item x="297"/>
        <item x="325"/>
        <item x="174"/>
        <item x="98"/>
        <item x="420"/>
        <item x="455"/>
        <item x="352"/>
        <item x="395"/>
        <item x="364"/>
        <item x="31"/>
        <item x="37"/>
        <item x="73"/>
        <item x="340"/>
        <item x="433"/>
        <item x="224"/>
        <item x="208"/>
        <item x="209"/>
        <item x="330"/>
        <item x="254"/>
        <item x="190"/>
        <item x="186"/>
        <item x="211"/>
        <item x="96"/>
        <item x="196"/>
        <item x="177"/>
        <item x="137"/>
        <item x="365"/>
        <item x="188"/>
        <item x="165"/>
        <item x="87"/>
        <item x="237"/>
        <item x="155"/>
        <item x="406"/>
        <item x="195"/>
        <item x="463"/>
        <item x="45"/>
        <item x="99"/>
        <item x="48"/>
        <item x="461"/>
        <item x="167"/>
        <item x="1"/>
        <item x="403"/>
        <item x="39"/>
        <item x="228"/>
        <item x="290"/>
        <item x="147"/>
        <item x="355"/>
        <item x="60"/>
        <item x="272"/>
        <item x="332"/>
        <item x="47"/>
        <item x="298"/>
        <item x="222"/>
        <item x="443"/>
        <item x="404"/>
        <item x="391"/>
        <item x="126"/>
        <item x="75"/>
        <item x="378"/>
        <item x="301"/>
        <item x="460"/>
        <item x="24"/>
        <item x="218"/>
        <item x="95"/>
        <item x="429"/>
        <item x="389"/>
        <item x="15"/>
        <item x="329"/>
        <item x="125"/>
        <item x="70"/>
        <item x="54"/>
        <item x="336"/>
        <item x="123"/>
        <item x="129"/>
        <item x="358"/>
        <item x="5"/>
        <item x="356"/>
        <item x="271"/>
        <item x="10"/>
        <item x="408"/>
        <item x="315"/>
        <item x="122"/>
        <item x="419"/>
        <item x="282"/>
        <item x="169"/>
        <item x="104"/>
        <item x="334"/>
        <item x="50"/>
        <item x="265"/>
        <item x="92"/>
        <item x="191"/>
        <item x="317"/>
        <item x="166"/>
        <item x="184"/>
        <item x="316"/>
        <item x="413"/>
        <item x="53"/>
        <item x="119"/>
        <item x="145"/>
        <item x="432"/>
        <item x="453"/>
        <item x="242"/>
        <item x="337"/>
        <item x="348"/>
        <item x="466"/>
        <item x="120"/>
        <item x="11"/>
        <item x="338"/>
        <item x="401"/>
        <item x="417"/>
        <item x="251"/>
        <item x="309"/>
        <item x="308"/>
        <item x="380"/>
        <item x="400"/>
        <item x="79"/>
        <item x="3"/>
        <item x="257"/>
        <item x="94"/>
        <item x="276"/>
        <item x="253"/>
        <item x="52"/>
        <item x="27"/>
        <item x="68"/>
        <item x="376"/>
        <item x="260"/>
        <item x="331"/>
        <item x="439"/>
        <item x="159"/>
        <item x="138"/>
        <item x="447"/>
        <item x="221"/>
        <item x="78"/>
        <item x="207"/>
        <item x="59"/>
        <item x="85"/>
        <item x="56"/>
        <item x="354"/>
        <item x="266"/>
        <item x="320"/>
        <item x="77"/>
        <item x="393"/>
        <item x="216"/>
        <item x="252"/>
        <item x="269"/>
        <item x="280"/>
        <item x="8"/>
        <item x="328"/>
        <item x="40"/>
        <item x="261"/>
        <item x="107"/>
        <item x="345"/>
        <item x="55"/>
        <item x="20"/>
        <item x="324"/>
        <item x="295"/>
        <item x="110"/>
        <item x="235"/>
        <item x="267"/>
        <item x="34"/>
        <item x="304"/>
        <item x="437"/>
        <item x="231"/>
        <item x="349"/>
        <item x="109"/>
        <item x="444"/>
        <item x="189"/>
        <item x="200"/>
        <item x="212"/>
        <item x="465"/>
        <item x="17"/>
        <item x="187"/>
        <item x="91"/>
        <item x="318"/>
        <item x="29"/>
        <item x="377"/>
        <item x="89"/>
        <item x="217"/>
        <item x="441"/>
        <item x="116"/>
        <item x="430"/>
        <item x="82"/>
        <item x="204"/>
        <item x="456"/>
        <item x="383"/>
        <item x="300"/>
        <item x="426"/>
        <item x="163"/>
        <item x="197"/>
        <item x="256"/>
        <item x="387"/>
        <item x="13"/>
        <item x="236"/>
        <item x="16"/>
        <item x="58"/>
        <item x="134"/>
        <item x="223"/>
        <item x="283"/>
        <item x="164"/>
        <item t="default"/>
      </items>
    </pivotField>
    <pivotField compact="0" numFmtId="58" showAll="0">
      <items count="469">
        <item x="1"/>
        <item x="4"/>
        <item x="6"/>
        <item x="184"/>
        <item x="198"/>
        <item x="410"/>
        <item x="269"/>
        <item x="124"/>
        <item x="127"/>
        <item x="186"/>
        <item x="440"/>
        <item x="77"/>
        <item x="23"/>
        <item x="418"/>
        <item x="182"/>
        <item x="61"/>
        <item x="278"/>
        <item x="173"/>
        <item x="151"/>
        <item x="110"/>
        <item x="421"/>
        <item x="296"/>
        <item x="161"/>
        <item x="156"/>
        <item x="383"/>
        <item x="95"/>
        <item x="222"/>
        <item x="2"/>
        <item x="154"/>
        <item x="213"/>
        <item x="210"/>
        <item x="313"/>
        <item x="49"/>
        <item x="338"/>
        <item x="309"/>
        <item x="63"/>
        <item x="289"/>
        <item x="131"/>
        <item x="276"/>
        <item x="165"/>
        <item x="129"/>
        <item x="356"/>
        <item x="399"/>
        <item x="14"/>
        <item x="452"/>
        <item x="449"/>
        <item x="436"/>
        <item x="91"/>
        <item x="188"/>
        <item x="42"/>
        <item x="429"/>
        <item x="234"/>
        <item x="205"/>
        <item x="66"/>
        <item x="183"/>
        <item x="27"/>
        <item x="294"/>
        <item x="71"/>
        <item x="369"/>
        <item x="425"/>
        <item x="378"/>
        <item x="382"/>
        <item x="179"/>
        <item x="407"/>
        <item x="20"/>
        <item x="280"/>
        <item x="434"/>
        <item x="358"/>
        <item x="102"/>
        <item x="402"/>
        <item x="211"/>
        <item x="373"/>
        <item x="75"/>
        <item x="281"/>
        <item x="113"/>
        <item x="325"/>
        <item x="366"/>
        <item x="270"/>
        <item x="89"/>
        <item x="36"/>
        <item x="304"/>
        <item x="439"/>
        <item x="86"/>
        <item x="43"/>
        <item x="392"/>
        <item x="259"/>
        <item x="419"/>
        <item x="415"/>
        <item x="437"/>
        <item x="417"/>
        <item x="137"/>
        <item x="466"/>
        <item x="372"/>
        <item x="171"/>
        <item x="263"/>
        <item x="144"/>
        <item x="174"/>
        <item x="46"/>
        <item x="463"/>
        <item x="207"/>
        <item x="253"/>
        <item x="240"/>
        <item x="237"/>
        <item x="385"/>
        <item x="288"/>
        <item x="176"/>
        <item x="169"/>
        <item x="229"/>
        <item x="135"/>
        <item x="465"/>
        <item x="51"/>
        <item x="285"/>
        <item x="119"/>
        <item x="120"/>
        <item x="65"/>
        <item x="203"/>
        <item x="164"/>
        <item x="78"/>
        <item x="339"/>
        <item x="459"/>
        <item x="141"/>
        <item x="379"/>
        <item x="412"/>
        <item x="257"/>
        <item x="359"/>
        <item x="202"/>
        <item x="321"/>
        <item x="226"/>
        <item x="72"/>
        <item x="307"/>
        <item x="160"/>
        <item x="455"/>
        <item x="228"/>
        <item x="354"/>
        <item x="352"/>
        <item x="158"/>
        <item x="324"/>
        <item x="394"/>
        <item x="208"/>
        <item x="405"/>
        <item x="262"/>
        <item x="146"/>
        <item x="322"/>
        <item x="256"/>
        <item x="178"/>
        <item x="246"/>
        <item x="283"/>
        <item x="387"/>
        <item x="195"/>
        <item x="138"/>
        <item x="274"/>
        <item x="109"/>
        <item x="286"/>
        <item x="216"/>
        <item x="370"/>
        <item x="368"/>
        <item x="116"/>
        <item x="297"/>
        <item x="292"/>
        <item x="335"/>
        <item x="206"/>
        <item x="82"/>
        <item x="62"/>
        <item x="235"/>
        <item x="435"/>
        <item x="308"/>
        <item x="295"/>
        <item x="357"/>
        <item x="428"/>
        <item x="361"/>
        <item x="197"/>
        <item x="384"/>
        <item x="464"/>
        <item x="117"/>
        <item x="97"/>
        <item x="236"/>
        <item x="85"/>
        <item x="242"/>
        <item x="185"/>
        <item x="252"/>
        <item x="453"/>
        <item x="38"/>
        <item x="302"/>
        <item x="430"/>
        <item x="249"/>
        <item x="413"/>
        <item x="9"/>
        <item x="343"/>
        <item x="12"/>
        <item x="133"/>
        <item x="175"/>
        <item x="432"/>
        <item x="148"/>
        <item x="380"/>
        <item x="390"/>
        <item x="181"/>
        <item x="145"/>
        <item x="347"/>
        <item x="350"/>
        <item x="279"/>
        <item x="258"/>
        <item x="311"/>
        <item x="67"/>
        <item x="446"/>
        <item x="401"/>
        <item x="33"/>
        <item x="220"/>
        <item x="426"/>
        <item x="196"/>
        <item x="374"/>
        <item x="260"/>
        <item x="0"/>
        <item x="153"/>
        <item x="57"/>
        <item x="243"/>
        <item x="241"/>
        <item x="239"/>
        <item x="287"/>
        <item x="300"/>
        <item x="140"/>
        <item x="83"/>
        <item x="409"/>
        <item x="35"/>
        <item x="69"/>
        <item x="31"/>
        <item x="408"/>
        <item x="320"/>
        <item x="364"/>
        <item x="371"/>
        <item x="225"/>
        <item x="337"/>
        <item x="427"/>
        <item x="22"/>
        <item x="389"/>
        <item x="93"/>
        <item x="101"/>
        <item x="44"/>
        <item x="7"/>
        <item x="41"/>
        <item x="162"/>
        <item x="64"/>
        <item x="104"/>
        <item x="420"/>
        <item x="106"/>
        <item x="123"/>
        <item x="157"/>
        <item x="306"/>
        <item x="155"/>
        <item x="391"/>
        <item x="277"/>
        <item x="265"/>
        <item x="442"/>
        <item x="411"/>
        <item x="272"/>
        <item x="303"/>
        <item x="121"/>
        <item x="74"/>
        <item x="454"/>
        <item x="245"/>
        <item x="136"/>
        <item x="105"/>
        <item x="363"/>
        <item x="291"/>
        <item x="24"/>
        <item x="159"/>
        <item x="26"/>
        <item x="445"/>
        <item x="19"/>
        <item x="107"/>
        <item x="223"/>
        <item x="293"/>
        <item x="422"/>
        <item x="318"/>
        <item x="331"/>
        <item x="441"/>
        <item x="330"/>
        <item x="147"/>
        <item x="298"/>
        <item x="32"/>
        <item x="461"/>
        <item x="416"/>
        <item x="447"/>
        <item x="177"/>
        <item x="103"/>
        <item x="336"/>
        <item x="251"/>
        <item x="212"/>
        <item x="349"/>
        <item x="393"/>
        <item x="149"/>
        <item x="37"/>
        <item x="73"/>
        <item x="424"/>
        <item x="180"/>
        <item x="214"/>
        <item x="360"/>
        <item x="329"/>
        <item x="100"/>
        <item x="190"/>
        <item x="233"/>
        <item x="167"/>
        <item x="200"/>
        <item x="142"/>
        <item x="192"/>
        <item x="458"/>
        <item x="398"/>
        <item x="170"/>
        <item x="90"/>
        <item x="290"/>
        <item x="271"/>
        <item x="48"/>
        <item x="431"/>
        <item x="45"/>
        <item x="199"/>
        <item x="351"/>
        <item x="39"/>
        <item x="60"/>
        <item x="224"/>
        <item x="400"/>
        <item x="47"/>
        <item x="152"/>
        <item x="299"/>
        <item x="388"/>
        <item x="118"/>
        <item x="301"/>
        <item x="386"/>
        <item x="340"/>
        <item x="219"/>
        <item x="132"/>
        <item x="54"/>
        <item x="353"/>
        <item x="70"/>
        <item x="76"/>
        <item x="451"/>
        <item x="128"/>
        <item x="99"/>
        <item x="367"/>
        <item x="25"/>
        <item x="112"/>
        <item x="403"/>
        <item x="15"/>
        <item x="134"/>
        <item x="130"/>
        <item x="355"/>
        <item x="5"/>
        <item x="29"/>
        <item x="456"/>
        <item x="314"/>
        <item x="261"/>
        <item x="10"/>
        <item x="108"/>
        <item x="332"/>
        <item x="268"/>
        <item x="194"/>
        <item x="172"/>
        <item x="189"/>
        <item x="96"/>
        <item x="50"/>
        <item x="315"/>
        <item x="187"/>
        <item x="443"/>
        <item x="125"/>
        <item x="53"/>
        <item x="168"/>
        <item x="238"/>
        <item x="467"/>
        <item x="334"/>
        <item x="344"/>
        <item x="333"/>
        <item x="126"/>
        <item x="396"/>
        <item x="267"/>
        <item x="397"/>
        <item x="247"/>
        <item x="11"/>
        <item x="3"/>
        <item x="98"/>
        <item x="255"/>
        <item x="342"/>
        <item x="305"/>
        <item x="310"/>
        <item x="28"/>
        <item x="266"/>
        <item x="250"/>
        <item x="433"/>
        <item x="81"/>
        <item x="375"/>
        <item x="80"/>
        <item x="231"/>
        <item x="275"/>
        <item x="362"/>
        <item x="52"/>
        <item x="221"/>
        <item x="460"/>
        <item x="163"/>
        <item x="68"/>
        <item x="414"/>
        <item x="56"/>
        <item x="87"/>
        <item x="143"/>
        <item x="282"/>
        <item x="448"/>
        <item x="18"/>
        <item x="79"/>
        <item x="59"/>
        <item x="319"/>
        <item x="217"/>
        <item x="248"/>
        <item x="406"/>
        <item x="377"/>
        <item x="273"/>
        <item x="326"/>
        <item x="8"/>
        <item x="111"/>
        <item x="341"/>
        <item x="55"/>
        <item x="40"/>
        <item x="450"/>
        <item x="365"/>
        <item x="88"/>
        <item x="230"/>
        <item x="21"/>
        <item x="323"/>
        <item x="227"/>
        <item x="345"/>
        <item x="264"/>
        <item x="34"/>
        <item x="312"/>
        <item x="115"/>
        <item x="244"/>
        <item x="457"/>
        <item x="204"/>
        <item x="114"/>
        <item x="215"/>
        <item x="462"/>
        <item x="438"/>
        <item x="193"/>
        <item x="17"/>
        <item x="30"/>
        <item x="191"/>
        <item x="218"/>
        <item x="122"/>
        <item x="376"/>
        <item x="92"/>
        <item x="317"/>
        <item x="94"/>
        <item x="84"/>
        <item x="150"/>
        <item x="423"/>
        <item x="254"/>
        <item x="404"/>
        <item x="209"/>
        <item x="381"/>
        <item x="348"/>
        <item x="316"/>
        <item x="232"/>
        <item x="58"/>
        <item x="327"/>
        <item x="16"/>
        <item x="166"/>
        <item x="444"/>
        <item x="328"/>
        <item x="201"/>
        <item x="346"/>
        <item x="284"/>
        <item x="139"/>
        <item x="13"/>
        <item x="395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showAll="0">
      <items count="41">
        <item x="6"/>
        <item x="36"/>
        <item x="38"/>
        <item x="5"/>
        <item x="8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9"/>
        <item x="28"/>
        <item x="1"/>
        <item x="30"/>
        <item x="24"/>
        <item x="7"/>
        <item x="23"/>
        <item x="14"/>
        <item x="27"/>
        <item x="4"/>
        <item x="35"/>
        <item x="26"/>
        <item t="default"/>
      </items>
    </pivotField>
    <pivotField compact="0" showAll="0">
      <items count="7">
        <item x="5"/>
        <item x="0"/>
        <item x="1"/>
        <item x="4"/>
        <item x="2"/>
        <item x="3"/>
        <item t="default"/>
      </items>
    </pivotField>
    <pivotField axis="axisCol"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numFmtId="179" showAll="0">
      <items count="630">
        <item x="614"/>
        <item x="2"/>
        <item x="57"/>
        <item x="296"/>
        <item x="111"/>
        <item x="178"/>
        <item x="284"/>
        <item x="170"/>
        <item x="490"/>
        <item x="105"/>
        <item x="95"/>
        <item x="175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numFmtId="10" showAll="0">
      <items count="229">
        <item x="4"/>
        <item x="140"/>
        <item x="9"/>
        <item x="19"/>
        <item x="98"/>
        <item x="18"/>
        <item x="83"/>
        <item x="170"/>
        <item x="212"/>
        <item x="107"/>
        <item x="205"/>
        <item x="112"/>
        <item x="105"/>
        <item x="117"/>
        <item x="108"/>
        <item x="179"/>
        <item x="133"/>
        <item x="70"/>
        <item x="7"/>
        <item x="195"/>
        <item x="75"/>
        <item x="41"/>
        <item x="31"/>
        <item x="15"/>
        <item x="188"/>
        <item x="208"/>
        <item x="174"/>
        <item x="88"/>
        <item x="221"/>
        <item x="106"/>
        <item x="215"/>
        <item x="57"/>
        <item x="216"/>
        <item x="53"/>
        <item x="129"/>
        <item x="113"/>
        <item x="223"/>
        <item x="132"/>
        <item x="120"/>
        <item x="91"/>
        <item x="193"/>
        <item x="163"/>
        <item x="227"/>
        <item x="95"/>
        <item x="201"/>
        <item x="176"/>
        <item x="71"/>
        <item x="143"/>
        <item x="54"/>
        <item x="89"/>
        <item x="67"/>
        <item x="87"/>
        <item x="3"/>
        <item x="92"/>
        <item x="12"/>
        <item x="42"/>
        <item x="171"/>
        <item x="202"/>
        <item x="116"/>
        <item x="164"/>
        <item x="226"/>
        <item x="103"/>
        <item x="200"/>
        <item x="25"/>
        <item x="147"/>
        <item x="23"/>
        <item x="167"/>
        <item x="24"/>
        <item x="168"/>
        <item x="118"/>
        <item x="76"/>
        <item x="142"/>
        <item x="11"/>
        <item x="148"/>
        <item x="72"/>
        <item x="224"/>
        <item x="199"/>
        <item x="73"/>
        <item x="165"/>
        <item x="26"/>
        <item x="136"/>
        <item x="172"/>
        <item x="66"/>
        <item x="51"/>
        <item x="192"/>
        <item x="104"/>
        <item x="85"/>
        <item x="13"/>
        <item x="45"/>
        <item x="94"/>
        <item x="0"/>
        <item x="139"/>
        <item x="59"/>
        <item x="158"/>
        <item x="144"/>
        <item x="84"/>
        <item x="44"/>
        <item x="17"/>
        <item x="173"/>
        <item x="153"/>
        <item x="81"/>
        <item x="213"/>
        <item x="21"/>
        <item x="37"/>
        <item x="109"/>
        <item x="137"/>
        <item x="30"/>
        <item x="48"/>
        <item x="2"/>
        <item x="191"/>
        <item x="111"/>
        <item x="60"/>
        <item x="157"/>
        <item x="28"/>
        <item x="80"/>
        <item x="159"/>
        <item x="22"/>
        <item x="77"/>
        <item x="169"/>
        <item x="55"/>
        <item x="16"/>
        <item x="40"/>
        <item x="180"/>
        <item x="33"/>
        <item x="5"/>
        <item x="134"/>
        <item x="8"/>
        <item x="209"/>
        <item x="101"/>
        <item x="135"/>
        <item x="124"/>
        <item x="68"/>
        <item x="130"/>
        <item x="161"/>
        <item x="86"/>
        <item x="181"/>
        <item x="128"/>
        <item x="74"/>
        <item x="63"/>
        <item x="196"/>
        <item x="156"/>
        <item x="211"/>
        <item x="150"/>
        <item x="20"/>
        <item x="35"/>
        <item x="189"/>
        <item x="225"/>
        <item x="145"/>
        <item x="121"/>
        <item x="155"/>
        <item x="29"/>
        <item x="166"/>
        <item x="119"/>
        <item x="93"/>
        <item x="78"/>
        <item x="110"/>
        <item x="34"/>
        <item x="14"/>
        <item x="49"/>
        <item x="56"/>
        <item x="62"/>
        <item x="36"/>
        <item x="69"/>
        <item x="50"/>
        <item x="197"/>
        <item x="97"/>
        <item x="6"/>
        <item x="123"/>
        <item x="114"/>
        <item x="46"/>
        <item x="138"/>
        <item x="90"/>
        <item x="52"/>
        <item x="43"/>
        <item x="162"/>
        <item x="222"/>
        <item x="219"/>
        <item x="182"/>
        <item x="125"/>
        <item x="122"/>
        <item x="207"/>
        <item x="65"/>
        <item x="154"/>
        <item x="203"/>
        <item x="218"/>
        <item x="96"/>
        <item x="217"/>
        <item x="152"/>
        <item x="204"/>
        <item x="82"/>
        <item x="214"/>
        <item x="126"/>
        <item x="146"/>
        <item x="127"/>
        <item x="1"/>
        <item x="149"/>
        <item x="177"/>
        <item x="183"/>
        <item x="64"/>
        <item x="27"/>
        <item x="102"/>
        <item x="220"/>
        <item x="10"/>
        <item x="115"/>
        <item x="47"/>
        <item x="194"/>
        <item x="61"/>
        <item x="131"/>
        <item x="100"/>
        <item x="187"/>
        <item x="151"/>
        <item x="99"/>
        <item x="141"/>
        <item x="178"/>
        <item x="190"/>
        <item x="79"/>
        <item x="186"/>
        <item x="38"/>
        <item x="210"/>
        <item x="39"/>
        <item x="184"/>
        <item x="206"/>
        <item x="160"/>
        <item x="32"/>
        <item x="58"/>
        <item x="175"/>
        <item x="198"/>
        <item x="185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630">
        <item x="296"/>
        <item x="111"/>
        <item x="57"/>
        <item x="178"/>
        <item x="284"/>
        <item x="170"/>
        <item x="490"/>
        <item x="105"/>
        <item x="95"/>
        <item x="175"/>
        <item x="2"/>
        <item x="614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showAll="0">
      <items count="3">
        <item x="1"/>
        <item x="0"/>
        <item t="default"/>
      </items>
    </pivotField>
    <pivotField compact="0" numFmtId="10" showAll="0">
      <items count="223">
        <item x="4"/>
        <item x="139"/>
        <item x="9"/>
        <item x="19"/>
        <item x="97"/>
        <item x="18"/>
        <item x="82"/>
        <item x="168"/>
        <item x="206"/>
        <item x="106"/>
        <item x="200"/>
        <item x="111"/>
        <item x="104"/>
        <item x="116"/>
        <item x="107"/>
        <item x="176"/>
        <item x="132"/>
        <item x="69"/>
        <item x="7"/>
        <item x="191"/>
        <item x="74"/>
        <item x="41"/>
        <item x="31"/>
        <item x="15"/>
        <item x="184"/>
        <item x="202"/>
        <item x="172"/>
        <item x="87"/>
        <item x="215"/>
        <item x="105"/>
        <item x="209"/>
        <item x="57"/>
        <item x="210"/>
        <item x="53"/>
        <item x="128"/>
        <item x="112"/>
        <item x="217"/>
        <item x="131"/>
        <item x="119"/>
        <item x="90"/>
        <item x="189"/>
        <item x="161"/>
        <item x="221"/>
        <item x="94"/>
        <item x="196"/>
        <item x="173"/>
        <item x="70"/>
        <item x="142"/>
        <item x="54"/>
        <item x="88"/>
        <item x="66"/>
        <item x="86"/>
        <item x="3"/>
        <item x="91"/>
        <item x="12"/>
        <item x="42"/>
        <item x="169"/>
        <item x="197"/>
        <item x="115"/>
        <item x="162"/>
        <item x="220"/>
        <item x="102"/>
        <item x="195"/>
        <item x="25"/>
        <item x="146"/>
        <item x="23"/>
        <item x="165"/>
        <item x="24"/>
        <item x="166"/>
        <item x="117"/>
        <item x="75"/>
        <item x="141"/>
        <item x="11"/>
        <item x="147"/>
        <item x="71"/>
        <item x="218"/>
        <item x="194"/>
        <item x="72"/>
        <item x="163"/>
        <item x="26"/>
        <item x="135"/>
        <item x="170"/>
        <item x="65"/>
        <item x="51"/>
        <item x="188"/>
        <item x="103"/>
        <item x="84"/>
        <item x="13"/>
        <item x="45"/>
        <item x="93"/>
        <item x="0"/>
        <item x="138"/>
        <item x="58"/>
        <item x="157"/>
        <item x="143"/>
        <item x="83"/>
        <item x="44"/>
        <item x="17"/>
        <item x="171"/>
        <item x="152"/>
        <item x="80"/>
        <item x="207"/>
        <item x="21"/>
        <item x="37"/>
        <item x="108"/>
        <item x="136"/>
        <item x="30"/>
        <item x="48"/>
        <item x="2"/>
        <item x="187"/>
        <item x="110"/>
        <item x="59"/>
        <item x="156"/>
        <item x="28"/>
        <item x="79"/>
        <item x="158"/>
        <item x="22"/>
        <item x="76"/>
        <item x="167"/>
        <item x="55"/>
        <item x="16"/>
        <item x="40"/>
        <item x="177"/>
        <item x="33"/>
        <item x="5"/>
        <item x="133"/>
        <item x="8"/>
        <item x="203"/>
        <item x="100"/>
        <item x="134"/>
        <item x="123"/>
        <item x="67"/>
        <item x="129"/>
        <item x="159"/>
        <item x="85"/>
        <item x="178"/>
        <item x="127"/>
        <item x="73"/>
        <item x="62"/>
        <item x="192"/>
        <item x="155"/>
        <item x="205"/>
        <item x="149"/>
        <item x="20"/>
        <item x="35"/>
        <item x="185"/>
        <item x="219"/>
        <item x="144"/>
        <item x="120"/>
        <item x="154"/>
        <item x="29"/>
        <item x="164"/>
        <item x="118"/>
        <item x="92"/>
        <item x="77"/>
        <item x="109"/>
        <item x="34"/>
        <item x="14"/>
        <item x="49"/>
        <item x="56"/>
        <item x="61"/>
        <item x="36"/>
        <item x="68"/>
        <item x="50"/>
        <item x="193"/>
        <item x="96"/>
        <item x="6"/>
        <item x="122"/>
        <item x="113"/>
        <item x="46"/>
        <item x="137"/>
        <item x="89"/>
        <item x="52"/>
        <item x="43"/>
        <item x="160"/>
        <item x="216"/>
        <item x="213"/>
        <item x="179"/>
        <item x="124"/>
        <item x="121"/>
        <item x="201"/>
        <item x="64"/>
        <item x="153"/>
        <item x="198"/>
        <item x="212"/>
        <item x="95"/>
        <item x="211"/>
        <item x="151"/>
        <item x="199"/>
        <item x="81"/>
        <item x="208"/>
        <item x="125"/>
        <item x="145"/>
        <item x="126"/>
        <item x="1"/>
        <item x="148"/>
        <item x="174"/>
        <item x="180"/>
        <item x="63"/>
        <item x="27"/>
        <item x="101"/>
        <item x="214"/>
        <item x="10"/>
        <item x="114"/>
        <item x="47"/>
        <item x="190"/>
        <item x="60"/>
        <item x="130"/>
        <item x="99"/>
        <item x="183"/>
        <item x="150"/>
        <item x="98"/>
        <item x="140"/>
        <item x="175"/>
        <item x="186"/>
        <item x="78"/>
        <item x="182"/>
        <item x="38"/>
        <item x="204"/>
        <item x="39"/>
        <item x="181"/>
        <item x="32"/>
        <item t="default"/>
      </items>
    </pivotField>
    <pivotField compact="0" showAll="0">
      <items count="35">
        <item x="1"/>
        <item x="6"/>
        <item x="12"/>
        <item x="20"/>
        <item x="28"/>
        <item x="27"/>
        <item x="4"/>
        <item x="3"/>
        <item x="17"/>
        <item x="33"/>
        <item x="22"/>
        <item x="13"/>
        <item x="29"/>
        <item x="26"/>
        <item x="25"/>
        <item x="8"/>
        <item x="21"/>
        <item x="18"/>
        <item x="16"/>
        <item x="14"/>
        <item x="15"/>
        <item x="5"/>
        <item x="7"/>
        <item x="9"/>
        <item x="31"/>
        <item x="24"/>
        <item x="23"/>
        <item x="10"/>
        <item x="2"/>
        <item x="0"/>
        <item x="32"/>
        <item x="30"/>
        <item x="11"/>
        <item x="19"/>
        <item t="default"/>
      </items>
    </pivotField>
    <pivotField compact="0" numFmtId="58" showAll="0">
      <items count="472">
        <item x="4"/>
        <item x="184"/>
        <item x="6"/>
        <item x="411"/>
        <item x="198"/>
        <item x="122"/>
        <item x="125"/>
        <item x="186"/>
        <item x="442"/>
        <item x="77"/>
        <item x="23"/>
        <item x="419"/>
        <item x="182"/>
        <item x="61"/>
        <item x="173"/>
        <item x="151"/>
        <item x="108"/>
        <item x="423"/>
        <item x="275"/>
        <item x="293"/>
        <item x="161"/>
        <item x="156"/>
        <item x="380"/>
        <item x="94"/>
        <item x="221"/>
        <item x="2"/>
        <item x="154"/>
        <item x="213"/>
        <item x="210"/>
        <item x="310"/>
        <item x="49"/>
        <item x="334"/>
        <item x="306"/>
        <item x="63"/>
        <item x="129"/>
        <item x="272"/>
        <item x="165"/>
        <item x="127"/>
        <item x="381"/>
        <item x="286"/>
        <item x="33"/>
        <item x="456"/>
        <item x="453"/>
        <item x="439"/>
        <item x="90"/>
        <item x="188"/>
        <item x="14"/>
        <item x="432"/>
        <item x="205"/>
        <item x="66"/>
        <item x="183"/>
        <item x="27"/>
        <item x="291"/>
        <item x="132"/>
        <item x="365"/>
        <item x="427"/>
        <item x="375"/>
        <item x="379"/>
        <item x="179"/>
        <item x="71"/>
        <item x="20"/>
        <item x="277"/>
        <item x="437"/>
        <item x="353"/>
        <item x="101"/>
        <item x="402"/>
        <item x="211"/>
        <item x="369"/>
        <item x="75"/>
        <item x="278"/>
        <item x="111"/>
        <item x="321"/>
        <item x="362"/>
        <item x="245"/>
        <item x="37"/>
        <item x="301"/>
        <item x="88"/>
        <item x="85"/>
        <item x="43"/>
        <item x="391"/>
        <item x="257"/>
        <item x="420"/>
        <item x="416"/>
        <item x="440"/>
        <item x="418"/>
        <item x="136"/>
        <item x="469"/>
        <item x="368"/>
        <item x="171"/>
        <item x="261"/>
        <item x="143"/>
        <item x="359"/>
        <item x="174"/>
        <item x="46"/>
        <item x="207"/>
        <item x="251"/>
        <item x="238"/>
        <item x="235"/>
        <item x="384"/>
        <item x="285"/>
        <item x="176"/>
        <item x="169"/>
        <item x="228"/>
        <item x="134"/>
        <item x="468"/>
        <item x="51"/>
        <item x="282"/>
        <item x="117"/>
        <item x="118"/>
        <item x="65"/>
        <item x="203"/>
        <item x="164"/>
        <item x="78"/>
        <item x="335"/>
        <item x="463"/>
        <item x="140"/>
        <item x="376"/>
        <item x="413"/>
        <item x="255"/>
        <item x="354"/>
        <item x="202"/>
        <item x="317"/>
        <item x="225"/>
        <item x="72"/>
        <item x="304"/>
        <item x="160"/>
        <item x="459"/>
        <item x="227"/>
        <item x="350"/>
        <item x="348"/>
        <item x="158"/>
        <item x="320"/>
        <item x="393"/>
        <item x="208"/>
        <item x="405"/>
        <item x="260"/>
        <item x="146"/>
        <item x="318"/>
        <item x="254"/>
        <item x="178"/>
        <item x="244"/>
        <item x="280"/>
        <item x="386"/>
        <item x="195"/>
        <item x="270"/>
        <item x="107"/>
        <item x="283"/>
        <item x="137"/>
        <item x="366"/>
        <item x="364"/>
        <item x="114"/>
        <item x="144"/>
        <item x="294"/>
        <item x="289"/>
        <item x="331"/>
        <item x="206"/>
        <item x="81"/>
        <item x="62"/>
        <item x="233"/>
        <item x="438"/>
        <item x="305"/>
        <item x="292"/>
        <item x="352"/>
        <item x="274"/>
        <item x="431"/>
        <item x="356"/>
        <item x="197"/>
        <item x="382"/>
        <item x="467"/>
        <item x="115"/>
        <item x="96"/>
        <item x="234"/>
        <item x="84"/>
        <item x="240"/>
        <item x="185"/>
        <item x="250"/>
        <item x="457"/>
        <item x="39"/>
        <item x="299"/>
        <item x="433"/>
        <item x="247"/>
        <item x="414"/>
        <item x="9"/>
        <item x="339"/>
        <item x="12"/>
        <item x="131"/>
        <item x="175"/>
        <item x="435"/>
        <item x="148"/>
        <item x="377"/>
        <item x="181"/>
        <item x="145"/>
        <item x="343"/>
        <item x="389"/>
        <item x="346"/>
        <item x="276"/>
        <item x="256"/>
        <item x="308"/>
        <item x="67"/>
        <item x="450"/>
        <item x="401"/>
        <item x="34"/>
        <item x="219"/>
        <item x="429"/>
        <item x="196"/>
        <item x="370"/>
        <item x="258"/>
        <item x="0"/>
        <item x="153"/>
        <item x="57"/>
        <item x="241"/>
        <item x="239"/>
        <item x="237"/>
        <item x="284"/>
        <item x="297"/>
        <item x="139"/>
        <item x="82"/>
        <item x="410"/>
        <item x="395"/>
        <item x="36"/>
        <item x="69"/>
        <item x="31"/>
        <item x="409"/>
        <item x="316"/>
        <item x="360"/>
        <item x="367"/>
        <item x="224"/>
        <item x="333"/>
        <item x="430"/>
        <item x="22"/>
        <item x="388"/>
        <item x="407"/>
        <item x="100"/>
        <item x="44"/>
        <item x="7"/>
        <item x="42"/>
        <item x="162"/>
        <item x="92"/>
        <item x="64"/>
        <item x="103"/>
        <item x="421"/>
        <item x="104"/>
        <item x="121"/>
        <item x="157"/>
        <item x="303"/>
        <item x="155"/>
        <item x="390"/>
        <item x="273"/>
        <item x="263"/>
        <item x="444"/>
        <item x="412"/>
        <item x="268"/>
        <item x="300"/>
        <item x="119"/>
        <item x="373"/>
        <item x="458"/>
        <item x="243"/>
        <item x="135"/>
        <item x="74"/>
        <item x="358"/>
        <item x="408"/>
        <item x="24"/>
        <item x="159"/>
        <item x="26"/>
        <item x="288"/>
        <item x="447"/>
        <item x="105"/>
        <item x="222"/>
        <item x="19"/>
        <item x="290"/>
        <item x="424"/>
        <item x="315"/>
        <item x="327"/>
        <item x="443"/>
        <item x="326"/>
        <item x="147"/>
        <item x="295"/>
        <item x="465"/>
        <item x="449"/>
        <item x="417"/>
        <item x="32"/>
        <item x="451"/>
        <item x="177"/>
        <item x="102"/>
        <item x="332"/>
        <item x="249"/>
        <item x="212"/>
        <item x="345"/>
        <item x="392"/>
        <item x="149"/>
        <item x="38"/>
        <item x="73"/>
        <item x="426"/>
        <item x="180"/>
        <item x="214"/>
        <item x="355"/>
        <item x="325"/>
        <item x="99"/>
        <item x="190"/>
        <item x="232"/>
        <item x="167"/>
        <item x="200"/>
        <item x="141"/>
        <item x="192"/>
        <item x="462"/>
        <item x="399"/>
        <item x="170"/>
        <item x="1"/>
        <item x="89"/>
        <item x="287"/>
        <item x="267"/>
        <item x="48"/>
        <item x="434"/>
        <item x="45"/>
        <item x="199"/>
        <item x="347"/>
        <item x="40"/>
        <item x="60"/>
        <item x="223"/>
        <item x="400"/>
        <item x="47"/>
        <item x="152"/>
        <item x="296"/>
        <item x="387"/>
        <item x="116"/>
        <item x="298"/>
        <item x="385"/>
        <item x="336"/>
        <item x="218"/>
        <item x="130"/>
        <item x="54"/>
        <item x="349"/>
        <item x="70"/>
        <item x="76"/>
        <item x="455"/>
        <item x="126"/>
        <item x="98"/>
        <item x="363"/>
        <item x="25"/>
        <item x="110"/>
        <item x="403"/>
        <item x="15"/>
        <item x="133"/>
        <item x="128"/>
        <item x="351"/>
        <item x="5"/>
        <item x="29"/>
        <item x="460"/>
        <item x="311"/>
        <item x="259"/>
        <item x="10"/>
        <item x="106"/>
        <item x="328"/>
        <item x="266"/>
        <item x="194"/>
        <item x="172"/>
        <item x="189"/>
        <item x="95"/>
        <item x="50"/>
        <item x="312"/>
        <item x="448"/>
        <item x="187"/>
        <item x="445"/>
        <item x="123"/>
        <item x="53"/>
        <item x="168"/>
        <item x="236"/>
        <item x="470"/>
        <item x="330"/>
        <item x="340"/>
        <item x="329"/>
        <item x="124"/>
        <item x="396"/>
        <item x="265"/>
        <item x="397"/>
        <item x="246"/>
        <item x="11"/>
        <item x="3"/>
        <item x="97"/>
        <item x="253"/>
        <item x="338"/>
        <item x="302"/>
        <item x="307"/>
        <item x="28"/>
        <item x="264"/>
        <item x="248"/>
        <item x="436"/>
        <item x="80"/>
        <item x="371"/>
        <item x="230"/>
        <item x="271"/>
        <item x="357"/>
        <item x="52"/>
        <item x="220"/>
        <item x="464"/>
        <item x="163"/>
        <item x="68"/>
        <item x="415"/>
        <item x="56"/>
        <item x="86"/>
        <item x="142"/>
        <item x="398"/>
        <item x="452"/>
        <item x="383"/>
        <item x="428"/>
        <item x="79"/>
        <item x="59"/>
        <item x="279"/>
        <item x="216"/>
        <item x="18"/>
        <item x="406"/>
        <item x="374"/>
        <item x="269"/>
        <item x="322"/>
        <item x="8"/>
        <item x="109"/>
        <item x="337"/>
        <item x="55"/>
        <item x="41"/>
        <item x="454"/>
        <item x="361"/>
        <item x="87"/>
        <item x="229"/>
        <item x="21"/>
        <item x="319"/>
        <item x="226"/>
        <item x="341"/>
        <item x="262"/>
        <item x="35"/>
        <item x="309"/>
        <item x="113"/>
        <item x="242"/>
        <item x="461"/>
        <item x="204"/>
        <item x="112"/>
        <item x="215"/>
        <item x="466"/>
        <item x="441"/>
        <item x="193"/>
        <item x="17"/>
        <item x="30"/>
        <item x="191"/>
        <item x="217"/>
        <item x="120"/>
        <item x="372"/>
        <item x="91"/>
        <item x="314"/>
        <item x="93"/>
        <item x="83"/>
        <item x="150"/>
        <item x="425"/>
        <item x="422"/>
        <item x="404"/>
        <item x="209"/>
        <item x="378"/>
        <item x="252"/>
        <item x="344"/>
        <item x="313"/>
        <item x="231"/>
        <item x="58"/>
        <item x="323"/>
        <item x="16"/>
        <item x="166"/>
        <item x="446"/>
        <item x="324"/>
        <item x="201"/>
        <item x="342"/>
        <item x="281"/>
        <item x="138"/>
        <item x="13"/>
        <item x="394"/>
        <item t="default"/>
      </items>
    </pivotField>
    <pivotField compact="0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281"/>
        <item x="82"/>
        <item x="88"/>
        <item x="530"/>
        <item x="108"/>
        <item x="246"/>
        <item x="229"/>
        <item x="6"/>
        <item x="50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325"/>
        <item x="433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72"/>
        <item x="326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603"/>
        <item x="73"/>
        <item x="253"/>
        <item x="598"/>
        <item x="267"/>
        <item x="205"/>
        <item x="409"/>
        <item x="592"/>
        <item x="45"/>
        <item x="276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457"/>
        <item x="237"/>
        <item x="416"/>
        <item x="258"/>
        <item x="403"/>
        <item x="600"/>
        <item x="500"/>
        <item x="89"/>
        <item x="589"/>
        <item x="51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68"/>
        <item x="161"/>
        <item x="327"/>
        <item x="472"/>
        <item x="320"/>
        <item x="181"/>
        <item x="502"/>
        <item x="529"/>
        <item x="314"/>
        <item x="190"/>
        <item x="182"/>
        <item x="293"/>
        <item x="124"/>
        <item x="331"/>
        <item x="135"/>
        <item x="302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29"/>
        <item x="524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163"/>
        <item x="342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273"/>
        <item x="282"/>
        <item x="588"/>
        <item x="142"/>
        <item x="32"/>
        <item x="248"/>
        <item x="548"/>
        <item x="245"/>
        <item x="146"/>
        <item x="557"/>
        <item x="427"/>
        <item x="153"/>
        <item x="379"/>
        <item x="452"/>
        <item x="101"/>
        <item x="61"/>
        <item x="544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625"/>
        <item x="166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0"/>
        <item x="546"/>
        <item x="279"/>
        <item x="266"/>
        <item x="65"/>
        <item x="207"/>
        <item x="341"/>
        <item x="565"/>
        <item x="121"/>
        <item x="22"/>
        <item x="208"/>
        <item x="366"/>
        <item x="455"/>
        <item x="450"/>
        <item x="49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551"/>
        <item x="610"/>
        <item x="521"/>
        <item x="150"/>
        <item x="386"/>
        <item x="90"/>
        <item x="251"/>
        <item x="294"/>
        <item x="255"/>
        <item x="478"/>
        <item x="286"/>
        <item x="20"/>
        <item x="393"/>
        <item x="28"/>
        <item x="83"/>
        <item x="453"/>
        <item x="1"/>
        <item x="584"/>
        <item x="408"/>
        <item x="80"/>
        <item x="572"/>
        <item x="365"/>
        <item x="473"/>
        <item x="319"/>
        <item x="212"/>
        <item x="439"/>
        <item x="458"/>
        <item x="405"/>
        <item x="396"/>
        <item x="120"/>
        <item x="71"/>
        <item x="156"/>
        <item x="259"/>
        <item x="189"/>
        <item x="483"/>
        <item x="406"/>
        <item x="254"/>
        <item x="35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486"/>
        <item x="183"/>
        <item x="567"/>
        <item x="347"/>
        <item x="187"/>
        <item x="191"/>
        <item x="606"/>
        <item x="467"/>
        <item x="627"/>
        <item x="513"/>
        <item x="206"/>
        <item x="528"/>
        <item x="413"/>
        <item x="96"/>
        <item x="172"/>
        <item x="599"/>
        <item x="378"/>
        <item x="568"/>
        <item x="152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8"/>
        <item x="137"/>
        <item x="75"/>
        <item x="374"/>
        <item x="481"/>
        <item x="373"/>
        <item x="235"/>
        <item x="470"/>
        <item x="352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556"/>
        <item x="477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dataField="1"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2" showAll="0">
      <items count="241">
        <item x="32"/>
        <item x="186"/>
        <item x="39"/>
        <item x="213"/>
        <item x="38"/>
        <item x="187"/>
        <item x="78"/>
        <item x="192"/>
        <item x="180"/>
        <item x="141"/>
        <item x="98"/>
        <item x="152"/>
        <item x="188"/>
        <item x="99"/>
        <item x="131"/>
        <item x="60"/>
        <item x="196"/>
        <item x="47"/>
        <item x="114"/>
        <item x="208"/>
        <item x="10"/>
        <item x="229"/>
        <item x="101"/>
        <item x="27"/>
        <item x="63"/>
        <item x="185"/>
        <item x="179"/>
        <item x="150"/>
        <item x="1"/>
        <item x="127"/>
        <item x="146"/>
        <item x="126"/>
        <item x="219"/>
        <item x="81"/>
        <item x="218"/>
        <item x="206"/>
        <item x="154"/>
        <item x="224"/>
        <item x="95"/>
        <item x="226"/>
        <item x="205"/>
        <item x="156"/>
        <item x="64"/>
        <item x="209"/>
        <item x="122"/>
        <item x="125"/>
        <item x="184"/>
        <item x="227"/>
        <item x="231"/>
        <item x="164"/>
        <item x="43"/>
        <item x="52"/>
        <item x="89"/>
        <item x="138"/>
        <item x="46"/>
        <item x="113"/>
        <item x="123"/>
        <item x="6"/>
        <item x="96"/>
        <item x="200"/>
        <item x="234"/>
        <item x="50"/>
        <item x="68"/>
        <item x="36"/>
        <item x="61"/>
        <item x="56"/>
        <item x="49"/>
        <item x="14"/>
        <item x="34"/>
        <item x="109"/>
        <item x="77"/>
        <item x="92"/>
        <item x="119"/>
        <item x="168"/>
        <item x="29"/>
        <item x="158"/>
        <item x="121"/>
        <item x="145"/>
        <item x="236"/>
        <item x="191"/>
        <item x="35"/>
        <item x="20"/>
        <item x="151"/>
        <item x="214"/>
        <item x="222"/>
        <item x="159"/>
        <item x="199"/>
        <item x="62"/>
        <item x="73"/>
        <item x="233"/>
        <item x="128"/>
        <item x="183"/>
        <item x="85"/>
        <item x="163"/>
        <item x="130"/>
        <item x="67"/>
        <item x="169"/>
        <item x="124"/>
        <item x="216"/>
        <item x="135"/>
        <item x="153"/>
        <item x="100"/>
        <item x="211"/>
        <item x="8"/>
        <item x="134"/>
        <item x="5"/>
        <item x="33"/>
        <item x="182"/>
        <item x="40"/>
        <item x="16"/>
        <item x="55"/>
        <item x="172"/>
        <item x="76"/>
        <item x="115"/>
        <item x="22"/>
        <item x="162"/>
        <item x="79"/>
        <item x="28"/>
        <item x="160"/>
        <item x="59"/>
        <item x="110"/>
        <item x="193"/>
        <item x="2"/>
        <item x="147"/>
        <item x="48"/>
        <item x="30"/>
        <item x="137"/>
        <item x="108"/>
        <item x="37"/>
        <item x="21"/>
        <item x="217"/>
        <item x="80"/>
        <item x="155"/>
        <item x="176"/>
        <item x="17"/>
        <item x="44"/>
        <item x="83"/>
        <item x="144"/>
        <item x="161"/>
        <item x="58"/>
        <item x="139"/>
        <item x="0"/>
        <item x="93"/>
        <item x="45"/>
        <item x="13"/>
        <item x="84"/>
        <item x="103"/>
        <item x="157"/>
        <item x="194"/>
        <item x="51"/>
        <item x="65"/>
        <item x="175"/>
        <item x="189"/>
        <item x="136"/>
        <item x="26"/>
        <item x="167"/>
        <item x="72"/>
        <item x="197"/>
        <item x="201"/>
        <item x="235"/>
        <item x="71"/>
        <item x="149"/>
        <item x="11"/>
        <item x="228"/>
        <item x="142"/>
        <item x="75"/>
        <item x="118"/>
        <item x="171"/>
        <item x="24"/>
        <item x="170"/>
        <item x="23"/>
        <item x="148"/>
        <item x="25"/>
        <item x="202"/>
        <item x="225"/>
        <item x="102"/>
        <item x="237"/>
        <item x="166"/>
        <item x="116"/>
        <item x="204"/>
        <item x="174"/>
        <item x="42"/>
        <item x="12"/>
        <item x="91"/>
        <item x="3"/>
        <item x="86"/>
        <item x="66"/>
        <item x="88"/>
        <item x="54"/>
        <item x="143"/>
        <item x="70"/>
        <item x="178"/>
        <item x="203"/>
        <item x="94"/>
        <item x="239"/>
        <item x="165"/>
        <item x="195"/>
        <item x="90"/>
        <item x="120"/>
        <item x="132"/>
        <item x="232"/>
        <item x="112"/>
        <item x="223"/>
        <item x="129"/>
        <item x="53"/>
        <item x="221"/>
        <item x="57"/>
        <item x="220"/>
        <item x="105"/>
        <item x="230"/>
        <item x="87"/>
        <item x="177"/>
        <item x="210"/>
        <item x="190"/>
        <item x="15"/>
        <item x="31"/>
        <item x="41"/>
        <item x="74"/>
        <item x="198"/>
        <item x="7"/>
        <item x="69"/>
        <item x="133"/>
        <item x="212"/>
        <item x="181"/>
        <item x="107"/>
        <item x="117"/>
        <item x="104"/>
        <item x="111"/>
        <item x="207"/>
        <item x="106"/>
        <item x="215"/>
        <item x="173"/>
        <item x="82"/>
        <item x="18"/>
        <item x="97"/>
        <item x="19"/>
        <item x="9"/>
        <item x="140"/>
        <item x="238"/>
        <item x="4"/>
        <item t="default"/>
      </items>
    </pivotField>
    <pivotField compact="0" showAll="0">
      <items count="34">
        <item x="11"/>
        <item x="19"/>
        <item x="18"/>
        <item x="24"/>
        <item x="20"/>
        <item x="28"/>
        <item x="26"/>
        <item x="5"/>
        <item x="2"/>
        <item x="31"/>
        <item x="25"/>
        <item x="4"/>
        <item x="8"/>
        <item x="9"/>
        <item x="23"/>
        <item x="13"/>
        <item x="12"/>
        <item x="22"/>
        <item x="16"/>
        <item x="15"/>
        <item x="21"/>
        <item x="0"/>
        <item x="3"/>
        <item x="14"/>
        <item x="6"/>
        <item x="7"/>
        <item x="30"/>
        <item x="17"/>
        <item x="32"/>
        <item x="1"/>
        <item x="27"/>
        <item x="29"/>
        <item x="10"/>
        <item t="default"/>
      </items>
    </pivotField>
    <pivotField compact="0" showAll="0">
      <items count="12">
        <item x="2"/>
        <item x="0"/>
        <item x="3"/>
        <item x="7"/>
        <item x="4"/>
        <item x="5"/>
        <item x="9"/>
        <item x="8"/>
        <item x="6"/>
        <item x="10"/>
        <item x="1"/>
        <item t="default"/>
      </items>
    </pivotField>
    <pivotField compact="0" showAll="0">
      <items count="46">
        <item x="0"/>
        <item x="13"/>
        <item x="2"/>
        <item x="16"/>
        <item x="6"/>
        <item x="3"/>
        <item x="1"/>
        <item x="42"/>
        <item x="33"/>
        <item x="25"/>
        <item x="20"/>
        <item x="10"/>
        <item x="30"/>
        <item x="7"/>
        <item x="41"/>
        <item x="19"/>
        <item x="4"/>
        <item x="44"/>
        <item x="26"/>
        <item x="36"/>
        <item x="15"/>
        <item x="40"/>
        <item x="24"/>
        <item x="38"/>
        <item x="23"/>
        <item x="14"/>
        <item x="43"/>
        <item x="5"/>
        <item x="18"/>
        <item x="34"/>
        <item x="29"/>
        <item x="35"/>
        <item x="32"/>
        <item x="9"/>
        <item x="27"/>
        <item x="17"/>
        <item x="11"/>
        <item x="28"/>
        <item x="8"/>
        <item x="37"/>
        <item x="22"/>
        <item x="12"/>
        <item x="21"/>
        <item x="31"/>
        <item x="3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numFmtId="58" showAll="0">
      <items count="12">
        <item x="2"/>
        <item x="10"/>
        <item x="6"/>
        <item x="8"/>
        <item x="9"/>
        <item x="1"/>
        <item x="7"/>
        <item x="0"/>
        <item x="4"/>
        <item x="3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0" showAll="0">
      <items count="204">
        <item x="4"/>
        <item x="129"/>
        <item x="9"/>
        <item x="19"/>
        <item x="91"/>
        <item x="18"/>
        <item x="76"/>
        <item x="156"/>
        <item x="187"/>
        <item x="98"/>
        <item x="182"/>
        <item x="103"/>
        <item x="96"/>
        <item x="107"/>
        <item x="99"/>
        <item x="163"/>
        <item x="122"/>
        <item x="64"/>
        <item x="7"/>
        <item x="173"/>
        <item x="69"/>
        <item x="38"/>
        <item x="31"/>
        <item x="15"/>
        <item x="168"/>
        <item x="184"/>
        <item x="160"/>
        <item x="81"/>
        <item x="196"/>
        <item x="97"/>
        <item x="190"/>
        <item x="53"/>
        <item x="191"/>
        <item x="49"/>
        <item x="119"/>
        <item x="104"/>
        <item x="198"/>
        <item x="121"/>
        <item x="110"/>
        <item x="84"/>
        <item x="172"/>
        <item x="149"/>
        <item x="202"/>
        <item x="88"/>
        <item x="178"/>
        <item x="161"/>
        <item x="65"/>
        <item x="131"/>
        <item x="50"/>
        <item x="82"/>
        <item x="61"/>
        <item x="80"/>
        <item x="3"/>
        <item x="85"/>
        <item x="12"/>
        <item x="39"/>
        <item x="157"/>
        <item x="179"/>
        <item x="106"/>
        <item x="150"/>
        <item x="201"/>
        <item x="94"/>
        <item x="177"/>
        <item x="25"/>
        <item x="135"/>
        <item x="23"/>
        <item x="153"/>
        <item x="24"/>
        <item x="154"/>
        <item x="108"/>
        <item x="70"/>
        <item x="130"/>
        <item x="11"/>
        <item x="136"/>
        <item x="66"/>
        <item x="199"/>
        <item x="176"/>
        <item x="67"/>
        <item x="151"/>
        <item x="26"/>
        <item x="125"/>
        <item x="158"/>
        <item x="60"/>
        <item x="47"/>
        <item x="171"/>
        <item x="95"/>
        <item x="78"/>
        <item x="13"/>
        <item x="42"/>
        <item x="87"/>
        <item x="0"/>
        <item x="128"/>
        <item x="54"/>
        <item x="145"/>
        <item x="132"/>
        <item x="77"/>
        <item x="41"/>
        <item x="17"/>
        <item x="159"/>
        <item x="140"/>
        <item x="74"/>
        <item x="188"/>
        <item x="21"/>
        <item x="36"/>
        <item x="100"/>
        <item x="126"/>
        <item x="30"/>
        <item x="44"/>
        <item x="2"/>
        <item x="170"/>
        <item x="102"/>
        <item x="55"/>
        <item x="144"/>
        <item x="28"/>
        <item x="73"/>
        <item x="146"/>
        <item x="22"/>
        <item x="71"/>
        <item x="155"/>
        <item x="51"/>
        <item x="16"/>
        <item x="37"/>
        <item x="164"/>
        <item x="32"/>
        <item x="5"/>
        <item x="123"/>
        <item x="8"/>
        <item x="185"/>
        <item x="92"/>
        <item x="124"/>
        <item x="114"/>
        <item x="62"/>
        <item x="120"/>
        <item x="147"/>
        <item x="79"/>
        <item x="165"/>
        <item x="118"/>
        <item x="68"/>
        <item x="57"/>
        <item x="174"/>
        <item x="143"/>
        <item x="186"/>
        <item x="138"/>
        <item x="20"/>
        <item x="34"/>
        <item x="169"/>
        <item x="200"/>
        <item x="133"/>
        <item x="111"/>
        <item x="142"/>
        <item x="29"/>
        <item x="152"/>
        <item x="109"/>
        <item x="86"/>
        <item x="72"/>
        <item x="101"/>
        <item x="33"/>
        <item x="14"/>
        <item x="45"/>
        <item x="52"/>
        <item x="56"/>
        <item x="35"/>
        <item x="63"/>
        <item x="46"/>
        <item x="175"/>
        <item x="90"/>
        <item x="6"/>
        <item x="113"/>
        <item x="105"/>
        <item x="43"/>
        <item x="127"/>
        <item x="83"/>
        <item x="48"/>
        <item x="40"/>
        <item x="148"/>
        <item x="197"/>
        <item x="194"/>
        <item x="166"/>
        <item x="115"/>
        <item x="112"/>
        <item x="183"/>
        <item x="59"/>
        <item x="141"/>
        <item x="180"/>
        <item x="193"/>
        <item x="89"/>
        <item x="192"/>
        <item x="139"/>
        <item x="181"/>
        <item x="75"/>
        <item x="189"/>
        <item x="116"/>
        <item x="134"/>
        <item x="117"/>
        <item x="1"/>
        <item x="137"/>
        <item x="162"/>
        <item x="167"/>
        <item x="58"/>
        <item x="27"/>
        <item x="93"/>
        <item x="195"/>
        <item x="10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179" showAll="0">
      <items count="632">
        <item x="616"/>
        <item x="2"/>
        <item x="57"/>
        <item x="179"/>
        <item x="111"/>
        <item x="297"/>
        <item x="285"/>
        <item x="171"/>
        <item x="492"/>
        <item x="95"/>
        <item x="53"/>
        <item x="630"/>
        <item x="176"/>
        <item x="585"/>
        <item x="388"/>
        <item x="574"/>
        <item x="105"/>
        <item x="82"/>
        <item x="531"/>
        <item x="108"/>
        <item x="262"/>
        <item x="118"/>
        <item x="246"/>
        <item x="530"/>
        <item x="88"/>
        <item x="50"/>
        <item x="229"/>
        <item x="281"/>
        <item x="6"/>
        <item x="322"/>
        <item x="417"/>
        <item x="242"/>
        <item x="115"/>
        <item x="571"/>
        <item x="126"/>
        <item x="518"/>
        <item x="310"/>
        <item x="220"/>
        <item x="460"/>
        <item x="475"/>
        <item x="516"/>
        <item x="619"/>
        <item x="601"/>
        <item x="290"/>
        <item x="353"/>
        <item x="340"/>
        <item x="138"/>
        <item x="113"/>
        <item x="489"/>
        <item x="304"/>
        <item x="86"/>
        <item x="107"/>
        <item x="459"/>
        <item x="25"/>
        <item x="210"/>
        <item x="581"/>
        <item x="463"/>
        <item x="550"/>
        <item x="462"/>
        <item x="444"/>
        <item x="433"/>
        <item x="173"/>
        <item x="411"/>
        <item x="123"/>
        <item x="608"/>
        <item x="112"/>
        <item x="525"/>
        <item x="346"/>
        <item x="216"/>
        <item x="168"/>
        <item x="620"/>
        <item x="325"/>
        <item x="256"/>
        <item x="52"/>
        <item x="390"/>
        <item x="329"/>
        <item x="431"/>
        <item x="127"/>
        <item x="465"/>
        <item x="607"/>
        <item x="438"/>
        <item x="231"/>
        <item x="5"/>
        <item x="244"/>
        <item x="317"/>
        <item x="337"/>
        <item x="596"/>
        <item x="343"/>
        <item x="296"/>
        <item x="539"/>
        <item x="569"/>
        <item x="132"/>
        <item x="510"/>
        <item x="38"/>
        <item x="145"/>
        <item x="247"/>
        <item x="306"/>
        <item x="326"/>
        <item x="238"/>
        <item x="583"/>
        <item x="27"/>
        <item x="507"/>
        <item x="193"/>
        <item x="284"/>
        <item x="26"/>
        <item x="487"/>
        <item x="461"/>
        <item x="357"/>
        <item x="372"/>
        <item x="349"/>
        <item x="369"/>
        <item x="151"/>
        <item x="4"/>
        <item x="476"/>
        <item x="564"/>
        <item x="295"/>
        <item x="578"/>
        <item x="257"/>
        <item x="192"/>
        <item x="597"/>
        <item x="130"/>
        <item x="178"/>
        <item x="136"/>
        <item x="239"/>
        <item x="221"/>
        <item x="368"/>
        <item x="58"/>
        <item x="570"/>
        <item x="407"/>
        <item x="494"/>
        <item x="200"/>
        <item x="542"/>
        <item x="480"/>
        <item x="56"/>
        <item x="360"/>
        <item x="545"/>
        <item x="185"/>
        <item x="333"/>
        <item x="0"/>
        <item x="78"/>
        <item x="11"/>
        <item x="313"/>
        <item x="73"/>
        <item x="626"/>
        <item x="482"/>
        <item x="485"/>
        <item x="512"/>
        <item x="3"/>
        <item x="402"/>
        <item x="232"/>
        <item x="409"/>
        <item x="97"/>
        <item x="81"/>
        <item x="307"/>
        <item x="603"/>
        <item x="93"/>
        <item x="226"/>
        <item x="435"/>
        <item x="332"/>
        <item x="160"/>
        <item x="592"/>
        <item x="117"/>
        <item x="51"/>
        <item x="230"/>
        <item x="446"/>
        <item x="303"/>
        <item x="442"/>
        <item x="102"/>
        <item x="598"/>
        <item x="484"/>
        <item x="276"/>
        <item x="580"/>
        <item x="100"/>
        <item x="70"/>
        <item x="523"/>
        <item x="253"/>
        <item x="217"/>
        <item x="377"/>
        <item x="34"/>
        <item x="490"/>
        <item x="237"/>
        <item x="205"/>
        <item x="577"/>
        <item x="560"/>
        <item x="167"/>
        <item x="74"/>
        <item x="410"/>
        <item x="267"/>
        <item x="211"/>
        <item x="604"/>
        <item x="14"/>
        <item x="177"/>
        <item x="270"/>
        <item x="45"/>
        <item x="327"/>
        <item x="579"/>
        <item x="155"/>
        <item x="269"/>
        <item x="331"/>
        <item x="436"/>
        <item x="292"/>
        <item x="519"/>
        <item x="500"/>
        <item x="228"/>
        <item x="600"/>
        <item x="320"/>
        <item x="491"/>
        <item x="362"/>
        <item x="258"/>
        <item x="13"/>
        <item x="457"/>
        <item x="268"/>
        <item x="181"/>
        <item x="129"/>
        <item x="215"/>
        <item x="535"/>
        <item x="403"/>
        <item x="213"/>
        <item x="456"/>
        <item x="149"/>
        <item x="416"/>
        <item x="302"/>
        <item x="595"/>
        <item x="161"/>
        <item x="261"/>
        <item x="140"/>
        <item x="508"/>
        <item x="89"/>
        <item x="524"/>
        <item x="472"/>
        <item x="131"/>
        <item x="197"/>
        <item x="593"/>
        <item x="562"/>
        <item x="274"/>
        <item x="188"/>
        <item x="24"/>
        <item x="502"/>
        <item x="497"/>
        <item x="67"/>
        <item x="182"/>
        <item x="190"/>
        <item x="330"/>
        <item x="314"/>
        <item x="293"/>
        <item x="278"/>
        <item x="154"/>
        <item x="124"/>
        <item x="170"/>
        <item x="68"/>
        <item x="589"/>
        <item x="315"/>
        <item x="342"/>
        <item x="509"/>
        <item x="611"/>
        <item x="529"/>
        <item x="72"/>
        <item x="418"/>
        <item x="385"/>
        <item x="488"/>
        <item x="31"/>
        <item x="240"/>
        <item x="135"/>
        <item x="445"/>
        <item x="29"/>
        <item x="517"/>
        <item x="324"/>
        <item x="308"/>
        <item x="300"/>
        <item x="245"/>
        <item x="142"/>
        <item x="420"/>
        <item x="91"/>
        <item x="563"/>
        <item x="503"/>
        <item x="609"/>
        <item x="10"/>
        <item x="157"/>
        <item x="184"/>
        <item x="469"/>
        <item x="288"/>
        <item x="614"/>
        <item x="557"/>
        <item x="77"/>
        <item x="40"/>
        <item x="69"/>
        <item x="42"/>
        <item x="622"/>
        <item x="615"/>
        <item x="544"/>
        <item x="122"/>
        <item x="514"/>
        <item x="501"/>
        <item x="415"/>
        <item x="21"/>
        <item x="548"/>
        <item x="61"/>
        <item x="153"/>
        <item x="311"/>
        <item x="196"/>
        <item x="379"/>
        <item x="392"/>
        <item x="526"/>
        <item x="273"/>
        <item x="282"/>
        <item x="590"/>
        <item x="248"/>
        <item x="87"/>
        <item x="163"/>
        <item x="493"/>
        <item x="532"/>
        <item x="452"/>
        <item x="36"/>
        <item x="133"/>
        <item x="588"/>
        <item x="575"/>
        <item x="64"/>
        <item x="249"/>
        <item x="162"/>
        <item x="348"/>
        <item x="243"/>
        <item x="448"/>
        <item x="103"/>
        <item x="449"/>
        <item x="166"/>
        <item x="104"/>
        <item x="264"/>
        <item x="440"/>
        <item x="298"/>
        <item x="363"/>
        <item x="629"/>
        <item x="380"/>
        <item x="144"/>
        <item x="429"/>
        <item x="432"/>
        <item x="398"/>
        <item x="558"/>
        <item x="84"/>
        <item x="397"/>
        <item x="32"/>
        <item x="559"/>
        <item x="146"/>
        <item x="404"/>
        <item x="427"/>
        <item x="219"/>
        <item x="344"/>
        <item x="101"/>
        <item x="367"/>
        <item x="605"/>
        <item x="576"/>
        <item x="625"/>
        <item x="387"/>
        <item x="543"/>
        <item x="85"/>
        <item x="466"/>
        <item x="233"/>
        <item x="66"/>
        <item x="280"/>
        <item x="394"/>
        <item x="165"/>
        <item x="573"/>
        <item x="419"/>
        <item x="169"/>
        <item x="7"/>
        <item x="454"/>
        <item x="358"/>
        <item x="147"/>
        <item x="594"/>
        <item x="199"/>
        <item x="37"/>
        <item x="534"/>
        <item x="214"/>
        <item x="383"/>
        <item x="506"/>
        <item x="376"/>
        <item x="424"/>
        <item x="471"/>
        <item x="223"/>
        <item x="283"/>
        <item x="546"/>
        <item x="175"/>
        <item x="49"/>
        <item x="207"/>
        <item x="553"/>
        <item x="9"/>
        <item x="65"/>
        <item x="121"/>
        <item x="128"/>
        <item x="522"/>
        <item x="412"/>
        <item x="389"/>
        <item x="334"/>
        <item x="468"/>
        <item x="316"/>
        <item x="350"/>
        <item x="498"/>
        <item x="227"/>
        <item x="370"/>
        <item x="401"/>
        <item x="234"/>
        <item x="400"/>
        <item x="279"/>
        <item x="250"/>
        <item x="565"/>
        <item x="266"/>
        <item x="251"/>
        <item x="399"/>
        <item x="208"/>
        <item x="43"/>
        <item x="1"/>
        <item x="260"/>
        <item x="610"/>
        <item x="209"/>
        <item x="80"/>
        <item x="414"/>
        <item x="613"/>
        <item x="366"/>
        <item x="396"/>
        <item x="551"/>
        <item x="35"/>
        <item x="289"/>
        <item x="255"/>
        <item x="572"/>
        <item x="473"/>
        <item x="90"/>
        <item x="189"/>
        <item x="365"/>
        <item x="540"/>
        <item x="450"/>
        <item x="386"/>
        <item x="393"/>
        <item x="20"/>
        <item x="286"/>
        <item x="341"/>
        <item x="92"/>
        <item x="28"/>
        <item x="552"/>
        <item x="71"/>
        <item x="22"/>
        <item x="499"/>
        <item x="537"/>
        <item x="294"/>
        <item x="439"/>
        <item x="455"/>
        <item x="83"/>
        <item x="426"/>
        <item x="406"/>
        <item x="150"/>
        <item x="224"/>
        <item x="364"/>
        <item x="12"/>
        <item x="443"/>
        <item x="195"/>
        <item x="483"/>
        <item x="159"/>
        <item x="384"/>
        <item x="515"/>
        <item x="319"/>
        <item x="405"/>
        <item x="521"/>
        <item x="478"/>
        <item x="584"/>
        <item x="259"/>
        <item x="120"/>
        <item x="453"/>
        <item x="354"/>
        <item x="291"/>
        <item x="408"/>
        <item x="106"/>
        <item x="451"/>
        <item x="19"/>
        <item x="156"/>
        <item x="254"/>
        <item x="212"/>
        <item x="437"/>
        <item x="458"/>
        <item x="191"/>
        <item x="114"/>
        <item x="23"/>
        <item x="567"/>
        <item x="586"/>
        <item x="617"/>
        <item x="496"/>
        <item x="467"/>
        <item x="201"/>
        <item x="252"/>
        <item x="203"/>
        <item x="299"/>
        <item x="143"/>
        <item x="15"/>
        <item x="323"/>
        <item x="204"/>
        <item x="30"/>
        <item x="63"/>
        <item x="183"/>
        <item x="351"/>
        <item x="186"/>
        <item x="287"/>
        <item x="98"/>
        <item x="347"/>
        <item x="474"/>
        <item x="434"/>
        <item x="33"/>
        <item x="134"/>
        <item x="109"/>
        <item x="60"/>
        <item x="328"/>
        <item x="338"/>
        <item x="187"/>
        <item x="335"/>
        <item x="206"/>
        <item x="218"/>
        <item x="486"/>
        <item x="606"/>
        <item x="158"/>
        <item x="339"/>
        <item x="272"/>
        <item x="422"/>
        <item x="152"/>
        <item x="55"/>
        <item x="549"/>
        <item x="110"/>
        <item x="621"/>
        <item x="425"/>
        <item x="225"/>
        <item x="541"/>
        <item x="495"/>
        <item x="309"/>
        <item x="194"/>
        <item x="373"/>
        <item x="441"/>
        <item x="413"/>
        <item x="172"/>
        <item x="54"/>
        <item x="547"/>
        <item x="141"/>
        <item x="371"/>
        <item x="504"/>
        <item x="44"/>
        <item x="624"/>
        <item x="627"/>
        <item x="76"/>
        <item x="561"/>
        <item x="378"/>
        <item x="513"/>
        <item x="528"/>
        <item x="554"/>
        <item x="41"/>
        <item x="59"/>
        <item x="599"/>
        <item x="241"/>
        <item x="96"/>
        <item x="568"/>
        <item x="48"/>
        <item x="271"/>
        <item x="505"/>
        <item x="352"/>
        <item x="277"/>
        <item x="359"/>
        <item x="16"/>
        <item x="75"/>
        <item x="137"/>
        <item x="47"/>
        <item x="481"/>
        <item x="470"/>
        <item x="235"/>
        <item x="381"/>
        <item x="17"/>
        <item x="374"/>
        <item x="336"/>
        <item x="265"/>
        <item x="18"/>
        <item x="119"/>
        <item x="321"/>
        <item x="301"/>
        <item x="602"/>
        <item x="263"/>
        <item x="312"/>
        <item x="628"/>
        <item x="479"/>
        <item x="582"/>
        <item x="39"/>
        <item x="428"/>
        <item x="180"/>
        <item x="618"/>
        <item x="477"/>
        <item x="533"/>
        <item x="148"/>
        <item x="305"/>
        <item x="94"/>
        <item x="375"/>
        <item x="355"/>
        <item x="566"/>
        <item x="447"/>
        <item x="555"/>
        <item x="382"/>
        <item x="202"/>
        <item x="356"/>
        <item x="623"/>
        <item x="511"/>
        <item x="556"/>
        <item x="536"/>
        <item x="591"/>
        <item x="99"/>
        <item x="318"/>
        <item x="198"/>
        <item x="391"/>
        <item x="395"/>
        <item x="430"/>
        <item x="423"/>
        <item x="527"/>
        <item x="79"/>
        <item x="8"/>
        <item x="520"/>
        <item x="125"/>
        <item x="116"/>
        <item x="538"/>
        <item x="222"/>
        <item x="587"/>
        <item x="62"/>
        <item x="345"/>
        <item x="275"/>
        <item x="612"/>
        <item x="361"/>
        <item x="464"/>
        <item x="164"/>
        <item x="139"/>
        <item x="174"/>
        <item x="421"/>
        <item x="46"/>
        <item x="236"/>
        <item t="default"/>
      </items>
    </pivotField>
    <pivotField compact="0" numFmtId="179" showAll="0">
      <items count="632">
        <item x="57"/>
        <item x="616"/>
        <item x="1"/>
        <item x="2"/>
        <item x="384"/>
        <item x="625"/>
        <item x="422"/>
        <item x="264"/>
        <item x="10"/>
        <item x="496"/>
        <item x="559"/>
        <item x="186"/>
        <item x="131"/>
        <item x="133"/>
        <item x="191"/>
        <item x="288"/>
        <item x="406"/>
        <item x="64"/>
        <item x="500"/>
        <item x="71"/>
        <item x="621"/>
        <item x="243"/>
        <item x="124"/>
        <item x="382"/>
        <item x="149"/>
        <item x="387"/>
        <item x="195"/>
        <item x="54"/>
        <item x="258"/>
        <item x="72"/>
        <item x="396"/>
        <item x="415"/>
        <item x="589"/>
        <item x="228"/>
        <item x="383"/>
        <item x="65"/>
        <item x="491"/>
        <item x="80"/>
        <item x="97"/>
        <item x="151"/>
        <item x="104"/>
        <item x="51"/>
        <item x="476"/>
        <item x="360"/>
        <item x="403"/>
        <item x="223"/>
        <item x="600"/>
        <item x="604"/>
        <item x="251"/>
        <item x="121"/>
        <item x="13"/>
        <item x="35"/>
        <item x="448"/>
        <item x="362"/>
        <item x="165"/>
        <item x="166"/>
        <item x="320"/>
        <item x="15"/>
        <item x="389"/>
        <item x="617"/>
        <item x="130"/>
        <item x="145"/>
        <item x="511"/>
        <item x="426"/>
        <item x="192"/>
        <item x="539"/>
        <item x="199"/>
        <item x="298"/>
        <item x="573"/>
        <item x="337"/>
        <item x="302"/>
        <item x="189"/>
        <item x="456"/>
        <item x="26"/>
        <item x="84"/>
        <item x="401"/>
        <item x="431"/>
        <item x="542"/>
        <item x="122"/>
        <item x="100"/>
        <item x="67"/>
        <item x="372"/>
        <item x="267"/>
        <item x="85"/>
        <item x="410"/>
        <item x="93"/>
        <item x="592"/>
        <item x="605"/>
        <item x="237"/>
        <item x="3"/>
        <item x="407"/>
        <item x="141"/>
        <item x="316"/>
        <item x="544"/>
        <item x="332"/>
        <item x="274"/>
        <item x="400"/>
        <item x="234"/>
        <item x="211"/>
        <item x="9"/>
        <item x="215"/>
        <item x="200"/>
        <item x="34"/>
        <item x="113"/>
        <item x="560"/>
        <item x="565"/>
        <item x="178"/>
        <item x="197"/>
        <item x="136"/>
        <item x="233"/>
        <item x="509"/>
        <item x="433"/>
        <item x="484"/>
        <item x="14"/>
        <item x="115"/>
        <item x="350"/>
        <item x="214"/>
        <item x="183"/>
        <item x="154"/>
        <item x="268"/>
        <item x="380"/>
        <item x="52"/>
        <item x="363"/>
        <item x="322"/>
        <item x="611"/>
        <item x="284"/>
        <item x="579"/>
        <item x="529"/>
        <item x="392"/>
        <item x="86"/>
        <item x="357"/>
        <item x="229"/>
        <item x="608"/>
        <item x="318"/>
        <item x="58"/>
        <item x="399"/>
        <item x="138"/>
        <item x="518"/>
        <item x="176"/>
        <item x="364"/>
        <item x="425"/>
        <item x="126"/>
        <item x="374"/>
        <item x="73"/>
        <item x="475"/>
        <item x="461"/>
        <item x="553"/>
        <item x="83"/>
        <item x="226"/>
        <item x="630"/>
        <item x="368"/>
        <item x="503"/>
        <item x="169"/>
        <item x="108"/>
        <item x="247"/>
        <item x="53"/>
        <item x="262"/>
        <item x="161"/>
        <item x="531"/>
        <item x="188"/>
        <item x="310"/>
        <item x="105"/>
        <item x="530"/>
        <item x="297"/>
        <item x="135"/>
        <item x="525"/>
        <item x="285"/>
        <item x="50"/>
        <item x="95"/>
        <item x="111"/>
        <item x="179"/>
        <item x="256"/>
        <item x="171"/>
        <item x="574"/>
        <item x="207"/>
        <item x="281"/>
        <item x="575"/>
        <item x="492"/>
        <item x="563"/>
        <item x="519"/>
        <item x="220"/>
        <item x="235"/>
        <item x="242"/>
        <item x="6"/>
        <item x="535"/>
        <item x="601"/>
        <item x="88"/>
        <item x="29"/>
        <item x="306"/>
        <item x="82"/>
        <item x="118"/>
        <item x="460"/>
        <item x="416"/>
        <item x="609"/>
        <item x="585"/>
        <item x="394"/>
        <item x="619"/>
        <item x="388"/>
        <item x="417"/>
        <item x="462"/>
        <item x="246"/>
        <item x="5"/>
        <item x="290"/>
        <item x="459"/>
        <item x="210"/>
        <item x="313"/>
        <item x="74"/>
        <item x="349"/>
        <item x="184"/>
        <item x="173"/>
        <item x="590"/>
        <item x="446"/>
        <item x="38"/>
        <item x="112"/>
        <item x="571"/>
        <item x="487"/>
        <item x="168"/>
        <item x="340"/>
        <item x="438"/>
        <item x="516"/>
        <item x="25"/>
        <item x="510"/>
        <item x="607"/>
        <item x="123"/>
        <item x="379"/>
        <item x="411"/>
        <item x="489"/>
        <item x="296"/>
        <item x="193"/>
        <item x="353"/>
        <item x="581"/>
        <item x="437"/>
        <item x="405"/>
        <item x="434"/>
        <item x="269"/>
        <item x="463"/>
        <item x="512"/>
        <item x="167"/>
        <item x="342"/>
        <item x="317"/>
        <item x="231"/>
        <item x="245"/>
        <item x="248"/>
        <item x="238"/>
        <item x="217"/>
        <item x="577"/>
        <item x="482"/>
        <item x="132"/>
        <item x="326"/>
        <item x="107"/>
        <item x="622"/>
        <item x="185"/>
        <item x="570"/>
        <item x="369"/>
        <item x="550"/>
        <item x="293"/>
        <item x="381"/>
        <item x="444"/>
        <item x="418"/>
        <item x="62"/>
        <item x="597"/>
        <item x="324"/>
        <item x="398"/>
        <item x="150"/>
        <item x="43"/>
        <item x="427"/>
        <item x="216"/>
        <item x="304"/>
        <item x="205"/>
        <item x="583"/>
        <item x="346"/>
        <item x="239"/>
        <item x="325"/>
        <item x="160"/>
        <item x="620"/>
        <item x="78"/>
        <item x="127"/>
        <item x="386"/>
        <item x="618"/>
        <item x="153"/>
        <item x="409"/>
        <item x="465"/>
        <item x="194"/>
        <item x="295"/>
        <item x="270"/>
        <item x="329"/>
        <item x="11"/>
        <item x="244"/>
        <item x="390"/>
        <item x="598"/>
        <item x="69"/>
        <item x="548"/>
        <item x="240"/>
        <item x="440"/>
        <item x="376"/>
        <item x="507"/>
        <item x="614"/>
        <item x="596"/>
        <item x="307"/>
        <item x="526"/>
        <item x="283"/>
        <item x="569"/>
        <item x="48"/>
        <item x="257"/>
        <item x="343"/>
        <item x="261"/>
        <item x="370"/>
        <item x="142"/>
        <item x="485"/>
        <item x="523"/>
        <item x="263"/>
        <item x="4"/>
        <item x="56"/>
        <item x="271"/>
        <item x="595"/>
        <item x="478"/>
        <item x="578"/>
        <item x="420"/>
        <item x="232"/>
        <item x="552"/>
        <item x="315"/>
        <item x="493"/>
        <item x="221"/>
        <item x="24"/>
        <item x="27"/>
        <item x="545"/>
        <item x="564"/>
        <item x="494"/>
        <item x="419"/>
        <item x="117"/>
        <item x="0"/>
        <item x="480"/>
        <item x="37"/>
        <item x="515"/>
        <item x="45"/>
        <item x="333"/>
        <item x="502"/>
        <item x="98"/>
        <item x="603"/>
        <item x="40"/>
        <item x="626"/>
        <item x="102"/>
        <item x="517"/>
        <item x="146"/>
        <item x="331"/>
        <item x="524"/>
        <item x="182"/>
        <item x="77"/>
        <item x="435"/>
        <item x="483"/>
        <item x="402"/>
        <item x="81"/>
        <item x="49"/>
        <item x="330"/>
        <item x="586"/>
        <item x="436"/>
        <item x="547"/>
        <item x="213"/>
        <item x="276"/>
        <item x="21"/>
        <item x="472"/>
        <item x="230"/>
        <item x="442"/>
        <item x="227"/>
        <item x="327"/>
        <item x="521"/>
        <item x="303"/>
        <item x="70"/>
        <item x="89"/>
        <item x="91"/>
        <item x="514"/>
        <item x="572"/>
        <item x="488"/>
        <item x="31"/>
        <item x="466"/>
        <item x="385"/>
        <item x="196"/>
        <item x="140"/>
        <item x="305"/>
        <item x="241"/>
        <item x="282"/>
        <item x="377"/>
        <item x="508"/>
        <item x="314"/>
        <item x="300"/>
        <item x="311"/>
        <item x="557"/>
        <item x="580"/>
        <item x="253"/>
        <item x="452"/>
        <item x="490"/>
        <item x="468"/>
        <item x="181"/>
        <item x="30"/>
        <item x="61"/>
        <item x="63"/>
        <item x="308"/>
        <item x="163"/>
        <item x="177"/>
        <item x="457"/>
        <item x="278"/>
        <item x="155"/>
        <item x="546"/>
        <item x="593"/>
        <item x="190"/>
        <item x="292"/>
        <item x="255"/>
        <item x="68"/>
        <item x="129"/>
        <item x="562"/>
        <item x="497"/>
        <item x="208"/>
        <item x="551"/>
        <item x="445"/>
        <item x="147"/>
        <item x="170"/>
        <item x="408"/>
        <item x="532"/>
        <item x="250"/>
        <item x="454"/>
        <item x="66"/>
        <item x="558"/>
        <item x="103"/>
        <item x="527"/>
        <item x="90"/>
        <item x="404"/>
        <item x="469"/>
        <item x="273"/>
        <item x="42"/>
        <item x="272"/>
        <item x="501"/>
        <item x="249"/>
        <item x="157"/>
        <item x="505"/>
        <item x="159"/>
        <item x="449"/>
        <item x="358"/>
        <item x="162"/>
        <item x="588"/>
        <item x="291"/>
        <item x="36"/>
        <item x="344"/>
        <item x="467"/>
        <item x="432"/>
        <item x="137"/>
        <item x="534"/>
        <item x="576"/>
        <item x="87"/>
        <item x="584"/>
        <item x="629"/>
        <item x="429"/>
        <item x="615"/>
        <item x="280"/>
        <item x="458"/>
        <item x="541"/>
        <item x="613"/>
        <item x="348"/>
        <item x="397"/>
        <item x="351"/>
        <item x="144"/>
        <item x="7"/>
        <item x="32"/>
        <item x="424"/>
        <item x="334"/>
        <item x="175"/>
        <item x="44"/>
        <item x="266"/>
        <item x="455"/>
        <item x="219"/>
        <item x="279"/>
        <item x="260"/>
        <item x="506"/>
        <item x="202"/>
        <item x="367"/>
        <item x="471"/>
        <item x="352"/>
        <item x="412"/>
        <item x="610"/>
        <item x="187"/>
        <item x="59"/>
        <item x="498"/>
        <item x="543"/>
        <item x="209"/>
        <item x="299"/>
        <item x="101"/>
        <item x="473"/>
        <item x="561"/>
        <item x="110"/>
        <item x="143"/>
        <item x="594"/>
        <item x="522"/>
        <item x="354"/>
        <item x="60"/>
        <item x="259"/>
        <item x="128"/>
        <item x="582"/>
        <item x="301"/>
        <item x="365"/>
        <item x="201"/>
        <item x="20"/>
        <item x="393"/>
        <item x="28"/>
        <item x="338"/>
        <item x="106"/>
        <item x="414"/>
        <item x="443"/>
        <item x="289"/>
        <item x="439"/>
        <item x="499"/>
        <item x="22"/>
        <item x="156"/>
        <item x="96"/>
        <item x="366"/>
        <item x="359"/>
        <item x="286"/>
        <item x="453"/>
        <item x="224"/>
        <item x="92"/>
        <item x="212"/>
        <item x="39"/>
        <item x="540"/>
        <item x="294"/>
        <item x="120"/>
        <item x="450"/>
        <item x="158"/>
        <item x="474"/>
        <item x="172"/>
        <item x="341"/>
        <item x="537"/>
        <item x="347"/>
        <item x="287"/>
        <item x="225"/>
        <item x="328"/>
        <item x="12"/>
        <item x="391"/>
        <item x="218"/>
        <item x="109"/>
        <item x="567"/>
        <item x="373"/>
        <item x="252"/>
        <item x="114"/>
        <item x="624"/>
        <item x="319"/>
        <item x="134"/>
        <item x="41"/>
        <item x="339"/>
        <item x="204"/>
        <item x="451"/>
        <item x="76"/>
        <item x="486"/>
        <item x="309"/>
        <item x="203"/>
        <item x="627"/>
        <item x="19"/>
        <item x="23"/>
        <item x="549"/>
        <item x="335"/>
        <item x="277"/>
        <item x="47"/>
        <item x="336"/>
        <item x="599"/>
        <item x="375"/>
        <item x="33"/>
        <item x="152"/>
        <item x="254"/>
        <item x="356"/>
        <item x="16"/>
        <item x="495"/>
        <item x="206"/>
        <item x="566"/>
        <item x="371"/>
        <item x="323"/>
        <item x="139"/>
        <item x="8"/>
        <item x="447"/>
        <item x="481"/>
        <item x="606"/>
        <item x="312"/>
        <item x="441"/>
        <item x="75"/>
        <item x="265"/>
        <item x="568"/>
        <item x="55"/>
        <item x="504"/>
        <item x="513"/>
        <item x="180"/>
        <item x="428"/>
        <item x="148"/>
        <item x="413"/>
        <item x="554"/>
        <item x="470"/>
        <item x="378"/>
        <item x="533"/>
        <item x="17"/>
        <item x="555"/>
        <item x="477"/>
        <item x="18"/>
        <item x="423"/>
        <item x="528"/>
        <item x="602"/>
        <item x="198"/>
        <item x="275"/>
        <item x="479"/>
        <item x="79"/>
        <item x="628"/>
        <item x="119"/>
        <item x="125"/>
        <item x="321"/>
        <item x="355"/>
        <item x="623"/>
        <item x="536"/>
        <item x="94"/>
        <item x="591"/>
        <item x="464"/>
        <item x="556"/>
        <item x="164"/>
        <item x="395"/>
        <item x="538"/>
        <item x="99"/>
        <item x="116"/>
        <item x="430"/>
        <item x="587"/>
        <item x="520"/>
        <item x="345"/>
        <item x="174"/>
        <item x="222"/>
        <item x="361"/>
        <item x="421"/>
        <item x="612"/>
        <item x="236"/>
        <item x="46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Gross Profit" fld="2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7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O17:Z19" firstHeaderRow="1" firstDataRow="2" firstDataCol="1"/>
  <pivotFields count="42">
    <pivotField compact="0" showAll="0">
      <items count="631">
        <item x="604"/>
        <item x="448"/>
        <item x="6"/>
        <item x="517"/>
        <item x="572"/>
        <item x="45"/>
        <item x="366"/>
        <item x="200"/>
        <item x="550"/>
        <item x="323"/>
        <item x="437"/>
        <item x="165"/>
        <item x="79"/>
        <item x="360"/>
        <item x="327"/>
        <item x="299"/>
        <item x="452"/>
        <item x="576"/>
        <item x="192"/>
        <item x="121"/>
        <item x="331"/>
        <item x="438"/>
        <item x="456"/>
        <item x="147"/>
        <item x="223"/>
        <item x="189"/>
        <item x="346"/>
        <item x="277"/>
        <item x="349"/>
        <item x="534"/>
        <item x="53"/>
        <item x="64"/>
        <item x="162"/>
        <item x="469"/>
        <item x="579"/>
        <item x="624"/>
        <item x="105"/>
        <item x="268"/>
        <item x="255"/>
        <item x="88"/>
        <item x="338"/>
        <item x="23"/>
        <item x="219"/>
        <item x="280"/>
        <item x="249"/>
        <item x="375"/>
        <item x="539"/>
        <item x="171"/>
        <item x="224"/>
        <item x="77"/>
        <item x="48"/>
        <item x="602"/>
        <item x="225"/>
        <item x="167"/>
        <item x="44"/>
        <item x="143"/>
        <item x="182"/>
        <item x="573"/>
        <item x="80"/>
        <item x="511"/>
        <item x="561"/>
        <item x="314"/>
        <item x="390"/>
        <item x="287"/>
        <item x="271"/>
        <item x="2"/>
        <item x="91"/>
        <item x="291"/>
        <item x="433"/>
        <item x="584"/>
        <item x="198"/>
        <item x="73"/>
        <item x="362"/>
        <item x="203"/>
        <item x="184"/>
        <item x="496"/>
        <item x="51"/>
        <item x="98"/>
        <item x="117"/>
        <item x="131"/>
        <item x="214"/>
        <item x="494"/>
        <item x="170"/>
        <item x="612"/>
        <item x="542"/>
        <item x="628"/>
        <item x="519"/>
        <item x="546"/>
        <item x="254"/>
        <item x="350"/>
        <item x="63"/>
        <item x="545"/>
        <item x="150"/>
        <item x="222"/>
        <item x="614"/>
        <item x="238"/>
        <item x="259"/>
        <item x="128"/>
        <item x="531"/>
        <item x="325"/>
        <item x="458"/>
        <item x="370"/>
        <item x="65"/>
        <item x="625"/>
        <item x="603"/>
        <item x="623"/>
        <item x="30"/>
        <item x="514"/>
        <item x="476"/>
        <item x="343"/>
        <item x="498"/>
        <item x="196"/>
        <item x="120"/>
        <item x="444"/>
        <item x="454"/>
        <item x="201"/>
        <item x="473"/>
        <item x="300"/>
        <item x="381"/>
        <item x="151"/>
        <item x="484"/>
        <item x="295"/>
        <item x="123"/>
        <item x="228"/>
        <item x="477"/>
        <item x="283"/>
        <item x="136"/>
        <item x="215"/>
        <item x="386"/>
        <item x="590"/>
        <item x="315"/>
        <item x="536"/>
        <item x="418"/>
        <item x="260"/>
        <item x="265"/>
        <item x="258"/>
        <item x="527"/>
        <item x="38"/>
        <item x="212"/>
        <item x="430"/>
        <item x="336"/>
        <item x="175"/>
        <item x="608"/>
        <item x="290"/>
        <item x="407"/>
        <item x="383"/>
        <item x="595"/>
        <item x="525"/>
        <item x="197"/>
        <item x="459"/>
        <item x="220"/>
        <item x="575"/>
        <item x="278"/>
        <item x="74"/>
        <item x="4"/>
        <item x="588"/>
        <item x="465"/>
        <item x="411"/>
        <item x="348"/>
        <item x="500"/>
        <item x="242"/>
        <item x="67"/>
        <item x="435"/>
        <item x="618"/>
        <item x="339"/>
        <item x="443"/>
        <item x="449"/>
        <item x="475"/>
        <item x="436"/>
        <item x="68"/>
        <item x="538"/>
        <item x="368"/>
        <item x="337"/>
        <item x="144"/>
        <item x="186"/>
        <item x="317"/>
        <item x="387"/>
        <item x="84"/>
        <item x="153"/>
        <item x="440"/>
        <item x="159"/>
        <item x="403"/>
        <item x="369"/>
        <item x="580"/>
        <item x="34"/>
        <item x="506"/>
        <item x="482"/>
        <item x="134"/>
        <item x="20"/>
        <item x="569"/>
        <item x="94"/>
        <item x="114"/>
        <item x="455"/>
        <item x="124"/>
        <item x="307"/>
        <item x="164"/>
        <item x="622"/>
        <item x="257"/>
        <item x="320"/>
        <item x="310"/>
        <item x="27"/>
        <item x="345"/>
        <item x="139"/>
        <item x="141"/>
        <item x="508"/>
        <item x="204"/>
        <item x="626"/>
        <item x="191"/>
        <item x="392"/>
        <item x="468"/>
        <item x="410"/>
        <item x="14"/>
        <item x="330"/>
        <item x="232"/>
        <item x="227"/>
        <item x="554"/>
        <item x="541"/>
        <item x="627"/>
        <item x="236"/>
        <item x="266"/>
        <item x="537"/>
        <item x="113"/>
        <item x="413"/>
        <item x="177"/>
        <item x="395"/>
        <item x="478"/>
        <item x="335"/>
        <item x="163"/>
        <item x="154"/>
        <item x="548"/>
        <item x="324"/>
        <item x="104"/>
        <item x="133"/>
        <item x="308"/>
        <item x="108"/>
        <item x="33"/>
        <item x="400"/>
        <item x="29"/>
        <item x="78"/>
        <item x="213"/>
        <item x="152"/>
        <item x="457"/>
        <item x="547"/>
        <item x="15"/>
        <item x="321"/>
        <item x="522"/>
        <item x="296"/>
        <item x="563"/>
        <item x="479"/>
        <item x="9"/>
        <item x="146"/>
        <item x="190"/>
        <item x="24"/>
        <item x="161"/>
        <item x="250"/>
        <item x="110"/>
        <item x="352"/>
        <item x="138"/>
        <item x="180"/>
        <item x="585"/>
        <item x="488"/>
        <item x="62"/>
        <item x="559"/>
        <item x="391"/>
        <item x="453"/>
        <item x="50"/>
        <item x="606"/>
        <item x="0"/>
        <item x="286"/>
        <item x="233"/>
        <item x="106"/>
        <item x="69"/>
        <item x="56"/>
        <item x="40"/>
        <item x="251"/>
        <item x="389"/>
        <item x="503"/>
        <item x="246"/>
        <item x="166"/>
        <item x="560"/>
        <item x="609"/>
        <item x="333"/>
        <item x="340"/>
        <item x="5"/>
        <item x="611"/>
        <item x="361"/>
        <item x="66"/>
        <item x="252"/>
        <item x="535"/>
        <item x="571"/>
        <item x="460"/>
        <item x="160"/>
        <item x="1"/>
        <item x="523"/>
        <item x="282"/>
        <item x="485"/>
        <item x="409"/>
        <item x="428"/>
        <item x="483"/>
        <item x="142"/>
        <item x="43"/>
        <item x="404"/>
        <item x="382"/>
        <item x="516"/>
        <item x="309"/>
        <item x="544"/>
        <item x="230"/>
        <item x="312"/>
        <item x="493"/>
        <item x="567"/>
        <item x="148"/>
        <item x="593"/>
        <item x="193"/>
        <item x="439"/>
        <item x="75"/>
        <item x="76"/>
        <item x="412"/>
        <item x="49"/>
        <item x="520"/>
        <item x="422"/>
        <item x="116"/>
        <item x="102"/>
        <item x="577"/>
        <item x="273"/>
        <item x="22"/>
        <item x="264"/>
        <item x="322"/>
        <item x="187"/>
        <item x="463"/>
        <item x="442"/>
        <item x="355"/>
        <item x="423"/>
        <item x="491"/>
        <item x="385"/>
        <item x="528"/>
        <item x="553"/>
        <item x="408"/>
        <item x="244"/>
        <item x="46"/>
        <item x="599"/>
        <item x="156"/>
        <item x="557"/>
        <item x="447"/>
        <item x="499"/>
        <item x="231"/>
        <item x="334"/>
        <item x="586"/>
        <item x="492"/>
        <item x="276"/>
        <item x="432"/>
        <item x="125"/>
        <item x="597"/>
        <item x="122"/>
        <item x="7"/>
        <item x="581"/>
        <item x="85"/>
        <item x="37"/>
        <item x="87"/>
        <item x="127"/>
        <item x="169"/>
        <item x="399"/>
        <item x="540"/>
        <item x="32"/>
        <item x="39"/>
        <item x="96"/>
        <item x="183"/>
        <item x="474"/>
        <item x="341"/>
        <item x="471"/>
        <item x="429"/>
        <item x="414"/>
        <item x="248"/>
        <item x="194"/>
        <item x="401"/>
        <item x="208"/>
        <item x="556"/>
        <item x="206"/>
        <item x="582"/>
        <item x="372"/>
        <item x="35"/>
        <item x="358"/>
        <item x="526"/>
        <item x="319"/>
        <item x="216"/>
        <item x="495"/>
        <item x="505"/>
        <item x="610"/>
        <item x="441"/>
        <item x="270"/>
        <item x="417"/>
        <item x="617"/>
        <item x="188"/>
        <item x="155"/>
        <item x="566"/>
        <item x="103"/>
        <item x="507"/>
        <item x="217"/>
        <item x="137"/>
        <item x="464"/>
        <item x="25"/>
        <item x="294"/>
        <item x="489"/>
        <item x="107"/>
        <item x="19"/>
        <item x="72"/>
        <item x="234"/>
        <item x="426"/>
        <item x="620"/>
        <item x="364"/>
        <item x="318"/>
        <item x="521"/>
        <item x="272"/>
        <item x="135"/>
        <item x="431"/>
        <item x="607"/>
        <item x="100"/>
        <item x="450"/>
        <item x="243"/>
        <item x="26"/>
        <item x="253"/>
        <item x="285"/>
        <item x="241"/>
        <item x="373"/>
        <item x="558"/>
        <item x="302"/>
        <item x="267"/>
        <item x="446"/>
        <item x="12"/>
        <item x="357"/>
        <item x="518"/>
        <item x="342"/>
        <item x="237"/>
        <item x="344"/>
        <item x="140"/>
        <item x="59"/>
        <item x="598"/>
        <item x="109"/>
        <item x="351"/>
        <item x="111"/>
        <item x="353"/>
        <item x="311"/>
        <item x="615"/>
        <item x="71"/>
        <item x="168"/>
        <item x="591"/>
        <item x="274"/>
        <item x="176"/>
        <item x="509"/>
        <item x="356"/>
        <item x="510"/>
        <item x="47"/>
        <item x="195"/>
        <item x="173"/>
        <item x="434"/>
        <item x="397"/>
        <item x="486"/>
        <item x="564"/>
        <item x="210"/>
        <item x="425"/>
        <item x="92"/>
        <item x="41"/>
        <item x="199"/>
        <item x="81"/>
        <item x="363"/>
        <item x="235"/>
        <item x="512"/>
        <item x="303"/>
        <item x="205"/>
        <item x="533"/>
        <item x="616"/>
        <item x="578"/>
        <item x="3"/>
        <item x="568"/>
        <item x="570"/>
        <item x="119"/>
        <item x="256"/>
        <item x="374"/>
        <item x="600"/>
        <item x="298"/>
        <item x="378"/>
        <item x="416"/>
        <item x="313"/>
        <item x="16"/>
        <item x="145"/>
        <item x="149"/>
        <item x="583"/>
        <item x="247"/>
        <item x="481"/>
        <item x="487"/>
        <item x="605"/>
        <item x="95"/>
        <item x="371"/>
        <item x="419"/>
        <item x="301"/>
        <item x="587"/>
        <item x="574"/>
        <item x="226"/>
        <item x="461"/>
        <item x="367"/>
        <item x="532"/>
        <item x="332"/>
        <item x="99"/>
        <item x="83"/>
        <item x="501"/>
        <item x="552"/>
        <item x="551"/>
        <item x="132"/>
        <item x="305"/>
        <item x="293"/>
        <item x="415"/>
        <item x="306"/>
        <item x="480"/>
        <item x="451"/>
        <item x="158"/>
        <item x="549"/>
        <item x="262"/>
        <item x="524"/>
        <item x="445"/>
        <item x="504"/>
        <item x="31"/>
        <item x="347"/>
        <item x="269"/>
        <item x="388"/>
        <item x="393"/>
        <item x="292"/>
        <item x="11"/>
        <item x="82"/>
        <item x="462"/>
        <item x="130"/>
        <item x="239"/>
        <item x="406"/>
        <item x="10"/>
        <item x="61"/>
        <item x="90"/>
        <item x="613"/>
        <item x="126"/>
        <item x="284"/>
        <item x="97"/>
        <item x="185"/>
        <item x="28"/>
        <item x="211"/>
        <item x="52"/>
        <item x="21"/>
        <item x="209"/>
        <item x="396"/>
        <item x="359"/>
        <item x="398"/>
        <item x="365"/>
        <item x="89"/>
        <item x="207"/>
        <item x="513"/>
        <item x="376"/>
        <item x="57"/>
        <item x="70"/>
        <item x="240"/>
        <item x="112"/>
        <item x="621"/>
        <item x="129"/>
        <item x="420"/>
        <item x="178"/>
        <item x="328"/>
        <item x="562"/>
        <item x="101"/>
        <item x="179"/>
        <item x="427"/>
        <item x="394"/>
        <item x="275"/>
        <item x="221"/>
        <item x="502"/>
        <item x="472"/>
        <item x="596"/>
        <item x="279"/>
        <item x="115"/>
        <item x="172"/>
        <item x="490"/>
        <item x="594"/>
        <item x="36"/>
        <item x="93"/>
        <item x="629"/>
        <item x="329"/>
        <item x="18"/>
        <item x="601"/>
        <item x="289"/>
        <item x="229"/>
        <item x="218"/>
        <item x="58"/>
        <item x="54"/>
        <item x="157"/>
        <item x="530"/>
        <item x="326"/>
        <item x="60"/>
        <item x="470"/>
        <item x="380"/>
        <item x="466"/>
        <item x="424"/>
        <item x="42"/>
        <item x="379"/>
        <item x="497"/>
        <item x="515"/>
        <item x="421"/>
        <item x="13"/>
        <item x="17"/>
        <item x="174"/>
        <item x="592"/>
        <item x="316"/>
        <item x="86"/>
        <item x="384"/>
        <item x="555"/>
        <item x="405"/>
        <item x="263"/>
        <item x="181"/>
        <item x="619"/>
        <item x="261"/>
        <item x="402"/>
        <item x="377"/>
        <item x="288"/>
        <item x="529"/>
        <item x="565"/>
        <item x="55"/>
        <item x="297"/>
        <item x="304"/>
        <item x="245"/>
        <item x="467"/>
        <item x="354"/>
        <item x="118"/>
        <item x="543"/>
        <item x="202"/>
        <item x="281"/>
        <item x="589"/>
        <item x="8"/>
        <item t="default"/>
      </items>
    </pivotField>
    <pivotField compact="0" numFmtId="58" showAll="0">
      <items count="468">
        <item x="4"/>
        <item x="454"/>
        <item x="270"/>
        <item x="414"/>
        <item x="180"/>
        <item x="6"/>
        <item x="370"/>
        <item x="183"/>
        <item x="118"/>
        <item x="423"/>
        <item x="121"/>
        <item x="170"/>
        <item x="179"/>
        <item x="311"/>
        <item x="22"/>
        <item x="76"/>
        <item x="425"/>
        <item x="61"/>
        <item x="151"/>
        <item x="146"/>
        <item x="360"/>
        <item x="28"/>
        <item x="158"/>
        <item x="451"/>
        <item x="2"/>
        <item x="106"/>
        <item x="431"/>
        <item x="225"/>
        <item x="335"/>
        <item x="205"/>
        <item x="314"/>
        <item x="210"/>
        <item x="341"/>
        <item x="63"/>
        <item x="277"/>
        <item x="149"/>
        <item x="32"/>
        <item x="49"/>
        <item x="450"/>
        <item x="162"/>
        <item x="88"/>
        <item x="457"/>
        <item x="124"/>
        <item x="289"/>
        <item x="26"/>
        <item x="386"/>
        <item x="152"/>
        <item x="42"/>
        <item x="66"/>
        <item x="459"/>
        <item x="14"/>
        <item x="440"/>
        <item x="409"/>
        <item x="128"/>
        <item x="448"/>
        <item x="176"/>
        <item x="274"/>
        <item x="238"/>
        <item x="405"/>
        <item x="19"/>
        <item x="381"/>
        <item x="361"/>
        <item x="71"/>
        <item x="206"/>
        <item x="372"/>
        <item x="233"/>
        <item x="327"/>
        <item x="407"/>
        <item x="445"/>
        <item x="307"/>
        <item x="108"/>
        <item x="279"/>
        <item x="366"/>
        <item x="74"/>
        <item x="250"/>
        <item x="36"/>
        <item x="263"/>
        <item x="168"/>
        <item x="43"/>
        <item x="86"/>
        <item x="84"/>
        <item x="305"/>
        <item x="185"/>
        <item x="139"/>
        <item x="132"/>
        <item x="421"/>
        <item x="424"/>
        <item x="375"/>
        <item x="46"/>
        <item x="288"/>
        <item x="385"/>
        <item x="255"/>
        <item x="171"/>
        <item x="369"/>
        <item x="244"/>
        <item x="287"/>
        <item x="130"/>
        <item x="202"/>
        <item x="442"/>
        <item x="241"/>
        <item x="234"/>
        <item x="173"/>
        <item x="388"/>
        <item x="114"/>
        <item x="182"/>
        <item x="418"/>
        <item x="65"/>
        <item x="113"/>
        <item x="259"/>
        <item x="416"/>
        <item x="342"/>
        <item x="199"/>
        <item x="160"/>
        <item x="344"/>
        <item x="51"/>
        <item x="428"/>
        <item x="136"/>
        <item x="458"/>
        <item x="72"/>
        <item x="215"/>
        <item x="363"/>
        <item x="157"/>
        <item x="198"/>
        <item x="322"/>
        <item x="203"/>
        <item x="230"/>
        <item x="154"/>
        <item x="326"/>
        <item x="232"/>
        <item x="347"/>
        <item x="175"/>
        <item x="357"/>
        <item x="258"/>
        <item x="281"/>
        <item x="390"/>
        <item x="323"/>
        <item x="249"/>
        <item x="142"/>
        <item x="192"/>
        <item x="275"/>
        <item x="284"/>
        <item x="111"/>
        <item x="105"/>
        <item x="213"/>
        <item x="133"/>
        <item x="293"/>
        <item x="296"/>
        <item x="62"/>
        <item x="373"/>
        <item x="140"/>
        <item x="339"/>
        <item x="379"/>
        <item x="201"/>
        <item x="194"/>
        <item x="294"/>
        <item x="80"/>
        <item x="239"/>
        <item x="310"/>
        <item x="422"/>
        <item x="112"/>
        <item x="359"/>
        <item x="299"/>
        <item x="278"/>
        <item x="434"/>
        <item x="240"/>
        <item x="38"/>
        <item x="181"/>
        <item x="93"/>
        <item x="346"/>
        <item x="302"/>
        <item x="12"/>
        <item x="83"/>
        <item x="435"/>
        <item x="246"/>
        <item x="9"/>
        <item x="144"/>
        <item x="161"/>
        <item x="382"/>
        <item x="436"/>
        <item x="178"/>
        <item x="127"/>
        <item x="220"/>
        <item x="291"/>
        <item x="141"/>
        <item x="350"/>
        <item x="438"/>
        <item x="353"/>
        <item x="351"/>
        <item x="193"/>
        <item x="396"/>
        <item x="262"/>
        <item x="313"/>
        <item x="427"/>
        <item x="219"/>
        <item x="33"/>
        <item x="306"/>
        <item x="57"/>
        <item x="0"/>
        <item x="449"/>
        <item x="226"/>
        <item x="245"/>
        <item x="67"/>
        <item x="362"/>
        <item x="264"/>
        <item x="247"/>
        <item x="214"/>
        <item x="243"/>
        <item x="148"/>
        <item x="135"/>
        <item x="402"/>
        <item x="81"/>
        <item x="285"/>
        <item x="69"/>
        <item x="412"/>
        <item x="30"/>
        <item x="35"/>
        <item x="394"/>
        <item x="411"/>
        <item x="399"/>
        <item x="229"/>
        <item x="371"/>
        <item x="7"/>
        <item x="374"/>
        <item x="321"/>
        <item x="384"/>
        <item x="392"/>
        <item x="44"/>
        <item x="312"/>
        <item x="21"/>
        <item x="172"/>
        <item x="41"/>
        <item x="97"/>
        <item x="64"/>
        <item x="153"/>
        <item x="397"/>
        <item x="90"/>
        <item x="117"/>
        <item x="100"/>
        <item x="367"/>
        <item x="150"/>
        <item x="415"/>
        <item x="343"/>
        <item x="115"/>
        <item x="273"/>
        <item x="101"/>
        <item x="102"/>
        <item x="368"/>
        <item x="131"/>
        <item x="248"/>
        <item x="268"/>
        <item x="303"/>
        <item x="462"/>
        <item x="103"/>
        <item x="23"/>
        <item x="410"/>
        <item x="286"/>
        <item x="292"/>
        <item x="156"/>
        <item x="319"/>
        <item x="25"/>
        <item x="333"/>
        <item x="18"/>
        <item x="464"/>
        <item x="227"/>
        <item x="452"/>
        <item x="446"/>
        <item x="398"/>
        <item x="143"/>
        <item x="297"/>
        <item x="325"/>
        <item x="174"/>
        <item x="98"/>
        <item x="420"/>
        <item x="455"/>
        <item x="352"/>
        <item x="395"/>
        <item x="364"/>
        <item x="31"/>
        <item x="37"/>
        <item x="73"/>
        <item x="340"/>
        <item x="433"/>
        <item x="224"/>
        <item x="208"/>
        <item x="209"/>
        <item x="330"/>
        <item x="254"/>
        <item x="190"/>
        <item x="186"/>
        <item x="211"/>
        <item x="96"/>
        <item x="196"/>
        <item x="177"/>
        <item x="137"/>
        <item x="365"/>
        <item x="188"/>
        <item x="165"/>
        <item x="87"/>
        <item x="237"/>
        <item x="155"/>
        <item x="406"/>
        <item x="195"/>
        <item x="463"/>
        <item x="45"/>
        <item x="99"/>
        <item x="48"/>
        <item x="461"/>
        <item x="167"/>
        <item x="1"/>
        <item x="403"/>
        <item x="39"/>
        <item x="228"/>
        <item x="290"/>
        <item x="147"/>
        <item x="355"/>
        <item x="60"/>
        <item x="272"/>
        <item x="332"/>
        <item x="47"/>
        <item x="298"/>
        <item x="222"/>
        <item x="443"/>
        <item x="404"/>
        <item x="391"/>
        <item x="126"/>
        <item x="75"/>
        <item x="378"/>
        <item x="301"/>
        <item x="460"/>
        <item x="24"/>
        <item x="218"/>
        <item x="95"/>
        <item x="429"/>
        <item x="389"/>
        <item x="15"/>
        <item x="329"/>
        <item x="125"/>
        <item x="70"/>
        <item x="54"/>
        <item x="336"/>
        <item x="123"/>
        <item x="129"/>
        <item x="358"/>
        <item x="5"/>
        <item x="356"/>
        <item x="271"/>
        <item x="10"/>
        <item x="408"/>
        <item x="315"/>
        <item x="122"/>
        <item x="419"/>
        <item x="282"/>
        <item x="169"/>
        <item x="104"/>
        <item x="334"/>
        <item x="50"/>
        <item x="265"/>
        <item x="92"/>
        <item x="191"/>
        <item x="317"/>
        <item x="166"/>
        <item x="184"/>
        <item x="316"/>
        <item x="413"/>
        <item x="53"/>
        <item x="119"/>
        <item x="145"/>
        <item x="432"/>
        <item x="453"/>
        <item x="242"/>
        <item x="337"/>
        <item x="348"/>
        <item x="466"/>
        <item x="120"/>
        <item x="11"/>
        <item x="338"/>
        <item x="401"/>
        <item x="417"/>
        <item x="251"/>
        <item x="309"/>
        <item x="308"/>
        <item x="380"/>
        <item x="400"/>
        <item x="79"/>
        <item x="3"/>
        <item x="257"/>
        <item x="94"/>
        <item x="276"/>
        <item x="253"/>
        <item x="52"/>
        <item x="27"/>
        <item x="68"/>
        <item x="376"/>
        <item x="260"/>
        <item x="331"/>
        <item x="439"/>
        <item x="159"/>
        <item x="138"/>
        <item x="447"/>
        <item x="221"/>
        <item x="78"/>
        <item x="207"/>
        <item x="59"/>
        <item x="85"/>
        <item x="56"/>
        <item x="354"/>
        <item x="266"/>
        <item x="320"/>
        <item x="77"/>
        <item x="393"/>
        <item x="216"/>
        <item x="252"/>
        <item x="269"/>
        <item x="280"/>
        <item x="8"/>
        <item x="328"/>
        <item x="40"/>
        <item x="261"/>
        <item x="107"/>
        <item x="345"/>
        <item x="55"/>
        <item x="20"/>
        <item x="324"/>
        <item x="295"/>
        <item x="110"/>
        <item x="235"/>
        <item x="267"/>
        <item x="34"/>
        <item x="304"/>
        <item x="437"/>
        <item x="231"/>
        <item x="349"/>
        <item x="109"/>
        <item x="444"/>
        <item x="189"/>
        <item x="200"/>
        <item x="212"/>
        <item x="465"/>
        <item x="17"/>
        <item x="187"/>
        <item x="91"/>
        <item x="318"/>
        <item x="29"/>
        <item x="377"/>
        <item x="89"/>
        <item x="217"/>
        <item x="441"/>
        <item x="116"/>
        <item x="430"/>
        <item x="82"/>
        <item x="204"/>
        <item x="456"/>
        <item x="383"/>
        <item x="300"/>
        <item x="426"/>
        <item x="163"/>
        <item x="197"/>
        <item x="256"/>
        <item x="387"/>
        <item x="13"/>
        <item x="236"/>
        <item x="16"/>
        <item x="58"/>
        <item x="134"/>
        <item x="223"/>
        <item x="283"/>
        <item x="164"/>
        <item t="default"/>
      </items>
    </pivotField>
    <pivotField compact="0" numFmtId="58" showAll="0">
      <items count="469">
        <item x="1"/>
        <item x="4"/>
        <item x="6"/>
        <item x="184"/>
        <item x="198"/>
        <item x="410"/>
        <item x="269"/>
        <item x="124"/>
        <item x="127"/>
        <item x="186"/>
        <item x="440"/>
        <item x="77"/>
        <item x="23"/>
        <item x="418"/>
        <item x="182"/>
        <item x="61"/>
        <item x="278"/>
        <item x="173"/>
        <item x="151"/>
        <item x="110"/>
        <item x="421"/>
        <item x="296"/>
        <item x="161"/>
        <item x="156"/>
        <item x="383"/>
        <item x="95"/>
        <item x="222"/>
        <item x="2"/>
        <item x="154"/>
        <item x="213"/>
        <item x="210"/>
        <item x="313"/>
        <item x="49"/>
        <item x="338"/>
        <item x="309"/>
        <item x="63"/>
        <item x="289"/>
        <item x="131"/>
        <item x="276"/>
        <item x="165"/>
        <item x="129"/>
        <item x="356"/>
        <item x="399"/>
        <item x="14"/>
        <item x="452"/>
        <item x="449"/>
        <item x="436"/>
        <item x="91"/>
        <item x="188"/>
        <item x="42"/>
        <item x="429"/>
        <item x="234"/>
        <item x="205"/>
        <item x="66"/>
        <item x="183"/>
        <item x="27"/>
        <item x="294"/>
        <item x="71"/>
        <item x="369"/>
        <item x="425"/>
        <item x="378"/>
        <item x="382"/>
        <item x="179"/>
        <item x="407"/>
        <item x="20"/>
        <item x="280"/>
        <item x="434"/>
        <item x="358"/>
        <item x="102"/>
        <item x="402"/>
        <item x="211"/>
        <item x="373"/>
        <item x="75"/>
        <item x="281"/>
        <item x="113"/>
        <item x="325"/>
        <item x="366"/>
        <item x="270"/>
        <item x="89"/>
        <item x="36"/>
        <item x="304"/>
        <item x="439"/>
        <item x="86"/>
        <item x="43"/>
        <item x="392"/>
        <item x="259"/>
        <item x="419"/>
        <item x="415"/>
        <item x="437"/>
        <item x="417"/>
        <item x="137"/>
        <item x="466"/>
        <item x="372"/>
        <item x="171"/>
        <item x="263"/>
        <item x="144"/>
        <item x="174"/>
        <item x="46"/>
        <item x="463"/>
        <item x="207"/>
        <item x="253"/>
        <item x="240"/>
        <item x="237"/>
        <item x="385"/>
        <item x="288"/>
        <item x="176"/>
        <item x="169"/>
        <item x="229"/>
        <item x="135"/>
        <item x="465"/>
        <item x="51"/>
        <item x="285"/>
        <item x="119"/>
        <item x="120"/>
        <item x="65"/>
        <item x="203"/>
        <item x="164"/>
        <item x="78"/>
        <item x="339"/>
        <item x="459"/>
        <item x="141"/>
        <item x="379"/>
        <item x="412"/>
        <item x="257"/>
        <item x="359"/>
        <item x="202"/>
        <item x="321"/>
        <item x="226"/>
        <item x="72"/>
        <item x="307"/>
        <item x="160"/>
        <item x="455"/>
        <item x="228"/>
        <item x="354"/>
        <item x="352"/>
        <item x="158"/>
        <item x="324"/>
        <item x="394"/>
        <item x="208"/>
        <item x="405"/>
        <item x="262"/>
        <item x="146"/>
        <item x="322"/>
        <item x="256"/>
        <item x="178"/>
        <item x="246"/>
        <item x="283"/>
        <item x="387"/>
        <item x="195"/>
        <item x="138"/>
        <item x="274"/>
        <item x="109"/>
        <item x="286"/>
        <item x="216"/>
        <item x="370"/>
        <item x="368"/>
        <item x="116"/>
        <item x="297"/>
        <item x="292"/>
        <item x="335"/>
        <item x="206"/>
        <item x="82"/>
        <item x="62"/>
        <item x="235"/>
        <item x="435"/>
        <item x="308"/>
        <item x="295"/>
        <item x="357"/>
        <item x="428"/>
        <item x="361"/>
        <item x="197"/>
        <item x="384"/>
        <item x="464"/>
        <item x="117"/>
        <item x="97"/>
        <item x="236"/>
        <item x="85"/>
        <item x="242"/>
        <item x="185"/>
        <item x="252"/>
        <item x="453"/>
        <item x="38"/>
        <item x="302"/>
        <item x="430"/>
        <item x="249"/>
        <item x="413"/>
        <item x="9"/>
        <item x="343"/>
        <item x="12"/>
        <item x="133"/>
        <item x="175"/>
        <item x="432"/>
        <item x="148"/>
        <item x="380"/>
        <item x="390"/>
        <item x="181"/>
        <item x="145"/>
        <item x="347"/>
        <item x="350"/>
        <item x="279"/>
        <item x="258"/>
        <item x="311"/>
        <item x="67"/>
        <item x="446"/>
        <item x="401"/>
        <item x="33"/>
        <item x="220"/>
        <item x="426"/>
        <item x="196"/>
        <item x="374"/>
        <item x="260"/>
        <item x="0"/>
        <item x="153"/>
        <item x="57"/>
        <item x="243"/>
        <item x="241"/>
        <item x="239"/>
        <item x="287"/>
        <item x="300"/>
        <item x="140"/>
        <item x="83"/>
        <item x="409"/>
        <item x="35"/>
        <item x="69"/>
        <item x="31"/>
        <item x="408"/>
        <item x="320"/>
        <item x="364"/>
        <item x="371"/>
        <item x="225"/>
        <item x="337"/>
        <item x="427"/>
        <item x="22"/>
        <item x="389"/>
        <item x="93"/>
        <item x="101"/>
        <item x="44"/>
        <item x="7"/>
        <item x="41"/>
        <item x="162"/>
        <item x="64"/>
        <item x="104"/>
        <item x="420"/>
        <item x="106"/>
        <item x="123"/>
        <item x="157"/>
        <item x="306"/>
        <item x="155"/>
        <item x="391"/>
        <item x="277"/>
        <item x="265"/>
        <item x="442"/>
        <item x="411"/>
        <item x="272"/>
        <item x="303"/>
        <item x="121"/>
        <item x="74"/>
        <item x="454"/>
        <item x="245"/>
        <item x="136"/>
        <item x="105"/>
        <item x="363"/>
        <item x="291"/>
        <item x="24"/>
        <item x="159"/>
        <item x="26"/>
        <item x="445"/>
        <item x="19"/>
        <item x="107"/>
        <item x="223"/>
        <item x="293"/>
        <item x="422"/>
        <item x="318"/>
        <item x="331"/>
        <item x="441"/>
        <item x="330"/>
        <item x="147"/>
        <item x="298"/>
        <item x="32"/>
        <item x="461"/>
        <item x="416"/>
        <item x="447"/>
        <item x="177"/>
        <item x="103"/>
        <item x="336"/>
        <item x="251"/>
        <item x="212"/>
        <item x="349"/>
        <item x="393"/>
        <item x="149"/>
        <item x="37"/>
        <item x="73"/>
        <item x="424"/>
        <item x="180"/>
        <item x="214"/>
        <item x="360"/>
        <item x="329"/>
        <item x="100"/>
        <item x="190"/>
        <item x="233"/>
        <item x="167"/>
        <item x="200"/>
        <item x="142"/>
        <item x="192"/>
        <item x="458"/>
        <item x="398"/>
        <item x="170"/>
        <item x="90"/>
        <item x="290"/>
        <item x="271"/>
        <item x="48"/>
        <item x="431"/>
        <item x="45"/>
        <item x="199"/>
        <item x="351"/>
        <item x="39"/>
        <item x="60"/>
        <item x="224"/>
        <item x="400"/>
        <item x="47"/>
        <item x="152"/>
        <item x="299"/>
        <item x="388"/>
        <item x="118"/>
        <item x="301"/>
        <item x="386"/>
        <item x="340"/>
        <item x="219"/>
        <item x="132"/>
        <item x="54"/>
        <item x="353"/>
        <item x="70"/>
        <item x="76"/>
        <item x="451"/>
        <item x="128"/>
        <item x="99"/>
        <item x="367"/>
        <item x="25"/>
        <item x="112"/>
        <item x="403"/>
        <item x="15"/>
        <item x="134"/>
        <item x="130"/>
        <item x="355"/>
        <item x="5"/>
        <item x="29"/>
        <item x="456"/>
        <item x="314"/>
        <item x="261"/>
        <item x="10"/>
        <item x="108"/>
        <item x="332"/>
        <item x="268"/>
        <item x="194"/>
        <item x="172"/>
        <item x="189"/>
        <item x="96"/>
        <item x="50"/>
        <item x="315"/>
        <item x="187"/>
        <item x="443"/>
        <item x="125"/>
        <item x="53"/>
        <item x="168"/>
        <item x="238"/>
        <item x="467"/>
        <item x="334"/>
        <item x="344"/>
        <item x="333"/>
        <item x="126"/>
        <item x="396"/>
        <item x="267"/>
        <item x="397"/>
        <item x="247"/>
        <item x="11"/>
        <item x="3"/>
        <item x="98"/>
        <item x="255"/>
        <item x="342"/>
        <item x="305"/>
        <item x="310"/>
        <item x="28"/>
        <item x="266"/>
        <item x="250"/>
        <item x="433"/>
        <item x="81"/>
        <item x="375"/>
        <item x="80"/>
        <item x="231"/>
        <item x="275"/>
        <item x="362"/>
        <item x="52"/>
        <item x="221"/>
        <item x="460"/>
        <item x="163"/>
        <item x="68"/>
        <item x="414"/>
        <item x="56"/>
        <item x="87"/>
        <item x="143"/>
        <item x="282"/>
        <item x="448"/>
        <item x="18"/>
        <item x="79"/>
        <item x="59"/>
        <item x="319"/>
        <item x="217"/>
        <item x="248"/>
        <item x="406"/>
        <item x="377"/>
        <item x="273"/>
        <item x="326"/>
        <item x="8"/>
        <item x="111"/>
        <item x="341"/>
        <item x="55"/>
        <item x="40"/>
        <item x="450"/>
        <item x="365"/>
        <item x="88"/>
        <item x="230"/>
        <item x="21"/>
        <item x="323"/>
        <item x="227"/>
        <item x="345"/>
        <item x="264"/>
        <item x="34"/>
        <item x="312"/>
        <item x="115"/>
        <item x="244"/>
        <item x="457"/>
        <item x="204"/>
        <item x="114"/>
        <item x="215"/>
        <item x="462"/>
        <item x="438"/>
        <item x="193"/>
        <item x="17"/>
        <item x="30"/>
        <item x="191"/>
        <item x="218"/>
        <item x="122"/>
        <item x="376"/>
        <item x="92"/>
        <item x="317"/>
        <item x="94"/>
        <item x="84"/>
        <item x="150"/>
        <item x="423"/>
        <item x="254"/>
        <item x="404"/>
        <item x="209"/>
        <item x="381"/>
        <item x="348"/>
        <item x="316"/>
        <item x="232"/>
        <item x="58"/>
        <item x="327"/>
        <item x="16"/>
        <item x="166"/>
        <item x="444"/>
        <item x="328"/>
        <item x="201"/>
        <item x="346"/>
        <item x="284"/>
        <item x="139"/>
        <item x="13"/>
        <item x="3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showAll="0">
      <items count="41">
        <item x="6"/>
        <item x="36"/>
        <item x="38"/>
        <item x="5"/>
        <item x="8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9"/>
        <item x="28"/>
        <item x="1"/>
        <item x="30"/>
        <item x="24"/>
        <item x="7"/>
        <item x="23"/>
        <item x="14"/>
        <item x="27"/>
        <item x="4"/>
        <item x="35"/>
        <item x="26"/>
        <item t="default"/>
      </items>
    </pivotField>
    <pivotField compact="0" showAll="0">
      <items count="7">
        <item x="5"/>
        <item x="0"/>
        <item x="1"/>
        <item x="4"/>
        <item x="2"/>
        <item x="3"/>
        <item t="default"/>
      </items>
    </pivotField>
    <pivotField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axis="axisCol" compact="0" multipleItemSelectionAllowed="1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h="1" x="206"/>
        <item h="1" x="13"/>
        <item h="1" x="477"/>
        <item h="1" x="57"/>
        <item h="1" x="260"/>
        <item h="1" x="58"/>
        <item h="1" x="324"/>
        <item h="1" x="102"/>
        <item h="1" x="169"/>
        <item h="1" x="69"/>
        <item h="1" x="496"/>
        <item h="1" x="415"/>
        <item h="1" x="311"/>
        <item h="1" x="318"/>
        <item h="1" x="488"/>
        <item h="1" x="331"/>
        <item h="1" x="354"/>
        <item h="1" x="515"/>
        <item h="1" x="184"/>
        <item h="1" x="544"/>
        <item h="1" x="220"/>
        <item h="1" x="258"/>
        <item h="1" x="449"/>
        <item h="1" x="520"/>
        <item h="1" x="575"/>
        <item h="1" x="269"/>
        <item h="1" x="21"/>
        <item h="1" x="157"/>
        <item h="1" x="130"/>
        <item h="1" x="153"/>
        <item h="1" x="289"/>
        <item h="1" x="75"/>
        <item h="1" x="112"/>
        <item h="1" x="568"/>
        <item h="1" x="186"/>
        <item h="1" x="617"/>
        <item h="1" x="587"/>
        <item h="1" x="226"/>
        <item h="1" x="551"/>
        <item h="1" x="550"/>
        <item h="1" x="96"/>
        <item h="1" x="459"/>
        <item h="1" x="213"/>
        <item h="1" x="351"/>
        <item h="1" x="298"/>
        <item h="1" x="56"/>
        <item h="1" x="287"/>
        <item h="1" x="49"/>
        <item h="1" x="146"/>
        <item h="1" x="436"/>
        <item h="1" x="345"/>
        <item h="1" x="179"/>
        <item h="1" x="357"/>
        <item h="1" x="141"/>
        <item h="1" x="492"/>
        <item h="1" x="556"/>
        <item h="1" x="464"/>
        <item h="1" x="603"/>
        <item h="1" x="359"/>
        <item h="1" x="591"/>
        <item h="1" x="9"/>
        <item h="1" x="276"/>
        <item h="1" x="17"/>
        <item h="1" x="337"/>
        <item h="1" x="540"/>
        <item h="1" x="291"/>
        <item h="1" x="453"/>
        <item h="1" x="24"/>
        <item h="1" x="208"/>
        <item h="1" x="92"/>
        <item h="1" x="65"/>
        <item h="1" x="76"/>
        <item h="1" x="553"/>
        <item h="1" x="535"/>
        <item h="1" x="305"/>
        <item h="1" x="181"/>
        <item h="1" x="407"/>
        <item h="1" x="108"/>
        <item h="1" x="74"/>
        <item h="1" x="168"/>
        <item h="1" x="512"/>
        <item h="1" x="470"/>
        <item h="1" x="578"/>
        <item h="1" x="606"/>
        <item h="1" x="623"/>
        <item h="1" x="33"/>
        <item h="1" x="171"/>
        <item h="1" x="626"/>
        <item h="1" x="400"/>
        <item h="1" x="125"/>
        <item h="1" x="390"/>
        <item h="1" x="123"/>
        <item h="1" x="483"/>
        <item h="1" x="522"/>
        <item h="1" x="376"/>
        <item h="1" x="23"/>
        <item h="1" x="86"/>
        <item h="1" x="81"/>
        <item h="1" x="323"/>
        <item h="1" x="509"/>
        <item h="1" x="366"/>
        <item h="1" x="457"/>
        <item h="1" x="11"/>
        <item h="1" x="135"/>
        <item h="1" x="8"/>
        <item h="1" x="293"/>
        <item h="1" x="156"/>
        <item h="1" x="463"/>
        <item h="1" x="209"/>
        <item h="1" x="314"/>
        <item h="1" x="466"/>
        <item h="1" x="84"/>
        <item h="1" x="160"/>
        <item h="1" x="259"/>
        <item h="1" x="347"/>
        <item h="1" x="255"/>
        <item h="1" x="572"/>
        <item h="1" x="219"/>
        <item h="1" x="616"/>
        <item h="1" x="593"/>
        <item h="1" x="325"/>
        <item h="1" x="73"/>
        <item h="1" x="170"/>
        <item h="1" x="588"/>
        <item h="1" x="489"/>
        <item h="1" x="517"/>
        <item h="1" x="462"/>
        <item h="1" x="77"/>
        <item h="1" x="518"/>
        <item h="1" x="563"/>
        <item h="1" x="43"/>
        <item h="1" x="126"/>
        <item h="1" x="124"/>
        <item h="1" x="109"/>
        <item h="1" x="567"/>
        <item h="1" x="503"/>
        <item h="1" x="458"/>
        <item h="1" x="450"/>
        <item h="1" x="396"/>
        <item h="1" x="29"/>
        <item h="1" x="229"/>
        <item h="1" x="60"/>
        <item h="1" x="364"/>
        <item h="1" x="221"/>
        <item h="1" x="205"/>
        <item h="1" x="68"/>
        <item h="1" x="249"/>
        <item h="1" x="35"/>
        <item h="1" x="59"/>
        <item h="1" x="104"/>
        <item h="1" x="510"/>
        <item h="1" x="100"/>
        <item h="1" x="85"/>
        <item h="1" x="233"/>
        <item h="1" x="0"/>
        <item h="1" x="36"/>
        <item h="1" x="392"/>
        <item h="1" x="435"/>
        <item h="1" x="402"/>
        <item h="1" x="288"/>
        <item h="1" x="475"/>
        <item h="1" x="236"/>
        <item h="1" x="584"/>
        <item h="1" x="176"/>
        <item h="1" x="299"/>
        <item h="1" x="266"/>
        <item h="1" x="558"/>
        <item h="1" x="322"/>
        <item h="1" x="474"/>
        <item h="1" x="476"/>
        <item h="1" x="532"/>
        <item h="1" x="165"/>
        <item h="1" x="144"/>
        <item h="1" x="294"/>
        <item h="1" x="14"/>
        <item h="1" x="526"/>
        <item h="1" x="444"/>
        <item h="1" x="581"/>
        <item h="1" x="538"/>
        <item h="1" x="348"/>
        <item h="1" x="118"/>
        <item h="1" x="278"/>
        <item h="1" x="245"/>
        <item h="1" x="383"/>
        <item h="1" x="238"/>
        <item h="1" x="369"/>
        <item h="1" x="628"/>
        <item h="1" x="480"/>
        <item h="1" x="145"/>
        <item h="1" x="18"/>
        <item h="1" x="63"/>
        <item h="1" x="263"/>
        <item h="1" x="506"/>
        <item h="1" x="570"/>
        <item h="1" x="344"/>
        <item h="1" x="98"/>
        <item h="1" x="52"/>
        <item h="1" x="361"/>
        <item h="1" x="513"/>
        <item h="1" x="580"/>
        <item h="1" x="70"/>
        <item h="1" x="308"/>
        <item h="1" x="303"/>
        <item h="1" x="541"/>
        <item h="1" x="241"/>
        <item h="1" x="456"/>
        <item h="1" x="602"/>
        <item h="1" x="22"/>
        <item h="1" x="254"/>
        <item h="1" x="507"/>
        <item h="1" x="103"/>
        <item h="1" x="189"/>
        <item h="1" x="562"/>
        <item h="1" x="386"/>
        <item h="1" x="250"/>
        <item h="1" x="150"/>
        <item h="1" x="519"/>
        <item h="1" x="592"/>
        <item h="1" x="367"/>
        <item h="1" x="55"/>
        <item h="1" x="408"/>
        <item h="1" x="274"/>
        <item h="1" x="172"/>
        <item h="1" x="101"/>
        <item h="1" x="387"/>
        <item h="1" x="533"/>
        <item h="1" x="564"/>
        <item h="1" x="424"/>
        <item h="1" x="51"/>
        <item h="1" x="191"/>
        <item h="1" x="406"/>
        <item h="1" x="116"/>
        <item h="1" x="395"/>
        <item h="1" x="423"/>
        <item h="1" x="71"/>
        <item h="1" x="4"/>
        <item h="1" x="597"/>
        <item h="1" x="429"/>
        <item h="1" x="420"/>
        <item h="1" x="282"/>
        <item h="1" x="328"/>
        <item h="1" x="385"/>
        <item h="1" x="110"/>
        <item h="1" x="223"/>
        <item h="1" x="131"/>
        <item h="1" x="19"/>
        <item h="1" x="401"/>
        <item h="1" x="283"/>
        <item h="1" x="32"/>
        <item h="1" x="338"/>
        <item h="1" x="565"/>
        <item h="1" x="313"/>
        <item h="1" x="270"/>
        <item h="1" x="590"/>
        <item h="1" x="215"/>
        <item h="1" x="185"/>
        <item h="1" x="204"/>
        <item h="1" x="95"/>
        <item h="1" x="403"/>
        <item h="1" x="166"/>
        <item h="1" x="139"/>
        <item h="1" x="67"/>
        <item h="1" x="471"/>
        <item h="1" x="508"/>
        <item h="1" x="216"/>
        <item h="1" x="114"/>
        <item h="1" x="246"/>
        <item h="1" x="596"/>
        <item h="1" x="88"/>
        <item h="1" x="327"/>
        <item h="1" x="248"/>
        <item h="1" x="134"/>
        <item h="1" x="272"/>
        <item h="1" x="426"/>
        <item h="1" x="82"/>
        <item h="1" x="397"/>
        <item h="1" x="120"/>
        <item h="1" x="624"/>
        <item h="1" x="417"/>
        <item h="1" x="614"/>
        <item h="1" x="188"/>
        <item h="1" x="350"/>
        <item h="1" x="548"/>
        <item h="1" x="296"/>
        <item h="1" x="50"/>
        <item h="1" x="251"/>
        <item h="1" x="371"/>
        <item h="1" x="431"/>
        <item h="1" x="498"/>
        <item h="1" x="54"/>
        <item h="1" x="203"/>
        <item h="1" x="455"/>
        <item h="1" x="129"/>
        <item h="1" x="62"/>
        <item h="1" x="232"/>
        <item h="1" x="177"/>
        <item h="1" x="304"/>
        <item h="1" x="446"/>
        <item h="1" x="279"/>
        <item h="1" x="297"/>
        <item h="1" x="182"/>
        <item h="1" x="362"/>
        <item h="1" x="388"/>
        <item h="1" x="560"/>
        <item h="1" x="571"/>
        <item h="1" x="521"/>
        <item h="1" x="546"/>
        <item h="1" x="309"/>
        <item h="1" x="194"/>
        <item h="1" x="164"/>
        <item h="1" x="66"/>
        <item h="1" x="452"/>
        <item h="1" x="7"/>
        <item h="1" x="174"/>
        <item h="1" x="555"/>
        <item h="1" x="445"/>
        <item h="1" x="579"/>
        <item h="1" x="190"/>
        <item h="1" x="167"/>
        <item h="1" x="382"/>
        <item h="1" x="257"/>
        <item h="1" x="210"/>
        <item h="1" x="187"/>
        <item h="1" x="78"/>
        <item h="1" x="609"/>
        <item h="1" x="543"/>
        <item h="1" x="5"/>
        <item h="1" x="271"/>
        <item h="1" x="539"/>
        <item h="1" x="430"/>
        <item h="1" x="183"/>
        <item h="1" x="493"/>
        <item h="1" x="253"/>
        <item h="1" x="87"/>
        <item h="1" x="117"/>
        <item h="1" x="530"/>
        <item h="1" x="162"/>
        <item h="1" x="497"/>
        <item h="1" x="317"/>
        <item h="1" x="394"/>
        <item h="1" x="265"/>
        <item h="1" x="159"/>
        <item h="1" x="39"/>
        <item h="1" x="495"/>
        <item h="1" x="310"/>
        <item h="1" x="494"/>
        <item h="1" x="589"/>
        <item h="1" x="379"/>
        <item h="1" x="40"/>
        <item h="1" x="222"/>
        <item h="1" x="225"/>
        <item h="1" x="301"/>
        <item h="1" x="97"/>
        <item h="1" x="340"/>
        <item h="1" x="72"/>
        <item h="1" x="478"/>
        <item h="1" x="89"/>
        <item h="1" x="44"/>
        <item h="1" x="46"/>
        <item h="1" x="143"/>
        <item h="1" x="256"/>
        <item h="1" x="622"/>
        <item h="1" x="437"/>
        <item h="1" x="561"/>
        <item h="1" x="247"/>
        <item h="1" x="482"/>
        <item h="1" x="576"/>
        <item h="1" x="113"/>
        <item h="1" x="20"/>
        <item h="1" x="398"/>
        <item h="1" x="197"/>
        <item h="1" x="375"/>
        <item h="1" x="574"/>
        <item h="1" x="505"/>
        <item h="1" x="306"/>
        <item h="1" x="573"/>
        <item h="1" x="381"/>
        <item h="1" x="356"/>
        <item h="1" x="316"/>
        <item h="1" x="128"/>
        <item h="1" x="516"/>
        <item h="1" x="111"/>
        <item h="1" x="547"/>
        <item h="1" x="320"/>
        <item h="1" x="619"/>
        <item h="1" x="621"/>
        <item h="1" x="79"/>
        <item h="1" x="321"/>
        <item h="1" x="542"/>
        <item h="1" x="47"/>
        <item h="1" x="461"/>
        <item h="1" x="611"/>
        <item h="1" x="378"/>
        <item h="1" x="275"/>
        <item h="1" x="193"/>
        <item h="1" x="610"/>
        <item h="1" x="465"/>
        <item h="1" x="202"/>
        <item h="1" x="599"/>
        <item h="1" x="502"/>
        <item h="1" x="119"/>
        <item h="1" x="107"/>
        <item h="1" x="534"/>
        <item h="1" x="412"/>
        <item h="1" x="83"/>
        <item h="1" x="549"/>
        <item h="1" x="214"/>
        <item h="1" x="377"/>
        <item h="1" x="154"/>
        <item h="1" x="31"/>
        <item h="1" x="432"/>
        <item h="1" x="501"/>
        <item h="1" x="280"/>
        <item h="1" x="122"/>
        <item h="1" x="618"/>
        <item h="1" x="155"/>
        <item h="1" x="537"/>
        <item h="1" x="613"/>
        <item h="1" x="352"/>
        <item h="1" x="330"/>
        <item h="1" x="261"/>
        <item h="1" x="566"/>
        <item h="1" x="528"/>
        <item h="1" x="343"/>
        <item h="1" x="2"/>
        <item h="1" x="28"/>
        <item h="1" x="434"/>
        <item h="1" x="286"/>
        <item h="1" x="53"/>
        <item h="1" x="419"/>
        <item h="1" x="16"/>
        <item h="1" x="281"/>
        <item h="1" x="346"/>
        <item h="1" x="212"/>
        <item h="1" x="342"/>
        <item h="1" x="27"/>
        <item h="1" x="559"/>
        <item h="1" x="511"/>
        <item h="1" x="201"/>
        <item h="1" x="370"/>
        <item h="1" x="326"/>
        <item h="1" x="106"/>
        <item h="1" x="447"/>
        <item h="1" x="237"/>
        <item h="1" x="481"/>
        <item h="1" x="230"/>
        <item h="1" x="421"/>
        <item h="1" x="132"/>
        <item h="1" x="529"/>
        <item h="1" x="267"/>
        <item h="1" x="425"/>
        <item h="1" x="199"/>
        <item h="1" x="391"/>
        <item h="1" x="90"/>
        <item h="1" x="240"/>
        <item h="1" x="285"/>
        <item h="1" x="262"/>
        <item h="1" x="333"/>
        <item h="1" x="411"/>
        <item h="1" x="439"/>
        <item h="1" x="127"/>
        <item h="1" x="569"/>
        <item h="1" x="3"/>
        <item h="1" x="582"/>
        <item h="1" x="148"/>
        <item h="1" x="64"/>
        <item h="1" x="625"/>
        <item h="1" x="244"/>
        <item h="1" x="30"/>
        <item h="1" x="374"/>
        <item h="1" x="196"/>
        <item h="1" x="302"/>
        <item h="1" x="583"/>
        <item h="1" x="360"/>
        <item h="1" x="161"/>
        <item h="1" x="451"/>
        <item h="1" x="427"/>
        <item h="1" x="405"/>
        <item h="1" x="484"/>
        <item h="1" x="552"/>
        <item h="1" x="315"/>
        <item h="1" x="329"/>
        <item h="1" x="487"/>
        <item h="1" x="454"/>
        <item h="1" x="284"/>
        <item h="1" x="277"/>
        <item h="1" x="26"/>
        <item h="1" x="365"/>
        <item h="1" x="93"/>
        <item h="1" x="10"/>
        <item h="1" x="243"/>
        <item h="1" x="224"/>
        <item h="1" x="604"/>
        <item h="1" x="180"/>
        <item h="1" x="577"/>
        <item h="1" x="335"/>
        <item h="1" x="491"/>
        <item h="1" x="121"/>
        <item h="1" x="373"/>
        <item h="1" x="136"/>
        <item h="1" x="140"/>
        <item h="1" x="531"/>
        <item h="1" x="61"/>
        <item h="1" x="99"/>
        <item h="1" x="418"/>
        <item h="1" x="410"/>
        <item h="1" x="504"/>
        <item h="1" x="235"/>
        <item h="1" x="433"/>
        <item h="1" x="105"/>
        <item h="1" x="499"/>
        <item h="1" x="627"/>
        <item h="1" x="158"/>
        <item h="1" x="319"/>
        <item h="1" x="472"/>
        <item h="1" x="585"/>
        <item h="1" x="195"/>
        <item h="1" x="500"/>
        <item h="1" x="334"/>
        <item h="1" x="231"/>
        <item h="1" x="389"/>
        <item h="1" x="473"/>
        <item h="1" x="264"/>
        <item h="1" x="485"/>
        <item h="1" x="48"/>
        <item h="1" x="525"/>
        <item h="1" x="536"/>
        <item h="1" x="409"/>
        <item h="1" x="514"/>
        <item h="1" x="524"/>
        <item h="1" x="438"/>
        <item h="1" x="227"/>
        <item h="1" x="312"/>
        <item h="1" x="448"/>
        <item h="1" x="554"/>
        <item h="1" x="428"/>
        <item h="1" x="45"/>
        <item h="1" x="523"/>
        <item h="1" x="218"/>
        <item h="1" x="252"/>
        <item h="1" x="307"/>
        <item h="1" x="211"/>
        <item h="1" x="41"/>
        <item h="1" x="467"/>
        <item h="1" x="363"/>
        <item h="1" x="368"/>
        <item h="1" x="173"/>
        <item h="1" x="479"/>
        <item h="1" x="163"/>
        <item h="1" x="25"/>
        <item h="1" x="147"/>
        <item h="1" x="142"/>
        <item h="1" x="34"/>
        <item h="1" x="527"/>
        <item h="1" x="594"/>
        <item h="1" x="133"/>
        <item h="1" x="441"/>
        <item h="1" x="341"/>
        <item h="1" x="608"/>
        <item h="1" x="137"/>
        <item h="1" x="192"/>
        <item h="1" x="239"/>
        <item h="1" x="601"/>
        <item h="1" x="175"/>
        <item h="1" x="612"/>
        <item h="1" x="336"/>
        <item h="1" x="242"/>
        <item h="1" x="605"/>
        <item h="1" x="399"/>
        <item h="1" x="217"/>
        <item h="1" x="615"/>
        <item h="1" x="486"/>
        <item h="1" x="416"/>
        <item h="1" x="380"/>
        <item h="1" x="207"/>
        <item h="1" x="600"/>
        <item h="1" x="149"/>
        <item h="1" x="6"/>
        <item h="1" x="422"/>
        <item h="1" x="115"/>
        <item h="1" x="91"/>
        <item h="1" x="300"/>
        <item h="1" x="38"/>
        <item h="1" x="557"/>
        <item h="1" x="358"/>
        <item h="1" x="268"/>
        <item h="1" x="15"/>
        <item h="1" x="460"/>
        <item h="1" x="198"/>
        <item h="1" x="228"/>
        <item h="1" x="469"/>
        <item h="1" x="152"/>
        <item h="1" x="37"/>
        <item h="1" x="349"/>
        <item h="1" x="234"/>
        <item h="1" x="295"/>
        <item h="1" x="443"/>
        <item h="1" x="178"/>
        <item h="1" x="151"/>
        <item h="1" x="12"/>
        <item h="1" x="200"/>
        <item h="1" x="372"/>
        <item h="1" x="273"/>
        <item h="1" x="290"/>
        <item h="1" x="384"/>
        <item h="1" x="94"/>
        <item h="1" x="607"/>
        <item h="1" x="1"/>
        <item h="1" x="404"/>
        <item h="1" x="468"/>
        <item h="1" x="355"/>
        <item h="1" x="442"/>
        <item h="1" x="545"/>
        <item h="1" x="80"/>
        <item h="1" x="42"/>
        <item h="1" x="598"/>
        <item h="1" x="595"/>
        <item h="1" x="353"/>
        <item h="1" x="413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numFmtId="179" showAll="0">
      <items count="630">
        <item x="614"/>
        <item x="2"/>
        <item x="57"/>
        <item x="296"/>
        <item x="111"/>
        <item x="178"/>
        <item x="284"/>
        <item x="170"/>
        <item x="490"/>
        <item x="105"/>
        <item x="95"/>
        <item x="175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numFmtId="10" showAll="0">
      <items count="229">
        <item x="4"/>
        <item x="140"/>
        <item x="9"/>
        <item x="19"/>
        <item x="98"/>
        <item x="18"/>
        <item x="83"/>
        <item x="170"/>
        <item x="212"/>
        <item x="107"/>
        <item x="205"/>
        <item x="112"/>
        <item x="105"/>
        <item x="117"/>
        <item x="108"/>
        <item x="179"/>
        <item x="133"/>
        <item x="70"/>
        <item x="7"/>
        <item x="195"/>
        <item x="75"/>
        <item x="41"/>
        <item x="31"/>
        <item x="15"/>
        <item x="188"/>
        <item x="208"/>
        <item x="174"/>
        <item x="88"/>
        <item x="221"/>
        <item x="106"/>
        <item x="215"/>
        <item x="57"/>
        <item x="216"/>
        <item x="53"/>
        <item x="129"/>
        <item x="113"/>
        <item x="223"/>
        <item x="132"/>
        <item x="120"/>
        <item x="91"/>
        <item x="193"/>
        <item x="163"/>
        <item x="227"/>
        <item x="95"/>
        <item x="201"/>
        <item x="176"/>
        <item x="71"/>
        <item x="143"/>
        <item x="54"/>
        <item x="89"/>
        <item x="67"/>
        <item x="87"/>
        <item x="3"/>
        <item x="92"/>
        <item x="12"/>
        <item x="42"/>
        <item x="171"/>
        <item x="202"/>
        <item x="116"/>
        <item x="164"/>
        <item x="226"/>
        <item x="103"/>
        <item x="200"/>
        <item x="25"/>
        <item x="147"/>
        <item x="23"/>
        <item x="167"/>
        <item x="24"/>
        <item x="168"/>
        <item x="118"/>
        <item x="76"/>
        <item x="142"/>
        <item x="11"/>
        <item x="148"/>
        <item x="72"/>
        <item x="224"/>
        <item x="199"/>
        <item x="73"/>
        <item x="165"/>
        <item x="26"/>
        <item x="136"/>
        <item x="172"/>
        <item x="66"/>
        <item x="51"/>
        <item x="192"/>
        <item x="104"/>
        <item x="85"/>
        <item x="13"/>
        <item x="45"/>
        <item x="94"/>
        <item x="0"/>
        <item x="139"/>
        <item x="59"/>
        <item x="158"/>
        <item x="144"/>
        <item x="84"/>
        <item x="44"/>
        <item x="17"/>
        <item x="173"/>
        <item x="153"/>
        <item x="81"/>
        <item x="213"/>
        <item x="21"/>
        <item x="37"/>
        <item x="109"/>
        <item x="137"/>
        <item x="30"/>
        <item x="48"/>
        <item x="2"/>
        <item x="191"/>
        <item x="111"/>
        <item x="60"/>
        <item x="157"/>
        <item x="28"/>
        <item x="80"/>
        <item x="159"/>
        <item x="22"/>
        <item x="77"/>
        <item x="169"/>
        <item x="55"/>
        <item x="16"/>
        <item x="40"/>
        <item x="180"/>
        <item x="33"/>
        <item x="5"/>
        <item x="134"/>
        <item x="8"/>
        <item x="209"/>
        <item x="101"/>
        <item x="135"/>
        <item x="124"/>
        <item x="68"/>
        <item x="130"/>
        <item x="161"/>
        <item x="86"/>
        <item x="181"/>
        <item x="128"/>
        <item x="74"/>
        <item x="63"/>
        <item x="196"/>
        <item x="156"/>
        <item x="211"/>
        <item x="150"/>
        <item x="20"/>
        <item x="35"/>
        <item x="189"/>
        <item x="225"/>
        <item x="145"/>
        <item x="121"/>
        <item x="155"/>
        <item x="29"/>
        <item x="166"/>
        <item x="119"/>
        <item x="93"/>
        <item x="78"/>
        <item x="110"/>
        <item x="34"/>
        <item x="14"/>
        <item x="49"/>
        <item x="56"/>
        <item x="62"/>
        <item x="36"/>
        <item x="69"/>
        <item x="50"/>
        <item x="197"/>
        <item x="97"/>
        <item x="6"/>
        <item x="123"/>
        <item x="114"/>
        <item x="46"/>
        <item x="138"/>
        <item x="90"/>
        <item x="52"/>
        <item x="43"/>
        <item x="162"/>
        <item x="222"/>
        <item x="219"/>
        <item x="182"/>
        <item x="125"/>
        <item x="122"/>
        <item x="207"/>
        <item x="65"/>
        <item x="154"/>
        <item x="203"/>
        <item x="218"/>
        <item x="96"/>
        <item x="217"/>
        <item x="152"/>
        <item x="204"/>
        <item x="82"/>
        <item x="214"/>
        <item x="126"/>
        <item x="146"/>
        <item x="127"/>
        <item x="1"/>
        <item x="149"/>
        <item x="177"/>
        <item x="183"/>
        <item x="64"/>
        <item x="27"/>
        <item x="102"/>
        <item x="220"/>
        <item x="10"/>
        <item x="115"/>
        <item x="47"/>
        <item x="194"/>
        <item x="61"/>
        <item x="131"/>
        <item x="100"/>
        <item x="187"/>
        <item x="151"/>
        <item x="99"/>
        <item x="141"/>
        <item x="178"/>
        <item x="190"/>
        <item x="79"/>
        <item x="186"/>
        <item x="38"/>
        <item x="210"/>
        <item x="39"/>
        <item x="184"/>
        <item x="206"/>
        <item x="160"/>
        <item x="32"/>
        <item x="58"/>
        <item x="175"/>
        <item x="198"/>
        <item x="185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630">
        <item x="296"/>
        <item x="111"/>
        <item x="57"/>
        <item x="178"/>
        <item x="284"/>
        <item x="170"/>
        <item x="490"/>
        <item x="105"/>
        <item x="95"/>
        <item x="175"/>
        <item x="2"/>
        <item x="614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showAll="0">
      <items count="3">
        <item x="1"/>
        <item x="0"/>
        <item t="default"/>
      </items>
    </pivotField>
    <pivotField compact="0" numFmtId="10" showAll="0">
      <items count="223">
        <item x="4"/>
        <item x="139"/>
        <item x="9"/>
        <item x="19"/>
        <item x="97"/>
        <item x="18"/>
        <item x="82"/>
        <item x="168"/>
        <item x="206"/>
        <item x="106"/>
        <item x="200"/>
        <item x="111"/>
        <item x="104"/>
        <item x="116"/>
        <item x="107"/>
        <item x="176"/>
        <item x="132"/>
        <item x="69"/>
        <item x="7"/>
        <item x="191"/>
        <item x="74"/>
        <item x="41"/>
        <item x="31"/>
        <item x="15"/>
        <item x="184"/>
        <item x="202"/>
        <item x="172"/>
        <item x="87"/>
        <item x="215"/>
        <item x="105"/>
        <item x="209"/>
        <item x="57"/>
        <item x="210"/>
        <item x="53"/>
        <item x="128"/>
        <item x="112"/>
        <item x="217"/>
        <item x="131"/>
        <item x="119"/>
        <item x="90"/>
        <item x="189"/>
        <item x="161"/>
        <item x="221"/>
        <item x="94"/>
        <item x="196"/>
        <item x="173"/>
        <item x="70"/>
        <item x="142"/>
        <item x="54"/>
        <item x="88"/>
        <item x="66"/>
        <item x="86"/>
        <item x="3"/>
        <item x="91"/>
        <item x="12"/>
        <item x="42"/>
        <item x="169"/>
        <item x="197"/>
        <item x="115"/>
        <item x="162"/>
        <item x="220"/>
        <item x="102"/>
        <item x="195"/>
        <item x="25"/>
        <item x="146"/>
        <item x="23"/>
        <item x="165"/>
        <item x="24"/>
        <item x="166"/>
        <item x="117"/>
        <item x="75"/>
        <item x="141"/>
        <item x="11"/>
        <item x="147"/>
        <item x="71"/>
        <item x="218"/>
        <item x="194"/>
        <item x="72"/>
        <item x="163"/>
        <item x="26"/>
        <item x="135"/>
        <item x="170"/>
        <item x="65"/>
        <item x="51"/>
        <item x="188"/>
        <item x="103"/>
        <item x="84"/>
        <item x="13"/>
        <item x="45"/>
        <item x="93"/>
        <item x="0"/>
        <item x="138"/>
        <item x="58"/>
        <item x="157"/>
        <item x="143"/>
        <item x="83"/>
        <item x="44"/>
        <item x="17"/>
        <item x="171"/>
        <item x="152"/>
        <item x="80"/>
        <item x="207"/>
        <item x="21"/>
        <item x="37"/>
        <item x="108"/>
        <item x="136"/>
        <item x="30"/>
        <item x="48"/>
        <item x="2"/>
        <item x="187"/>
        <item x="110"/>
        <item x="59"/>
        <item x="156"/>
        <item x="28"/>
        <item x="79"/>
        <item x="158"/>
        <item x="22"/>
        <item x="76"/>
        <item x="167"/>
        <item x="55"/>
        <item x="16"/>
        <item x="40"/>
        <item x="177"/>
        <item x="33"/>
        <item x="5"/>
        <item x="133"/>
        <item x="8"/>
        <item x="203"/>
        <item x="100"/>
        <item x="134"/>
        <item x="123"/>
        <item x="67"/>
        <item x="129"/>
        <item x="159"/>
        <item x="85"/>
        <item x="178"/>
        <item x="127"/>
        <item x="73"/>
        <item x="62"/>
        <item x="192"/>
        <item x="155"/>
        <item x="205"/>
        <item x="149"/>
        <item x="20"/>
        <item x="35"/>
        <item x="185"/>
        <item x="219"/>
        <item x="144"/>
        <item x="120"/>
        <item x="154"/>
        <item x="29"/>
        <item x="164"/>
        <item x="118"/>
        <item x="92"/>
        <item x="77"/>
        <item x="109"/>
        <item x="34"/>
        <item x="14"/>
        <item x="49"/>
        <item x="56"/>
        <item x="61"/>
        <item x="36"/>
        <item x="68"/>
        <item x="50"/>
        <item x="193"/>
        <item x="96"/>
        <item x="6"/>
        <item x="122"/>
        <item x="113"/>
        <item x="46"/>
        <item x="137"/>
        <item x="89"/>
        <item x="52"/>
        <item x="43"/>
        <item x="160"/>
        <item x="216"/>
        <item x="213"/>
        <item x="179"/>
        <item x="124"/>
        <item x="121"/>
        <item x="201"/>
        <item x="64"/>
        <item x="153"/>
        <item x="198"/>
        <item x="212"/>
        <item x="95"/>
        <item x="211"/>
        <item x="151"/>
        <item x="199"/>
        <item x="81"/>
        <item x="208"/>
        <item x="125"/>
        <item x="145"/>
        <item x="126"/>
        <item x="1"/>
        <item x="148"/>
        <item x="174"/>
        <item x="180"/>
        <item x="63"/>
        <item x="27"/>
        <item x="101"/>
        <item x="214"/>
        <item x="10"/>
        <item x="114"/>
        <item x="47"/>
        <item x="190"/>
        <item x="60"/>
        <item x="130"/>
        <item x="99"/>
        <item x="183"/>
        <item x="150"/>
        <item x="98"/>
        <item x="140"/>
        <item x="175"/>
        <item x="186"/>
        <item x="78"/>
        <item x="182"/>
        <item x="38"/>
        <item x="204"/>
        <item x="39"/>
        <item x="181"/>
        <item x="32"/>
        <item t="default"/>
      </items>
    </pivotField>
    <pivotField compact="0" showAll="0">
      <items count="35">
        <item x="1"/>
        <item x="6"/>
        <item x="12"/>
        <item x="20"/>
        <item x="28"/>
        <item x="27"/>
        <item x="4"/>
        <item x="3"/>
        <item x="17"/>
        <item x="33"/>
        <item x="22"/>
        <item x="13"/>
        <item x="29"/>
        <item x="26"/>
        <item x="25"/>
        <item x="8"/>
        <item x="21"/>
        <item x="18"/>
        <item x="16"/>
        <item x="14"/>
        <item x="15"/>
        <item x="5"/>
        <item x="7"/>
        <item x="9"/>
        <item x="31"/>
        <item x="24"/>
        <item x="23"/>
        <item x="10"/>
        <item x="2"/>
        <item x="0"/>
        <item x="32"/>
        <item x="30"/>
        <item x="11"/>
        <item x="19"/>
        <item t="default"/>
      </items>
    </pivotField>
    <pivotField compact="0" numFmtId="58" showAll="0">
      <items count="472">
        <item x="4"/>
        <item x="184"/>
        <item x="6"/>
        <item x="411"/>
        <item x="198"/>
        <item x="122"/>
        <item x="125"/>
        <item x="186"/>
        <item x="442"/>
        <item x="77"/>
        <item x="23"/>
        <item x="419"/>
        <item x="182"/>
        <item x="61"/>
        <item x="173"/>
        <item x="151"/>
        <item x="108"/>
        <item x="423"/>
        <item x="275"/>
        <item x="293"/>
        <item x="161"/>
        <item x="156"/>
        <item x="380"/>
        <item x="94"/>
        <item x="221"/>
        <item x="2"/>
        <item x="154"/>
        <item x="213"/>
        <item x="210"/>
        <item x="310"/>
        <item x="49"/>
        <item x="334"/>
        <item x="306"/>
        <item x="63"/>
        <item x="129"/>
        <item x="272"/>
        <item x="165"/>
        <item x="127"/>
        <item x="381"/>
        <item x="286"/>
        <item x="33"/>
        <item x="456"/>
        <item x="453"/>
        <item x="439"/>
        <item x="90"/>
        <item x="188"/>
        <item x="14"/>
        <item x="432"/>
        <item x="205"/>
        <item x="66"/>
        <item x="183"/>
        <item x="27"/>
        <item x="291"/>
        <item x="132"/>
        <item x="365"/>
        <item x="427"/>
        <item x="375"/>
        <item x="379"/>
        <item x="179"/>
        <item x="71"/>
        <item x="20"/>
        <item x="277"/>
        <item x="437"/>
        <item x="353"/>
        <item x="101"/>
        <item x="402"/>
        <item x="211"/>
        <item x="369"/>
        <item x="75"/>
        <item x="278"/>
        <item x="111"/>
        <item x="321"/>
        <item x="362"/>
        <item x="245"/>
        <item x="37"/>
        <item x="301"/>
        <item x="88"/>
        <item x="85"/>
        <item x="43"/>
        <item x="391"/>
        <item x="257"/>
        <item x="420"/>
        <item x="416"/>
        <item x="440"/>
        <item x="418"/>
        <item x="136"/>
        <item x="469"/>
        <item x="368"/>
        <item x="171"/>
        <item x="261"/>
        <item x="143"/>
        <item x="359"/>
        <item x="174"/>
        <item x="46"/>
        <item x="207"/>
        <item x="251"/>
        <item x="238"/>
        <item x="235"/>
        <item x="384"/>
        <item x="285"/>
        <item x="176"/>
        <item x="169"/>
        <item x="228"/>
        <item x="134"/>
        <item x="468"/>
        <item x="51"/>
        <item x="282"/>
        <item x="117"/>
        <item x="118"/>
        <item x="65"/>
        <item x="203"/>
        <item x="164"/>
        <item x="78"/>
        <item x="335"/>
        <item x="463"/>
        <item x="140"/>
        <item x="376"/>
        <item x="413"/>
        <item x="255"/>
        <item x="354"/>
        <item x="202"/>
        <item x="317"/>
        <item x="225"/>
        <item x="72"/>
        <item x="304"/>
        <item x="160"/>
        <item x="459"/>
        <item x="227"/>
        <item x="350"/>
        <item x="348"/>
        <item x="158"/>
        <item x="320"/>
        <item x="393"/>
        <item x="208"/>
        <item x="405"/>
        <item x="260"/>
        <item x="146"/>
        <item x="318"/>
        <item x="254"/>
        <item x="178"/>
        <item x="244"/>
        <item x="280"/>
        <item x="386"/>
        <item x="195"/>
        <item x="270"/>
        <item x="107"/>
        <item x="283"/>
        <item x="137"/>
        <item x="366"/>
        <item x="364"/>
        <item x="114"/>
        <item x="144"/>
        <item x="294"/>
        <item x="289"/>
        <item x="331"/>
        <item x="206"/>
        <item x="81"/>
        <item x="62"/>
        <item x="233"/>
        <item x="438"/>
        <item x="305"/>
        <item x="292"/>
        <item x="352"/>
        <item x="274"/>
        <item x="431"/>
        <item x="356"/>
        <item x="197"/>
        <item x="382"/>
        <item x="467"/>
        <item x="115"/>
        <item x="96"/>
        <item x="234"/>
        <item x="84"/>
        <item x="240"/>
        <item x="185"/>
        <item x="250"/>
        <item x="457"/>
        <item x="39"/>
        <item x="299"/>
        <item x="433"/>
        <item x="247"/>
        <item x="414"/>
        <item x="9"/>
        <item x="339"/>
        <item x="12"/>
        <item x="131"/>
        <item x="175"/>
        <item x="435"/>
        <item x="148"/>
        <item x="377"/>
        <item x="181"/>
        <item x="145"/>
        <item x="343"/>
        <item x="389"/>
        <item x="346"/>
        <item x="276"/>
        <item x="256"/>
        <item x="308"/>
        <item x="67"/>
        <item x="450"/>
        <item x="401"/>
        <item x="34"/>
        <item x="219"/>
        <item x="429"/>
        <item x="196"/>
        <item x="370"/>
        <item x="258"/>
        <item x="0"/>
        <item x="153"/>
        <item x="57"/>
        <item x="241"/>
        <item x="239"/>
        <item x="237"/>
        <item x="284"/>
        <item x="297"/>
        <item x="139"/>
        <item x="82"/>
        <item x="410"/>
        <item x="395"/>
        <item x="36"/>
        <item x="69"/>
        <item x="31"/>
        <item x="409"/>
        <item x="316"/>
        <item x="360"/>
        <item x="367"/>
        <item x="224"/>
        <item x="333"/>
        <item x="430"/>
        <item x="22"/>
        <item x="388"/>
        <item x="407"/>
        <item x="100"/>
        <item x="44"/>
        <item x="7"/>
        <item x="42"/>
        <item x="162"/>
        <item x="92"/>
        <item x="64"/>
        <item x="103"/>
        <item x="421"/>
        <item x="104"/>
        <item x="121"/>
        <item x="157"/>
        <item x="303"/>
        <item x="155"/>
        <item x="390"/>
        <item x="273"/>
        <item x="263"/>
        <item x="444"/>
        <item x="412"/>
        <item x="268"/>
        <item x="300"/>
        <item x="119"/>
        <item x="373"/>
        <item x="458"/>
        <item x="243"/>
        <item x="135"/>
        <item x="74"/>
        <item x="358"/>
        <item x="408"/>
        <item x="24"/>
        <item x="159"/>
        <item x="26"/>
        <item x="288"/>
        <item x="447"/>
        <item x="105"/>
        <item x="222"/>
        <item x="19"/>
        <item x="290"/>
        <item x="424"/>
        <item x="315"/>
        <item x="327"/>
        <item x="443"/>
        <item x="326"/>
        <item x="147"/>
        <item x="295"/>
        <item x="465"/>
        <item x="449"/>
        <item x="417"/>
        <item x="32"/>
        <item x="451"/>
        <item x="177"/>
        <item x="102"/>
        <item x="332"/>
        <item x="249"/>
        <item x="212"/>
        <item x="345"/>
        <item x="392"/>
        <item x="149"/>
        <item x="38"/>
        <item x="73"/>
        <item x="426"/>
        <item x="180"/>
        <item x="214"/>
        <item x="355"/>
        <item x="325"/>
        <item x="99"/>
        <item x="190"/>
        <item x="232"/>
        <item x="167"/>
        <item x="200"/>
        <item x="141"/>
        <item x="192"/>
        <item x="462"/>
        <item x="399"/>
        <item x="170"/>
        <item x="1"/>
        <item x="89"/>
        <item x="287"/>
        <item x="267"/>
        <item x="48"/>
        <item x="434"/>
        <item x="45"/>
        <item x="199"/>
        <item x="347"/>
        <item x="40"/>
        <item x="60"/>
        <item x="223"/>
        <item x="400"/>
        <item x="47"/>
        <item x="152"/>
        <item x="296"/>
        <item x="387"/>
        <item x="116"/>
        <item x="298"/>
        <item x="385"/>
        <item x="336"/>
        <item x="218"/>
        <item x="130"/>
        <item x="54"/>
        <item x="349"/>
        <item x="70"/>
        <item x="76"/>
        <item x="455"/>
        <item x="126"/>
        <item x="98"/>
        <item x="363"/>
        <item x="25"/>
        <item x="110"/>
        <item x="403"/>
        <item x="15"/>
        <item x="133"/>
        <item x="128"/>
        <item x="351"/>
        <item x="5"/>
        <item x="29"/>
        <item x="460"/>
        <item x="311"/>
        <item x="259"/>
        <item x="10"/>
        <item x="106"/>
        <item x="328"/>
        <item x="266"/>
        <item x="194"/>
        <item x="172"/>
        <item x="189"/>
        <item x="95"/>
        <item x="50"/>
        <item x="312"/>
        <item x="448"/>
        <item x="187"/>
        <item x="445"/>
        <item x="123"/>
        <item x="53"/>
        <item x="168"/>
        <item x="236"/>
        <item x="470"/>
        <item x="330"/>
        <item x="340"/>
        <item x="329"/>
        <item x="124"/>
        <item x="396"/>
        <item x="265"/>
        <item x="397"/>
        <item x="246"/>
        <item x="11"/>
        <item x="3"/>
        <item x="97"/>
        <item x="253"/>
        <item x="338"/>
        <item x="302"/>
        <item x="307"/>
        <item x="28"/>
        <item x="264"/>
        <item x="248"/>
        <item x="436"/>
        <item x="80"/>
        <item x="371"/>
        <item x="230"/>
        <item x="271"/>
        <item x="357"/>
        <item x="52"/>
        <item x="220"/>
        <item x="464"/>
        <item x="163"/>
        <item x="68"/>
        <item x="415"/>
        <item x="56"/>
        <item x="86"/>
        <item x="142"/>
        <item x="398"/>
        <item x="452"/>
        <item x="383"/>
        <item x="428"/>
        <item x="79"/>
        <item x="59"/>
        <item x="279"/>
        <item x="216"/>
        <item x="18"/>
        <item x="406"/>
        <item x="374"/>
        <item x="269"/>
        <item x="322"/>
        <item x="8"/>
        <item x="109"/>
        <item x="337"/>
        <item x="55"/>
        <item x="41"/>
        <item x="454"/>
        <item x="361"/>
        <item x="87"/>
        <item x="229"/>
        <item x="21"/>
        <item x="319"/>
        <item x="226"/>
        <item x="341"/>
        <item x="262"/>
        <item x="35"/>
        <item x="309"/>
        <item x="113"/>
        <item x="242"/>
        <item x="461"/>
        <item x="204"/>
        <item x="112"/>
        <item x="215"/>
        <item x="466"/>
        <item x="441"/>
        <item x="193"/>
        <item x="17"/>
        <item x="30"/>
        <item x="191"/>
        <item x="217"/>
        <item x="120"/>
        <item x="372"/>
        <item x="91"/>
        <item x="314"/>
        <item x="93"/>
        <item x="83"/>
        <item x="150"/>
        <item x="425"/>
        <item x="422"/>
        <item x="404"/>
        <item x="209"/>
        <item x="378"/>
        <item x="252"/>
        <item x="344"/>
        <item x="313"/>
        <item x="231"/>
        <item x="58"/>
        <item x="323"/>
        <item x="16"/>
        <item x="166"/>
        <item x="446"/>
        <item x="324"/>
        <item x="201"/>
        <item x="342"/>
        <item x="281"/>
        <item x="138"/>
        <item x="13"/>
        <item x="394"/>
        <item t="default"/>
      </items>
    </pivotField>
    <pivotField compact="0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dataField="1"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281"/>
        <item x="82"/>
        <item x="88"/>
        <item x="530"/>
        <item x="108"/>
        <item x="246"/>
        <item x="229"/>
        <item x="6"/>
        <item x="50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325"/>
        <item x="433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72"/>
        <item x="326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603"/>
        <item x="73"/>
        <item x="253"/>
        <item x="598"/>
        <item x="267"/>
        <item x="205"/>
        <item x="409"/>
        <item x="592"/>
        <item x="45"/>
        <item x="276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457"/>
        <item x="237"/>
        <item x="416"/>
        <item x="258"/>
        <item x="403"/>
        <item x="600"/>
        <item x="500"/>
        <item x="89"/>
        <item x="589"/>
        <item x="51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68"/>
        <item x="161"/>
        <item x="327"/>
        <item x="472"/>
        <item x="320"/>
        <item x="181"/>
        <item x="502"/>
        <item x="529"/>
        <item x="314"/>
        <item x="190"/>
        <item x="182"/>
        <item x="293"/>
        <item x="124"/>
        <item x="331"/>
        <item x="135"/>
        <item x="302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29"/>
        <item x="524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163"/>
        <item x="342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273"/>
        <item x="282"/>
        <item x="588"/>
        <item x="142"/>
        <item x="32"/>
        <item x="248"/>
        <item x="548"/>
        <item x="245"/>
        <item x="146"/>
        <item x="557"/>
        <item x="427"/>
        <item x="153"/>
        <item x="379"/>
        <item x="452"/>
        <item x="101"/>
        <item x="61"/>
        <item x="544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625"/>
        <item x="166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0"/>
        <item x="546"/>
        <item x="279"/>
        <item x="266"/>
        <item x="65"/>
        <item x="207"/>
        <item x="341"/>
        <item x="565"/>
        <item x="121"/>
        <item x="22"/>
        <item x="208"/>
        <item x="366"/>
        <item x="455"/>
        <item x="450"/>
        <item x="49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551"/>
        <item x="610"/>
        <item x="521"/>
        <item x="150"/>
        <item x="386"/>
        <item x="90"/>
        <item x="251"/>
        <item x="294"/>
        <item x="255"/>
        <item x="478"/>
        <item x="286"/>
        <item x="20"/>
        <item x="393"/>
        <item x="28"/>
        <item x="83"/>
        <item x="453"/>
        <item x="1"/>
        <item x="584"/>
        <item x="408"/>
        <item x="80"/>
        <item x="572"/>
        <item x="365"/>
        <item x="473"/>
        <item x="319"/>
        <item x="212"/>
        <item x="439"/>
        <item x="458"/>
        <item x="405"/>
        <item x="396"/>
        <item x="120"/>
        <item x="71"/>
        <item x="156"/>
        <item x="259"/>
        <item x="189"/>
        <item x="483"/>
        <item x="406"/>
        <item x="254"/>
        <item x="35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486"/>
        <item x="183"/>
        <item x="567"/>
        <item x="347"/>
        <item x="187"/>
        <item x="191"/>
        <item x="606"/>
        <item x="467"/>
        <item x="627"/>
        <item x="513"/>
        <item x="206"/>
        <item x="528"/>
        <item x="413"/>
        <item x="96"/>
        <item x="172"/>
        <item x="599"/>
        <item x="378"/>
        <item x="568"/>
        <item x="152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8"/>
        <item x="137"/>
        <item x="75"/>
        <item x="374"/>
        <item x="481"/>
        <item x="373"/>
        <item x="235"/>
        <item x="470"/>
        <item x="352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556"/>
        <item x="477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2" showAll="0">
      <items count="241">
        <item x="32"/>
        <item x="186"/>
        <item x="39"/>
        <item x="213"/>
        <item x="38"/>
        <item x="187"/>
        <item x="78"/>
        <item x="192"/>
        <item x="180"/>
        <item x="141"/>
        <item x="98"/>
        <item x="152"/>
        <item x="188"/>
        <item x="99"/>
        <item x="131"/>
        <item x="60"/>
        <item x="196"/>
        <item x="47"/>
        <item x="114"/>
        <item x="208"/>
        <item x="10"/>
        <item x="229"/>
        <item x="101"/>
        <item x="27"/>
        <item x="63"/>
        <item x="185"/>
        <item x="179"/>
        <item x="150"/>
        <item x="1"/>
        <item x="127"/>
        <item x="146"/>
        <item x="126"/>
        <item x="219"/>
        <item x="81"/>
        <item x="218"/>
        <item x="206"/>
        <item x="154"/>
        <item x="224"/>
        <item x="95"/>
        <item x="226"/>
        <item x="205"/>
        <item x="156"/>
        <item x="64"/>
        <item x="209"/>
        <item x="122"/>
        <item x="125"/>
        <item x="184"/>
        <item x="227"/>
        <item x="231"/>
        <item x="164"/>
        <item x="43"/>
        <item x="52"/>
        <item x="89"/>
        <item x="138"/>
        <item x="46"/>
        <item x="113"/>
        <item x="123"/>
        <item x="6"/>
        <item x="96"/>
        <item x="200"/>
        <item x="234"/>
        <item x="50"/>
        <item x="68"/>
        <item x="36"/>
        <item x="61"/>
        <item x="56"/>
        <item x="49"/>
        <item x="14"/>
        <item x="34"/>
        <item x="109"/>
        <item x="77"/>
        <item x="92"/>
        <item x="119"/>
        <item x="168"/>
        <item x="29"/>
        <item x="158"/>
        <item x="121"/>
        <item x="145"/>
        <item x="236"/>
        <item x="191"/>
        <item x="35"/>
        <item x="20"/>
        <item x="151"/>
        <item x="214"/>
        <item x="222"/>
        <item x="159"/>
        <item x="199"/>
        <item x="62"/>
        <item x="73"/>
        <item x="233"/>
        <item x="128"/>
        <item x="183"/>
        <item x="85"/>
        <item x="163"/>
        <item x="130"/>
        <item x="67"/>
        <item x="169"/>
        <item x="124"/>
        <item x="216"/>
        <item x="135"/>
        <item x="153"/>
        <item x="100"/>
        <item x="211"/>
        <item x="8"/>
        <item x="134"/>
        <item x="5"/>
        <item x="33"/>
        <item x="182"/>
        <item x="40"/>
        <item x="16"/>
        <item x="55"/>
        <item x="172"/>
        <item x="76"/>
        <item x="115"/>
        <item x="22"/>
        <item x="162"/>
        <item x="79"/>
        <item x="28"/>
        <item x="160"/>
        <item x="59"/>
        <item x="110"/>
        <item x="193"/>
        <item x="2"/>
        <item x="147"/>
        <item x="48"/>
        <item x="30"/>
        <item x="137"/>
        <item x="108"/>
        <item x="37"/>
        <item x="21"/>
        <item x="217"/>
        <item x="80"/>
        <item x="155"/>
        <item x="176"/>
        <item x="17"/>
        <item x="44"/>
        <item x="83"/>
        <item x="144"/>
        <item x="161"/>
        <item x="58"/>
        <item x="139"/>
        <item x="0"/>
        <item x="93"/>
        <item x="45"/>
        <item x="13"/>
        <item x="84"/>
        <item x="103"/>
        <item x="157"/>
        <item x="194"/>
        <item x="51"/>
        <item x="65"/>
        <item x="175"/>
        <item x="189"/>
        <item x="136"/>
        <item x="26"/>
        <item x="167"/>
        <item x="72"/>
        <item x="197"/>
        <item x="201"/>
        <item x="235"/>
        <item x="71"/>
        <item x="149"/>
        <item x="11"/>
        <item x="228"/>
        <item x="142"/>
        <item x="75"/>
        <item x="118"/>
        <item x="171"/>
        <item x="24"/>
        <item x="170"/>
        <item x="23"/>
        <item x="148"/>
        <item x="25"/>
        <item x="202"/>
        <item x="225"/>
        <item x="102"/>
        <item x="237"/>
        <item x="166"/>
        <item x="116"/>
        <item x="204"/>
        <item x="174"/>
        <item x="42"/>
        <item x="12"/>
        <item x="91"/>
        <item x="3"/>
        <item x="86"/>
        <item x="66"/>
        <item x="88"/>
        <item x="54"/>
        <item x="143"/>
        <item x="70"/>
        <item x="178"/>
        <item x="203"/>
        <item x="94"/>
        <item x="239"/>
        <item x="165"/>
        <item x="195"/>
        <item x="90"/>
        <item x="120"/>
        <item x="132"/>
        <item x="232"/>
        <item x="112"/>
        <item x="223"/>
        <item x="129"/>
        <item x="53"/>
        <item x="221"/>
        <item x="57"/>
        <item x="220"/>
        <item x="105"/>
        <item x="230"/>
        <item x="87"/>
        <item x="177"/>
        <item x="210"/>
        <item x="190"/>
        <item x="15"/>
        <item x="31"/>
        <item x="41"/>
        <item x="74"/>
        <item x="198"/>
        <item x="7"/>
        <item x="69"/>
        <item x="133"/>
        <item x="212"/>
        <item x="181"/>
        <item x="107"/>
        <item x="117"/>
        <item x="104"/>
        <item x="111"/>
        <item x="207"/>
        <item x="106"/>
        <item x="215"/>
        <item x="173"/>
        <item x="82"/>
        <item x="18"/>
        <item x="97"/>
        <item x="19"/>
        <item x="9"/>
        <item x="140"/>
        <item x="238"/>
        <item x="4"/>
        <item t="default"/>
      </items>
    </pivotField>
    <pivotField compact="0" showAll="0">
      <items count="34">
        <item x="11"/>
        <item x="19"/>
        <item x="18"/>
        <item x="24"/>
        <item x="20"/>
        <item x="28"/>
        <item x="26"/>
        <item x="5"/>
        <item x="2"/>
        <item x="31"/>
        <item x="25"/>
        <item x="4"/>
        <item x="8"/>
        <item x="9"/>
        <item x="23"/>
        <item x="13"/>
        <item x="12"/>
        <item x="22"/>
        <item x="16"/>
        <item x="15"/>
        <item x="21"/>
        <item x="0"/>
        <item x="3"/>
        <item x="14"/>
        <item x="6"/>
        <item x="7"/>
        <item x="30"/>
        <item x="17"/>
        <item x="32"/>
        <item x="1"/>
        <item x="27"/>
        <item x="29"/>
        <item x="10"/>
        <item t="default"/>
      </items>
    </pivotField>
    <pivotField compact="0" showAll="0">
      <items count="12">
        <item x="2"/>
        <item x="0"/>
        <item x="3"/>
        <item x="7"/>
        <item x="4"/>
        <item x="5"/>
        <item x="9"/>
        <item x="8"/>
        <item x="6"/>
        <item x="10"/>
        <item x="1"/>
        <item t="default"/>
      </items>
    </pivotField>
    <pivotField compact="0" showAll="0">
      <items count="46">
        <item x="0"/>
        <item x="13"/>
        <item x="2"/>
        <item x="16"/>
        <item x="6"/>
        <item x="3"/>
        <item x="1"/>
        <item x="42"/>
        <item x="33"/>
        <item x="25"/>
        <item x="20"/>
        <item x="10"/>
        <item x="30"/>
        <item x="7"/>
        <item x="41"/>
        <item x="19"/>
        <item x="4"/>
        <item x="44"/>
        <item x="26"/>
        <item x="36"/>
        <item x="15"/>
        <item x="40"/>
        <item x="24"/>
        <item x="38"/>
        <item x="23"/>
        <item x="14"/>
        <item x="43"/>
        <item x="5"/>
        <item x="18"/>
        <item x="34"/>
        <item x="29"/>
        <item x="35"/>
        <item x="32"/>
        <item x="9"/>
        <item x="27"/>
        <item x="17"/>
        <item x="11"/>
        <item x="28"/>
        <item x="8"/>
        <item x="37"/>
        <item x="22"/>
        <item x="12"/>
        <item x="21"/>
        <item x="31"/>
        <item x="3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numFmtId="58" showAll="0">
      <items count="12">
        <item x="2"/>
        <item x="10"/>
        <item x="6"/>
        <item x="8"/>
        <item x="9"/>
        <item x="1"/>
        <item x="7"/>
        <item x="0"/>
        <item x="4"/>
        <item x="3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0" showAll="0">
      <items count="204">
        <item x="4"/>
        <item x="129"/>
        <item x="9"/>
        <item x="19"/>
        <item x="91"/>
        <item x="18"/>
        <item x="76"/>
        <item x="156"/>
        <item x="187"/>
        <item x="98"/>
        <item x="182"/>
        <item x="103"/>
        <item x="96"/>
        <item x="107"/>
        <item x="99"/>
        <item x="163"/>
        <item x="122"/>
        <item x="64"/>
        <item x="7"/>
        <item x="173"/>
        <item x="69"/>
        <item x="38"/>
        <item x="31"/>
        <item x="15"/>
        <item x="168"/>
        <item x="184"/>
        <item x="160"/>
        <item x="81"/>
        <item x="196"/>
        <item x="97"/>
        <item x="190"/>
        <item x="53"/>
        <item x="191"/>
        <item x="49"/>
        <item x="119"/>
        <item x="104"/>
        <item x="198"/>
        <item x="121"/>
        <item x="110"/>
        <item x="84"/>
        <item x="172"/>
        <item x="149"/>
        <item x="202"/>
        <item x="88"/>
        <item x="178"/>
        <item x="161"/>
        <item x="65"/>
        <item x="131"/>
        <item x="50"/>
        <item x="82"/>
        <item x="61"/>
        <item x="80"/>
        <item x="3"/>
        <item x="85"/>
        <item x="12"/>
        <item x="39"/>
        <item x="157"/>
        <item x="179"/>
        <item x="106"/>
        <item x="150"/>
        <item x="201"/>
        <item x="94"/>
        <item x="177"/>
        <item x="25"/>
        <item x="135"/>
        <item x="23"/>
        <item x="153"/>
        <item x="24"/>
        <item x="154"/>
        <item x="108"/>
        <item x="70"/>
        <item x="130"/>
        <item x="11"/>
        <item x="136"/>
        <item x="66"/>
        <item x="199"/>
        <item x="176"/>
        <item x="67"/>
        <item x="151"/>
        <item x="26"/>
        <item x="125"/>
        <item x="158"/>
        <item x="60"/>
        <item x="47"/>
        <item x="171"/>
        <item x="95"/>
        <item x="78"/>
        <item x="13"/>
        <item x="42"/>
        <item x="87"/>
        <item x="0"/>
        <item x="128"/>
        <item x="54"/>
        <item x="145"/>
        <item x="132"/>
        <item x="77"/>
        <item x="41"/>
        <item x="17"/>
        <item x="159"/>
        <item x="140"/>
        <item x="74"/>
        <item x="188"/>
        <item x="21"/>
        <item x="36"/>
        <item x="100"/>
        <item x="126"/>
        <item x="30"/>
        <item x="44"/>
        <item x="2"/>
        <item x="170"/>
        <item x="102"/>
        <item x="55"/>
        <item x="144"/>
        <item x="28"/>
        <item x="73"/>
        <item x="146"/>
        <item x="22"/>
        <item x="71"/>
        <item x="155"/>
        <item x="51"/>
        <item x="16"/>
        <item x="37"/>
        <item x="164"/>
        <item x="32"/>
        <item x="5"/>
        <item x="123"/>
        <item x="8"/>
        <item x="185"/>
        <item x="92"/>
        <item x="124"/>
        <item x="114"/>
        <item x="62"/>
        <item x="120"/>
        <item x="147"/>
        <item x="79"/>
        <item x="165"/>
        <item x="118"/>
        <item x="68"/>
        <item x="57"/>
        <item x="174"/>
        <item x="143"/>
        <item x="186"/>
        <item x="138"/>
        <item x="20"/>
        <item x="34"/>
        <item x="169"/>
        <item x="200"/>
        <item x="133"/>
        <item x="111"/>
        <item x="142"/>
        <item x="29"/>
        <item x="152"/>
        <item x="109"/>
        <item x="86"/>
        <item x="72"/>
        <item x="101"/>
        <item x="33"/>
        <item x="14"/>
        <item x="45"/>
        <item x="52"/>
        <item x="56"/>
        <item x="35"/>
        <item x="63"/>
        <item x="46"/>
        <item x="175"/>
        <item x="90"/>
        <item x="6"/>
        <item x="113"/>
        <item x="105"/>
        <item x="43"/>
        <item x="127"/>
        <item x="83"/>
        <item x="48"/>
        <item x="40"/>
        <item x="148"/>
        <item x="197"/>
        <item x="194"/>
        <item x="166"/>
        <item x="115"/>
        <item x="112"/>
        <item x="183"/>
        <item x="59"/>
        <item x="141"/>
        <item x="180"/>
        <item x="193"/>
        <item x="89"/>
        <item x="192"/>
        <item x="139"/>
        <item x="181"/>
        <item x="75"/>
        <item x="189"/>
        <item x="116"/>
        <item x="134"/>
        <item x="117"/>
        <item x="1"/>
        <item x="137"/>
        <item x="162"/>
        <item x="167"/>
        <item x="58"/>
        <item x="27"/>
        <item x="93"/>
        <item x="195"/>
        <item x="10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179" showAll="0">
      <items count="632">
        <item x="616"/>
        <item x="2"/>
        <item x="57"/>
        <item x="179"/>
        <item x="111"/>
        <item x="297"/>
        <item x="285"/>
        <item x="171"/>
        <item x="492"/>
        <item x="95"/>
        <item x="53"/>
        <item x="630"/>
        <item x="176"/>
        <item x="585"/>
        <item x="388"/>
        <item x="574"/>
        <item x="105"/>
        <item x="82"/>
        <item x="531"/>
        <item x="108"/>
        <item x="262"/>
        <item x="118"/>
        <item x="246"/>
        <item x="530"/>
        <item x="88"/>
        <item x="50"/>
        <item x="229"/>
        <item x="281"/>
        <item x="6"/>
        <item x="322"/>
        <item x="417"/>
        <item x="242"/>
        <item x="115"/>
        <item x="571"/>
        <item x="126"/>
        <item x="518"/>
        <item x="310"/>
        <item x="220"/>
        <item x="460"/>
        <item x="475"/>
        <item x="516"/>
        <item x="619"/>
        <item x="601"/>
        <item x="290"/>
        <item x="353"/>
        <item x="340"/>
        <item x="138"/>
        <item x="113"/>
        <item x="489"/>
        <item x="304"/>
        <item x="86"/>
        <item x="107"/>
        <item x="459"/>
        <item x="25"/>
        <item x="210"/>
        <item x="581"/>
        <item x="463"/>
        <item x="550"/>
        <item x="462"/>
        <item x="444"/>
        <item x="433"/>
        <item x="173"/>
        <item x="411"/>
        <item x="123"/>
        <item x="608"/>
        <item x="112"/>
        <item x="525"/>
        <item x="346"/>
        <item x="216"/>
        <item x="168"/>
        <item x="620"/>
        <item x="325"/>
        <item x="256"/>
        <item x="52"/>
        <item x="390"/>
        <item x="329"/>
        <item x="431"/>
        <item x="127"/>
        <item x="465"/>
        <item x="607"/>
        <item x="438"/>
        <item x="231"/>
        <item x="5"/>
        <item x="244"/>
        <item x="317"/>
        <item x="337"/>
        <item x="596"/>
        <item x="343"/>
        <item x="296"/>
        <item x="539"/>
        <item x="569"/>
        <item x="132"/>
        <item x="510"/>
        <item x="38"/>
        <item x="145"/>
        <item x="247"/>
        <item x="306"/>
        <item x="326"/>
        <item x="238"/>
        <item x="583"/>
        <item x="27"/>
        <item x="507"/>
        <item x="193"/>
        <item x="284"/>
        <item x="26"/>
        <item x="487"/>
        <item x="461"/>
        <item x="357"/>
        <item x="372"/>
        <item x="349"/>
        <item x="369"/>
        <item x="151"/>
        <item x="4"/>
        <item x="476"/>
        <item x="564"/>
        <item x="295"/>
        <item x="578"/>
        <item x="257"/>
        <item x="192"/>
        <item x="597"/>
        <item x="130"/>
        <item x="178"/>
        <item x="136"/>
        <item x="239"/>
        <item x="221"/>
        <item x="368"/>
        <item x="58"/>
        <item x="570"/>
        <item x="407"/>
        <item x="494"/>
        <item x="200"/>
        <item x="542"/>
        <item x="480"/>
        <item x="56"/>
        <item x="360"/>
        <item x="545"/>
        <item x="185"/>
        <item x="333"/>
        <item x="0"/>
        <item x="78"/>
        <item x="11"/>
        <item x="313"/>
        <item x="73"/>
        <item x="626"/>
        <item x="482"/>
        <item x="485"/>
        <item x="512"/>
        <item x="3"/>
        <item x="402"/>
        <item x="232"/>
        <item x="409"/>
        <item x="97"/>
        <item x="81"/>
        <item x="307"/>
        <item x="603"/>
        <item x="93"/>
        <item x="226"/>
        <item x="435"/>
        <item x="332"/>
        <item x="160"/>
        <item x="592"/>
        <item x="117"/>
        <item x="51"/>
        <item x="230"/>
        <item x="446"/>
        <item x="303"/>
        <item x="442"/>
        <item x="102"/>
        <item x="598"/>
        <item x="484"/>
        <item x="276"/>
        <item x="580"/>
        <item x="100"/>
        <item x="70"/>
        <item x="523"/>
        <item x="253"/>
        <item x="217"/>
        <item x="377"/>
        <item x="34"/>
        <item x="490"/>
        <item x="237"/>
        <item x="205"/>
        <item x="577"/>
        <item x="560"/>
        <item x="167"/>
        <item x="74"/>
        <item x="410"/>
        <item x="267"/>
        <item x="211"/>
        <item x="604"/>
        <item x="14"/>
        <item x="177"/>
        <item x="270"/>
        <item x="45"/>
        <item x="327"/>
        <item x="579"/>
        <item x="155"/>
        <item x="269"/>
        <item x="331"/>
        <item x="436"/>
        <item x="292"/>
        <item x="519"/>
        <item x="500"/>
        <item x="228"/>
        <item x="600"/>
        <item x="320"/>
        <item x="491"/>
        <item x="362"/>
        <item x="258"/>
        <item x="13"/>
        <item x="457"/>
        <item x="268"/>
        <item x="181"/>
        <item x="129"/>
        <item x="215"/>
        <item x="535"/>
        <item x="403"/>
        <item x="213"/>
        <item x="456"/>
        <item x="149"/>
        <item x="416"/>
        <item x="302"/>
        <item x="595"/>
        <item x="161"/>
        <item x="261"/>
        <item x="140"/>
        <item x="508"/>
        <item x="89"/>
        <item x="524"/>
        <item x="472"/>
        <item x="131"/>
        <item x="197"/>
        <item x="593"/>
        <item x="562"/>
        <item x="274"/>
        <item x="188"/>
        <item x="24"/>
        <item x="502"/>
        <item x="497"/>
        <item x="67"/>
        <item x="182"/>
        <item x="190"/>
        <item x="330"/>
        <item x="314"/>
        <item x="293"/>
        <item x="278"/>
        <item x="154"/>
        <item x="124"/>
        <item x="170"/>
        <item x="68"/>
        <item x="589"/>
        <item x="315"/>
        <item x="342"/>
        <item x="509"/>
        <item x="611"/>
        <item x="529"/>
        <item x="72"/>
        <item x="418"/>
        <item x="385"/>
        <item x="488"/>
        <item x="31"/>
        <item x="240"/>
        <item x="135"/>
        <item x="445"/>
        <item x="29"/>
        <item x="517"/>
        <item x="324"/>
        <item x="308"/>
        <item x="300"/>
        <item x="245"/>
        <item x="142"/>
        <item x="420"/>
        <item x="91"/>
        <item x="563"/>
        <item x="503"/>
        <item x="609"/>
        <item x="10"/>
        <item x="157"/>
        <item x="184"/>
        <item x="469"/>
        <item x="288"/>
        <item x="614"/>
        <item x="557"/>
        <item x="77"/>
        <item x="40"/>
        <item x="69"/>
        <item x="42"/>
        <item x="622"/>
        <item x="615"/>
        <item x="544"/>
        <item x="122"/>
        <item x="514"/>
        <item x="501"/>
        <item x="415"/>
        <item x="21"/>
        <item x="548"/>
        <item x="61"/>
        <item x="153"/>
        <item x="311"/>
        <item x="196"/>
        <item x="379"/>
        <item x="392"/>
        <item x="526"/>
        <item x="273"/>
        <item x="282"/>
        <item x="590"/>
        <item x="248"/>
        <item x="87"/>
        <item x="163"/>
        <item x="493"/>
        <item x="532"/>
        <item x="452"/>
        <item x="36"/>
        <item x="133"/>
        <item x="588"/>
        <item x="575"/>
        <item x="64"/>
        <item x="249"/>
        <item x="162"/>
        <item x="348"/>
        <item x="243"/>
        <item x="448"/>
        <item x="103"/>
        <item x="449"/>
        <item x="166"/>
        <item x="104"/>
        <item x="264"/>
        <item x="440"/>
        <item x="298"/>
        <item x="363"/>
        <item x="629"/>
        <item x="380"/>
        <item x="144"/>
        <item x="429"/>
        <item x="432"/>
        <item x="398"/>
        <item x="558"/>
        <item x="84"/>
        <item x="397"/>
        <item x="32"/>
        <item x="559"/>
        <item x="146"/>
        <item x="404"/>
        <item x="427"/>
        <item x="219"/>
        <item x="344"/>
        <item x="101"/>
        <item x="367"/>
        <item x="605"/>
        <item x="576"/>
        <item x="625"/>
        <item x="387"/>
        <item x="543"/>
        <item x="85"/>
        <item x="466"/>
        <item x="233"/>
        <item x="66"/>
        <item x="280"/>
        <item x="394"/>
        <item x="165"/>
        <item x="573"/>
        <item x="419"/>
        <item x="169"/>
        <item x="7"/>
        <item x="454"/>
        <item x="358"/>
        <item x="147"/>
        <item x="594"/>
        <item x="199"/>
        <item x="37"/>
        <item x="534"/>
        <item x="214"/>
        <item x="383"/>
        <item x="506"/>
        <item x="376"/>
        <item x="424"/>
        <item x="471"/>
        <item x="223"/>
        <item x="283"/>
        <item x="546"/>
        <item x="175"/>
        <item x="49"/>
        <item x="207"/>
        <item x="553"/>
        <item x="9"/>
        <item x="65"/>
        <item x="121"/>
        <item x="128"/>
        <item x="522"/>
        <item x="412"/>
        <item x="389"/>
        <item x="334"/>
        <item x="468"/>
        <item x="316"/>
        <item x="350"/>
        <item x="498"/>
        <item x="227"/>
        <item x="370"/>
        <item x="401"/>
        <item x="234"/>
        <item x="400"/>
        <item x="279"/>
        <item x="250"/>
        <item x="565"/>
        <item x="266"/>
        <item x="251"/>
        <item x="399"/>
        <item x="208"/>
        <item x="43"/>
        <item x="1"/>
        <item x="260"/>
        <item x="610"/>
        <item x="209"/>
        <item x="80"/>
        <item x="414"/>
        <item x="613"/>
        <item x="366"/>
        <item x="396"/>
        <item x="551"/>
        <item x="35"/>
        <item x="289"/>
        <item x="255"/>
        <item x="572"/>
        <item x="473"/>
        <item x="90"/>
        <item x="189"/>
        <item x="365"/>
        <item x="540"/>
        <item x="450"/>
        <item x="386"/>
        <item x="393"/>
        <item x="20"/>
        <item x="286"/>
        <item x="341"/>
        <item x="92"/>
        <item x="28"/>
        <item x="552"/>
        <item x="71"/>
        <item x="22"/>
        <item x="499"/>
        <item x="537"/>
        <item x="294"/>
        <item x="439"/>
        <item x="455"/>
        <item x="83"/>
        <item x="426"/>
        <item x="406"/>
        <item x="150"/>
        <item x="224"/>
        <item x="364"/>
        <item x="12"/>
        <item x="443"/>
        <item x="195"/>
        <item x="483"/>
        <item x="159"/>
        <item x="384"/>
        <item x="515"/>
        <item x="319"/>
        <item x="405"/>
        <item x="521"/>
        <item x="478"/>
        <item x="584"/>
        <item x="259"/>
        <item x="120"/>
        <item x="453"/>
        <item x="354"/>
        <item x="291"/>
        <item x="408"/>
        <item x="106"/>
        <item x="451"/>
        <item x="19"/>
        <item x="156"/>
        <item x="254"/>
        <item x="212"/>
        <item x="437"/>
        <item x="458"/>
        <item x="191"/>
        <item x="114"/>
        <item x="23"/>
        <item x="567"/>
        <item x="586"/>
        <item x="617"/>
        <item x="496"/>
        <item x="467"/>
        <item x="201"/>
        <item x="252"/>
        <item x="203"/>
        <item x="299"/>
        <item x="143"/>
        <item x="15"/>
        <item x="323"/>
        <item x="204"/>
        <item x="30"/>
        <item x="63"/>
        <item x="183"/>
        <item x="351"/>
        <item x="186"/>
        <item x="287"/>
        <item x="98"/>
        <item x="347"/>
        <item x="474"/>
        <item x="434"/>
        <item x="33"/>
        <item x="134"/>
        <item x="109"/>
        <item x="60"/>
        <item x="328"/>
        <item x="338"/>
        <item x="187"/>
        <item x="335"/>
        <item x="206"/>
        <item x="218"/>
        <item x="486"/>
        <item x="606"/>
        <item x="158"/>
        <item x="339"/>
        <item x="272"/>
        <item x="422"/>
        <item x="152"/>
        <item x="55"/>
        <item x="549"/>
        <item x="110"/>
        <item x="621"/>
        <item x="425"/>
        <item x="225"/>
        <item x="541"/>
        <item x="495"/>
        <item x="309"/>
        <item x="194"/>
        <item x="373"/>
        <item x="441"/>
        <item x="413"/>
        <item x="172"/>
        <item x="54"/>
        <item x="547"/>
        <item x="141"/>
        <item x="371"/>
        <item x="504"/>
        <item x="44"/>
        <item x="624"/>
        <item x="627"/>
        <item x="76"/>
        <item x="561"/>
        <item x="378"/>
        <item x="513"/>
        <item x="528"/>
        <item x="554"/>
        <item x="41"/>
        <item x="59"/>
        <item x="599"/>
        <item x="241"/>
        <item x="96"/>
        <item x="568"/>
        <item x="48"/>
        <item x="271"/>
        <item x="505"/>
        <item x="352"/>
        <item x="277"/>
        <item x="359"/>
        <item x="16"/>
        <item x="75"/>
        <item x="137"/>
        <item x="47"/>
        <item x="481"/>
        <item x="470"/>
        <item x="235"/>
        <item x="381"/>
        <item x="17"/>
        <item x="374"/>
        <item x="336"/>
        <item x="265"/>
        <item x="18"/>
        <item x="119"/>
        <item x="321"/>
        <item x="301"/>
        <item x="602"/>
        <item x="263"/>
        <item x="312"/>
        <item x="628"/>
        <item x="479"/>
        <item x="582"/>
        <item x="39"/>
        <item x="428"/>
        <item x="180"/>
        <item x="618"/>
        <item x="477"/>
        <item x="533"/>
        <item x="148"/>
        <item x="305"/>
        <item x="94"/>
        <item x="375"/>
        <item x="355"/>
        <item x="566"/>
        <item x="447"/>
        <item x="555"/>
        <item x="382"/>
        <item x="202"/>
        <item x="356"/>
        <item x="623"/>
        <item x="511"/>
        <item x="556"/>
        <item x="536"/>
        <item x="591"/>
        <item x="99"/>
        <item x="318"/>
        <item x="198"/>
        <item x="391"/>
        <item x="395"/>
        <item x="430"/>
        <item x="423"/>
        <item x="527"/>
        <item x="79"/>
        <item x="8"/>
        <item x="520"/>
        <item x="125"/>
        <item x="116"/>
        <item x="538"/>
        <item x="222"/>
        <item x="587"/>
        <item x="62"/>
        <item x="345"/>
        <item x="275"/>
        <item x="612"/>
        <item x="361"/>
        <item x="464"/>
        <item x="164"/>
        <item x="139"/>
        <item x="174"/>
        <item x="421"/>
        <item x="46"/>
        <item x="236"/>
        <item t="default"/>
      </items>
    </pivotField>
    <pivotField compact="0" numFmtId="179" showAll="0">
      <items count="632">
        <item x="57"/>
        <item x="616"/>
        <item x="1"/>
        <item x="2"/>
        <item x="384"/>
        <item x="625"/>
        <item x="422"/>
        <item x="264"/>
        <item x="10"/>
        <item x="496"/>
        <item x="559"/>
        <item x="186"/>
        <item x="131"/>
        <item x="133"/>
        <item x="191"/>
        <item x="288"/>
        <item x="406"/>
        <item x="64"/>
        <item x="500"/>
        <item x="71"/>
        <item x="621"/>
        <item x="243"/>
        <item x="124"/>
        <item x="382"/>
        <item x="149"/>
        <item x="387"/>
        <item x="195"/>
        <item x="54"/>
        <item x="258"/>
        <item x="72"/>
        <item x="396"/>
        <item x="415"/>
        <item x="589"/>
        <item x="228"/>
        <item x="383"/>
        <item x="65"/>
        <item x="491"/>
        <item x="80"/>
        <item x="97"/>
        <item x="151"/>
        <item x="104"/>
        <item x="51"/>
        <item x="476"/>
        <item x="360"/>
        <item x="403"/>
        <item x="223"/>
        <item x="600"/>
        <item x="604"/>
        <item x="251"/>
        <item x="121"/>
        <item x="13"/>
        <item x="35"/>
        <item x="448"/>
        <item x="362"/>
        <item x="165"/>
        <item x="166"/>
        <item x="320"/>
        <item x="15"/>
        <item x="389"/>
        <item x="617"/>
        <item x="130"/>
        <item x="145"/>
        <item x="511"/>
        <item x="426"/>
        <item x="192"/>
        <item x="539"/>
        <item x="199"/>
        <item x="298"/>
        <item x="573"/>
        <item x="337"/>
        <item x="302"/>
        <item x="189"/>
        <item x="456"/>
        <item x="26"/>
        <item x="84"/>
        <item x="401"/>
        <item x="431"/>
        <item x="542"/>
        <item x="122"/>
        <item x="100"/>
        <item x="67"/>
        <item x="372"/>
        <item x="267"/>
        <item x="85"/>
        <item x="410"/>
        <item x="93"/>
        <item x="592"/>
        <item x="605"/>
        <item x="237"/>
        <item x="3"/>
        <item x="407"/>
        <item x="141"/>
        <item x="316"/>
        <item x="544"/>
        <item x="332"/>
        <item x="274"/>
        <item x="400"/>
        <item x="234"/>
        <item x="211"/>
        <item x="9"/>
        <item x="215"/>
        <item x="200"/>
        <item x="34"/>
        <item x="113"/>
        <item x="560"/>
        <item x="565"/>
        <item x="178"/>
        <item x="197"/>
        <item x="136"/>
        <item x="233"/>
        <item x="509"/>
        <item x="433"/>
        <item x="484"/>
        <item x="14"/>
        <item x="115"/>
        <item x="350"/>
        <item x="214"/>
        <item x="183"/>
        <item x="154"/>
        <item x="268"/>
        <item x="380"/>
        <item x="52"/>
        <item x="363"/>
        <item x="322"/>
        <item x="611"/>
        <item x="284"/>
        <item x="579"/>
        <item x="529"/>
        <item x="392"/>
        <item x="86"/>
        <item x="357"/>
        <item x="229"/>
        <item x="608"/>
        <item x="318"/>
        <item x="58"/>
        <item x="399"/>
        <item x="138"/>
        <item x="518"/>
        <item x="176"/>
        <item x="364"/>
        <item x="425"/>
        <item x="126"/>
        <item x="374"/>
        <item x="73"/>
        <item x="475"/>
        <item x="461"/>
        <item x="553"/>
        <item x="83"/>
        <item x="226"/>
        <item x="630"/>
        <item x="368"/>
        <item x="503"/>
        <item x="169"/>
        <item x="108"/>
        <item x="247"/>
        <item x="53"/>
        <item x="262"/>
        <item x="161"/>
        <item x="531"/>
        <item x="188"/>
        <item x="310"/>
        <item x="105"/>
        <item x="530"/>
        <item x="297"/>
        <item x="135"/>
        <item x="525"/>
        <item x="285"/>
        <item x="50"/>
        <item x="95"/>
        <item x="111"/>
        <item x="179"/>
        <item x="256"/>
        <item x="171"/>
        <item x="574"/>
        <item x="207"/>
        <item x="281"/>
        <item x="575"/>
        <item x="492"/>
        <item x="563"/>
        <item x="519"/>
        <item x="220"/>
        <item x="235"/>
        <item x="242"/>
        <item x="6"/>
        <item x="535"/>
        <item x="601"/>
        <item x="88"/>
        <item x="29"/>
        <item x="306"/>
        <item x="82"/>
        <item x="118"/>
        <item x="460"/>
        <item x="416"/>
        <item x="609"/>
        <item x="585"/>
        <item x="394"/>
        <item x="619"/>
        <item x="388"/>
        <item x="417"/>
        <item x="462"/>
        <item x="246"/>
        <item x="5"/>
        <item x="290"/>
        <item x="459"/>
        <item x="210"/>
        <item x="313"/>
        <item x="74"/>
        <item x="349"/>
        <item x="184"/>
        <item x="173"/>
        <item x="590"/>
        <item x="446"/>
        <item x="38"/>
        <item x="112"/>
        <item x="571"/>
        <item x="487"/>
        <item x="168"/>
        <item x="340"/>
        <item x="438"/>
        <item x="516"/>
        <item x="25"/>
        <item x="510"/>
        <item x="607"/>
        <item x="123"/>
        <item x="379"/>
        <item x="411"/>
        <item x="489"/>
        <item x="296"/>
        <item x="193"/>
        <item x="353"/>
        <item x="581"/>
        <item x="437"/>
        <item x="405"/>
        <item x="434"/>
        <item x="269"/>
        <item x="463"/>
        <item x="512"/>
        <item x="167"/>
        <item x="342"/>
        <item x="317"/>
        <item x="231"/>
        <item x="245"/>
        <item x="248"/>
        <item x="238"/>
        <item x="217"/>
        <item x="577"/>
        <item x="482"/>
        <item x="132"/>
        <item x="326"/>
        <item x="107"/>
        <item x="622"/>
        <item x="185"/>
        <item x="570"/>
        <item x="369"/>
        <item x="550"/>
        <item x="293"/>
        <item x="381"/>
        <item x="444"/>
        <item x="418"/>
        <item x="62"/>
        <item x="597"/>
        <item x="324"/>
        <item x="398"/>
        <item x="150"/>
        <item x="43"/>
        <item x="427"/>
        <item x="216"/>
        <item x="304"/>
        <item x="205"/>
        <item x="583"/>
        <item x="346"/>
        <item x="239"/>
        <item x="325"/>
        <item x="160"/>
        <item x="620"/>
        <item x="78"/>
        <item x="127"/>
        <item x="386"/>
        <item x="618"/>
        <item x="153"/>
        <item x="409"/>
        <item x="465"/>
        <item x="194"/>
        <item x="295"/>
        <item x="270"/>
        <item x="329"/>
        <item x="11"/>
        <item x="244"/>
        <item x="390"/>
        <item x="598"/>
        <item x="69"/>
        <item x="548"/>
        <item x="240"/>
        <item x="440"/>
        <item x="376"/>
        <item x="507"/>
        <item x="614"/>
        <item x="596"/>
        <item x="307"/>
        <item x="526"/>
        <item x="283"/>
        <item x="569"/>
        <item x="48"/>
        <item x="257"/>
        <item x="343"/>
        <item x="261"/>
        <item x="370"/>
        <item x="142"/>
        <item x="485"/>
        <item x="523"/>
        <item x="263"/>
        <item x="4"/>
        <item x="56"/>
        <item x="271"/>
        <item x="595"/>
        <item x="478"/>
        <item x="578"/>
        <item x="420"/>
        <item x="232"/>
        <item x="552"/>
        <item x="315"/>
        <item x="493"/>
        <item x="221"/>
        <item x="24"/>
        <item x="27"/>
        <item x="545"/>
        <item x="564"/>
        <item x="494"/>
        <item x="419"/>
        <item x="117"/>
        <item x="0"/>
        <item x="480"/>
        <item x="37"/>
        <item x="515"/>
        <item x="45"/>
        <item x="333"/>
        <item x="502"/>
        <item x="98"/>
        <item x="603"/>
        <item x="40"/>
        <item x="626"/>
        <item x="102"/>
        <item x="517"/>
        <item x="146"/>
        <item x="331"/>
        <item x="524"/>
        <item x="182"/>
        <item x="77"/>
        <item x="435"/>
        <item x="483"/>
        <item x="402"/>
        <item x="81"/>
        <item x="49"/>
        <item x="330"/>
        <item x="586"/>
        <item x="436"/>
        <item x="547"/>
        <item x="213"/>
        <item x="276"/>
        <item x="21"/>
        <item x="472"/>
        <item x="230"/>
        <item x="442"/>
        <item x="227"/>
        <item x="327"/>
        <item x="521"/>
        <item x="303"/>
        <item x="70"/>
        <item x="89"/>
        <item x="91"/>
        <item x="514"/>
        <item x="572"/>
        <item x="488"/>
        <item x="31"/>
        <item x="466"/>
        <item x="385"/>
        <item x="196"/>
        <item x="140"/>
        <item x="305"/>
        <item x="241"/>
        <item x="282"/>
        <item x="377"/>
        <item x="508"/>
        <item x="314"/>
        <item x="300"/>
        <item x="311"/>
        <item x="557"/>
        <item x="580"/>
        <item x="253"/>
        <item x="452"/>
        <item x="490"/>
        <item x="468"/>
        <item x="181"/>
        <item x="30"/>
        <item x="61"/>
        <item x="63"/>
        <item x="308"/>
        <item x="163"/>
        <item x="177"/>
        <item x="457"/>
        <item x="278"/>
        <item x="155"/>
        <item x="546"/>
        <item x="593"/>
        <item x="190"/>
        <item x="292"/>
        <item x="255"/>
        <item x="68"/>
        <item x="129"/>
        <item x="562"/>
        <item x="497"/>
        <item x="208"/>
        <item x="551"/>
        <item x="445"/>
        <item x="147"/>
        <item x="170"/>
        <item x="408"/>
        <item x="532"/>
        <item x="250"/>
        <item x="454"/>
        <item x="66"/>
        <item x="558"/>
        <item x="103"/>
        <item x="527"/>
        <item x="90"/>
        <item x="404"/>
        <item x="469"/>
        <item x="273"/>
        <item x="42"/>
        <item x="272"/>
        <item x="501"/>
        <item x="249"/>
        <item x="157"/>
        <item x="505"/>
        <item x="159"/>
        <item x="449"/>
        <item x="358"/>
        <item x="162"/>
        <item x="588"/>
        <item x="291"/>
        <item x="36"/>
        <item x="344"/>
        <item x="467"/>
        <item x="432"/>
        <item x="137"/>
        <item x="534"/>
        <item x="576"/>
        <item x="87"/>
        <item x="584"/>
        <item x="629"/>
        <item x="429"/>
        <item x="615"/>
        <item x="280"/>
        <item x="458"/>
        <item x="541"/>
        <item x="613"/>
        <item x="348"/>
        <item x="397"/>
        <item x="351"/>
        <item x="144"/>
        <item x="7"/>
        <item x="32"/>
        <item x="424"/>
        <item x="334"/>
        <item x="175"/>
        <item x="44"/>
        <item x="266"/>
        <item x="455"/>
        <item x="219"/>
        <item x="279"/>
        <item x="260"/>
        <item x="506"/>
        <item x="202"/>
        <item x="367"/>
        <item x="471"/>
        <item x="352"/>
        <item x="412"/>
        <item x="610"/>
        <item x="187"/>
        <item x="59"/>
        <item x="498"/>
        <item x="543"/>
        <item x="209"/>
        <item x="299"/>
        <item x="101"/>
        <item x="473"/>
        <item x="561"/>
        <item x="110"/>
        <item x="143"/>
        <item x="594"/>
        <item x="522"/>
        <item x="354"/>
        <item x="60"/>
        <item x="259"/>
        <item x="128"/>
        <item x="582"/>
        <item x="301"/>
        <item x="365"/>
        <item x="201"/>
        <item x="20"/>
        <item x="393"/>
        <item x="28"/>
        <item x="338"/>
        <item x="106"/>
        <item x="414"/>
        <item x="443"/>
        <item x="289"/>
        <item x="439"/>
        <item x="499"/>
        <item x="22"/>
        <item x="156"/>
        <item x="96"/>
        <item x="366"/>
        <item x="359"/>
        <item x="286"/>
        <item x="453"/>
        <item x="224"/>
        <item x="92"/>
        <item x="212"/>
        <item x="39"/>
        <item x="540"/>
        <item x="294"/>
        <item x="120"/>
        <item x="450"/>
        <item x="158"/>
        <item x="474"/>
        <item x="172"/>
        <item x="341"/>
        <item x="537"/>
        <item x="347"/>
        <item x="287"/>
        <item x="225"/>
        <item x="328"/>
        <item x="12"/>
        <item x="391"/>
        <item x="218"/>
        <item x="109"/>
        <item x="567"/>
        <item x="373"/>
        <item x="252"/>
        <item x="114"/>
        <item x="624"/>
        <item x="319"/>
        <item x="134"/>
        <item x="41"/>
        <item x="339"/>
        <item x="204"/>
        <item x="451"/>
        <item x="76"/>
        <item x="486"/>
        <item x="309"/>
        <item x="203"/>
        <item x="627"/>
        <item x="19"/>
        <item x="23"/>
        <item x="549"/>
        <item x="335"/>
        <item x="277"/>
        <item x="47"/>
        <item x="336"/>
        <item x="599"/>
        <item x="375"/>
        <item x="33"/>
        <item x="152"/>
        <item x="254"/>
        <item x="356"/>
        <item x="16"/>
        <item x="495"/>
        <item x="206"/>
        <item x="566"/>
        <item x="371"/>
        <item x="323"/>
        <item x="139"/>
        <item x="8"/>
        <item x="447"/>
        <item x="481"/>
        <item x="606"/>
        <item x="312"/>
        <item x="441"/>
        <item x="75"/>
        <item x="265"/>
        <item x="568"/>
        <item x="55"/>
        <item x="504"/>
        <item x="513"/>
        <item x="180"/>
        <item x="428"/>
        <item x="148"/>
        <item x="413"/>
        <item x="554"/>
        <item x="470"/>
        <item x="378"/>
        <item x="533"/>
        <item x="17"/>
        <item x="555"/>
        <item x="477"/>
        <item x="18"/>
        <item x="423"/>
        <item x="528"/>
        <item x="602"/>
        <item x="198"/>
        <item x="275"/>
        <item x="479"/>
        <item x="79"/>
        <item x="628"/>
        <item x="119"/>
        <item x="125"/>
        <item x="321"/>
        <item x="355"/>
        <item x="623"/>
        <item x="536"/>
        <item x="94"/>
        <item x="591"/>
        <item x="464"/>
        <item x="556"/>
        <item x="164"/>
        <item x="395"/>
        <item x="538"/>
        <item x="99"/>
        <item x="116"/>
        <item x="430"/>
        <item x="587"/>
        <item x="520"/>
        <item x="345"/>
        <item x="174"/>
        <item x="222"/>
        <item x="361"/>
        <item x="421"/>
        <item x="612"/>
        <item x="236"/>
        <item x="46"/>
        <item t="default"/>
      </items>
    </pivotField>
  </pivotFields>
  <rowItems count="1">
    <i/>
  </rowItems>
  <colFields count="1">
    <field x="1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Gross Revenue " fld="2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42">
    <pivotField compact="0" showAll="0">
      <items count="631">
        <item x="604"/>
        <item x="448"/>
        <item x="6"/>
        <item x="517"/>
        <item x="572"/>
        <item x="45"/>
        <item x="366"/>
        <item x="200"/>
        <item x="550"/>
        <item x="323"/>
        <item x="437"/>
        <item x="165"/>
        <item x="79"/>
        <item x="360"/>
        <item x="327"/>
        <item x="299"/>
        <item x="452"/>
        <item x="576"/>
        <item x="192"/>
        <item x="121"/>
        <item x="331"/>
        <item x="438"/>
        <item x="456"/>
        <item x="147"/>
        <item x="223"/>
        <item x="189"/>
        <item x="346"/>
        <item x="277"/>
        <item x="349"/>
        <item x="534"/>
        <item x="53"/>
        <item x="64"/>
        <item x="162"/>
        <item x="469"/>
        <item x="579"/>
        <item x="624"/>
        <item x="105"/>
        <item x="268"/>
        <item x="255"/>
        <item x="88"/>
        <item x="338"/>
        <item x="23"/>
        <item x="219"/>
        <item x="280"/>
        <item x="249"/>
        <item x="375"/>
        <item x="539"/>
        <item x="171"/>
        <item x="224"/>
        <item x="77"/>
        <item x="48"/>
        <item x="602"/>
        <item x="225"/>
        <item x="167"/>
        <item x="44"/>
        <item x="143"/>
        <item x="182"/>
        <item x="573"/>
        <item x="80"/>
        <item x="511"/>
        <item x="561"/>
        <item x="314"/>
        <item x="390"/>
        <item x="287"/>
        <item x="271"/>
        <item x="2"/>
        <item x="91"/>
        <item x="291"/>
        <item x="433"/>
        <item x="584"/>
        <item x="198"/>
        <item x="73"/>
        <item x="362"/>
        <item x="203"/>
        <item x="184"/>
        <item x="496"/>
        <item x="51"/>
        <item x="98"/>
        <item x="117"/>
        <item x="131"/>
        <item x="214"/>
        <item x="494"/>
        <item x="170"/>
        <item x="612"/>
        <item x="542"/>
        <item x="628"/>
        <item x="519"/>
        <item x="546"/>
        <item x="254"/>
        <item x="350"/>
        <item x="63"/>
        <item x="545"/>
        <item x="150"/>
        <item x="222"/>
        <item x="614"/>
        <item x="238"/>
        <item x="259"/>
        <item x="128"/>
        <item x="531"/>
        <item x="325"/>
        <item x="458"/>
        <item x="370"/>
        <item x="65"/>
        <item x="625"/>
        <item x="603"/>
        <item x="623"/>
        <item x="30"/>
        <item x="514"/>
        <item x="476"/>
        <item x="343"/>
        <item x="498"/>
        <item x="196"/>
        <item x="120"/>
        <item x="444"/>
        <item x="454"/>
        <item x="201"/>
        <item x="473"/>
        <item x="300"/>
        <item x="381"/>
        <item x="151"/>
        <item x="484"/>
        <item x="295"/>
        <item x="123"/>
        <item x="228"/>
        <item x="477"/>
        <item x="283"/>
        <item x="136"/>
        <item x="215"/>
        <item x="386"/>
        <item x="590"/>
        <item x="315"/>
        <item x="536"/>
        <item x="418"/>
        <item x="260"/>
        <item x="265"/>
        <item x="258"/>
        <item x="527"/>
        <item x="38"/>
        <item x="212"/>
        <item x="430"/>
        <item x="336"/>
        <item x="175"/>
        <item x="608"/>
        <item x="290"/>
        <item x="407"/>
        <item x="383"/>
        <item x="595"/>
        <item x="525"/>
        <item x="197"/>
        <item x="459"/>
        <item x="220"/>
        <item x="575"/>
        <item x="278"/>
        <item x="74"/>
        <item x="4"/>
        <item x="588"/>
        <item x="465"/>
        <item x="411"/>
        <item x="348"/>
        <item x="500"/>
        <item x="242"/>
        <item x="67"/>
        <item x="435"/>
        <item x="618"/>
        <item x="339"/>
        <item x="443"/>
        <item x="449"/>
        <item x="475"/>
        <item x="436"/>
        <item x="68"/>
        <item x="538"/>
        <item x="368"/>
        <item x="337"/>
        <item x="144"/>
        <item x="186"/>
        <item x="317"/>
        <item x="387"/>
        <item x="84"/>
        <item x="153"/>
        <item x="440"/>
        <item x="159"/>
        <item x="403"/>
        <item x="369"/>
        <item x="580"/>
        <item x="34"/>
        <item x="506"/>
        <item x="482"/>
        <item x="134"/>
        <item x="20"/>
        <item x="569"/>
        <item x="94"/>
        <item x="114"/>
        <item x="455"/>
        <item x="124"/>
        <item x="307"/>
        <item x="164"/>
        <item x="622"/>
        <item x="257"/>
        <item x="320"/>
        <item x="310"/>
        <item x="27"/>
        <item x="345"/>
        <item x="139"/>
        <item x="141"/>
        <item x="508"/>
        <item x="204"/>
        <item x="626"/>
        <item x="191"/>
        <item x="392"/>
        <item x="468"/>
        <item x="410"/>
        <item x="14"/>
        <item x="330"/>
        <item x="232"/>
        <item x="227"/>
        <item x="554"/>
        <item x="541"/>
        <item x="627"/>
        <item x="236"/>
        <item x="266"/>
        <item x="537"/>
        <item x="113"/>
        <item x="413"/>
        <item x="177"/>
        <item x="395"/>
        <item x="478"/>
        <item x="335"/>
        <item x="163"/>
        <item x="154"/>
        <item x="548"/>
        <item x="324"/>
        <item x="104"/>
        <item x="133"/>
        <item x="308"/>
        <item x="108"/>
        <item x="33"/>
        <item x="400"/>
        <item x="29"/>
        <item x="78"/>
        <item x="213"/>
        <item x="152"/>
        <item x="457"/>
        <item x="547"/>
        <item x="15"/>
        <item x="321"/>
        <item x="522"/>
        <item x="296"/>
        <item x="563"/>
        <item x="479"/>
        <item x="9"/>
        <item x="146"/>
        <item x="190"/>
        <item x="24"/>
        <item x="161"/>
        <item x="250"/>
        <item x="110"/>
        <item x="352"/>
        <item x="138"/>
        <item x="180"/>
        <item x="585"/>
        <item x="488"/>
        <item x="62"/>
        <item x="559"/>
        <item x="391"/>
        <item x="453"/>
        <item x="50"/>
        <item x="606"/>
        <item x="0"/>
        <item x="286"/>
        <item x="233"/>
        <item x="106"/>
        <item x="69"/>
        <item x="56"/>
        <item x="40"/>
        <item x="251"/>
        <item x="389"/>
        <item x="503"/>
        <item x="246"/>
        <item x="166"/>
        <item x="560"/>
        <item x="609"/>
        <item x="333"/>
        <item x="340"/>
        <item x="5"/>
        <item x="611"/>
        <item x="361"/>
        <item x="66"/>
        <item x="252"/>
        <item x="535"/>
        <item x="571"/>
        <item x="460"/>
        <item x="160"/>
        <item x="1"/>
        <item x="523"/>
        <item x="282"/>
        <item x="485"/>
        <item x="409"/>
        <item x="428"/>
        <item x="483"/>
        <item x="142"/>
        <item x="43"/>
        <item x="404"/>
        <item x="382"/>
        <item x="516"/>
        <item x="309"/>
        <item x="544"/>
        <item x="230"/>
        <item x="312"/>
        <item x="493"/>
        <item x="567"/>
        <item x="148"/>
        <item x="593"/>
        <item x="193"/>
        <item x="439"/>
        <item x="75"/>
        <item x="76"/>
        <item x="412"/>
        <item x="49"/>
        <item x="520"/>
        <item x="422"/>
        <item x="116"/>
        <item x="102"/>
        <item x="577"/>
        <item x="273"/>
        <item x="22"/>
        <item x="264"/>
        <item x="322"/>
        <item x="187"/>
        <item x="463"/>
        <item x="442"/>
        <item x="355"/>
        <item x="423"/>
        <item x="491"/>
        <item x="385"/>
        <item x="528"/>
        <item x="553"/>
        <item x="408"/>
        <item x="244"/>
        <item x="46"/>
        <item x="599"/>
        <item x="156"/>
        <item x="557"/>
        <item x="447"/>
        <item x="499"/>
        <item x="231"/>
        <item x="334"/>
        <item x="586"/>
        <item x="492"/>
        <item x="276"/>
        <item x="432"/>
        <item x="125"/>
        <item x="597"/>
        <item x="122"/>
        <item x="7"/>
        <item x="581"/>
        <item x="85"/>
        <item x="37"/>
        <item x="87"/>
        <item x="127"/>
        <item x="169"/>
        <item x="399"/>
        <item x="540"/>
        <item x="32"/>
        <item x="39"/>
        <item x="96"/>
        <item x="183"/>
        <item x="474"/>
        <item x="341"/>
        <item x="471"/>
        <item x="429"/>
        <item x="414"/>
        <item x="248"/>
        <item x="194"/>
        <item x="401"/>
        <item x="208"/>
        <item x="556"/>
        <item x="206"/>
        <item x="582"/>
        <item x="372"/>
        <item x="35"/>
        <item x="358"/>
        <item x="526"/>
        <item x="319"/>
        <item x="216"/>
        <item x="495"/>
        <item x="505"/>
        <item x="610"/>
        <item x="441"/>
        <item x="270"/>
        <item x="417"/>
        <item x="617"/>
        <item x="188"/>
        <item x="155"/>
        <item x="566"/>
        <item x="103"/>
        <item x="507"/>
        <item x="217"/>
        <item x="137"/>
        <item x="464"/>
        <item x="25"/>
        <item x="294"/>
        <item x="489"/>
        <item x="107"/>
        <item x="19"/>
        <item x="72"/>
        <item x="234"/>
        <item x="426"/>
        <item x="620"/>
        <item x="364"/>
        <item x="318"/>
        <item x="521"/>
        <item x="272"/>
        <item x="135"/>
        <item x="431"/>
        <item x="607"/>
        <item x="100"/>
        <item x="450"/>
        <item x="243"/>
        <item x="26"/>
        <item x="253"/>
        <item x="285"/>
        <item x="241"/>
        <item x="373"/>
        <item x="558"/>
        <item x="302"/>
        <item x="267"/>
        <item x="446"/>
        <item x="12"/>
        <item x="357"/>
        <item x="518"/>
        <item x="342"/>
        <item x="237"/>
        <item x="344"/>
        <item x="140"/>
        <item x="59"/>
        <item x="598"/>
        <item x="109"/>
        <item x="351"/>
        <item x="111"/>
        <item x="353"/>
        <item x="311"/>
        <item x="615"/>
        <item x="71"/>
        <item x="168"/>
        <item x="591"/>
        <item x="274"/>
        <item x="176"/>
        <item x="509"/>
        <item x="356"/>
        <item x="510"/>
        <item x="47"/>
        <item x="195"/>
        <item x="173"/>
        <item x="434"/>
        <item x="397"/>
        <item x="486"/>
        <item x="564"/>
        <item x="210"/>
        <item x="425"/>
        <item x="92"/>
        <item x="41"/>
        <item x="199"/>
        <item x="81"/>
        <item x="363"/>
        <item x="235"/>
        <item x="512"/>
        <item x="303"/>
        <item x="205"/>
        <item x="533"/>
        <item x="616"/>
        <item x="578"/>
        <item x="3"/>
        <item x="568"/>
        <item x="570"/>
        <item x="119"/>
        <item x="256"/>
        <item x="374"/>
        <item x="600"/>
        <item x="298"/>
        <item x="378"/>
        <item x="416"/>
        <item x="313"/>
        <item x="16"/>
        <item x="145"/>
        <item x="149"/>
        <item x="583"/>
        <item x="247"/>
        <item x="481"/>
        <item x="487"/>
        <item x="605"/>
        <item x="95"/>
        <item x="371"/>
        <item x="419"/>
        <item x="301"/>
        <item x="587"/>
        <item x="574"/>
        <item x="226"/>
        <item x="461"/>
        <item x="367"/>
        <item x="532"/>
        <item x="332"/>
        <item x="99"/>
        <item x="83"/>
        <item x="501"/>
        <item x="552"/>
        <item x="551"/>
        <item x="132"/>
        <item x="305"/>
        <item x="293"/>
        <item x="415"/>
        <item x="306"/>
        <item x="480"/>
        <item x="451"/>
        <item x="158"/>
        <item x="549"/>
        <item x="262"/>
        <item x="524"/>
        <item x="445"/>
        <item x="504"/>
        <item x="31"/>
        <item x="347"/>
        <item x="269"/>
        <item x="388"/>
        <item x="393"/>
        <item x="292"/>
        <item x="11"/>
        <item x="82"/>
        <item x="462"/>
        <item x="130"/>
        <item x="239"/>
        <item x="406"/>
        <item x="10"/>
        <item x="61"/>
        <item x="90"/>
        <item x="613"/>
        <item x="126"/>
        <item x="284"/>
        <item x="97"/>
        <item x="185"/>
        <item x="28"/>
        <item x="211"/>
        <item x="52"/>
        <item x="21"/>
        <item x="209"/>
        <item x="396"/>
        <item x="359"/>
        <item x="398"/>
        <item x="365"/>
        <item x="89"/>
        <item x="207"/>
        <item x="513"/>
        <item x="376"/>
        <item x="57"/>
        <item x="70"/>
        <item x="240"/>
        <item x="112"/>
        <item x="621"/>
        <item x="129"/>
        <item x="420"/>
        <item x="178"/>
        <item x="328"/>
        <item x="562"/>
        <item x="101"/>
        <item x="179"/>
        <item x="427"/>
        <item x="394"/>
        <item x="275"/>
        <item x="221"/>
        <item x="502"/>
        <item x="472"/>
        <item x="596"/>
        <item x="279"/>
        <item x="115"/>
        <item x="172"/>
        <item x="490"/>
        <item x="594"/>
        <item x="36"/>
        <item x="93"/>
        <item x="629"/>
        <item x="329"/>
        <item x="18"/>
        <item x="601"/>
        <item x="289"/>
        <item x="229"/>
        <item x="218"/>
        <item x="58"/>
        <item x="54"/>
        <item x="157"/>
        <item x="530"/>
        <item x="326"/>
        <item x="60"/>
        <item x="470"/>
        <item x="380"/>
        <item x="466"/>
        <item x="424"/>
        <item x="42"/>
        <item x="379"/>
        <item x="497"/>
        <item x="515"/>
        <item x="421"/>
        <item x="13"/>
        <item x="17"/>
        <item x="174"/>
        <item x="592"/>
        <item x="316"/>
        <item x="86"/>
        <item x="384"/>
        <item x="555"/>
        <item x="405"/>
        <item x="263"/>
        <item x="181"/>
        <item x="619"/>
        <item x="261"/>
        <item x="402"/>
        <item x="377"/>
        <item x="288"/>
        <item x="529"/>
        <item x="565"/>
        <item x="55"/>
        <item x="297"/>
        <item x="304"/>
        <item x="245"/>
        <item x="467"/>
        <item x="354"/>
        <item x="118"/>
        <item x="543"/>
        <item x="202"/>
        <item x="281"/>
        <item x="589"/>
        <item x="8"/>
        <item t="default"/>
      </items>
    </pivotField>
    <pivotField compact="0" numFmtId="58" showAll="0">
      <items count="468">
        <item x="4"/>
        <item x="454"/>
        <item x="270"/>
        <item x="414"/>
        <item x="180"/>
        <item x="6"/>
        <item x="370"/>
        <item x="183"/>
        <item x="118"/>
        <item x="423"/>
        <item x="121"/>
        <item x="170"/>
        <item x="179"/>
        <item x="311"/>
        <item x="22"/>
        <item x="76"/>
        <item x="425"/>
        <item x="61"/>
        <item x="151"/>
        <item x="146"/>
        <item x="360"/>
        <item x="28"/>
        <item x="158"/>
        <item x="451"/>
        <item x="2"/>
        <item x="106"/>
        <item x="431"/>
        <item x="225"/>
        <item x="335"/>
        <item x="205"/>
        <item x="314"/>
        <item x="210"/>
        <item x="341"/>
        <item x="63"/>
        <item x="277"/>
        <item x="149"/>
        <item x="32"/>
        <item x="49"/>
        <item x="450"/>
        <item x="162"/>
        <item x="88"/>
        <item x="457"/>
        <item x="124"/>
        <item x="289"/>
        <item x="26"/>
        <item x="386"/>
        <item x="152"/>
        <item x="42"/>
        <item x="66"/>
        <item x="459"/>
        <item x="14"/>
        <item x="440"/>
        <item x="409"/>
        <item x="128"/>
        <item x="448"/>
        <item x="176"/>
        <item x="274"/>
        <item x="238"/>
        <item x="405"/>
        <item x="19"/>
        <item x="381"/>
        <item x="361"/>
        <item x="71"/>
        <item x="206"/>
        <item x="372"/>
        <item x="233"/>
        <item x="327"/>
        <item x="407"/>
        <item x="445"/>
        <item x="307"/>
        <item x="108"/>
        <item x="279"/>
        <item x="366"/>
        <item x="74"/>
        <item x="250"/>
        <item x="36"/>
        <item x="263"/>
        <item x="168"/>
        <item x="43"/>
        <item x="86"/>
        <item x="84"/>
        <item x="305"/>
        <item x="185"/>
        <item x="139"/>
        <item x="132"/>
        <item x="421"/>
        <item x="424"/>
        <item x="375"/>
        <item x="46"/>
        <item x="288"/>
        <item x="385"/>
        <item x="255"/>
        <item x="171"/>
        <item x="369"/>
        <item x="244"/>
        <item x="287"/>
        <item x="130"/>
        <item x="202"/>
        <item x="442"/>
        <item x="241"/>
        <item x="234"/>
        <item x="173"/>
        <item x="388"/>
        <item x="114"/>
        <item x="182"/>
        <item x="418"/>
        <item x="65"/>
        <item x="113"/>
        <item x="259"/>
        <item x="416"/>
        <item x="342"/>
        <item x="199"/>
        <item x="160"/>
        <item x="344"/>
        <item x="51"/>
        <item x="428"/>
        <item x="136"/>
        <item x="458"/>
        <item x="72"/>
        <item x="215"/>
        <item x="363"/>
        <item x="157"/>
        <item x="198"/>
        <item x="322"/>
        <item x="203"/>
        <item x="230"/>
        <item x="154"/>
        <item x="326"/>
        <item x="232"/>
        <item x="347"/>
        <item x="175"/>
        <item x="357"/>
        <item x="258"/>
        <item x="281"/>
        <item x="390"/>
        <item x="323"/>
        <item x="249"/>
        <item x="142"/>
        <item x="192"/>
        <item x="275"/>
        <item x="284"/>
        <item x="111"/>
        <item x="105"/>
        <item x="213"/>
        <item x="133"/>
        <item x="293"/>
        <item x="296"/>
        <item x="62"/>
        <item x="373"/>
        <item x="140"/>
        <item x="339"/>
        <item x="379"/>
        <item x="201"/>
        <item x="194"/>
        <item x="294"/>
        <item x="80"/>
        <item x="239"/>
        <item x="310"/>
        <item x="422"/>
        <item x="112"/>
        <item x="359"/>
        <item x="299"/>
        <item x="278"/>
        <item x="434"/>
        <item x="240"/>
        <item x="38"/>
        <item x="181"/>
        <item x="93"/>
        <item x="346"/>
        <item x="302"/>
        <item x="12"/>
        <item x="83"/>
        <item x="435"/>
        <item x="246"/>
        <item x="9"/>
        <item x="144"/>
        <item x="161"/>
        <item x="382"/>
        <item x="436"/>
        <item x="178"/>
        <item x="127"/>
        <item x="220"/>
        <item x="291"/>
        <item x="141"/>
        <item x="350"/>
        <item x="438"/>
        <item x="353"/>
        <item x="351"/>
        <item x="193"/>
        <item x="396"/>
        <item x="262"/>
        <item x="313"/>
        <item x="427"/>
        <item x="219"/>
        <item x="33"/>
        <item x="306"/>
        <item x="57"/>
        <item x="0"/>
        <item x="449"/>
        <item x="226"/>
        <item x="245"/>
        <item x="67"/>
        <item x="362"/>
        <item x="264"/>
        <item x="247"/>
        <item x="214"/>
        <item x="243"/>
        <item x="148"/>
        <item x="135"/>
        <item x="402"/>
        <item x="81"/>
        <item x="285"/>
        <item x="69"/>
        <item x="412"/>
        <item x="30"/>
        <item x="35"/>
        <item x="394"/>
        <item x="411"/>
        <item x="399"/>
        <item x="229"/>
        <item x="371"/>
        <item x="7"/>
        <item x="374"/>
        <item x="321"/>
        <item x="384"/>
        <item x="392"/>
        <item x="44"/>
        <item x="312"/>
        <item x="21"/>
        <item x="172"/>
        <item x="41"/>
        <item x="97"/>
        <item x="64"/>
        <item x="153"/>
        <item x="397"/>
        <item x="90"/>
        <item x="117"/>
        <item x="100"/>
        <item x="367"/>
        <item x="150"/>
        <item x="415"/>
        <item x="343"/>
        <item x="115"/>
        <item x="273"/>
        <item x="101"/>
        <item x="102"/>
        <item x="368"/>
        <item x="131"/>
        <item x="248"/>
        <item x="268"/>
        <item x="303"/>
        <item x="462"/>
        <item x="103"/>
        <item x="23"/>
        <item x="410"/>
        <item x="286"/>
        <item x="292"/>
        <item x="156"/>
        <item x="319"/>
        <item x="25"/>
        <item x="333"/>
        <item x="18"/>
        <item x="464"/>
        <item x="227"/>
        <item x="452"/>
        <item x="446"/>
        <item x="398"/>
        <item x="143"/>
        <item x="297"/>
        <item x="325"/>
        <item x="174"/>
        <item x="98"/>
        <item x="420"/>
        <item x="455"/>
        <item x="352"/>
        <item x="395"/>
        <item x="364"/>
        <item x="31"/>
        <item x="37"/>
        <item x="73"/>
        <item x="340"/>
        <item x="433"/>
        <item x="224"/>
        <item x="208"/>
        <item x="209"/>
        <item x="330"/>
        <item x="254"/>
        <item x="190"/>
        <item x="186"/>
        <item x="211"/>
        <item x="96"/>
        <item x="196"/>
        <item x="177"/>
        <item x="137"/>
        <item x="365"/>
        <item x="188"/>
        <item x="165"/>
        <item x="87"/>
        <item x="237"/>
        <item x="155"/>
        <item x="406"/>
        <item x="195"/>
        <item x="463"/>
        <item x="45"/>
        <item x="99"/>
        <item x="48"/>
        <item x="461"/>
        <item x="167"/>
        <item x="1"/>
        <item x="403"/>
        <item x="39"/>
        <item x="228"/>
        <item x="290"/>
        <item x="147"/>
        <item x="355"/>
        <item x="60"/>
        <item x="272"/>
        <item x="332"/>
        <item x="47"/>
        <item x="298"/>
        <item x="222"/>
        <item x="443"/>
        <item x="404"/>
        <item x="391"/>
        <item x="126"/>
        <item x="75"/>
        <item x="378"/>
        <item x="301"/>
        <item x="460"/>
        <item x="24"/>
        <item x="218"/>
        <item x="95"/>
        <item x="429"/>
        <item x="389"/>
        <item x="15"/>
        <item x="329"/>
        <item x="125"/>
        <item x="70"/>
        <item x="54"/>
        <item x="336"/>
        <item x="123"/>
        <item x="129"/>
        <item x="358"/>
        <item x="5"/>
        <item x="356"/>
        <item x="271"/>
        <item x="10"/>
        <item x="408"/>
        <item x="315"/>
        <item x="122"/>
        <item x="419"/>
        <item x="282"/>
        <item x="169"/>
        <item x="104"/>
        <item x="334"/>
        <item x="50"/>
        <item x="265"/>
        <item x="92"/>
        <item x="191"/>
        <item x="317"/>
        <item x="166"/>
        <item x="184"/>
        <item x="316"/>
        <item x="413"/>
        <item x="53"/>
        <item x="119"/>
        <item x="145"/>
        <item x="432"/>
        <item x="453"/>
        <item x="242"/>
        <item x="337"/>
        <item x="348"/>
        <item x="466"/>
        <item x="120"/>
        <item x="11"/>
        <item x="338"/>
        <item x="401"/>
        <item x="417"/>
        <item x="251"/>
        <item x="309"/>
        <item x="308"/>
        <item x="380"/>
        <item x="400"/>
        <item x="79"/>
        <item x="3"/>
        <item x="257"/>
        <item x="94"/>
        <item x="276"/>
        <item x="253"/>
        <item x="52"/>
        <item x="27"/>
        <item x="68"/>
        <item x="376"/>
        <item x="260"/>
        <item x="331"/>
        <item x="439"/>
        <item x="159"/>
        <item x="138"/>
        <item x="447"/>
        <item x="221"/>
        <item x="78"/>
        <item x="207"/>
        <item x="59"/>
        <item x="85"/>
        <item x="56"/>
        <item x="354"/>
        <item x="266"/>
        <item x="320"/>
        <item x="77"/>
        <item x="393"/>
        <item x="216"/>
        <item x="252"/>
        <item x="269"/>
        <item x="280"/>
        <item x="8"/>
        <item x="328"/>
        <item x="40"/>
        <item x="261"/>
        <item x="107"/>
        <item x="345"/>
        <item x="55"/>
        <item x="20"/>
        <item x="324"/>
        <item x="295"/>
        <item x="110"/>
        <item x="235"/>
        <item x="267"/>
        <item x="34"/>
        <item x="304"/>
        <item x="437"/>
        <item x="231"/>
        <item x="349"/>
        <item x="109"/>
        <item x="444"/>
        <item x="189"/>
        <item x="200"/>
        <item x="212"/>
        <item x="465"/>
        <item x="17"/>
        <item x="187"/>
        <item x="91"/>
        <item x="318"/>
        <item x="29"/>
        <item x="377"/>
        <item x="89"/>
        <item x="217"/>
        <item x="441"/>
        <item x="116"/>
        <item x="430"/>
        <item x="82"/>
        <item x="204"/>
        <item x="456"/>
        <item x="383"/>
        <item x="300"/>
        <item x="426"/>
        <item x="163"/>
        <item x="197"/>
        <item x="256"/>
        <item x="387"/>
        <item x="13"/>
        <item x="236"/>
        <item x="16"/>
        <item x="58"/>
        <item x="134"/>
        <item x="223"/>
        <item x="283"/>
        <item x="164"/>
        <item t="default"/>
      </items>
    </pivotField>
    <pivotField compact="0" numFmtId="58" showAll="0">
      <items count="469">
        <item x="1"/>
        <item x="4"/>
        <item x="6"/>
        <item x="184"/>
        <item x="198"/>
        <item x="410"/>
        <item x="269"/>
        <item x="124"/>
        <item x="127"/>
        <item x="186"/>
        <item x="440"/>
        <item x="77"/>
        <item x="23"/>
        <item x="418"/>
        <item x="182"/>
        <item x="61"/>
        <item x="278"/>
        <item x="173"/>
        <item x="151"/>
        <item x="110"/>
        <item x="421"/>
        <item x="296"/>
        <item x="161"/>
        <item x="156"/>
        <item x="383"/>
        <item x="95"/>
        <item x="222"/>
        <item x="2"/>
        <item x="154"/>
        <item x="213"/>
        <item x="210"/>
        <item x="313"/>
        <item x="49"/>
        <item x="338"/>
        <item x="309"/>
        <item x="63"/>
        <item x="289"/>
        <item x="131"/>
        <item x="276"/>
        <item x="165"/>
        <item x="129"/>
        <item x="356"/>
        <item x="399"/>
        <item x="14"/>
        <item x="452"/>
        <item x="449"/>
        <item x="436"/>
        <item x="91"/>
        <item x="188"/>
        <item x="42"/>
        <item x="429"/>
        <item x="234"/>
        <item x="205"/>
        <item x="66"/>
        <item x="183"/>
        <item x="27"/>
        <item x="294"/>
        <item x="71"/>
        <item x="369"/>
        <item x="425"/>
        <item x="378"/>
        <item x="382"/>
        <item x="179"/>
        <item x="407"/>
        <item x="20"/>
        <item x="280"/>
        <item x="434"/>
        <item x="358"/>
        <item x="102"/>
        <item x="402"/>
        <item x="211"/>
        <item x="373"/>
        <item x="75"/>
        <item x="281"/>
        <item x="113"/>
        <item x="325"/>
        <item x="366"/>
        <item x="270"/>
        <item x="89"/>
        <item x="36"/>
        <item x="304"/>
        <item x="439"/>
        <item x="86"/>
        <item x="43"/>
        <item x="392"/>
        <item x="259"/>
        <item x="419"/>
        <item x="415"/>
        <item x="437"/>
        <item x="417"/>
        <item x="137"/>
        <item x="466"/>
        <item x="372"/>
        <item x="171"/>
        <item x="263"/>
        <item x="144"/>
        <item x="174"/>
        <item x="46"/>
        <item x="463"/>
        <item x="207"/>
        <item x="253"/>
        <item x="240"/>
        <item x="237"/>
        <item x="385"/>
        <item x="288"/>
        <item x="176"/>
        <item x="169"/>
        <item x="229"/>
        <item x="135"/>
        <item x="465"/>
        <item x="51"/>
        <item x="285"/>
        <item x="119"/>
        <item x="120"/>
        <item x="65"/>
        <item x="203"/>
        <item x="164"/>
        <item x="78"/>
        <item x="339"/>
        <item x="459"/>
        <item x="141"/>
        <item x="379"/>
        <item x="412"/>
        <item x="257"/>
        <item x="359"/>
        <item x="202"/>
        <item x="321"/>
        <item x="226"/>
        <item x="72"/>
        <item x="307"/>
        <item x="160"/>
        <item x="455"/>
        <item x="228"/>
        <item x="354"/>
        <item x="352"/>
        <item x="158"/>
        <item x="324"/>
        <item x="394"/>
        <item x="208"/>
        <item x="405"/>
        <item x="262"/>
        <item x="146"/>
        <item x="322"/>
        <item x="256"/>
        <item x="178"/>
        <item x="246"/>
        <item x="283"/>
        <item x="387"/>
        <item x="195"/>
        <item x="138"/>
        <item x="274"/>
        <item x="109"/>
        <item x="286"/>
        <item x="216"/>
        <item x="370"/>
        <item x="368"/>
        <item x="116"/>
        <item x="297"/>
        <item x="292"/>
        <item x="335"/>
        <item x="206"/>
        <item x="82"/>
        <item x="62"/>
        <item x="235"/>
        <item x="435"/>
        <item x="308"/>
        <item x="295"/>
        <item x="357"/>
        <item x="428"/>
        <item x="361"/>
        <item x="197"/>
        <item x="384"/>
        <item x="464"/>
        <item x="117"/>
        <item x="97"/>
        <item x="236"/>
        <item x="85"/>
        <item x="242"/>
        <item x="185"/>
        <item x="252"/>
        <item x="453"/>
        <item x="38"/>
        <item x="302"/>
        <item x="430"/>
        <item x="249"/>
        <item x="413"/>
        <item x="9"/>
        <item x="343"/>
        <item x="12"/>
        <item x="133"/>
        <item x="175"/>
        <item x="432"/>
        <item x="148"/>
        <item x="380"/>
        <item x="390"/>
        <item x="181"/>
        <item x="145"/>
        <item x="347"/>
        <item x="350"/>
        <item x="279"/>
        <item x="258"/>
        <item x="311"/>
        <item x="67"/>
        <item x="446"/>
        <item x="401"/>
        <item x="33"/>
        <item x="220"/>
        <item x="426"/>
        <item x="196"/>
        <item x="374"/>
        <item x="260"/>
        <item x="0"/>
        <item x="153"/>
        <item x="57"/>
        <item x="243"/>
        <item x="241"/>
        <item x="239"/>
        <item x="287"/>
        <item x="300"/>
        <item x="140"/>
        <item x="83"/>
        <item x="409"/>
        <item x="35"/>
        <item x="69"/>
        <item x="31"/>
        <item x="408"/>
        <item x="320"/>
        <item x="364"/>
        <item x="371"/>
        <item x="225"/>
        <item x="337"/>
        <item x="427"/>
        <item x="22"/>
        <item x="389"/>
        <item x="93"/>
        <item x="101"/>
        <item x="44"/>
        <item x="7"/>
        <item x="41"/>
        <item x="162"/>
        <item x="64"/>
        <item x="104"/>
        <item x="420"/>
        <item x="106"/>
        <item x="123"/>
        <item x="157"/>
        <item x="306"/>
        <item x="155"/>
        <item x="391"/>
        <item x="277"/>
        <item x="265"/>
        <item x="442"/>
        <item x="411"/>
        <item x="272"/>
        <item x="303"/>
        <item x="121"/>
        <item x="74"/>
        <item x="454"/>
        <item x="245"/>
        <item x="136"/>
        <item x="105"/>
        <item x="363"/>
        <item x="291"/>
        <item x="24"/>
        <item x="159"/>
        <item x="26"/>
        <item x="445"/>
        <item x="19"/>
        <item x="107"/>
        <item x="223"/>
        <item x="293"/>
        <item x="422"/>
        <item x="318"/>
        <item x="331"/>
        <item x="441"/>
        <item x="330"/>
        <item x="147"/>
        <item x="298"/>
        <item x="32"/>
        <item x="461"/>
        <item x="416"/>
        <item x="447"/>
        <item x="177"/>
        <item x="103"/>
        <item x="336"/>
        <item x="251"/>
        <item x="212"/>
        <item x="349"/>
        <item x="393"/>
        <item x="149"/>
        <item x="37"/>
        <item x="73"/>
        <item x="424"/>
        <item x="180"/>
        <item x="214"/>
        <item x="360"/>
        <item x="329"/>
        <item x="100"/>
        <item x="190"/>
        <item x="233"/>
        <item x="167"/>
        <item x="200"/>
        <item x="142"/>
        <item x="192"/>
        <item x="458"/>
        <item x="398"/>
        <item x="170"/>
        <item x="90"/>
        <item x="290"/>
        <item x="271"/>
        <item x="48"/>
        <item x="431"/>
        <item x="45"/>
        <item x="199"/>
        <item x="351"/>
        <item x="39"/>
        <item x="60"/>
        <item x="224"/>
        <item x="400"/>
        <item x="47"/>
        <item x="152"/>
        <item x="299"/>
        <item x="388"/>
        <item x="118"/>
        <item x="301"/>
        <item x="386"/>
        <item x="340"/>
        <item x="219"/>
        <item x="132"/>
        <item x="54"/>
        <item x="353"/>
        <item x="70"/>
        <item x="76"/>
        <item x="451"/>
        <item x="128"/>
        <item x="99"/>
        <item x="367"/>
        <item x="25"/>
        <item x="112"/>
        <item x="403"/>
        <item x="15"/>
        <item x="134"/>
        <item x="130"/>
        <item x="355"/>
        <item x="5"/>
        <item x="29"/>
        <item x="456"/>
        <item x="314"/>
        <item x="261"/>
        <item x="10"/>
        <item x="108"/>
        <item x="332"/>
        <item x="268"/>
        <item x="194"/>
        <item x="172"/>
        <item x="189"/>
        <item x="96"/>
        <item x="50"/>
        <item x="315"/>
        <item x="187"/>
        <item x="443"/>
        <item x="125"/>
        <item x="53"/>
        <item x="168"/>
        <item x="238"/>
        <item x="467"/>
        <item x="334"/>
        <item x="344"/>
        <item x="333"/>
        <item x="126"/>
        <item x="396"/>
        <item x="267"/>
        <item x="397"/>
        <item x="247"/>
        <item x="11"/>
        <item x="3"/>
        <item x="98"/>
        <item x="255"/>
        <item x="342"/>
        <item x="305"/>
        <item x="310"/>
        <item x="28"/>
        <item x="266"/>
        <item x="250"/>
        <item x="433"/>
        <item x="81"/>
        <item x="375"/>
        <item x="80"/>
        <item x="231"/>
        <item x="275"/>
        <item x="362"/>
        <item x="52"/>
        <item x="221"/>
        <item x="460"/>
        <item x="163"/>
        <item x="68"/>
        <item x="414"/>
        <item x="56"/>
        <item x="87"/>
        <item x="143"/>
        <item x="282"/>
        <item x="448"/>
        <item x="18"/>
        <item x="79"/>
        <item x="59"/>
        <item x="319"/>
        <item x="217"/>
        <item x="248"/>
        <item x="406"/>
        <item x="377"/>
        <item x="273"/>
        <item x="326"/>
        <item x="8"/>
        <item x="111"/>
        <item x="341"/>
        <item x="55"/>
        <item x="40"/>
        <item x="450"/>
        <item x="365"/>
        <item x="88"/>
        <item x="230"/>
        <item x="21"/>
        <item x="323"/>
        <item x="227"/>
        <item x="345"/>
        <item x="264"/>
        <item x="34"/>
        <item x="312"/>
        <item x="115"/>
        <item x="244"/>
        <item x="457"/>
        <item x="204"/>
        <item x="114"/>
        <item x="215"/>
        <item x="462"/>
        <item x="438"/>
        <item x="193"/>
        <item x="17"/>
        <item x="30"/>
        <item x="191"/>
        <item x="218"/>
        <item x="122"/>
        <item x="376"/>
        <item x="92"/>
        <item x="317"/>
        <item x="94"/>
        <item x="84"/>
        <item x="150"/>
        <item x="423"/>
        <item x="254"/>
        <item x="404"/>
        <item x="209"/>
        <item x="381"/>
        <item x="348"/>
        <item x="316"/>
        <item x="232"/>
        <item x="58"/>
        <item x="327"/>
        <item x="16"/>
        <item x="166"/>
        <item x="444"/>
        <item x="328"/>
        <item x="201"/>
        <item x="346"/>
        <item x="284"/>
        <item x="139"/>
        <item x="13"/>
        <item x="3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showAll="0">
      <items count="41">
        <item x="6"/>
        <item x="36"/>
        <item x="38"/>
        <item x="5"/>
        <item x="8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9"/>
        <item x="28"/>
        <item x="1"/>
        <item x="30"/>
        <item x="24"/>
        <item x="7"/>
        <item x="23"/>
        <item x="14"/>
        <item x="27"/>
        <item x="4"/>
        <item x="35"/>
        <item x="26"/>
        <item t="default"/>
      </items>
    </pivotField>
    <pivotField compact="0" showAll="0">
      <items count="7">
        <item x="5"/>
        <item x="0"/>
        <item x="1"/>
        <item x="4"/>
        <item x="2"/>
        <item x="3"/>
        <item t="default"/>
      </items>
    </pivotField>
    <pivotField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numFmtId="179" showAll="0">
      <items count="630">
        <item x="614"/>
        <item x="2"/>
        <item x="57"/>
        <item x="296"/>
        <item x="111"/>
        <item x="178"/>
        <item x="284"/>
        <item x="170"/>
        <item x="490"/>
        <item x="105"/>
        <item x="95"/>
        <item x="175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numFmtId="10" showAll="0">
      <items count="229">
        <item x="4"/>
        <item x="140"/>
        <item x="9"/>
        <item x="19"/>
        <item x="98"/>
        <item x="18"/>
        <item x="83"/>
        <item x="170"/>
        <item x="212"/>
        <item x="107"/>
        <item x="205"/>
        <item x="112"/>
        <item x="105"/>
        <item x="117"/>
        <item x="108"/>
        <item x="179"/>
        <item x="133"/>
        <item x="70"/>
        <item x="7"/>
        <item x="195"/>
        <item x="75"/>
        <item x="41"/>
        <item x="31"/>
        <item x="15"/>
        <item x="188"/>
        <item x="208"/>
        <item x="174"/>
        <item x="88"/>
        <item x="221"/>
        <item x="106"/>
        <item x="215"/>
        <item x="57"/>
        <item x="216"/>
        <item x="53"/>
        <item x="129"/>
        <item x="113"/>
        <item x="223"/>
        <item x="132"/>
        <item x="120"/>
        <item x="91"/>
        <item x="193"/>
        <item x="163"/>
        <item x="227"/>
        <item x="95"/>
        <item x="201"/>
        <item x="176"/>
        <item x="71"/>
        <item x="143"/>
        <item x="54"/>
        <item x="89"/>
        <item x="67"/>
        <item x="87"/>
        <item x="3"/>
        <item x="92"/>
        <item x="12"/>
        <item x="42"/>
        <item x="171"/>
        <item x="202"/>
        <item x="116"/>
        <item x="164"/>
        <item x="226"/>
        <item x="103"/>
        <item x="200"/>
        <item x="25"/>
        <item x="147"/>
        <item x="23"/>
        <item x="167"/>
        <item x="24"/>
        <item x="168"/>
        <item x="118"/>
        <item x="76"/>
        <item x="142"/>
        <item x="11"/>
        <item x="148"/>
        <item x="72"/>
        <item x="224"/>
        <item x="199"/>
        <item x="73"/>
        <item x="165"/>
        <item x="26"/>
        <item x="136"/>
        <item x="172"/>
        <item x="66"/>
        <item x="51"/>
        <item x="192"/>
        <item x="104"/>
        <item x="85"/>
        <item x="13"/>
        <item x="45"/>
        <item x="94"/>
        <item x="0"/>
        <item x="139"/>
        <item x="59"/>
        <item x="158"/>
        <item x="144"/>
        <item x="84"/>
        <item x="44"/>
        <item x="17"/>
        <item x="173"/>
        <item x="153"/>
        <item x="81"/>
        <item x="213"/>
        <item x="21"/>
        <item x="37"/>
        <item x="109"/>
        <item x="137"/>
        <item x="30"/>
        <item x="48"/>
        <item x="2"/>
        <item x="191"/>
        <item x="111"/>
        <item x="60"/>
        <item x="157"/>
        <item x="28"/>
        <item x="80"/>
        <item x="159"/>
        <item x="22"/>
        <item x="77"/>
        <item x="169"/>
        <item x="55"/>
        <item x="16"/>
        <item x="40"/>
        <item x="180"/>
        <item x="33"/>
        <item x="5"/>
        <item x="134"/>
        <item x="8"/>
        <item x="209"/>
        <item x="101"/>
        <item x="135"/>
        <item x="124"/>
        <item x="68"/>
        <item x="130"/>
        <item x="161"/>
        <item x="86"/>
        <item x="181"/>
        <item x="128"/>
        <item x="74"/>
        <item x="63"/>
        <item x="196"/>
        <item x="156"/>
        <item x="211"/>
        <item x="150"/>
        <item x="20"/>
        <item x="35"/>
        <item x="189"/>
        <item x="225"/>
        <item x="145"/>
        <item x="121"/>
        <item x="155"/>
        <item x="29"/>
        <item x="166"/>
        <item x="119"/>
        <item x="93"/>
        <item x="78"/>
        <item x="110"/>
        <item x="34"/>
        <item x="14"/>
        <item x="49"/>
        <item x="56"/>
        <item x="62"/>
        <item x="36"/>
        <item x="69"/>
        <item x="50"/>
        <item x="197"/>
        <item x="97"/>
        <item x="6"/>
        <item x="123"/>
        <item x="114"/>
        <item x="46"/>
        <item x="138"/>
        <item x="90"/>
        <item x="52"/>
        <item x="43"/>
        <item x="162"/>
        <item x="222"/>
        <item x="219"/>
        <item x="182"/>
        <item x="125"/>
        <item x="122"/>
        <item x="207"/>
        <item x="65"/>
        <item x="154"/>
        <item x="203"/>
        <item x="218"/>
        <item x="96"/>
        <item x="217"/>
        <item x="152"/>
        <item x="204"/>
        <item x="82"/>
        <item x="214"/>
        <item x="126"/>
        <item x="146"/>
        <item x="127"/>
        <item x="1"/>
        <item x="149"/>
        <item x="177"/>
        <item x="183"/>
        <item x="64"/>
        <item x="27"/>
        <item x="102"/>
        <item x="220"/>
        <item x="10"/>
        <item x="115"/>
        <item x="47"/>
        <item x="194"/>
        <item x="61"/>
        <item x="131"/>
        <item x="100"/>
        <item x="187"/>
        <item x="151"/>
        <item x="99"/>
        <item x="141"/>
        <item x="178"/>
        <item x="190"/>
        <item x="79"/>
        <item x="186"/>
        <item x="38"/>
        <item x="210"/>
        <item x="39"/>
        <item x="184"/>
        <item x="206"/>
        <item x="160"/>
        <item x="32"/>
        <item x="58"/>
        <item x="175"/>
        <item x="198"/>
        <item x="185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630">
        <item x="296"/>
        <item x="111"/>
        <item x="57"/>
        <item x="178"/>
        <item x="284"/>
        <item x="170"/>
        <item x="490"/>
        <item x="105"/>
        <item x="95"/>
        <item x="175"/>
        <item x="2"/>
        <item x="614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showAll="0">
      <items count="3">
        <item x="1"/>
        <item x="0"/>
        <item t="default"/>
      </items>
    </pivotField>
    <pivotField compact="0" numFmtId="10" showAll="0">
      <items count="223">
        <item x="4"/>
        <item x="139"/>
        <item x="9"/>
        <item x="19"/>
        <item x="97"/>
        <item x="18"/>
        <item x="82"/>
        <item x="168"/>
        <item x="206"/>
        <item x="106"/>
        <item x="200"/>
        <item x="111"/>
        <item x="104"/>
        <item x="116"/>
        <item x="107"/>
        <item x="176"/>
        <item x="132"/>
        <item x="69"/>
        <item x="7"/>
        <item x="191"/>
        <item x="74"/>
        <item x="41"/>
        <item x="31"/>
        <item x="15"/>
        <item x="184"/>
        <item x="202"/>
        <item x="172"/>
        <item x="87"/>
        <item x="215"/>
        <item x="105"/>
        <item x="209"/>
        <item x="57"/>
        <item x="210"/>
        <item x="53"/>
        <item x="128"/>
        <item x="112"/>
        <item x="217"/>
        <item x="131"/>
        <item x="119"/>
        <item x="90"/>
        <item x="189"/>
        <item x="161"/>
        <item x="221"/>
        <item x="94"/>
        <item x="196"/>
        <item x="173"/>
        <item x="70"/>
        <item x="142"/>
        <item x="54"/>
        <item x="88"/>
        <item x="66"/>
        <item x="86"/>
        <item x="3"/>
        <item x="91"/>
        <item x="12"/>
        <item x="42"/>
        <item x="169"/>
        <item x="197"/>
        <item x="115"/>
        <item x="162"/>
        <item x="220"/>
        <item x="102"/>
        <item x="195"/>
        <item x="25"/>
        <item x="146"/>
        <item x="23"/>
        <item x="165"/>
        <item x="24"/>
        <item x="166"/>
        <item x="117"/>
        <item x="75"/>
        <item x="141"/>
        <item x="11"/>
        <item x="147"/>
        <item x="71"/>
        <item x="218"/>
        <item x="194"/>
        <item x="72"/>
        <item x="163"/>
        <item x="26"/>
        <item x="135"/>
        <item x="170"/>
        <item x="65"/>
        <item x="51"/>
        <item x="188"/>
        <item x="103"/>
        <item x="84"/>
        <item x="13"/>
        <item x="45"/>
        <item x="93"/>
        <item x="0"/>
        <item x="138"/>
        <item x="58"/>
        <item x="157"/>
        <item x="143"/>
        <item x="83"/>
        <item x="44"/>
        <item x="17"/>
        <item x="171"/>
        <item x="152"/>
        <item x="80"/>
        <item x="207"/>
        <item x="21"/>
        <item x="37"/>
        <item x="108"/>
        <item x="136"/>
        <item x="30"/>
        <item x="48"/>
        <item x="2"/>
        <item x="187"/>
        <item x="110"/>
        <item x="59"/>
        <item x="156"/>
        <item x="28"/>
        <item x="79"/>
        <item x="158"/>
        <item x="22"/>
        <item x="76"/>
        <item x="167"/>
        <item x="55"/>
        <item x="16"/>
        <item x="40"/>
        <item x="177"/>
        <item x="33"/>
        <item x="5"/>
        <item x="133"/>
        <item x="8"/>
        <item x="203"/>
        <item x="100"/>
        <item x="134"/>
        <item x="123"/>
        <item x="67"/>
        <item x="129"/>
        <item x="159"/>
        <item x="85"/>
        <item x="178"/>
        <item x="127"/>
        <item x="73"/>
        <item x="62"/>
        <item x="192"/>
        <item x="155"/>
        <item x="205"/>
        <item x="149"/>
        <item x="20"/>
        <item x="35"/>
        <item x="185"/>
        <item x="219"/>
        <item x="144"/>
        <item x="120"/>
        <item x="154"/>
        <item x="29"/>
        <item x="164"/>
        <item x="118"/>
        <item x="92"/>
        <item x="77"/>
        <item x="109"/>
        <item x="34"/>
        <item x="14"/>
        <item x="49"/>
        <item x="56"/>
        <item x="61"/>
        <item x="36"/>
        <item x="68"/>
        <item x="50"/>
        <item x="193"/>
        <item x="96"/>
        <item x="6"/>
        <item x="122"/>
        <item x="113"/>
        <item x="46"/>
        <item x="137"/>
        <item x="89"/>
        <item x="52"/>
        <item x="43"/>
        <item x="160"/>
        <item x="216"/>
        <item x="213"/>
        <item x="179"/>
        <item x="124"/>
        <item x="121"/>
        <item x="201"/>
        <item x="64"/>
        <item x="153"/>
        <item x="198"/>
        <item x="212"/>
        <item x="95"/>
        <item x="211"/>
        <item x="151"/>
        <item x="199"/>
        <item x="81"/>
        <item x="208"/>
        <item x="125"/>
        <item x="145"/>
        <item x="126"/>
        <item x="1"/>
        <item x="148"/>
        <item x="174"/>
        <item x="180"/>
        <item x="63"/>
        <item x="27"/>
        <item x="101"/>
        <item x="214"/>
        <item x="10"/>
        <item x="114"/>
        <item x="47"/>
        <item x="190"/>
        <item x="60"/>
        <item x="130"/>
        <item x="99"/>
        <item x="183"/>
        <item x="150"/>
        <item x="98"/>
        <item x="140"/>
        <item x="175"/>
        <item x="186"/>
        <item x="78"/>
        <item x="182"/>
        <item x="38"/>
        <item x="204"/>
        <item x="39"/>
        <item x="181"/>
        <item x="32"/>
        <item t="default"/>
      </items>
    </pivotField>
    <pivotField compact="0" showAll="0">
      <items count="35">
        <item x="1"/>
        <item x="6"/>
        <item x="12"/>
        <item x="20"/>
        <item x="28"/>
        <item x="27"/>
        <item x="4"/>
        <item x="3"/>
        <item x="17"/>
        <item x="33"/>
        <item x="22"/>
        <item x="13"/>
        <item x="29"/>
        <item x="26"/>
        <item x="25"/>
        <item x="8"/>
        <item x="21"/>
        <item x="18"/>
        <item x="16"/>
        <item x="14"/>
        <item x="15"/>
        <item x="5"/>
        <item x="7"/>
        <item x="9"/>
        <item x="31"/>
        <item x="24"/>
        <item x="23"/>
        <item x="10"/>
        <item x="2"/>
        <item x="0"/>
        <item x="32"/>
        <item x="30"/>
        <item x="11"/>
        <item x="19"/>
        <item t="default"/>
      </items>
    </pivotField>
    <pivotField compact="0" numFmtId="58" showAll="0">
      <items count="472">
        <item x="4"/>
        <item x="184"/>
        <item x="6"/>
        <item x="411"/>
        <item x="198"/>
        <item x="122"/>
        <item x="125"/>
        <item x="186"/>
        <item x="442"/>
        <item x="77"/>
        <item x="23"/>
        <item x="419"/>
        <item x="182"/>
        <item x="61"/>
        <item x="173"/>
        <item x="151"/>
        <item x="108"/>
        <item x="423"/>
        <item x="275"/>
        <item x="293"/>
        <item x="161"/>
        <item x="156"/>
        <item x="380"/>
        <item x="94"/>
        <item x="221"/>
        <item x="2"/>
        <item x="154"/>
        <item x="213"/>
        <item x="210"/>
        <item x="310"/>
        <item x="49"/>
        <item x="334"/>
        <item x="306"/>
        <item x="63"/>
        <item x="129"/>
        <item x="272"/>
        <item x="165"/>
        <item x="127"/>
        <item x="381"/>
        <item x="286"/>
        <item x="33"/>
        <item x="456"/>
        <item x="453"/>
        <item x="439"/>
        <item x="90"/>
        <item x="188"/>
        <item x="14"/>
        <item x="432"/>
        <item x="205"/>
        <item x="66"/>
        <item x="183"/>
        <item x="27"/>
        <item x="291"/>
        <item x="132"/>
        <item x="365"/>
        <item x="427"/>
        <item x="375"/>
        <item x="379"/>
        <item x="179"/>
        <item x="71"/>
        <item x="20"/>
        <item x="277"/>
        <item x="437"/>
        <item x="353"/>
        <item x="101"/>
        <item x="402"/>
        <item x="211"/>
        <item x="369"/>
        <item x="75"/>
        <item x="278"/>
        <item x="111"/>
        <item x="321"/>
        <item x="362"/>
        <item x="245"/>
        <item x="37"/>
        <item x="301"/>
        <item x="88"/>
        <item x="85"/>
        <item x="43"/>
        <item x="391"/>
        <item x="257"/>
        <item x="420"/>
        <item x="416"/>
        <item x="440"/>
        <item x="418"/>
        <item x="136"/>
        <item x="469"/>
        <item x="368"/>
        <item x="171"/>
        <item x="261"/>
        <item x="143"/>
        <item x="359"/>
        <item x="174"/>
        <item x="46"/>
        <item x="207"/>
        <item x="251"/>
        <item x="238"/>
        <item x="235"/>
        <item x="384"/>
        <item x="285"/>
        <item x="176"/>
        <item x="169"/>
        <item x="228"/>
        <item x="134"/>
        <item x="468"/>
        <item x="51"/>
        <item x="282"/>
        <item x="117"/>
        <item x="118"/>
        <item x="65"/>
        <item x="203"/>
        <item x="164"/>
        <item x="78"/>
        <item x="335"/>
        <item x="463"/>
        <item x="140"/>
        <item x="376"/>
        <item x="413"/>
        <item x="255"/>
        <item x="354"/>
        <item x="202"/>
        <item x="317"/>
        <item x="225"/>
        <item x="72"/>
        <item x="304"/>
        <item x="160"/>
        <item x="459"/>
        <item x="227"/>
        <item x="350"/>
        <item x="348"/>
        <item x="158"/>
        <item x="320"/>
        <item x="393"/>
        <item x="208"/>
        <item x="405"/>
        <item x="260"/>
        <item x="146"/>
        <item x="318"/>
        <item x="254"/>
        <item x="178"/>
        <item x="244"/>
        <item x="280"/>
        <item x="386"/>
        <item x="195"/>
        <item x="270"/>
        <item x="107"/>
        <item x="283"/>
        <item x="137"/>
        <item x="366"/>
        <item x="364"/>
        <item x="114"/>
        <item x="144"/>
        <item x="294"/>
        <item x="289"/>
        <item x="331"/>
        <item x="206"/>
        <item x="81"/>
        <item x="62"/>
        <item x="233"/>
        <item x="438"/>
        <item x="305"/>
        <item x="292"/>
        <item x="352"/>
        <item x="274"/>
        <item x="431"/>
        <item x="356"/>
        <item x="197"/>
        <item x="382"/>
        <item x="467"/>
        <item x="115"/>
        <item x="96"/>
        <item x="234"/>
        <item x="84"/>
        <item x="240"/>
        <item x="185"/>
        <item x="250"/>
        <item x="457"/>
        <item x="39"/>
        <item x="299"/>
        <item x="433"/>
        <item x="247"/>
        <item x="414"/>
        <item x="9"/>
        <item x="339"/>
        <item x="12"/>
        <item x="131"/>
        <item x="175"/>
        <item x="435"/>
        <item x="148"/>
        <item x="377"/>
        <item x="181"/>
        <item x="145"/>
        <item x="343"/>
        <item x="389"/>
        <item x="346"/>
        <item x="276"/>
        <item x="256"/>
        <item x="308"/>
        <item x="67"/>
        <item x="450"/>
        <item x="401"/>
        <item x="34"/>
        <item x="219"/>
        <item x="429"/>
        <item x="196"/>
        <item x="370"/>
        <item x="258"/>
        <item x="0"/>
        <item x="153"/>
        <item x="57"/>
        <item x="241"/>
        <item x="239"/>
        <item x="237"/>
        <item x="284"/>
        <item x="297"/>
        <item x="139"/>
        <item x="82"/>
        <item x="410"/>
        <item x="395"/>
        <item x="36"/>
        <item x="69"/>
        <item x="31"/>
        <item x="409"/>
        <item x="316"/>
        <item x="360"/>
        <item x="367"/>
        <item x="224"/>
        <item x="333"/>
        <item x="430"/>
        <item x="22"/>
        <item x="388"/>
        <item x="407"/>
        <item x="100"/>
        <item x="44"/>
        <item x="7"/>
        <item x="42"/>
        <item x="162"/>
        <item x="92"/>
        <item x="64"/>
        <item x="103"/>
        <item x="421"/>
        <item x="104"/>
        <item x="121"/>
        <item x="157"/>
        <item x="303"/>
        <item x="155"/>
        <item x="390"/>
        <item x="273"/>
        <item x="263"/>
        <item x="444"/>
        <item x="412"/>
        <item x="268"/>
        <item x="300"/>
        <item x="119"/>
        <item x="373"/>
        <item x="458"/>
        <item x="243"/>
        <item x="135"/>
        <item x="74"/>
        <item x="358"/>
        <item x="408"/>
        <item x="24"/>
        <item x="159"/>
        <item x="26"/>
        <item x="288"/>
        <item x="447"/>
        <item x="105"/>
        <item x="222"/>
        <item x="19"/>
        <item x="290"/>
        <item x="424"/>
        <item x="315"/>
        <item x="327"/>
        <item x="443"/>
        <item x="326"/>
        <item x="147"/>
        <item x="295"/>
        <item x="465"/>
        <item x="449"/>
        <item x="417"/>
        <item x="32"/>
        <item x="451"/>
        <item x="177"/>
        <item x="102"/>
        <item x="332"/>
        <item x="249"/>
        <item x="212"/>
        <item x="345"/>
        <item x="392"/>
        <item x="149"/>
        <item x="38"/>
        <item x="73"/>
        <item x="426"/>
        <item x="180"/>
        <item x="214"/>
        <item x="355"/>
        <item x="325"/>
        <item x="99"/>
        <item x="190"/>
        <item x="232"/>
        <item x="167"/>
        <item x="200"/>
        <item x="141"/>
        <item x="192"/>
        <item x="462"/>
        <item x="399"/>
        <item x="170"/>
        <item x="1"/>
        <item x="89"/>
        <item x="287"/>
        <item x="267"/>
        <item x="48"/>
        <item x="434"/>
        <item x="45"/>
        <item x="199"/>
        <item x="347"/>
        <item x="40"/>
        <item x="60"/>
        <item x="223"/>
        <item x="400"/>
        <item x="47"/>
        <item x="152"/>
        <item x="296"/>
        <item x="387"/>
        <item x="116"/>
        <item x="298"/>
        <item x="385"/>
        <item x="336"/>
        <item x="218"/>
        <item x="130"/>
        <item x="54"/>
        <item x="349"/>
        <item x="70"/>
        <item x="76"/>
        <item x="455"/>
        <item x="126"/>
        <item x="98"/>
        <item x="363"/>
        <item x="25"/>
        <item x="110"/>
        <item x="403"/>
        <item x="15"/>
        <item x="133"/>
        <item x="128"/>
        <item x="351"/>
        <item x="5"/>
        <item x="29"/>
        <item x="460"/>
        <item x="311"/>
        <item x="259"/>
        <item x="10"/>
        <item x="106"/>
        <item x="328"/>
        <item x="266"/>
        <item x="194"/>
        <item x="172"/>
        <item x="189"/>
        <item x="95"/>
        <item x="50"/>
        <item x="312"/>
        <item x="448"/>
        <item x="187"/>
        <item x="445"/>
        <item x="123"/>
        <item x="53"/>
        <item x="168"/>
        <item x="236"/>
        <item x="470"/>
        <item x="330"/>
        <item x="340"/>
        <item x="329"/>
        <item x="124"/>
        <item x="396"/>
        <item x="265"/>
        <item x="397"/>
        <item x="246"/>
        <item x="11"/>
        <item x="3"/>
        <item x="97"/>
        <item x="253"/>
        <item x="338"/>
        <item x="302"/>
        <item x="307"/>
        <item x="28"/>
        <item x="264"/>
        <item x="248"/>
        <item x="436"/>
        <item x="80"/>
        <item x="371"/>
        <item x="230"/>
        <item x="271"/>
        <item x="357"/>
        <item x="52"/>
        <item x="220"/>
        <item x="464"/>
        <item x="163"/>
        <item x="68"/>
        <item x="415"/>
        <item x="56"/>
        <item x="86"/>
        <item x="142"/>
        <item x="398"/>
        <item x="452"/>
        <item x="383"/>
        <item x="428"/>
        <item x="79"/>
        <item x="59"/>
        <item x="279"/>
        <item x="216"/>
        <item x="18"/>
        <item x="406"/>
        <item x="374"/>
        <item x="269"/>
        <item x="322"/>
        <item x="8"/>
        <item x="109"/>
        <item x="337"/>
        <item x="55"/>
        <item x="41"/>
        <item x="454"/>
        <item x="361"/>
        <item x="87"/>
        <item x="229"/>
        <item x="21"/>
        <item x="319"/>
        <item x="226"/>
        <item x="341"/>
        <item x="262"/>
        <item x="35"/>
        <item x="309"/>
        <item x="113"/>
        <item x="242"/>
        <item x="461"/>
        <item x="204"/>
        <item x="112"/>
        <item x="215"/>
        <item x="466"/>
        <item x="441"/>
        <item x="193"/>
        <item x="17"/>
        <item x="30"/>
        <item x="191"/>
        <item x="217"/>
        <item x="120"/>
        <item x="372"/>
        <item x="91"/>
        <item x="314"/>
        <item x="93"/>
        <item x="83"/>
        <item x="150"/>
        <item x="425"/>
        <item x="422"/>
        <item x="404"/>
        <item x="209"/>
        <item x="378"/>
        <item x="252"/>
        <item x="344"/>
        <item x="313"/>
        <item x="231"/>
        <item x="58"/>
        <item x="323"/>
        <item x="16"/>
        <item x="166"/>
        <item x="446"/>
        <item x="324"/>
        <item x="201"/>
        <item x="342"/>
        <item x="281"/>
        <item x="138"/>
        <item x="13"/>
        <item x="394"/>
        <item t="default"/>
      </items>
    </pivotField>
    <pivotField compact="0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dataField="1"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281"/>
        <item x="82"/>
        <item x="88"/>
        <item x="530"/>
        <item x="108"/>
        <item x="246"/>
        <item x="229"/>
        <item x="6"/>
        <item x="50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325"/>
        <item x="433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72"/>
        <item x="326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603"/>
        <item x="73"/>
        <item x="253"/>
        <item x="598"/>
        <item x="267"/>
        <item x="205"/>
        <item x="409"/>
        <item x="592"/>
        <item x="45"/>
        <item x="276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457"/>
        <item x="237"/>
        <item x="416"/>
        <item x="258"/>
        <item x="403"/>
        <item x="600"/>
        <item x="500"/>
        <item x="89"/>
        <item x="589"/>
        <item x="51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68"/>
        <item x="161"/>
        <item x="327"/>
        <item x="472"/>
        <item x="320"/>
        <item x="181"/>
        <item x="502"/>
        <item x="529"/>
        <item x="314"/>
        <item x="190"/>
        <item x="182"/>
        <item x="293"/>
        <item x="124"/>
        <item x="331"/>
        <item x="135"/>
        <item x="302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29"/>
        <item x="524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163"/>
        <item x="342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273"/>
        <item x="282"/>
        <item x="588"/>
        <item x="142"/>
        <item x="32"/>
        <item x="248"/>
        <item x="548"/>
        <item x="245"/>
        <item x="146"/>
        <item x="557"/>
        <item x="427"/>
        <item x="153"/>
        <item x="379"/>
        <item x="452"/>
        <item x="101"/>
        <item x="61"/>
        <item x="544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625"/>
        <item x="166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0"/>
        <item x="546"/>
        <item x="279"/>
        <item x="266"/>
        <item x="65"/>
        <item x="207"/>
        <item x="341"/>
        <item x="565"/>
        <item x="121"/>
        <item x="22"/>
        <item x="208"/>
        <item x="366"/>
        <item x="455"/>
        <item x="450"/>
        <item x="49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551"/>
        <item x="610"/>
        <item x="521"/>
        <item x="150"/>
        <item x="386"/>
        <item x="90"/>
        <item x="251"/>
        <item x="294"/>
        <item x="255"/>
        <item x="478"/>
        <item x="286"/>
        <item x="20"/>
        <item x="393"/>
        <item x="28"/>
        <item x="83"/>
        <item x="453"/>
        <item x="1"/>
        <item x="584"/>
        <item x="408"/>
        <item x="80"/>
        <item x="572"/>
        <item x="365"/>
        <item x="473"/>
        <item x="319"/>
        <item x="212"/>
        <item x="439"/>
        <item x="458"/>
        <item x="405"/>
        <item x="396"/>
        <item x="120"/>
        <item x="71"/>
        <item x="156"/>
        <item x="259"/>
        <item x="189"/>
        <item x="483"/>
        <item x="406"/>
        <item x="254"/>
        <item x="35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486"/>
        <item x="183"/>
        <item x="567"/>
        <item x="347"/>
        <item x="187"/>
        <item x="191"/>
        <item x="606"/>
        <item x="467"/>
        <item x="627"/>
        <item x="513"/>
        <item x="206"/>
        <item x="528"/>
        <item x="413"/>
        <item x="96"/>
        <item x="172"/>
        <item x="599"/>
        <item x="378"/>
        <item x="568"/>
        <item x="152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8"/>
        <item x="137"/>
        <item x="75"/>
        <item x="374"/>
        <item x="481"/>
        <item x="373"/>
        <item x="235"/>
        <item x="470"/>
        <item x="352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556"/>
        <item x="477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2" showAll="0">
      <items count="241">
        <item x="32"/>
        <item x="186"/>
        <item x="39"/>
        <item x="213"/>
        <item x="38"/>
        <item x="187"/>
        <item x="78"/>
        <item x="192"/>
        <item x="180"/>
        <item x="141"/>
        <item x="98"/>
        <item x="152"/>
        <item x="188"/>
        <item x="99"/>
        <item x="131"/>
        <item x="60"/>
        <item x="196"/>
        <item x="47"/>
        <item x="114"/>
        <item x="208"/>
        <item x="10"/>
        <item x="229"/>
        <item x="101"/>
        <item x="27"/>
        <item x="63"/>
        <item x="185"/>
        <item x="179"/>
        <item x="150"/>
        <item x="1"/>
        <item x="127"/>
        <item x="146"/>
        <item x="126"/>
        <item x="219"/>
        <item x="81"/>
        <item x="218"/>
        <item x="206"/>
        <item x="154"/>
        <item x="224"/>
        <item x="95"/>
        <item x="226"/>
        <item x="205"/>
        <item x="156"/>
        <item x="64"/>
        <item x="209"/>
        <item x="122"/>
        <item x="125"/>
        <item x="184"/>
        <item x="227"/>
        <item x="231"/>
        <item x="164"/>
        <item x="43"/>
        <item x="52"/>
        <item x="89"/>
        <item x="138"/>
        <item x="46"/>
        <item x="113"/>
        <item x="123"/>
        <item x="6"/>
        <item x="96"/>
        <item x="200"/>
        <item x="234"/>
        <item x="50"/>
        <item x="68"/>
        <item x="36"/>
        <item x="61"/>
        <item x="56"/>
        <item x="49"/>
        <item x="14"/>
        <item x="34"/>
        <item x="109"/>
        <item x="77"/>
        <item x="92"/>
        <item x="119"/>
        <item x="168"/>
        <item x="29"/>
        <item x="158"/>
        <item x="121"/>
        <item x="145"/>
        <item x="236"/>
        <item x="191"/>
        <item x="35"/>
        <item x="20"/>
        <item x="151"/>
        <item x="214"/>
        <item x="222"/>
        <item x="159"/>
        <item x="199"/>
        <item x="62"/>
        <item x="73"/>
        <item x="233"/>
        <item x="128"/>
        <item x="183"/>
        <item x="85"/>
        <item x="163"/>
        <item x="130"/>
        <item x="67"/>
        <item x="169"/>
        <item x="124"/>
        <item x="216"/>
        <item x="135"/>
        <item x="153"/>
        <item x="100"/>
        <item x="211"/>
        <item x="8"/>
        <item x="134"/>
        <item x="5"/>
        <item x="33"/>
        <item x="182"/>
        <item x="40"/>
        <item x="16"/>
        <item x="55"/>
        <item x="172"/>
        <item x="76"/>
        <item x="115"/>
        <item x="22"/>
        <item x="162"/>
        <item x="79"/>
        <item x="28"/>
        <item x="160"/>
        <item x="59"/>
        <item x="110"/>
        <item x="193"/>
        <item x="2"/>
        <item x="147"/>
        <item x="48"/>
        <item x="30"/>
        <item x="137"/>
        <item x="108"/>
        <item x="37"/>
        <item x="21"/>
        <item x="217"/>
        <item x="80"/>
        <item x="155"/>
        <item x="176"/>
        <item x="17"/>
        <item x="44"/>
        <item x="83"/>
        <item x="144"/>
        <item x="161"/>
        <item x="58"/>
        <item x="139"/>
        <item x="0"/>
        <item x="93"/>
        <item x="45"/>
        <item x="13"/>
        <item x="84"/>
        <item x="103"/>
        <item x="157"/>
        <item x="194"/>
        <item x="51"/>
        <item x="65"/>
        <item x="175"/>
        <item x="189"/>
        <item x="136"/>
        <item x="26"/>
        <item x="167"/>
        <item x="72"/>
        <item x="197"/>
        <item x="201"/>
        <item x="235"/>
        <item x="71"/>
        <item x="149"/>
        <item x="11"/>
        <item x="228"/>
        <item x="142"/>
        <item x="75"/>
        <item x="118"/>
        <item x="171"/>
        <item x="24"/>
        <item x="170"/>
        <item x="23"/>
        <item x="148"/>
        <item x="25"/>
        <item x="202"/>
        <item x="225"/>
        <item x="102"/>
        <item x="237"/>
        <item x="166"/>
        <item x="116"/>
        <item x="204"/>
        <item x="174"/>
        <item x="42"/>
        <item x="12"/>
        <item x="91"/>
        <item x="3"/>
        <item x="86"/>
        <item x="66"/>
        <item x="88"/>
        <item x="54"/>
        <item x="143"/>
        <item x="70"/>
        <item x="178"/>
        <item x="203"/>
        <item x="94"/>
        <item x="239"/>
        <item x="165"/>
        <item x="195"/>
        <item x="90"/>
        <item x="120"/>
        <item x="132"/>
        <item x="232"/>
        <item x="112"/>
        <item x="223"/>
        <item x="129"/>
        <item x="53"/>
        <item x="221"/>
        <item x="57"/>
        <item x="220"/>
        <item x="105"/>
        <item x="230"/>
        <item x="87"/>
        <item x="177"/>
        <item x="210"/>
        <item x="190"/>
        <item x="15"/>
        <item x="31"/>
        <item x="41"/>
        <item x="74"/>
        <item x="198"/>
        <item x="7"/>
        <item x="69"/>
        <item x="133"/>
        <item x="212"/>
        <item x="181"/>
        <item x="107"/>
        <item x="117"/>
        <item x="104"/>
        <item x="111"/>
        <item x="207"/>
        <item x="106"/>
        <item x="215"/>
        <item x="173"/>
        <item x="82"/>
        <item x="18"/>
        <item x="97"/>
        <item x="19"/>
        <item x="9"/>
        <item x="140"/>
        <item x="238"/>
        <item x="4"/>
        <item t="default"/>
      </items>
    </pivotField>
    <pivotField compact="0" showAll="0">
      <items count="34">
        <item x="11"/>
        <item x="19"/>
        <item x="18"/>
        <item x="24"/>
        <item x="20"/>
        <item x="28"/>
        <item x="26"/>
        <item x="5"/>
        <item x="2"/>
        <item x="31"/>
        <item x="25"/>
        <item x="4"/>
        <item x="8"/>
        <item x="9"/>
        <item x="23"/>
        <item x="13"/>
        <item x="12"/>
        <item x="22"/>
        <item x="16"/>
        <item x="15"/>
        <item x="21"/>
        <item x="0"/>
        <item x="3"/>
        <item x="14"/>
        <item x="6"/>
        <item x="7"/>
        <item x="30"/>
        <item x="17"/>
        <item x="32"/>
        <item x="1"/>
        <item x="27"/>
        <item x="29"/>
        <item x="10"/>
        <item t="default"/>
      </items>
    </pivotField>
    <pivotField compact="0" showAll="0">
      <items count="12">
        <item x="2"/>
        <item x="0"/>
        <item x="3"/>
        <item x="7"/>
        <item x="4"/>
        <item x="5"/>
        <item x="9"/>
        <item x="8"/>
        <item x="6"/>
        <item x="10"/>
        <item x="1"/>
        <item t="default"/>
      </items>
    </pivotField>
    <pivotField compact="0" showAll="0">
      <items count="46">
        <item x="0"/>
        <item x="13"/>
        <item x="2"/>
        <item x="16"/>
        <item x="6"/>
        <item x="3"/>
        <item x="1"/>
        <item x="42"/>
        <item x="33"/>
        <item x="25"/>
        <item x="20"/>
        <item x="10"/>
        <item x="30"/>
        <item x="7"/>
        <item x="41"/>
        <item x="19"/>
        <item x="4"/>
        <item x="44"/>
        <item x="26"/>
        <item x="36"/>
        <item x="15"/>
        <item x="40"/>
        <item x="24"/>
        <item x="38"/>
        <item x="23"/>
        <item x="14"/>
        <item x="43"/>
        <item x="5"/>
        <item x="18"/>
        <item x="34"/>
        <item x="29"/>
        <item x="35"/>
        <item x="32"/>
        <item x="9"/>
        <item x="27"/>
        <item x="17"/>
        <item x="11"/>
        <item x="28"/>
        <item x="8"/>
        <item x="37"/>
        <item x="22"/>
        <item x="12"/>
        <item x="21"/>
        <item x="31"/>
        <item x="3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numFmtId="58" showAll="0">
      <items count="12">
        <item x="2"/>
        <item x="10"/>
        <item x="6"/>
        <item x="8"/>
        <item x="9"/>
        <item x="1"/>
        <item x="7"/>
        <item x="0"/>
        <item x="4"/>
        <item x="3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0" showAll="0">
      <items count="204">
        <item x="4"/>
        <item x="129"/>
        <item x="9"/>
        <item x="19"/>
        <item x="91"/>
        <item x="18"/>
        <item x="76"/>
        <item x="156"/>
        <item x="187"/>
        <item x="98"/>
        <item x="182"/>
        <item x="103"/>
        <item x="96"/>
        <item x="107"/>
        <item x="99"/>
        <item x="163"/>
        <item x="122"/>
        <item x="64"/>
        <item x="7"/>
        <item x="173"/>
        <item x="69"/>
        <item x="38"/>
        <item x="31"/>
        <item x="15"/>
        <item x="168"/>
        <item x="184"/>
        <item x="160"/>
        <item x="81"/>
        <item x="196"/>
        <item x="97"/>
        <item x="190"/>
        <item x="53"/>
        <item x="191"/>
        <item x="49"/>
        <item x="119"/>
        <item x="104"/>
        <item x="198"/>
        <item x="121"/>
        <item x="110"/>
        <item x="84"/>
        <item x="172"/>
        <item x="149"/>
        <item x="202"/>
        <item x="88"/>
        <item x="178"/>
        <item x="161"/>
        <item x="65"/>
        <item x="131"/>
        <item x="50"/>
        <item x="82"/>
        <item x="61"/>
        <item x="80"/>
        <item x="3"/>
        <item x="85"/>
        <item x="12"/>
        <item x="39"/>
        <item x="157"/>
        <item x="179"/>
        <item x="106"/>
        <item x="150"/>
        <item x="201"/>
        <item x="94"/>
        <item x="177"/>
        <item x="25"/>
        <item x="135"/>
        <item x="23"/>
        <item x="153"/>
        <item x="24"/>
        <item x="154"/>
        <item x="108"/>
        <item x="70"/>
        <item x="130"/>
        <item x="11"/>
        <item x="136"/>
        <item x="66"/>
        <item x="199"/>
        <item x="176"/>
        <item x="67"/>
        <item x="151"/>
        <item x="26"/>
        <item x="125"/>
        <item x="158"/>
        <item x="60"/>
        <item x="47"/>
        <item x="171"/>
        <item x="95"/>
        <item x="78"/>
        <item x="13"/>
        <item x="42"/>
        <item x="87"/>
        <item x="0"/>
        <item x="128"/>
        <item x="54"/>
        <item x="145"/>
        <item x="132"/>
        <item x="77"/>
        <item x="41"/>
        <item x="17"/>
        <item x="159"/>
        <item x="140"/>
        <item x="74"/>
        <item x="188"/>
        <item x="21"/>
        <item x="36"/>
        <item x="100"/>
        <item x="126"/>
        <item x="30"/>
        <item x="44"/>
        <item x="2"/>
        <item x="170"/>
        <item x="102"/>
        <item x="55"/>
        <item x="144"/>
        <item x="28"/>
        <item x="73"/>
        <item x="146"/>
        <item x="22"/>
        <item x="71"/>
        <item x="155"/>
        <item x="51"/>
        <item x="16"/>
        <item x="37"/>
        <item x="164"/>
        <item x="32"/>
        <item x="5"/>
        <item x="123"/>
        <item x="8"/>
        <item x="185"/>
        <item x="92"/>
        <item x="124"/>
        <item x="114"/>
        <item x="62"/>
        <item x="120"/>
        <item x="147"/>
        <item x="79"/>
        <item x="165"/>
        <item x="118"/>
        <item x="68"/>
        <item x="57"/>
        <item x="174"/>
        <item x="143"/>
        <item x="186"/>
        <item x="138"/>
        <item x="20"/>
        <item x="34"/>
        <item x="169"/>
        <item x="200"/>
        <item x="133"/>
        <item x="111"/>
        <item x="142"/>
        <item x="29"/>
        <item x="152"/>
        <item x="109"/>
        <item x="86"/>
        <item x="72"/>
        <item x="101"/>
        <item x="33"/>
        <item x="14"/>
        <item x="45"/>
        <item x="52"/>
        <item x="56"/>
        <item x="35"/>
        <item x="63"/>
        <item x="46"/>
        <item x="175"/>
        <item x="90"/>
        <item x="6"/>
        <item x="113"/>
        <item x="105"/>
        <item x="43"/>
        <item x="127"/>
        <item x="83"/>
        <item x="48"/>
        <item x="40"/>
        <item x="148"/>
        <item x="197"/>
        <item x="194"/>
        <item x="166"/>
        <item x="115"/>
        <item x="112"/>
        <item x="183"/>
        <item x="59"/>
        <item x="141"/>
        <item x="180"/>
        <item x="193"/>
        <item x="89"/>
        <item x="192"/>
        <item x="139"/>
        <item x="181"/>
        <item x="75"/>
        <item x="189"/>
        <item x="116"/>
        <item x="134"/>
        <item x="117"/>
        <item x="1"/>
        <item x="137"/>
        <item x="162"/>
        <item x="167"/>
        <item x="58"/>
        <item x="27"/>
        <item x="93"/>
        <item x="195"/>
        <item x="10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179" showAll="0">
      <items count="632">
        <item x="616"/>
        <item x="2"/>
        <item x="57"/>
        <item x="179"/>
        <item x="111"/>
        <item x="297"/>
        <item x="285"/>
        <item x="171"/>
        <item x="492"/>
        <item x="95"/>
        <item x="53"/>
        <item x="630"/>
        <item x="176"/>
        <item x="585"/>
        <item x="388"/>
        <item x="574"/>
        <item x="105"/>
        <item x="82"/>
        <item x="531"/>
        <item x="108"/>
        <item x="262"/>
        <item x="118"/>
        <item x="246"/>
        <item x="530"/>
        <item x="88"/>
        <item x="50"/>
        <item x="229"/>
        <item x="281"/>
        <item x="6"/>
        <item x="322"/>
        <item x="417"/>
        <item x="242"/>
        <item x="115"/>
        <item x="571"/>
        <item x="126"/>
        <item x="518"/>
        <item x="310"/>
        <item x="220"/>
        <item x="460"/>
        <item x="475"/>
        <item x="516"/>
        <item x="619"/>
        <item x="601"/>
        <item x="290"/>
        <item x="353"/>
        <item x="340"/>
        <item x="138"/>
        <item x="113"/>
        <item x="489"/>
        <item x="304"/>
        <item x="86"/>
        <item x="107"/>
        <item x="459"/>
        <item x="25"/>
        <item x="210"/>
        <item x="581"/>
        <item x="463"/>
        <item x="550"/>
        <item x="462"/>
        <item x="444"/>
        <item x="433"/>
        <item x="173"/>
        <item x="411"/>
        <item x="123"/>
        <item x="608"/>
        <item x="112"/>
        <item x="525"/>
        <item x="346"/>
        <item x="216"/>
        <item x="168"/>
        <item x="620"/>
        <item x="325"/>
        <item x="256"/>
        <item x="52"/>
        <item x="390"/>
        <item x="329"/>
        <item x="431"/>
        <item x="127"/>
        <item x="465"/>
        <item x="607"/>
        <item x="438"/>
        <item x="231"/>
        <item x="5"/>
        <item x="244"/>
        <item x="317"/>
        <item x="337"/>
        <item x="596"/>
        <item x="343"/>
        <item x="296"/>
        <item x="539"/>
        <item x="569"/>
        <item x="132"/>
        <item x="510"/>
        <item x="38"/>
        <item x="145"/>
        <item x="247"/>
        <item x="306"/>
        <item x="326"/>
        <item x="238"/>
        <item x="583"/>
        <item x="27"/>
        <item x="507"/>
        <item x="193"/>
        <item x="284"/>
        <item x="26"/>
        <item x="487"/>
        <item x="461"/>
        <item x="357"/>
        <item x="372"/>
        <item x="349"/>
        <item x="369"/>
        <item x="151"/>
        <item x="4"/>
        <item x="476"/>
        <item x="564"/>
        <item x="295"/>
        <item x="578"/>
        <item x="257"/>
        <item x="192"/>
        <item x="597"/>
        <item x="130"/>
        <item x="178"/>
        <item x="136"/>
        <item x="239"/>
        <item x="221"/>
        <item x="368"/>
        <item x="58"/>
        <item x="570"/>
        <item x="407"/>
        <item x="494"/>
        <item x="200"/>
        <item x="542"/>
        <item x="480"/>
        <item x="56"/>
        <item x="360"/>
        <item x="545"/>
        <item x="185"/>
        <item x="333"/>
        <item x="0"/>
        <item x="78"/>
        <item x="11"/>
        <item x="313"/>
        <item x="73"/>
        <item x="626"/>
        <item x="482"/>
        <item x="485"/>
        <item x="512"/>
        <item x="3"/>
        <item x="402"/>
        <item x="232"/>
        <item x="409"/>
        <item x="97"/>
        <item x="81"/>
        <item x="307"/>
        <item x="603"/>
        <item x="93"/>
        <item x="226"/>
        <item x="435"/>
        <item x="332"/>
        <item x="160"/>
        <item x="592"/>
        <item x="117"/>
        <item x="51"/>
        <item x="230"/>
        <item x="446"/>
        <item x="303"/>
        <item x="442"/>
        <item x="102"/>
        <item x="598"/>
        <item x="484"/>
        <item x="276"/>
        <item x="580"/>
        <item x="100"/>
        <item x="70"/>
        <item x="523"/>
        <item x="253"/>
        <item x="217"/>
        <item x="377"/>
        <item x="34"/>
        <item x="490"/>
        <item x="237"/>
        <item x="205"/>
        <item x="577"/>
        <item x="560"/>
        <item x="167"/>
        <item x="74"/>
        <item x="410"/>
        <item x="267"/>
        <item x="211"/>
        <item x="604"/>
        <item x="14"/>
        <item x="177"/>
        <item x="270"/>
        <item x="45"/>
        <item x="327"/>
        <item x="579"/>
        <item x="155"/>
        <item x="269"/>
        <item x="331"/>
        <item x="436"/>
        <item x="292"/>
        <item x="519"/>
        <item x="500"/>
        <item x="228"/>
        <item x="600"/>
        <item x="320"/>
        <item x="491"/>
        <item x="362"/>
        <item x="258"/>
        <item x="13"/>
        <item x="457"/>
        <item x="268"/>
        <item x="181"/>
        <item x="129"/>
        <item x="215"/>
        <item x="535"/>
        <item x="403"/>
        <item x="213"/>
        <item x="456"/>
        <item x="149"/>
        <item x="416"/>
        <item x="302"/>
        <item x="595"/>
        <item x="161"/>
        <item x="261"/>
        <item x="140"/>
        <item x="508"/>
        <item x="89"/>
        <item x="524"/>
        <item x="472"/>
        <item x="131"/>
        <item x="197"/>
        <item x="593"/>
        <item x="562"/>
        <item x="274"/>
        <item x="188"/>
        <item x="24"/>
        <item x="502"/>
        <item x="497"/>
        <item x="67"/>
        <item x="182"/>
        <item x="190"/>
        <item x="330"/>
        <item x="314"/>
        <item x="293"/>
        <item x="278"/>
        <item x="154"/>
        <item x="124"/>
        <item x="170"/>
        <item x="68"/>
        <item x="589"/>
        <item x="315"/>
        <item x="342"/>
        <item x="509"/>
        <item x="611"/>
        <item x="529"/>
        <item x="72"/>
        <item x="418"/>
        <item x="385"/>
        <item x="488"/>
        <item x="31"/>
        <item x="240"/>
        <item x="135"/>
        <item x="445"/>
        <item x="29"/>
        <item x="517"/>
        <item x="324"/>
        <item x="308"/>
        <item x="300"/>
        <item x="245"/>
        <item x="142"/>
        <item x="420"/>
        <item x="91"/>
        <item x="563"/>
        <item x="503"/>
        <item x="609"/>
        <item x="10"/>
        <item x="157"/>
        <item x="184"/>
        <item x="469"/>
        <item x="288"/>
        <item x="614"/>
        <item x="557"/>
        <item x="77"/>
        <item x="40"/>
        <item x="69"/>
        <item x="42"/>
        <item x="622"/>
        <item x="615"/>
        <item x="544"/>
        <item x="122"/>
        <item x="514"/>
        <item x="501"/>
        <item x="415"/>
        <item x="21"/>
        <item x="548"/>
        <item x="61"/>
        <item x="153"/>
        <item x="311"/>
        <item x="196"/>
        <item x="379"/>
        <item x="392"/>
        <item x="526"/>
        <item x="273"/>
        <item x="282"/>
        <item x="590"/>
        <item x="248"/>
        <item x="87"/>
        <item x="163"/>
        <item x="493"/>
        <item x="532"/>
        <item x="452"/>
        <item x="36"/>
        <item x="133"/>
        <item x="588"/>
        <item x="575"/>
        <item x="64"/>
        <item x="249"/>
        <item x="162"/>
        <item x="348"/>
        <item x="243"/>
        <item x="448"/>
        <item x="103"/>
        <item x="449"/>
        <item x="166"/>
        <item x="104"/>
        <item x="264"/>
        <item x="440"/>
        <item x="298"/>
        <item x="363"/>
        <item x="629"/>
        <item x="380"/>
        <item x="144"/>
        <item x="429"/>
        <item x="432"/>
        <item x="398"/>
        <item x="558"/>
        <item x="84"/>
        <item x="397"/>
        <item x="32"/>
        <item x="559"/>
        <item x="146"/>
        <item x="404"/>
        <item x="427"/>
        <item x="219"/>
        <item x="344"/>
        <item x="101"/>
        <item x="367"/>
        <item x="605"/>
        <item x="576"/>
        <item x="625"/>
        <item x="387"/>
        <item x="543"/>
        <item x="85"/>
        <item x="466"/>
        <item x="233"/>
        <item x="66"/>
        <item x="280"/>
        <item x="394"/>
        <item x="165"/>
        <item x="573"/>
        <item x="419"/>
        <item x="169"/>
        <item x="7"/>
        <item x="454"/>
        <item x="358"/>
        <item x="147"/>
        <item x="594"/>
        <item x="199"/>
        <item x="37"/>
        <item x="534"/>
        <item x="214"/>
        <item x="383"/>
        <item x="506"/>
        <item x="376"/>
        <item x="424"/>
        <item x="471"/>
        <item x="223"/>
        <item x="283"/>
        <item x="546"/>
        <item x="175"/>
        <item x="49"/>
        <item x="207"/>
        <item x="553"/>
        <item x="9"/>
        <item x="65"/>
        <item x="121"/>
        <item x="128"/>
        <item x="522"/>
        <item x="412"/>
        <item x="389"/>
        <item x="334"/>
        <item x="468"/>
        <item x="316"/>
        <item x="350"/>
        <item x="498"/>
        <item x="227"/>
        <item x="370"/>
        <item x="401"/>
        <item x="234"/>
        <item x="400"/>
        <item x="279"/>
        <item x="250"/>
        <item x="565"/>
        <item x="266"/>
        <item x="251"/>
        <item x="399"/>
        <item x="208"/>
        <item x="43"/>
        <item x="1"/>
        <item x="260"/>
        <item x="610"/>
        <item x="209"/>
        <item x="80"/>
        <item x="414"/>
        <item x="613"/>
        <item x="366"/>
        <item x="396"/>
        <item x="551"/>
        <item x="35"/>
        <item x="289"/>
        <item x="255"/>
        <item x="572"/>
        <item x="473"/>
        <item x="90"/>
        <item x="189"/>
        <item x="365"/>
        <item x="540"/>
        <item x="450"/>
        <item x="386"/>
        <item x="393"/>
        <item x="20"/>
        <item x="286"/>
        <item x="341"/>
        <item x="92"/>
        <item x="28"/>
        <item x="552"/>
        <item x="71"/>
        <item x="22"/>
        <item x="499"/>
        <item x="537"/>
        <item x="294"/>
        <item x="439"/>
        <item x="455"/>
        <item x="83"/>
        <item x="426"/>
        <item x="406"/>
        <item x="150"/>
        <item x="224"/>
        <item x="364"/>
        <item x="12"/>
        <item x="443"/>
        <item x="195"/>
        <item x="483"/>
        <item x="159"/>
        <item x="384"/>
        <item x="515"/>
        <item x="319"/>
        <item x="405"/>
        <item x="521"/>
        <item x="478"/>
        <item x="584"/>
        <item x="259"/>
        <item x="120"/>
        <item x="453"/>
        <item x="354"/>
        <item x="291"/>
        <item x="408"/>
        <item x="106"/>
        <item x="451"/>
        <item x="19"/>
        <item x="156"/>
        <item x="254"/>
        <item x="212"/>
        <item x="437"/>
        <item x="458"/>
        <item x="191"/>
        <item x="114"/>
        <item x="23"/>
        <item x="567"/>
        <item x="586"/>
        <item x="617"/>
        <item x="496"/>
        <item x="467"/>
        <item x="201"/>
        <item x="252"/>
        <item x="203"/>
        <item x="299"/>
        <item x="143"/>
        <item x="15"/>
        <item x="323"/>
        <item x="204"/>
        <item x="30"/>
        <item x="63"/>
        <item x="183"/>
        <item x="351"/>
        <item x="186"/>
        <item x="287"/>
        <item x="98"/>
        <item x="347"/>
        <item x="474"/>
        <item x="434"/>
        <item x="33"/>
        <item x="134"/>
        <item x="109"/>
        <item x="60"/>
        <item x="328"/>
        <item x="338"/>
        <item x="187"/>
        <item x="335"/>
        <item x="206"/>
        <item x="218"/>
        <item x="486"/>
        <item x="606"/>
        <item x="158"/>
        <item x="339"/>
        <item x="272"/>
        <item x="422"/>
        <item x="152"/>
        <item x="55"/>
        <item x="549"/>
        <item x="110"/>
        <item x="621"/>
        <item x="425"/>
        <item x="225"/>
        <item x="541"/>
        <item x="495"/>
        <item x="309"/>
        <item x="194"/>
        <item x="373"/>
        <item x="441"/>
        <item x="413"/>
        <item x="172"/>
        <item x="54"/>
        <item x="547"/>
        <item x="141"/>
        <item x="371"/>
        <item x="504"/>
        <item x="44"/>
        <item x="624"/>
        <item x="627"/>
        <item x="76"/>
        <item x="561"/>
        <item x="378"/>
        <item x="513"/>
        <item x="528"/>
        <item x="554"/>
        <item x="41"/>
        <item x="59"/>
        <item x="599"/>
        <item x="241"/>
        <item x="96"/>
        <item x="568"/>
        <item x="48"/>
        <item x="271"/>
        <item x="505"/>
        <item x="352"/>
        <item x="277"/>
        <item x="359"/>
        <item x="16"/>
        <item x="75"/>
        <item x="137"/>
        <item x="47"/>
        <item x="481"/>
        <item x="470"/>
        <item x="235"/>
        <item x="381"/>
        <item x="17"/>
        <item x="374"/>
        <item x="336"/>
        <item x="265"/>
        <item x="18"/>
        <item x="119"/>
        <item x="321"/>
        <item x="301"/>
        <item x="602"/>
        <item x="263"/>
        <item x="312"/>
        <item x="628"/>
        <item x="479"/>
        <item x="582"/>
        <item x="39"/>
        <item x="428"/>
        <item x="180"/>
        <item x="618"/>
        <item x="477"/>
        <item x="533"/>
        <item x="148"/>
        <item x="305"/>
        <item x="94"/>
        <item x="375"/>
        <item x="355"/>
        <item x="566"/>
        <item x="447"/>
        <item x="555"/>
        <item x="382"/>
        <item x="202"/>
        <item x="356"/>
        <item x="623"/>
        <item x="511"/>
        <item x="556"/>
        <item x="536"/>
        <item x="591"/>
        <item x="99"/>
        <item x="318"/>
        <item x="198"/>
        <item x="391"/>
        <item x="395"/>
        <item x="430"/>
        <item x="423"/>
        <item x="527"/>
        <item x="79"/>
        <item x="8"/>
        <item x="520"/>
        <item x="125"/>
        <item x="116"/>
        <item x="538"/>
        <item x="222"/>
        <item x="587"/>
        <item x="62"/>
        <item x="345"/>
        <item x="275"/>
        <item x="612"/>
        <item x="361"/>
        <item x="464"/>
        <item x="164"/>
        <item x="139"/>
        <item x="174"/>
        <item x="421"/>
        <item x="46"/>
        <item x="236"/>
        <item t="default"/>
      </items>
    </pivotField>
    <pivotField compact="0" numFmtId="179" showAll="0">
      <items count="632">
        <item x="57"/>
        <item x="616"/>
        <item x="1"/>
        <item x="2"/>
        <item x="384"/>
        <item x="625"/>
        <item x="422"/>
        <item x="264"/>
        <item x="10"/>
        <item x="496"/>
        <item x="559"/>
        <item x="186"/>
        <item x="131"/>
        <item x="133"/>
        <item x="191"/>
        <item x="288"/>
        <item x="406"/>
        <item x="64"/>
        <item x="500"/>
        <item x="71"/>
        <item x="621"/>
        <item x="243"/>
        <item x="124"/>
        <item x="382"/>
        <item x="149"/>
        <item x="387"/>
        <item x="195"/>
        <item x="54"/>
        <item x="258"/>
        <item x="72"/>
        <item x="396"/>
        <item x="415"/>
        <item x="589"/>
        <item x="228"/>
        <item x="383"/>
        <item x="65"/>
        <item x="491"/>
        <item x="80"/>
        <item x="97"/>
        <item x="151"/>
        <item x="104"/>
        <item x="51"/>
        <item x="476"/>
        <item x="360"/>
        <item x="403"/>
        <item x="223"/>
        <item x="600"/>
        <item x="604"/>
        <item x="251"/>
        <item x="121"/>
        <item x="13"/>
        <item x="35"/>
        <item x="448"/>
        <item x="362"/>
        <item x="165"/>
        <item x="166"/>
        <item x="320"/>
        <item x="15"/>
        <item x="389"/>
        <item x="617"/>
        <item x="130"/>
        <item x="145"/>
        <item x="511"/>
        <item x="426"/>
        <item x="192"/>
        <item x="539"/>
        <item x="199"/>
        <item x="298"/>
        <item x="573"/>
        <item x="337"/>
        <item x="302"/>
        <item x="189"/>
        <item x="456"/>
        <item x="26"/>
        <item x="84"/>
        <item x="401"/>
        <item x="431"/>
        <item x="542"/>
        <item x="122"/>
        <item x="100"/>
        <item x="67"/>
        <item x="372"/>
        <item x="267"/>
        <item x="85"/>
        <item x="410"/>
        <item x="93"/>
        <item x="592"/>
        <item x="605"/>
        <item x="237"/>
        <item x="3"/>
        <item x="407"/>
        <item x="141"/>
        <item x="316"/>
        <item x="544"/>
        <item x="332"/>
        <item x="274"/>
        <item x="400"/>
        <item x="234"/>
        <item x="211"/>
        <item x="9"/>
        <item x="215"/>
        <item x="200"/>
        <item x="34"/>
        <item x="113"/>
        <item x="560"/>
        <item x="565"/>
        <item x="178"/>
        <item x="197"/>
        <item x="136"/>
        <item x="233"/>
        <item x="509"/>
        <item x="433"/>
        <item x="484"/>
        <item x="14"/>
        <item x="115"/>
        <item x="350"/>
        <item x="214"/>
        <item x="183"/>
        <item x="154"/>
        <item x="268"/>
        <item x="380"/>
        <item x="52"/>
        <item x="363"/>
        <item x="322"/>
        <item x="611"/>
        <item x="284"/>
        <item x="579"/>
        <item x="529"/>
        <item x="392"/>
        <item x="86"/>
        <item x="357"/>
        <item x="229"/>
        <item x="608"/>
        <item x="318"/>
        <item x="58"/>
        <item x="399"/>
        <item x="138"/>
        <item x="518"/>
        <item x="176"/>
        <item x="364"/>
        <item x="425"/>
        <item x="126"/>
        <item x="374"/>
        <item x="73"/>
        <item x="475"/>
        <item x="461"/>
        <item x="553"/>
        <item x="83"/>
        <item x="226"/>
        <item x="630"/>
        <item x="368"/>
        <item x="503"/>
        <item x="169"/>
        <item x="108"/>
        <item x="247"/>
        <item x="53"/>
        <item x="262"/>
        <item x="161"/>
        <item x="531"/>
        <item x="188"/>
        <item x="310"/>
        <item x="105"/>
        <item x="530"/>
        <item x="297"/>
        <item x="135"/>
        <item x="525"/>
        <item x="285"/>
        <item x="50"/>
        <item x="95"/>
        <item x="111"/>
        <item x="179"/>
        <item x="256"/>
        <item x="171"/>
        <item x="574"/>
        <item x="207"/>
        <item x="281"/>
        <item x="575"/>
        <item x="492"/>
        <item x="563"/>
        <item x="519"/>
        <item x="220"/>
        <item x="235"/>
        <item x="242"/>
        <item x="6"/>
        <item x="535"/>
        <item x="601"/>
        <item x="88"/>
        <item x="29"/>
        <item x="306"/>
        <item x="82"/>
        <item x="118"/>
        <item x="460"/>
        <item x="416"/>
        <item x="609"/>
        <item x="585"/>
        <item x="394"/>
        <item x="619"/>
        <item x="388"/>
        <item x="417"/>
        <item x="462"/>
        <item x="246"/>
        <item x="5"/>
        <item x="290"/>
        <item x="459"/>
        <item x="210"/>
        <item x="313"/>
        <item x="74"/>
        <item x="349"/>
        <item x="184"/>
        <item x="173"/>
        <item x="590"/>
        <item x="446"/>
        <item x="38"/>
        <item x="112"/>
        <item x="571"/>
        <item x="487"/>
        <item x="168"/>
        <item x="340"/>
        <item x="438"/>
        <item x="516"/>
        <item x="25"/>
        <item x="510"/>
        <item x="607"/>
        <item x="123"/>
        <item x="379"/>
        <item x="411"/>
        <item x="489"/>
        <item x="296"/>
        <item x="193"/>
        <item x="353"/>
        <item x="581"/>
        <item x="437"/>
        <item x="405"/>
        <item x="434"/>
        <item x="269"/>
        <item x="463"/>
        <item x="512"/>
        <item x="167"/>
        <item x="342"/>
        <item x="317"/>
        <item x="231"/>
        <item x="245"/>
        <item x="248"/>
        <item x="238"/>
        <item x="217"/>
        <item x="577"/>
        <item x="482"/>
        <item x="132"/>
        <item x="326"/>
        <item x="107"/>
        <item x="622"/>
        <item x="185"/>
        <item x="570"/>
        <item x="369"/>
        <item x="550"/>
        <item x="293"/>
        <item x="381"/>
        <item x="444"/>
        <item x="418"/>
        <item x="62"/>
        <item x="597"/>
        <item x="324"/>
        <item x="398"/>
        <item x="150"/>
        <item x="43"/>
        <item x="427"/>
        <item x="216"/>
        <item x="304"/>
        <item x="205"/>
        <item x="583"/>
        <item x="346"/>
        <item x="239"/>
        <item x="325"/>
        <item x="160"/>
        <item x="620"/>
        <item x="78"/>
        <item x="127"/>
        <item x="386"/>
        <item x="618"/>
        <item x="153"/>
        <item x="409"/>
        <item x="465"/>
        <item x="194"/>
        <item x="295"/>
        <item x="270"/>
        <item x="329"/>
        <item x="11"/>
        <item x="244"/>
        <item x="390"/>
        <item x="598"/>
        <item x="69"/>
        <item x="548"/>
        <item x="240"/>
        <item x="440"/>
        <item x="376"/>
        <item x="507"/>
        <item x="614"/>
        <item x="596"/>
        <item x="307"/>
        <item x="526"/>
        <item x="283"/>
        <item x="569"/>
        <item x="48"/>
        <item x="257"/>
        <item x="343"/>
        <item x="261"/>
        <item x="370"/>
        <item x="142"/>
        <item x="485"/>
        <item x="523"/>
        <item x="263"/>
        <item x="4"/>
        <item x="56"/>
        <item x="271"/>
        <item x="595"/>
        <item x="478"/>
        <item x="578"/>
        <item x="420"/>
        <item x="232"/>
        <item x="552"/>
        <item x="315"/>
        <item x="493"/>
        <item x="221"/>
        <item x="24"/>
        <item x="27"/>
        <item x="545"/>
        <item x="564"/>
        <item x="494"/>
        <item x="419"/>
        <item x="117"/>
        <item x="0"/>
        <item x="480"/>
        <item x="37"/>
        <item x="515"/>
        <item x="45"/>
        <item x="333"/>
        <item x="502"/>
        <item x="98"/>
        <item x="603"/>
        <item x="40"/>
        <item x="626"/>
        <item x="102"/>
        <item x="517"/>
        <item x="146"/>
        <item x="331"/>
        <item x="524"/>
        <item x="182"/>
        <item x="77"/>
        <item x="435"/>
        <item x="483"/>
        <item x="402"/>
        <item x="81"/>
        <item x="49"/>
        <item x="330"/>
        <item x="586"/>
        <item x="436"/>
        <item x="547"/>
        <item x="213"/>
        <item x="276"/>
        <item x="21"/>
        <item x="472"/>
        <item x="230"/>
        <item x="442"/>
        <item x="227"/>
        <item x="327"/>
        <item x="521"/>
        <item x="303"/>
        <item x="70"/>
        <item x="89"/>
        <item x="91"/>
        <item x="514"/>
        <item x="572"/>
        <item x="488"/>
        <item x="31"/>
        <item x="466"/>
        <item x="385"/>
        <item x="196"/>
        <item x="140"/>
        <item x="305"/>
        <item x="241"/>
        <item x="282"/>
        <item x="377"/>
        <item x="508"/>
        <item x="314"/>
        <item x="300"/>
        <item x="311"/>
        <item x="557"/>
        <item x="580"/>
        <item x="253"/>
        <item x="452"/>
        <item x="490"/>
        <item x="468"/>
        <item x="181"/>
        <item x="30"/>
        <item x="61"/>
        <item x="63"/>
        <item x="308"/>
        <item x="163"/>
        <item x="177"/>
        <item x="457"/>
        <item x="278"/>
        <item x="155"/>
        <item x="546"/>
        <item x="593"/>
        <item x="190"/>
        <item x="292"/>
        <item x="255"/>
        <item x="68"/>
        <item x="129"/>
        <item x="562"/>
        <item x="497"/>
        <item x="208"/>
        <item x="551"/>
        <item x="445"/>
        <item x="147"/>
        <item x="170"/>
        <item x="408"/>
        <item x="532"/>
        <item x="250"/>
        <item x="454"/>
        <item x="66"/>
        <item x="558"/>
        <item x="103"/>
        <item x="527"/>
        <item x="90"/>
        <item x="404"/>
        <item x="469"/>
        <item x="273"/>
        <item x="42"/>
        <item x="272"/>
        <item x="501"/>
        <item x="249"/>
        <item x="157"/>
        <item x="505"/>
        <item x="159"/>
        <item x="449"/>
        <item x="358"/>
        <item x="162"/>
        <item x="588"/>
        <item x="291"/>
        <item x="36"/>
        <item x="344"/>
        <item x="467"/>
        <item x="432"/>
        <item x="137"/>
        <item x="534"/>
        <item x="576"/>
        <item x="87"/>
        <item x="584"/>
        <item x="629"/>
        <item x="429"/>
        <item x="615"/>
        <item x="280"/>
        <item x="458"/>
        <item x="541"/>
        <item x="613"/>
        <item x="348"/>
        <item x="397"/>
        <item x="351"/>
        <item x="144"/>
        <item x="7"/>
        <item x="32"/>
        <item x="424"/>
        <item x="334"/>
        <item x="175"/>
        <item x="44"/>
        <item x="266"/>
        <item x="455"/>
        <item x="219"/>
        <item x="279"/>
        <item x="260"/>
        <item x="506"/>
        <item x="202"/>
        <item x="367"/>
        <item x="471"/>
        <item x="352"/>
        <item x="412"/>
        <item x="610"/>
        <item x="187"/>
        <item x="59"/>
        <item x="498"/>
        <item x="543"/>
        <item x="209"/>
        <item x="299"/>
        <item x="101"/>
        <item x="473"/>
        <item x="561"/>
        <item x="110"/>
        <item x="143"/>
        <item x="594"/>
        <item x="522"/>
        <item x="354"/>
        <item x="60"/>
        <item x="259"/>
        <item x="128"/>
        <item x="582"/>
        <item x="301"/>
        <item x="365"/>
        <item x="201"/>
        <item x="20"/>
        <item x="393"/>
        <item x="28"/>
        <item x="338"/>
        <item x="106"/>
        <item x="414"/>
        <item x="443"/>
        <item x="289"/>
        <item x="439"/>
        <item x="499"/>
        <item x="22"/>
        <item x="156"/>
        <item x="96"/>
        <item x="366"/>
        <item x="359"/>
        <item x="286"/>
        <item x="453"/>
        <item x="224"/>
        <item x="92"/>
        <item x="212"/>
        <item x="39"/>
        <item x="540"/>
        <item x="294"/>
        <item x="120"/>
        <item x="450"/>
        <item x="158"/>
        <item x="474"/>
        <item x="172"/>
        <item x="341"/>
        <item x="537"/>
        <item x="347"/>
        <item x="287"/>
        <item x="225"/>
        <item x="328"/>
        <item x="12"/>
        <item x="391"/>
        <item x="218"/>
        <item x="109"/>
        <item x="567"/>
        <item x="373"/>
        <item x="252"/>
        <item x="114"/>
        <item x="624"/>
        <item x="319"/>
        <item x="134"/>
        <item x="41"/>
        <item x="339"/>
        <item x="204"/>
        <item x="451"/>
        <item x="76"/>
        <item x="486"/>
        <item x="309"/>
        <item x="203"/>
        <item x="627"/>
        <item x="19"/>
        <item x="23"/>
        <item x="549"/>
        <item x="335"/>
        <item x="277"/>
        <item x="47"/>
        <item x="336"/>
        <item x="599"/>
        <item x="375"/>
        <item x="33"/>
        <item x="152"/>
        <item x="254"/>
        <item x="356"/>
        <item x="16"/>
        <item x="495"/>
        <item x="206"/>
        <item x="566"/>
        <item x="371"/>
        <item x="323"/>
        <item x="139"/>
        <item x="8"/>
        <item x="447"/>
        <item x="481"/>
        <item x="606"/>
        <item x="312"/>
        <item x="441"/>
        <item x="75"/>
        <item x="265"/>
        <item x="568"/>
        <item x="55"/>
        <item x="504"/>
        <item x="513"/>
        <item x="180"/>
        <item x="428"/>
        <item x="148"/>
        <item x="413"/>
        <item x="554"/>
        <item x="470"/>
        <item x="378"/>
        <item x="533"/>
        <item x="17"/>
        <item x="555"/>
        <item x="477"/>
        <item x="18"/>
        <item x="423"/>
        <item x="528"/>
        <item x="602"/>
        <item x="198"/>
        <item x="275"/>
        <item x="479"/>
        <item x="79"/>
        <item x="628"/>
        <item x="119"/>
        <item x="125"/>
        <item x="321"/>
        <item x="355"/>
        <item x="623"/>
        <item x="536"/>
        <item x="94"/>
        <item x="591"/>
        <item x="464"/>
        <item x="556"/>
        <item x="164"/>
        <item x="395"/>
        <item x="538"/>
        <item x="99"/>
        <item x="116"/>
        <item x="430"/>
        <item x="587"/>
        <item x="520"/>
        <item x="345"/>
        <item x="174"/>
        <item x="222"/>
        <item x="361"/>
        <item x="421"/>
        <item x="612"/>
        <item x="236"/>
        <item x="46"/>
        <item t="default"/>
      </items>
    </pivotField>
  </pivotFields>
  <dataFields count="1">
    <dataField name="Sum of Gross Revenue " fld="22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Preset4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A7" firstHeaderRow="1" firstDataRow="1" firstDataCol="0"/>
  <pivotFields count="42">
    <pivotField compact="0" showAll="0">
      <items count="631">
        <item x="604"/>
        <item x="448"/>
        <item x="6"/>
        <item x="517"/>
        <item x="572"/>
        <item x="45"/>
        <item x="366"/>
        <item x="200"/>
        <item x="550"/>
        <item x="323"/>
        <item x="437"/>
        <item x="165"/>
        <item x="79"/>
        <item x="360"/>
        <item x="327"/>
        <item x="299"/>
        <item x="452"/>
        <item x="576"/>
        <item x="192"/>
        <item x="121"/>
        <item x="331"/>
        <item x="438"/>
        <item x="456"/>
        <item x="147"/>
        <item x="223"/>
        <item x="189"/>
        <item x="346"/>
        <item x="277"/>
        <item x="349"/>
        <item x="534"/>
        <item x="53"/>
        <item x="64"/>
        <item x="162"/>
        <item x="469"/>
        <item x="579"/>
        <item x="624"/>
        <item x="105"/>
        <item x="268"/>
        <item x="255"/>
        <item x="88"/>
        <item x="338"/>
        <item x="23"/>
        <item x="219"/>
        <item x="280"/>
        <item x="249"/>
        <item x="375"/>
        <item x="539"/>
        <item x="171"/>
        <item x="224"/>
        <item x="77"/>
        <item x="48"/>
        <item x="602"/>
        <item x="225"/>
        <item x="167"/>
        <item x="44"/>
        <item x="143"/>
        <item x="182"/>
        <item x="573"/>
        <item x="80"/>
        <item x="511"/>
        <item x="561"/>
        <item x="314"/>
        <item x="390"/>
        <item x="287"/>
        <item x="271"/>
        <item x="2"/>
        <item x="91"/>
        <item x="291"/>
        <item x="433"/>
        <item x="584"/>
        <item x="198"/>
        <item x="73"/>
        <item x="362"/>
        <item x="203"/>
        <item x="184"/>
        <item x="496"/>
        <item x="51"/>
        <item x="98"/>
        <item x="117"/>
        <item x="131"/>
        <item x="214"/>
        <item x="494"/>
        <item x="170"/>
        <item x="612"/>
        <item x="542"/>
        <item x="628"/>
        <item x="519"/>
        <item x="546"/>
        <item x="254"/>
        <item x="350"/>
        <item x="63"/>
        <item x="545"/>
        <item x="150"/>
        <item x="222"/>
        <item x="614"/>
        <item x="238"/>
        <item x="259"/>
        <item x="128"/>
        <item x="531"/>
        <item x="325"/>
        <item x="458"/>
        <item x="370"/>
        <item x="65"/>
        <item x="625"/>
        <item x="603"/>
        <item x="623"/>
        <item x="30"/>
        <item x="514"/>
        <item x="476"/>
        <item x="343"/>
        <item x="498"/>
        <item x="196"/>
        <item x="120"/>
        <item x="444"/>
        <item x="454"/>
        <item x="201"/>
        <item x="473"/>
        <item x="300"/>
        <item x="381"/>
        <item x="151"/>
        <item x="484"/>
        <item x="295"/>
        <item x="123"/>
        <item x="228"/>
        <item x="477"/>
        <item x="283"/>
        <item x="136"/>
        <item x="215"/>
        <item x="386"/>
        <item x="590"/>
        <item x="315"/>
        <item x="536"/>
        <item x="418"/>
        <item x="260"/>
        <item x="265"/>
        <item x="258"/>
        <item x="527"/>
        <item x="38"/>
        <item x="212"/>
        <item x="430"/>
        <item x="336"/>
        <item x="175"/>
        <item x="608"/>
        <item x="290"/>
        <item x="407"/>
        <item x="383"/>
        <item x="595"/>
        <item x="525"/>
        <item x="197"/>
        <item x="459"/>
        <item x="220"/>
        <item x="575"/>
        <item x="278"/>
        <item x="74"/>
        <item x="4"/>
        <item x="588"/>
        <item x="465"/>
        <item x="411"/>
        <item x="348"/>
        <item x="500"/>
        <item x="242"/>
        <item x="67"/>
        <item x="435"/>
        <item x="618"/>
        <item x="339"/>
        <item x="443"/>
        <item x="449"/>
        <item x="475"/>
        <item x="436"/>
        <item x="68"/>
        <item x="538"/>
        <item x="368"/>
        <item x="337"/>
        <item x="144"/>
        <item x="186"/>
        <item x="317"/>
        <item x="387"/>
        <item x="84"/>
        <item x="153"/>
        <item x="440"/>
        <item x="159"/>
        <item x="403"/>
        <item x="369"/>
        <item x="580"/>
        <item x="34"/>
        <item x="506"/>
        <item x="482"/>
        <item x="134"/>
        <item x="20"/>
        <item x="569"/>
        <item x="94"/>
        <item x="114"/>
        <item x="455"/>
        <item x="124"/>
        <item x="307"/>
        <item x="164"/>
        <item x="622"/>
        <item x="257"/>
        <item x="320"/>
        <item x="310"/>
        <item x="27"/>
        <item x="345"/>
        <item x="139"/>
        <item x="141"/>
        <item x="508"/>
        <item x="204"/>
        <item x="626"/>
        <item x="191"/>
        <item x="392"/>
        <item x="468"/>
        <item x="410"/>
        <item x="14"/>
        <item x="330"/>
        <item x="232"/>
        <item x="227"/>
        <item x="554"/>
        <item x="541"/>
        <item x="627"/>
        <item x="236"/>
        <item x="266"/>
        <item x="537"/>
        <item x="113"/>
        <item x="413"/>
        <item x="177"/>
        <item x="395"/>
        <item x="478"/>
        <item x="335"/>
        <item x="163"/>
        <item x="154"/>
        <item x="548"/>
        <item x="324"/>
        <item x="104"/>
        <item x="133"/>
        <item x="308"/>
        <item x="108"/>
        <item x="33"/>
        <item x="400"/>
        <item x="29"/>
        <item x="78"/>
        <item x="213"/>
        <item x="152"/>
        <item x="457"/>
        <item x="547"/>
        <item x="15"/>
        <item x="321"/>
        <item x="522"/>
        <item x="296"/>
        <item x="563"/>
        <item x="479"/>
        <item x="9"/>
        <item x="146"/>
        <item x="190"/>
        <item x="24"/>
        <item x="161"/>
        <item x="250"/>
        <item x="110"/>
        <item x="352"/>
        <item x="138"/>
        <item x="180"/>
        <item x="585"/>
        <item x="488"/>
        <item x="62"/>
        <item x="559"/>
        <item x="391"/>
        <item x="453"/>
        <item x="50"/>
        <item x="606"/>
        <item x="0"/>
        <item x="286"/>
        <item x="233"/>
        <item x="106"/>
        <item x="69"/>
        <item x="56"/>
        <item x="40"/>
        <item x="251"/>
        <item x="389"/>
        <item x="503"/>
        <item x="246"/>
        <item x="166"/>
        <item x="560"/>
        <item x="609"/>
        <item x="333"/>
        <item x="340"/>
        <item x="5"/>
        <item x="611"/>
        <item x="361"/>
        <item x="66"/>
        <item x="252"/>
        <item x="535"/>
        <item x="571"/>
        <item x="460"/>
        <item x="160"/>
        <item x="1"/>
        <item x="523"/>
        <item x="282"/>
        <item x="485"/>
        <item x="409"/>
        <item x="428"/>
        <item x="483"/>
        <item x="142"/>
        <item x="43"/>
        <item x="404"/>
        <item x="382"/>
        <item x="516"/>
        <item x="309"/>
        <item x="544"/>
        <item x="230"/>
        <item x="312"/>
        <item x="493"/>
        <item x="567"/>
        <item x="148"/>
        <item x="593"/>
        <item x="193"/>
        <item x="439"/>
        <item x="75"/>
        <item x="76"/>
        <item x="412"/>
        <item x="49"/>
        <item x="520"/>
        <item x="422"/>
        <item x="116"/>
        <item x="102"/>
        <item x="577"/>
        <item x="273"/>
        <item x="22"/>
        <item x="264"/>
        <item x="322"/>
        <item x="187"/>
        <item x="463"/>
        <item x="442"/>
        <item x="355"/>
        <item x="423"/>
        <item x="491"/>
        <item x="385"/>
        <item x="528"/>
        <item x="553"/>
        <item x="408"/>
        <item x="244"/>
        <item x="46"/>
        <item x="599"/>
        <item x="156"/>
        <item x="557"/>
        <item x="447"/>
        <item x="499"/>
        <item x="231"/>
        <item x="334"/>
        <item x="586"/>
        <item x="492"/>
        <item x="276"/>
        <item x="432"/>
        <item x="125"/>
        <item x="597"/>
        <item x="122"/>
        <item x="7"/>
        <item x="581"/>
        <item x="85"/>
        <item x="37"/>
        <item x="87"/>
        <item x="127"/>
        <item x="169"/>
        <item x="399"/>
        <item x="540"/>
        <item x="32"/>
        <item x="39"/>
        <item x="96"/>
        <item x="183"/>
        <item x="474"/>
        <item x="341"/>
        <item x="471"/>
        <item x="429"/>
        <item x="414"/>
        <item x="248"/>
        <item x="194"/>
        <item x="401"/>
        <item x="208"/>
        <item x="556"/>
        <item x="206"/>
        <item x="582"/>
        <item x="372"/>
        <item x="35"/>
        <item x="358"/>
        <item x="526"/>
        <item x="319"/>
        <item x="216"/>
        <item x="495"/>
        <item x="505"/>
        <item x="610"/>
        <item x="441"/>
        <item x="270"/>
        <item x="417"/>
        <item x="617"/>
        <item x="188"/>
        <item x="155"/>
        <item x="566"/>
        <item x="103"/>
        <item x="507"/>
        <item x="217"/>
        <item x="137"/>
        <item x="464"/>
        <item x="25"/>
        <item x="294"/>
        <item x="489"/>
        <item x="107"/>
        <item x="19"/>
        <item x="72"/>
        <item x="234"/>
        <item x="426"/>
        <item x="620"/>
        <item x="364"/>
        <item x="318"/>
        <item x="521"/>
        <item x="272"/>
        <item x="135"/>
        <item x="431"/>
        <item x="607"/>
        <item x="100"/>
        <item x="450"/>
        <item x="243"/>
        <item x="26"/>
        <item x="253"/>
        <item x="285"/>
        <item x="241"/>
        <item x="373"/>
        <item x="558"/>
        <item x="302"/>
        <item x="267"/>
        <item x="446"/>
        <item x="12"/>
        <item x="357"/>
        <item x="518"/>
        <item x="342"/>
        <item x="237"/>
        <item x="344"/>
        <item x="140"/>
        <item x="59"/>
        <item x="598"/>
        <item x="109"/>
        <item x="351"/>
        <item x="111"/>
        <item x="353"/>
        <item x="311"/>
        <item x="615"/>
        <item x="71"/>
        <item x="168"/>
        <item x="591"/>
        <item x="274"/>
        <item x="176"/>
        <item x="509"/>
        <item x="356"/>
        <item x="510"/>
        <item x="47"/>
        <item x="195"/>
        <item x="173"/>
        <item x="434"/>
        <item x="397"/>
        <item x="486"/>
        <item x="564"/>
        <item x="210"/>
        <item x="425"/>
        <item x="92"/>
        <item x="41"/>
        <item x="199"/>
        <item x="81"/>
        <item x="363"/>
        <item x="235"/>
        <item x="512"/>
        <item x="303"/>
        <item x="205"/>
        <item x="533"/>
        <item x="616"/>
        <item x="578"/>
        <item x="3"/>
        <item x="568"/>
        <item x="570"/>
        <item x="119"/>
        <item x="256"/>
        <item x="374"/>
        <item x="600"/>
        <item x="298"/>
        <item x="378"/>
        <item x="416"/>
        <item x="313"/>
        <item x="16"/>
        <item x="145"/>
        <item x="149"/>
        <item x="583"/>
        <item x="247"/>
        <item x="481"/>
        <item x="487"/>
        <item x="605"/>
        <item x="95"/>
        <item x="371"/>
        <item x="419"/>
        <item x="301"/>
        <item x="587"/>
        <item x="574"/>
        <item x="226"/>
        <item x="461"/>
        <item x="367"/>
        <item x="532"/>
        <item x="332"/>
        <item x="99"/>
        <item x="83"/>
        <item x="501"/>
        <item x="552"/>
        <item x="551"/>
        <item x="132"/>
        <item x="305"/>
        <item x="293"/>
        <item x="415"/>
        <item x="306"/>
        <item x="480"/>
        <item x="451"/>
        <item x="158"/>
        <item x="549"/>
        <item x="262"/>
        <item x="524"/>
        <item x="445"/>
        <item x="504"/>
        <item x="31"/>
        <item x="347"/>
        <item x="269"/>
        <item x="388"/>
        <item x="393"/>
        <item x="292"/>
        <item x="11"/>
        <item x="82"/>
        <item x="462"/>
        <item x="130"/>
        <item x="239"/>
        <item x="406"/>
        <item x="10"/>
        <item x="61"/>
        <item x="90"/>
        <item x="613"/>
        <item x="126"/>
        <item x="284"/>
        <item x="97"/>
        <item x="185"/>
        <item x="28"/>
        <item x="211"/>
        <item x="52"/>
        <item x="21"/>
        <item x="209"/>
        <item x="396"/>
        <item x="359"/>
        <item x="398"/>
        <item x="365"/>
        <item x="89"/>
        <item x="207"/>
        <item x="513"/>
        <item x="376"/>
        <item x="57"/>
        <item x="70"/>
        <item x="240"/>
        <item x="112"/>
        <item x="621"/>
        <item x="129"/>
        <item x="420"/>
        <item x="178"/>
        <item x="328"/>
        <item x="562"/>
        <item x="101"/>
        <item x="179"/>
        <item x="427"/>
        <item x="394"/>
        <item x="275"/>
        <item x="221"/>
        <item x="502"/>
        <item x="472"/>
        <item x="596"/>
        <item x="279"/>
        <item x="115"/>
        <item x="172"/>
        <item x="490"/>
        <item x="594"/>
        <item x="36"/>
        <item x="93"/>
        <item x="629"/>
        <item x="329"/>
        <item x="18"/>
        <item x="601"/>
        <item x="289"/>
        <item x="229"/>
        <item x="218"/>
        <item x="58"/>
        <item x="54"/>
        <item x="157"/>
        <item x="530"/>
        <item x="326"/>
        <item x="60"/>
        <item x="470"/>
        <item x="380"/>
        <item x="466"/>
        <item x="424"/>
        <item x="42"/>
        <item x="379"/>
        <item x="497"/>
        <item x="515"/>
        <item x="421"/>
        <item x="13"/>
        <item x="17"/>
        <item x="174"/>
        <item x="592"/>
        <item x="316"/>
        <item x="86"/>
        <item x="384"/>
        <item x="555"/>
        <item x="405"/>
        <item x="263"/>
        <item x="181"/>
        <item x="619"/>
        <item x="261"/>
        <item x="402"/>
        <item x="377"/>
        <item x="288"/>
        <item x="529"/>
        <item x="565"/>
        <item x="55"/>
        <item x="297"/>
        <item x="304"/>
        <item x="245"/>
        <item x="467"/>
        <item x="354"/>
        <item x="118"/>
        <item x="543"/>
        <item x="202"/>
        <item x="281"/>
        <item x="589"/>
        <item x="8"/>
        <item t="default"/>
      </items>
    </pivotField>
    <pivotField compact="0" numFmtId="58" showAll="0">
      <items count="468">
        <item x="4"/>
        <item x="454"/>
        <item x="270"/>
        <item x="414"/>
        <item x="180"/>
        <item x="6"/>
        <item x="370"/>
        <item x="183"/>
        <item x="118"/>
        <item x="423"/>
        <item x="121"/>
        <item x="170"/>
        <item x="179"/>
        <item x="311"/>
        <item x="22"/>
        <item x="76"/>
        <item x="425"/>
        <item x="61"/>
        <item x="151"/>
        <item x="146"/>
        <item x="360"/>
        <item x="28"/>
        <item x="158"/>
        <item x="451"/>
        <item x="2"/>
        <item x="106"/>
        <item x="431"/>
        <item x="225"/>
        <item x="335"/>
        <item x="205"/>
        <item x="314"/>
        <item x="210"/>
        <item x="341"/>
        <item x="63"/>
        <item x="277"/>
        <item x="149"/>
        <item x="32"/>
        <item x="49"/>
        <item x="450"/>
        <item x="162"/>
        <item x="88"/>
        <item x="457"/>
        <item x="124"/>
        <item x="289"/>
        <item x="26"/>
        <item x="386"/>
        <item x="152"/>
        <item x="42"/>
        <item x="66"/>
        <item x="459"/>
        <item x="14"/>
        <item x="440"/>
        <item x="409"/>
        <item x="128"/>
        <item x="448"/>
        <item x="176"/>
        <item x="274"/>
        <item x="238"/>
        <item x="405"/>
        <item x="19"/>
        <item x="381"/>
        <item x="361"/>
        <item x="71"/>
        <item x="206"/>
        <item x="372"/>
        <item x="233"/>
        <item x="327"/>
        <item x="407"/>
        <item x="445"/>
        <item x="307"/>
        <item x="108"/>
        <item x="279"/>
        <item x="366"/>
        <item x="74"/>
        <item x="250"/>
        <item x="36"/>
        <item x="263"/>
        <item x="168"/>
        <item x="43"/>
        <item x="86"/>
        <item x="84"/>
        <item x="305"/>
        <item x="185"/>
        <item x="139"/>
        <item x="132"/>
        <item x="421"/>
        <item x="424"/>
        <item x="375"/>
        <item x="46"/>
        <item x="288"/>
        <item x="385"/>
        <item x="255"/>
        <item x="171"/>
        <item x="369"/>
        <item x="244"/>
        <item x="287"/>
        <item x="130"/>
        <item x="202"/>
        <item x="442"/>
        <item x="241"/>
        <item x="234"/>
        <item x="173"/>
        <item x="388"/>
        <item x="114"/>
        <item x="182"/>
        <item x="418"/>
        <item x="65"/>
        <item x="113"/>
        <item x="259"/>
        <item x="416"/>
        <item x="342"/>
        <item x="199"/>
        <item x="160"/>
        <item x="344"/>
        <item x="51"/>
        <item x="428"/>
        <item x="136"/>
        <item x="458"/>
        <item x="72"/>
        <item x="215"/>
        <item x="363"/>
        <item x="157"/>
        <item x="198"/>
        <item x="322"/>
        <item x="203"/>
        <item x="230"/>
        <item x="154"/>
        <item x="326"/>
        <item x="232"/>
        <item x="347"/>
        <item x="175"/>
        <item x="357"/>
        <item x="258"/>
        <item x="281"/>
        <item x="390"/>
        <item x="323"/>
        <item x="249"/>
        <item x="142"/>
        <item x="192"/>
        <item x="275"/>
        <item x="284"/>
        <item x="111"/>
        <item x="105"/>
        <item x="213"/>
        <item x="133"/>
        <item x="293"/>
        <item x="296"/>
        <item x="62"/>
        <item x="373"/>
        <item x="140"/>
        <item x="339"/>
        <item x="379"/>
        <item x="201"/>
        <item x="194"/>
        <item x="294"/>
        <item x="80"/>
        <item x="239"/>
        <item x="310"/>
        <item x="422"/>
        <item x="112"/>
        <item x="359"/>
        <item x="299"/>
        <item x="278"/>
        <item x="434"/>
        <item x="240"/>
        <item x="38"/>
        <item x="181"/>
        <item x="93"/>
        <item x="346"/>
        <item x="302"/>
        <item x="12"/>
        <item x="83"/>
        <item x="435"/>
        <item x="246"/>
        <item x="9"/>
        <item x="144"/>
        <item x="161"/>
        <item x="382"/>
        <item x="436"/>
        <item x="178"/>
        <item x="127"/>
        <item x="220"/>
        <item x="291"/>
        <item x="141"/>
        <item x="350"/>
        <item x="438"/>
        <item x="353"/>
        <item x="351"/>
        <item x="193"/>
        <item x="396"/>
        <item x="262"/>
        <item x="313"/>
        <item x="427"/>
        <item x="219"/>
        <item x="33"/>
        <item x="306"/>
        <item x="57"/>
        <item x="0"/>
        <item x="449"/>
        <item x="226"/>
        <item x="245"/>
        <item x="67"/>
        <item x="362"/>
        <item x="264"/>
        <item x="247"/>
        <item x="214"/>
        <item x="243"/>
        <item x="148"/>
        <item x="135"/>
        <item x="402"/>
        <item x="81"/>
        <item x="285"/>
        <item x="69"/>
        <item x="412"/>
        <item x="30"/>
        <item x="35"/>
        <item x="394"/>
        <item x="411"/>
        <item x="399"/>
        <item x="229"/>
        <item x="371"/>
        <item x="7"/>
        <item x="374"/>
        <item x="321"/>
        <item x="384"/>
        <item x="392"/>
        <item x="44"/>
        <item x="312"/>
        <item x="21"/>
        <item x="172"/>
        <item x="41"/>
        <item x="97"/>
        <item x="64"/>
        <item x="153"/>
        <item x="397"/>
        <item x="90"/>
        <item x="117"/>
        <item x="100"/>
        <item x="367"/>
        <item x="150"/>
        <item x="415"/>
        <item x="343"/>
        <item x="115"/>
        <item x="273"/>
        <item x="101"/>
        <item x="102"/>
        <item x="368"/>
        <item x="131"/>
        <item x="248"/>
        <item x="268"/>
        <item x="303"/>
        <item x="462"/>
        <item x="103"/>
        <item x="23"/>
        <item x="410"/>
        <item x="286"/>
        <item x="292"/>
        <item x="156"/>
        <item x="319"/>
        <item x="25"/>
        <item x="333"/>
        <item x="18"/>
        <item x="464"/>
        <item x="227"/>
        <item x="452"/>
        <item x="446"/>
        <item x="398"/>
        <item x="143"/>
        <item x="297"/>
        <item x="325"/>
        <item x="174"/>
        <item x="98"/>
        <item x="420"/>
        <item x="455"/>
        <item x="352"/>
        <item x="395"/>
        <item x="364"/>
        <item x="31"/>
        <item x="37"/>
        <item x="73"/>
        <item x="340"/>
        <item x="433"/>
        <item x="224"/>
        <item x="208"/>
        <item x="209"/>
        <item x="330"/>
        <item x="254"/>
        <item x="190"/>
        <item x="186"/>
        <item x="211"/>
        <item x="96"/>
        <item x="196"/>
        <item x="177"/>
        <item x="137"/>
        <item x="365"/>
        <item x="188"/>
        <item x="165"/>
        <item x="87"/>
        <item x="237"/>
        <item x="155"/>
        <item x="406"/>
        <item x="195"/>
        <item x="463"/>
        <item x="45"/>
        <item x="99"/>
        <item x="48"/>
        <item x="461"/>
        <item x="167"/>
        <item x="1"/>
        <item x="403"/>
        <item x="39"/>
        <item x="228"/>
        <item x="290"/>
        <item x="147"/>
        <item x="355"/>
        <item x="60"/>
        <item x="272"/>
        <item x="332"/>
        <item x="47"/>
        <item x="298"/>
        <item x="222"/>
        <item x="443"/>
        <item x="404"/>
        <item x="391"/>
        <item x="126"/>
        <item x="75"/>
        <item x="378"/>
        <item x="301"/>
        <item x="460"/>
        <item x="24"/>
        <item x="218"/>
        <item x="95"/>
        <item x="429"/>
        <item x="389"/>
        <item x="15"/>
        <item x="329"/>
        <item x="125"/>
        <item x="70"/>
        <item x="54"/>
        <item x="336"/>
        <item x="123"/>
        <item x="129"/>
        <item x="358"/>
        <item x="5"/>
        <item x="356"/>
        <item x="271"/>
        <item x="10"/>
        <item x="408"/>
        <item x="315"/>
        <item x="122"/>
        <item x="419"/>
        <item x="282"/>
        <item x="169"/>
        <item x="104"/>
        <item x="334"/>
        <item x="50"/>
        <item x="265"/>
        <item x="92"/>
        <item x="191"/>
        <item x="317"/>
        <item x="166"/>
        <item x="184"/>
        <item x="316"/>
        <item x="413"/>
        <item x="53"/>
        <item x="119"/>
        <item x="145"/>
        <item x="432"/>
        <item x="453"/>
        <item x="242"/>
        <item x="337"/>
        <item x="348"/>
        <item x="466"/>
        <item x="120"/>
        <item x="11"/>
        <item x="338"/>
        <item x="401"/>
        <item x="417"/>
        <item x="251"/>
        <item x="309"/>
        <item x="308"/>
        <item x="380"/>
        <item x="400"/>
        <item x="79"/>
        <item x="3"/>
        <item x="257"/>
        <item x="94"/>
        <item x="276"/>
        <item x="253"/>
        <item x="52"/>
        <item x="27"/>
        <item x="68"/>
        <item x="376"/>
        <item x="260"/>
        <item x="331"/>
        <item x="439"/>
        <item x="159"/>
        <item x="138"/>
        <item x="447"/>
        <item x="221"/>
        <item x="78"/>
        <item x="207"/>
        <item x="59"/>
        <item x="85"/>
        <item x="56"/>
        <item x="354"/>
        <item x="266"/>
        <item x="320"/>
        <item x="77"/>
        <item x="393"/>
        <item x="216"/>
        <item x="252"/>
        <item x="269"/>
        <item x="280"/>
        <item x="8"/>
        <item x="328"/>
        <item x="40"/>
        <item x="261"/>
        <item x="107"/>
        <item x="345"/>
        <item x="55"/>
        <item x="20"/>
        <item x="324"/>
        <item x="295"/>
        <item x="110"/>
        <item x="235"/>
        <item x="267"/>
        <item x="34"/>
        <item x="304"/>
        <item x="437"/>
        <item x="231"/>
        <item x="349"/>
        <item x="109"/>
        <item x="444"/>
        <item x="189"/>
        <item x="200"/>
        <item x="212"/>
        <item x="465"/>
        <item x="17"/>
        <item x="187"/>
        <item x="91"/>
        <item x="318"/>
        <item x="29"/>
        <item x="377"/>
        <item x="89"/>
        <item x="217"/>
        <item x="441"/>
        <item x="116"/>
        <item x="430"/>
        <item x="82"/>
        <item x="204"/>
        <item x="456"/>
        <item x="383"/>
        <item x="300"/>
        <item x="426"/>
        <item x="163"/>
        <item x="197"/>
        <item x="256"/>
        <item x="387"/>
        <item x="13"/>
        <item x="236"/>
        <item x="16"/>
        <item x="58"/>
        <item x="134"/>
        <item x="223"/>
        <item x="283"/>
        <item x="164"/>
        <item t="default"/>
      </items>
    </pivotField>
    <pivotField compact="0" numFmtId="58" showAll="0">
      <items count="469">
        <item x="1"/>
        <item x="4"/>
        <item x="6"/>
        <item x="184"/>
        <item x="198"/>
        <item x="410"/>
        <item x="269"/>
        <item x="124"/>
        <item x="127"/>
        <item x="186"/>
        <item x="440"/>
        <item x="77"/>
        <item x="23"/>
        <item x="418"/>
        <item x="182"/>
        <item x="61"/>
        <item x="278"/>
        <item x="173"/>
        <item x="151"/>
        <item x="110"/>
        <item x="421"/>
        <item x="296"/>
        <item x="161"/>
        <item x="156"/>
        <item x="383"/>
        <item x="95"/>
        <item x="222"/>
        <item x="2"/>
        <item x="154"/>
        <item x="213"/>
        <item x="210"/>
        <item x="313"/>
        <item x="49"/>
        <item x="338"/>
        <item x="309"/>
        <item x="63"/>
        <item x="289"/>
        <item x="131"/>
        <item x="276"/>
        <item x="165"/>
        <item x="129"/>
        <item x="356"/>
        <item x="399"/>
        <item x="14"/>
        <item x="452"/>
        <item x="449"/>
        <item x="436"/>
        <item x="91"/>
        <item x="188"/>
        <item x="42"/>
        <item x="429"/>
        <item x="234"/>
        <item x="205"/>
        <item x="66"/>
        <item x="183"/>
        <item x="27"/>
        <item x="294"/>
        <item x="71"/>
        <item x="369"/>
        <item x="425"/>
        <item x="378"/>
        <item x="382"/>
        <item x="179"/>
        <item x="407"/>
        <item x="20"/>
        <item x="280"/>
        <item x="434"/>
        <item x="358"/>
        <item x="102"/>
        <item x="402"/>
        <item x="211"/>
        <item x="373"/>
        <item x="75"/>
        <item x="281"/>
        <item x="113"/>
        <item x="325"/>
        <item x="366"/>
        <item x="270"/>
        <item x="89"/>
        <item x="36"/>
        <item x="304"/>
        <item x="439"/>
        <item x="86"/>
        <item x="43"/>
        <item x="392"/>
        <item x="259"/>
        <item x="419"/>
        <item x="415"/>
        <item x="437"/>
        <item x="417"/>
        <item x="137"/>
        <item x="466"/>
        <item x="372"/>
        <item x="171"/>
        <item x="263"/>
        <item x="144"/>
        <item x="174"/>
        <item x="46"/>
        <item x="463"/>
        <item x="207"/>
        <item x="253"/>
        <item x="240"/>
        <item x="237"/>
        <item x="385"/>
        <item x="288"/>
        <item x="176"/>
        <item x="169"/>
        <item x="229"/>
        <item x="135"/>
        <item x="465"/>
        <item x="51"/>
        <item x="285"/>
        <item x="119"/>
        <item x="120"/>
        <item x="65"/>
        <item x="203"/>
        <item x="164"/>
        <item x="78"/>
        <item x="339"/>
        <item x="459"/>
        <item x="141"/>
        <item x="379"/>
        <item x="412"/>
        <item x="257"/>
        <item x="359"/>
        <item x="202"/>
        <item x="321"/>
        <item x="226"/>
        <item x="72"/>
        <item x="307"/>
        <item x="160"/>
        <item x="455"/>
        <item x="228"/>
        <item x="354"/>
        <item x="352"/>
        <item x="158"/>
        <item x="324"/>
        <item x="394"/>
        <item x="208"/>
        <item x="405"/>
        <item x="262"/>
        <item x="146"/>
        <item x="322"/>
        <item x="256"/>
        <item x="178"/>
        <item x="246"/>
        <item x="283"/>
        <item x="387"/>
        <item x="195"/>
        <item x="138"/>
        <item x="274"/>
        <item x="109"/>
        <item x="286"/>
        <item x="216"/>
        <item x="370"/>
        <item x="368"/>
        <item x="116"/>
        <item x="297"/>
        <item x="292"/>
        <item x="335"/>
        <item x="206"/>
        <item x="82"/>
        <item x="62"/>
        <item x="235"/>
        <item x="435"/>
        <item x="308"/>
        <item x="295"/>
        <item x="357"/>
        <item x="428"/>
        <item x="361"/>
        <item x="197"/>
        <item x="384"/>
        <item x="464"/>
        <item x="117"/>
        <item x="97"/>
        <item x="236"/>
        <item x="85"/>
        <item x="242"/>
        <item x="185"/>
        <item x="252"/>
        <item x="453"/>
        <item x="38"/>
        <item x="302"/>
        <item x="430"/>
        <item x="249"/>
        <item x="413"/>
        <item x="9"/>
        <item x="343"/>
        <item x="12"/>
        <item x="133"/>
        <item x="175"/>
        <item x="432"/>
        <item x="148"/>
        <item x="380"/>
        <item x="390"/>
        <item x="181"/>
        <item x="145"/>
        <item x="347"/>
        <item x="350"/>
        <item x="279"/>
        <item x="258"/>
        <item x="311"/>
        <item x="67"/>
        <item x="446"/>
        <item x="401"/>
        <item x="33"/>
        <item x="220"/>
        <item x="426"/>
        <item x="196"/>
        <item x="374"/>
        <item x="260"/>
        <item x="0"/>
        <item x="153"/>
        <item x="57"/>
        <item x="243"/>
        <item x="241"/>
        <item x="239"/>
        <item x="287"/>
        <item x="300"/>
        <item x="140"/>
        <item x="83"/>
        <item x="409"/>
        <item x="35"/>
        <item x="69"/>
        <item x="31"/>
        <item x="408"/>
        <item x="320"/>
        <item x="364"/>
        <item x="371"/>
        <item x="225"/>
        <item x="337"/>
        <item x="427"/>
        <item x="22"/>
        <item x="389"/>
        <item x="93"/>
        <item x="101"/>
        <item x="44"/>
        <item x="7"/>
        <item x="41"/>
        <item x="162"/>
        <item x="64"/>
        <item x="104"/>
        <item x="420"/>
        <item x="106"/>
        <item x="123"/>
        <item x="157"/>
        <item x="306"/>
        <item x="155"/>
        <item x="391"/>
        <item x="277"/>
        <item x="265"/>
        <item x="442"/>
        <item x="411"/>
        <item x="272"/>
        <item x="303"/>
        <item x="121"/>
        <item x="74"/>
        <item x="454"/>
        <item x="245"/>
        <item x="136"/>
        <item x="105"/>
        <item x="363"/>
        <item x="291"/>
        <item x="24"/>
        <item x="159"/>
        <item x="26"/>
        <item x="445"/>
        <item x="19"/>
        <item x="107"/>
        <item x="223"/>
        <item x="293"/>
        <item x="422"/>
        <item x="318"/>
        <item x="331"/>
        <item x="441"/>
        <item x="330"/>
        <item x="147"/>
        <item x="298"/>
        <item x="32"/>
        <item x="461"/>
        <item x="416"/>
        <item x="447"/>
        <item x="177"/>
        <item x="103"/>
        <item x="336"/>
        <item x="251"/>
        <item x="212"/>
        <item x="349"/>
        <item x="393"/>
        <item x="149"/>
        <item x="37"/>
        <item x="73"/>
        <item x="424"/>
        <item x="180"/>
        <item x="214"/>
        <item x="360"/>
        <item x="329"/>
        <item x="100"/>
        <item x="190"/>
        <item x="233"/>
        <item x="167"/>
        <item x="200"/>
        <item x="142"/>
        <item x="192"/>
        <item x="458"/>
        <item x="398"/>
        <item x="170"/>
        <item x="90"/>
        <item x="290"/>
        <item x="271"/>
        <item x="48"/>
        <item x="431"/>
        <item x="45"/>
        <item x="199"/>
        <item x="351"/>
        <item x="39"/>
        <item x="60"/>
        <item x="224"/>
        <item x="400"/>
        <item x="47"/>
        <item x="152"/>
        <item x="299"/>
        <item x="388"/>
        <item x="118"/>
        <item x="301"/>
        <item x="386"/>
        <item x="340"/>
        <item x="219"/>
        <item x="132"/>
        <item x="54"/>
        <item x="353"/>
        <item x="70"/>
        <item x="76"/>
        <item x="451"/>
        <item x="128"/>
        <item x="99"/>
        <item x="367"/>
        <item x="25"/>
        <item x="112"/>
        <item x="403"/>
        <item x="15"/>
        <item x="134"/>
        <item x="130"/>
        <item x="355"/>
        <item x="5"/>
        <item x="29"/>
        <item x="456"/>
        <item x="314"/>
        <item x="261"/>
        <item x="10"/>
        <item x="108"/>
        <item x="332"/>
        <item x="268"/>
        <item x="194"/>
        <item x="172"/>
        <item x="189"/>
        <item x="96"/>
        <item x="50"/>
        <item x="315"/>
        <item x="187"/>
        <item x="443"/>
        <item x="125"/>
        <item x="53"/>
        <item x="168"/>
        <item x="238"/>
        <item x="467"/>
        <item x="334"/>
        <item x="344"/>
        <item x="333"/>
        <item x="126"/>
        <item x="396"/>
        <item x="267"/>
        <item x="397"/>
        <item x="247"/>
        <item x="11"/>
        <item x="3"/>
        <item x="98"/>
        <item x="255"/>
        <item x="342"/>
        <item x="305"/>
        <item x="310"/>
        <item x="28"/>
        <item x="266"/>
        <item x="250"/>
        <item x="433"/>
        <item x="81"/>
        <item x="375"/>
        <item x="80"/>
        <item x="231"/>
        <item x="275"/>
        <item x="362"/>
        <item x="52"/>
        <item x="221"/>
        <item x="460"/>
        <item x="163"/>
        <item x="68"/>
        <item x="414"/>
        <item x="56"/>
        <item x="87"/>
        <item x="143"/>
        <item x="282"/>
        <item x="448"/>
        <item x="18"/>
        <item x="79"/>
        <item x="59"/>
        <item x="319"/>
        <item x="217"/>
        <item x="248"/>
        <item x="406"/>
        <item x="377"/>
        <item x="273"/>
        <item x="326"/>
        <item x="8"/>
        <item x="111"/>
        <item x="341"/>
        <item x="55"/>
        <item x="40"/>
        <item x="450"/>
        <item x="365"/>
        <item x="88"/>
        <item x="230"/>
        <item x="21"/>
        <item x="323"/>
        <item x="227"/>
        <item x="345"/>
        <item x="264"/>
        <item x="34"/>
        <item x="312"/>
        <item x="115"/>
        <item x="244"/>
        <item x="457"/>
        <item x="204"/>
        <item x="114"/>
        <item x="215"/>
        <item x="462"/>
        <item x="438"/>
        <item x="193"/>
        <item x="17"/>
        <item x="30"/>
        <item x="191"/>
        <item x="218"/>
        <item x="122"/>
        <item x="376"/>
        <item x="92"/>
        <item x="317"/>
        <item x="94"/>
        <item x="84"/>
        <item x="150"/>
        <item x="423"/>
        <item x="254"/>
        <item x="404"/>
        <item x="209"/>
        <item x="381"/>
        <item x="348"/>
        <item x="316"/>
        <item x="232"/>
        <item x="58"/>
        <item x="327"/>
        <item x="16"/>
        <item x="166"/>
        <item x="444"/>
        <item x="328"/>
        <item x="201"/>
        <item x="346"/>
        <item x="284"/>
        <item x="139"/>
        <item x="13"/>
        <item x="3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showAll="0">
      <items count="41">
        <item x="6"/>
        <item x="36"/>
        <item x="38"/>
        <item x="5"/>
        <item x="8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9"/>
        <item x="28"/>
        <item x="1"/>
        <item x="30"/>
        <item x="24"/>
        <item x="7"/>
        <item x="23"/>
        <item x="14"/>
        <item x="27"/>
        <item x="4"/>
        <item x="35"/>
        <item x="26"/>
        <item t="default"/>
      </items>
    </pivotField>
    <pivotField compact="0" showAll="0">
      <items count="7">
        <item x="5"/>
        <item x="0"/>
        <item x="1"/>
        <item x="4"/>
        <item x="2"/>
        <item x="3"/>
        <item t="default"/>
      </items>
    </pivotField>
    <pivotField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numFmtId="179" showAll="0">
      <items count="630">
        <item x="614"/>
        <item x="2"/>
        <item x="57"/>
        <item x="296"/>
        <item x="111"/>
        <item x="178"/>
        <item x="284"/>
        <item x="170"/>
        <item x="490"/>
        <item x="105"/>
        <item x="95"/>
        <item x="175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numFmtId="10" showAll="0">
      <items count="229">
        <item x="4"/>
        <item x="140"/>
        <item x="9"/>
        <item x="19"/>
        <item x="98"/>
        <item x="18"/>
        <item x="83"/>
        <item x="170"/>
        <item x="212"/>
        <item x="107"/>
        <item x="205"/>
        <item x="112"/>
        <item x="105"/>
        <item x="117"/>
        <item x="108"/>
        <item x="179"/>
        <item x="133"/>
        <item x="70"/>
        <item x="7"/>
        <item x="195"/>
        <item x="75"/>
        <item x="41"/>
        <item x="31"/>
        <item x="15"/>
        <item x="188"/>
        <item x="208"/>
        <item x="174"/>
        <item x="88"/>
        <item x="221"/>
        <item x="106"/>
        <item x="215"/>
        <item x="57"/>
        <item x="216"/>
        <item x="53"/>
        <item x="129"/>
        <item x="113"/>
        <item x="223"/>
        <item x="132"/>
        <item x="120"/>
        <item x="91"/>
        <item x="193"/>
        <item x="163"/>
        <item x="227"/>
        <item x="95"/>
        <item x="201"/>
        <item x="176"/>
        <item x="71"/>
        <item x="143"/>
        <item x="54"/>
        <item x="89"/>
        <item x="67"/>
        <item x="87"/>
        <item x="3"/>
        <item x="92"/>
        <item x="12"/>
        <item x="42"/>
        <item x="171"/>
        <item x="202"/>
        <item x="116"/>
        <item x="164"/>
        <item x="226"/>
        <item x="103"/>
        <item x="200"/>
        <item x="25"/>
        <item x="147"/>
        <item x="23"/>
        <item x="167"/>
        <item x="24"/>
        <item x="168"/>
        <item x="118"/>
        <item x="76"/>
        <item x="142"/>
        <item x="11"/>
        <item x="148"/>
        <item x="72"/>
        <item x="224"/>
        <item x="199"/>
        <item x="73"/>
        <item x="165"/>
        <item x="26"/>
        <item x="136"/>
        <item x="172"/>
        <item x="66"/>
        <item x="51"/>
        <item x="192"/>
        <item x="104"/>
        <item x="85"/>
        <item x="13"/>
        <item x="45"/>
        <item x="94"/>
        <item x="0"/>
        <item x="139"/>
        <item x="59"/>
        <item x="158"/>
        <item x="144"/>
        <item x="84"/>
        <item x="44"/>
        <item x="17"/>
        <item x="173"/>
        <item x="153"/>
        <item x="81"/>
        <item x="213"/>
        <item x="21"/>
        <item x="37"/>
        <item x="109"/>
        <item x="137"/>
        <item x="30"/>
        <item x="48"/>
        <item x="2"/>
        <item x="191"/>
        <item x="111"/>
        <item x="60"/>
        <item x="157"/>
        <item x="28"/>
        <item x="80"/>
        <item x="159"/>
        <item x="22"/>
        <item x="77"/>
        <item x="169"/>
        <item x="55"/>
        <item x="16"/>
        <item x="40"/>
        <item x="180"/>
        <item x="33"/>
        <item x="5"/>
        <item x="134"/>
        <item x="8"/>
        <item x="209"/>
        <item x="101"/>
        <item x="135"/>
        <item x="124"/>
        <item x="68"/>
        <item x="130"/>
        <item x="161"/>
        <item x="86"/>
        <item x="181"/>
        <item x="128"/>
        <item x="74"/>
        <item x="63"/>
        <item x="196"/>
        <item x="156"/>
        <item x="211"/>
        <item x="150"/>
        <item x="20"/>
        <item x="35"/>
        <item x="189"/>
        <item x="225"/>
        <item x="145"/>
        <item x="121"/>
        <item x="155"/>
        <item x="29"/>
        <item x="166"/>
        <item x="119"/>
        <item x="93"/>
        <item x="78"/>
        <item x="110"/>
        <item x="34"/>
        <item x="14"/>
        <item x="49"/>
        <item x="56"/>
        <item x="62"/>
        <item x="36"/>
        <item x="69"/>
        <item x="50"/>
        <item x="197"/>
        <item x="97"/>
        <item x="6"/>
        <item x="123"/>
        <item x="114"/>
        <item x="46"/>
        <item x="138"/>
        <item x="90"/>
        <item x="52"/>
        <item x="43"/>
        <item x="162"/>
        <item x="222"/>
        <item x="219"/>
        <item x="182"/>
        <item x="125"/>
        <item x="122"/>
        <item x="207"/>
        <item x="65"/>
        <item x="154"/>
        <item x="203"/>
        <item x="218"/>
        <item x="96"/>
        <item x="217"/>
        <item x="152"/>
        <item x="204"/>
        <item x="82"/>
        <item x="214"/>
        <item x="126"/>
        <item x="146"/>
        <item x="127"/>
        <item x="1"/>
        <item x="149"/>
        <item x="177"/>
        <item x="183"/>
        <item x="64"/>
        <item x="27"/>
        <item x="102"/>
        <item x="220"/>
        <item x="10"/>
        <item x="115"/>
        <item x="47"/>
        <item x="194"/>
        <item x="61"/>
        <item x="131"/>
        <item x="100"/>
        <item x="187"/>
        <item x="151"/>
        <item x="99"/>
        <item x="141"/>
        <item x="178"/>
        <item x="190"/>
        <item x="79"/>
        <item x="186"/>
        <item x="38"/>
        <item x="210"/>
        <item x="39"/>
        <item x="184"/>
        <item x="206"/>
        <item x="160"/>
        <item x="32"/>
        <item x="58"/>
        <item x="175"/>
        <item x="198"/>
        <item x="185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630">
        <item x="296"/>
        <item x="111"/>
        <item x="57"/>
        <item x="178"/>
        <item x="284"/>
        <item x="170"/>
        <item x="490"/>
        <item x="105"/>
        <item x="95"/>
        <item x="175"/>
        <item x="2"/>
        <item x="614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showAll="0">
      <items count="3">
        <item x="1"/>
        <item x="0"/>
        <item t="default"/>
      </items>
    </pivotField>
    <pivotField compact="0" numFmtId="10" showAll="0">
      <items count="223">
        <item x="4"/>
        <item x="139"/>
        <item x="9"/>
        <item x="19"/>
        <item x="97"/>
        <item x="18"/>
        <item x="82"/>
        <item x="168"/>
        <item x="206"/>
        <item x="106"/>
        <item x="200"/>
        <item x="111"/>
        <item x="104"/>
        <item x="116"/>
        <item x="107"/>
        <item x="176"/>
        <item x="132"/>
        <item x="69"/>
        <item x="7"/>
        <item x="191"/>
        <item x="74"/>
        <item x="41"/>
        <item x="31"/>
        <item x="15"/>
        <item x="184"/>
        <item x="202"/>
        <item x="172"/>
        <item x="87"/>
        <item x="215"/>
        <item x="105"/>
        <item x="209"/>
        <item x="57"/>
        <item x="210"/>
        <item x="53"/>
        <item x="128"/>
        <item x="112"/>
        <item x="217"/>
        <item x="131"/>
        <item x="119"/>
        <item x="90"/>
        <item x="189"/>
        <item x="161"/>
        <item x="221"/>
        <item x="94"/>
        <item x="196"/>
        <item x="173"/>
        <item x="70"/>
        <item x="142"/>
        <item x="54"/>
        <item x="88"/>
        <item x="66"/>
        <item x="86"/>
        <item x="3"/>
        <item x="91"/>
        <item x="12"/>
        <item x="42"/>
        <item x="169"/>
        <item x="197"/>
        <item x="115"/>
        <item x="162"/>
        <item x="220"/>
        <item x="102"/>
        <item x="195"/>
        <item x="25"/>
        <item x="146"/>
        <item x="23"/>
        <item x="165"/>
        <item x="24"/>
        <item x="166"/>
        <item x="117"/>
        <item x="75"/>
        <item x="141"/>
        <item x="11"/>
        <item x="147"/>
        <item x="71"/>
        <item x="218"/>
        <item x="194"/>
        <item x="72"/>
        <item x="163"/>
        <item x="26"/>
        <item x="135"/>
        <item x="170"/>
        <item x="65"/>
        <item x="51"/>
        <item x="188"/>
        <item x="103"/>
        <item x="84"/>
        <item x="13"/>
        <item x="45"/>
        <item x="93"/>
        <item x="0"/>
        <item x="138"/>
        <item x="58"/>
        <item x="157"/>
        <item x="143"/>
        <item x="83"/>
        <item x="44"/>
        <item x="17"/>
        <item x="171"/>
        <item x="152"/>
        <item x="80"/>
        <item x="207"/>
        <item x="21"/>
        <item x="37"/>
        <item x="108"/>
        <item x="136"/>
        <item x="30"/>
        <item x="48"/>
        <item x="2"/>
        <item x="187"/>
        <item x="110"/>
        <item x="59"/>
        <item x="156"/>
        <item x="28"/>
        <item x="79"/>
        <item x="158"/>
        <item x="22"/>
        <item x="76"/>
        <item x="167"/>
        <item x="55"/>
        <item x="16"/>
        <item x="40"/>
        <item x="177"/>
        <item x="33"/>
        <item x="5"/>
        <item x="133"/>
        <item x="8"/>
        <item x="203"/>
        <item x="100"/>
        <item x="134"/>
        <item x="123"/>
        <item x="67"/>
        <item x="129"/>
        <item x="159"/>
        <item x="85"/>
        <item x="178"/>
        <item x="127"/>
        <item x="73"/>
        <item x="62"/>
        <item x="192"/>
        <item x="155"/>
        <item x="205"/>
        <item x="149"/>
        <item x="20"/>
        <item x="35"/>
        <item x="185"/>
        <item x="219"/>
        <item x="144"/>
        <item x="120"/>
        <item x="154"/>
        <item x="29"/>
        <item x="164"/>
        <item x="118"/>
        <item x="92"/>
        <item x="77"/>
        <item x="109"/>
        <item x="34"/>
        <item x="14"/>
        <item x="49"/>
        <item x="56"/>
        <item x="61"/>
        <item x="36"/>
        <item x="68"/>
        <item x="50"/>
        <item x="193"/>
        <item x="96"/>
        <item x="6"/>
        <item x="122"/>
        <item x="113"/>
        <item x="46"/>
        <item x="137"/>
        <item x="89"/>
        <item x="52"/>
        <item x="43"/>
        <item x="160"/>
        <item x="216"/>
        <item x="213"/>
        <item x="179"/>
        <item x="124"/>
        <item x="121"/>
        <item x="201"/>
        <item x="64"/>
        <item x="153"/>
        <item x="198"/>
        <item x="212"/>
        <item x="95"/>
        <item x="211"/>
        <item x="151"/>
        <item x="199"/>
        <item x="81"/>
        <item x="208"/>
        <item x="125"/>
        <item x="145"/>
        <item x="126"/>
        <item x="1"/>
        <item x="148"/>
        <item x="174"/>
        <item x="180"/>
        <item x="63"/>
        <item x="27"/>
        <item x="101"/>
        <item x="214"/>
        <item x="10"/>
        <item x="114"/>
        <item x="47"/>
        <item x="190"/>
        <item x="60"/>
        <item x="130"/>
        <item x="99"/>
        <item x="183"/>
        <item x="150"/>
        <item x="98"/>
        <item x="140"/>
        <item x="175"/>
        <item x="186"/>
        <item x="78"/>
        <item x="182"/>
        <item x="38"/>
        <item x="204"/>
        <item x="39"/>
        <item x="181"/>
        <item x="32"/>
        <item t="default"/>
      </items>
    </pivotField>
    <pivotField compact="0" showAll="0">
      <items count="35">
        <item x="1"/>
        <item x="6"/>
        <item x="12"/>
        <item x="20"/>
        <item x="28"/>
        <item x="27"/>
        <item x="4"/>
        <item x="3"/>
        <item x="17"/>
        <item x="33"/>
        <item x="22"/>
        <item x="13"/>
        <item x="29"/>
        <item x="26"/>
        <item x="25"/>
        <item x="8"/>
        <item x="21"/>
        <item x="18"/>
        <item x="16"/>
        <item x="14"/>
        <item x="15"/>
        <item x="5"/>
        <item x="7"/>
        <item x="9"/>
        <item x="31"/>
        <item x="24"/>
        <item x="23"/>
        <item x="10"/>
        <item x="2"/>
        <item x="0"/>
        <item x="32"/>
        <item x="30"/>
        <item x="11"/>
        <item x="19"/>
        <item t="default"/>
      </items>
    </pivotField>
    <pivotField compact="0" numFmtId="58" showAll="0">
      <items count="472">
        <item x="4"/>
        <item x="184"/>
        <item x="6"/>
        <item x="411"/>
        <item x="198"/>
        <item x="122"/>
        <item x="125"/>
        <item x="186"/>
        <item x="442"/>
        <item x="77"/>
        <item x="23"/>
        <item x="419"/>
        <item x="182"/>
        <item x="61"/>
        <item x="173"/>
        <item x="151"/>
        <item x="108"/>
        <item x="423"/>
        <item x="275"/>
        <item x="293"/>
        <item x="161"/>
        <item x="156"/>
        <item x="380"/>
        <item x="94"/>
        <item x="221"/>
        <item x="2"/>
        <item x="154"/>
        <item x="213"/>
        <item x="210"/>
        <item x="310"/>
        <item x="49"/>
        <item x="334"/>
        <item x="306"/>
        <item x="63"/>
        <item x="129"/>
        <item x="272"/>
        <item x="165"/>
        <item x="127"/>
        <item x="381"/>
        <item x="286"/>
        <item x="33"/>
        <item x="456"/>
        <item x="453"/>
        <item x="439"/>
        <item x="90"/>
        <item x="188"/>
        <item x="14"/>
        <item x="432"/>
        <item x="205"/>
        <item x="66"/>
        <item x="183"/>
        <item x="27"/>
        <item x="291"/>
        <item x="132"/>
        <item x="365"/>
        <item x="427"/>
        <item x="375"/>
        <item x="379"/>
        <item x="179"/>
        <item x="71"/>
        <item x="20"/>
        <item x="277"/>
        <item x="437"/>
        <item x="353"/>
        <item x="101"/>
        <item x="402"/>
        <item x="211"/>
        <item x="369"/>
        <item x="75"/>
        <item x="278"/>
        <item x="111"/>
        <item x="321"/>
        <item x="362"/>
        <item x="245"/>
        <item x="37"/>
        <item x="301"/>
        <item x="88"/>
        <item x="85"/>
        <item x="43"/>
        <item x="391"/>
        <item x="257"/>
        <item x="420"/>
        <item x="416"/>
        <item x="440"/>
        <item x="418"/>
        <item x="136"/>
        <item x="469"/>
        <item x="368"/>
        <item x="171"/>
        <item x="261"/>
        <item x="143"/>
        <item x="359"/>
        <item x="174"/>
        <item x="46"/>
        <item x="207"/>
        <item x="251"/>
        <item x="238"/>
        <item x="235"/>
        <item x="384"/>
        <item x="285"/>
        <item x="176"/>
        <item x="169"/>
        <item x="228"/>
        <item x="134"/>
        <item x="468"/>
        <item x="51"/>
        <item x="282"/>
        <item x="117"/>
        <item x="118"/>
        <item x="65"/>
        <item x="203"/>
        <item x="164"/>
        <item x="78"/>
        <item x="335"/>
        <item x="463"/>
        <item x="140"/>
        <item x="376"/>
        <item x="413"/>
        <item x="255"/>
        <item x="354"/>
        <item x="202"/>
        <item x="317"/>
        <item x="225"/>
        <item x="72"/>
        <item x="304"/>
        <item x="160"/>
        <item x="459"/>
        <item x="227"/>
        <item x="350"/>
        <item x="348"/>
        <item x="158"/>
        <item x="320"/>
        <item x="393"/>
        <item x="208"/>
        <item x="405"/>
        <item x="260"/>
        <item x="146"/>
        <item x="318"/>
        <item x="254"/>
        <item x="178"/>
        <item x="244"/>
        <item x="280"/>
        <item x="386"/>
        <item x="195"/>
        <item x="270"/>
        <item x="107"/>
        <item x="283"/>
        <item x="137"/>
        <item x="366"/>
        <item x="364"/>
        <item x="114"/>
        <item x="144"/>
        <item x="294"/>
        <item x="289"/>
        <item x="331"/>
        <item x="206"/>
        <item x="81"/>
        <item x="62"/>
        <item x="233"/>
        <item x="438"/>
        <item x="305"/>
        <item x="292"/>
        <item x="352"/>
        <item x="274"/>
        <item x="431"/>
        <item x="356"/>
        <item x="197"/>
        <item x="382"/>
        <item x="467"/>
        <item x="115"/>
        <item x="96"/>
        <item x="234"/>
        <item x="84"/>
        <item x="240"/>
        <item x="185"/>
        <item x="250"/>
        <item x="457"/>
        <item x="39"/>
        <item x="299"/>
        <item x="433"/>
        <item x="247"/>
        <item x="414"/>
        <item x="9"/>
        <item x="339"/>
        <item x="12"/>
        <item x="131"/>
        <item x="175"/>
        <item x="435"/>
        <item x="148"/>
        <item x="377"/>
        <item x="181"/>
        <item x="145"/>
        <item x="343"/>
        <item x="389"/>
        <item x="346"/>
        <item x="276"/>
        <item x="256"/>
        <item x="308"/>
        <item x="67"/>
        <item x="450"/>
        <item x="401"/>
        <item x="34"/>
        <item x="219"/>
        <item x="429"/>
        <item x="196"/>
        <item x="370"/>
        <item x="258"/>
        <item x="0"/>
        <item x="153"/>
        <item x="57"/>
        <item x="241"/>
        <item x="239"/>
        <item x="237"/>
        <item x="284"/>
        <item x="297"/>
        <item x="139"/>
        <item x="82"/>
        <item x="410"/>
        <item x="395"/>
        <item x="36"/>
        <item x="69"/>
        <item x="31"/>
        <item x="409"/>
        <item x="316"/>
        <item x="360"/>
        <item x="367"/>
        <item x="224"/>
        <item x="333"/>
        <item x="430"/>
        <item x="22"/>
        <item x="388"/>
        <item x="407"/>
        <item x="100"/>
        <item x="44"/>
        <item x="7"/>
        <item x="42"/>
        <item x="162"/>
        <item x="92"/>
        <item x="64"/>
        <item x="103"/>
        <item x="421"/>
        <item x="104"/>
        <item x="121"/>
        <item x="157"/>
        <item x="303"/>
        <item x="155"/>
        <item x="390"/>
        <item x="273"/>
        <item x="263"/>
        <item x="444"/>
        <item x="412"/>
        <item x="268"/>
        <item x="300"/>
        <item x="119"/>
        <item x="373"/>
        <item x="458"/>
        <item x="243"/>
        <item x="135"/>
        <item x="74"/>
        <item x="358"/>
        <item x="408"/>
        <item x="24"/>
        <item x="159"/>
        <item x="26"/>
        <item x="288"/>
        <item x="447"/>
        <item x="105"/>
        <item x="222"/>
        <item x="19"/>
        <item x="290"/>
        <item x="424"/>
        <item x="315"/>
        <item x="327"/>
        <item x="443"/>
        <item x="326"/>
        <item x="147"/>
        <item x="295"/>
        <item x="465"/>
        <item x="449"/>
        <item x="417"/>
        <item x="32"/>
        <item x="451"/>
        <item x="177"/>
        <item x="102"/>
        <item x="332"/>
        <item x="249"/>
        <item x="212"/>
        <item x="345"/>
        <item x="392"/>
        <item x="149"/>
        <item x="38"/>
        <item x="73"/>
        <item x="426"/>
        <item x="180"/>
        <item x="214"/>
        <item x="355"/>
        <item x="325"/>
        <item x="99"/>
        <item x="190"/>
        <item x="232"/>
        <item x="167"/>
        <item x="200"/>
        <item x="141"/>
        <item x="192"/>
        <item x="462"/>
        <item x="399"/>
        <item x="170"/>
        <item x="1"/>
        <item x="89"/>
        <item x="287"/>
        <item x="267"/>
        <item x="48"/>
        <item x="434"/>
        <item x="45"/>
        <item x="199"/>
        <item x="347"/>
        <item x="40"/>
        <item x="60"/>
        <item x="223"/>
        <item x="400"/>
        <item x="47"/>
        <item x="152"/>
        <item x="296"/>
        <item x="387"/>
        <item x="116"/>
        <item x="298"/>
        <item x="385"/>
        <item x="336"/>
        <item x="218"/>
        <item x="130"/>
        <item x="54"/>
        <item x="349"/>
        <item x="70"/>
        <item x="76"/>
        <item x="455"/>
        <item x="126"/>
        <item x="98"/>
        <item x="363"/>
        <item x="25"/>
        <item x="110"/>
        <item x="403"/>
        <item x="15"/>
        <item x="133"/>
        <item x="128"/>
        <item x="351"/>
        <item x="5"/>
        <item x="29"/>
        <item x="460"/>
        <item x="311"/>
        <item x="259"/>
        <item x="10"/>
        <item x="106"/>
        <item x="328"/>
        <item x="266"/>
        <item x="194"/>
        <item x="172"/>
        <item x="189"/>
        <item x="95"/>
        <item x="50"/>
        <item x="312"/>
        <item x="448"/>
        <item x="187"/>
        <item x="445"/>
        <item x="123"/>
        <item x="53"/>
        <item x="168"/>
        <item x="236"/>
        <item x="470"/>
        <item x="330"/>
        <item x="340"/>
        <item x="329"/>
        <item x="124"/>
        <item x="396"/>
        <item x="265"/>
        <item x="397"/>
        <item x="246"/>
        <item x="11"/>
        <item x="3"/>
        <item x="97"/>
        <item x="253"/>
        <item x="338"/>
        <item x="302"/>
        <item x="307"/>
        <item x="28"/>
        <item x="264"/>
        <item x="248"/>
        <item x="436"/>
        <item x="80"/>
        <item x="371"/>
        <item x="230"/>
        <item x="271"/>
        <item x="357"/>
        <item x="52"/>
        <item x="220"/>
        <item x="464"/>
        <item x="163"/>
        <item x="68"/>
        <item x="415"/>
        <item x="56"/>
        <item x="86"/>
        <item x="142"/>
        <item x="398"/>
        <item x="452"/>
        <item x="383"/>
        <item x="428"/>
        <item x="79"/>
        <item x="59"/>
        <item x="279"/>
        <item x="216"/>
        <item x="18"/>
        <item x="406"/>
        <item x="374"/>
        <item x="269"/>
        <item x="322"/>
        <item x="8"/>
        <item x="109"/>
        <item x="337"/>
        <item x="55"/>
        <item x="41"/>
        <item x="454"/>
        <item x="361"/>
        <item x="87"/>
        <item x="229"/>
        <item x="21"/>
        <item x="319"/>
        <item x="226"/>
        <item x="341"/>
        <item x="262"/>
        <item x="35"/>
        <item x="309"/>
        <item x="113"/>
        <item x="242"/>
        <item x="461"/>
        <item x="204"/>
        <item x="112"/>
        <item x="215"/>
        <item x="466"/>
        <item x="441"/>
        <item x="193"/>
        <item x="17"/>
        <item x="30"/>
        <item x="191"/>
        <item x="217"/>
        <item x="120"/>
        <item x="372"/>
        <item x="91"/>
        <item x="314"/>
        <item x="93"/>
        <item x="83"/>
        <item x="150"/>
        <item x="425"/>
        <item x="422"/>
        <item x="404"/>
        <item x="209"/>
        <item x="378"/>
        <item x="252"/>
        <item x="344"/>
        <item x="313"/>
        <item x="231"/>
        <item x="58"/>
        <item x="323"/>
        <item x="16"/>
        <item x="166"/>
        <item x="446"/>
        <item x="324"/>
        <item x="201"/>
        <item x="342"/>
        <item x="281"/>
        <item x="138"/>
        <item x="13"/>
        <item x="394"/>
        <item t="default"/>
      </items>
    </pivotField>
    <pivotField compact="0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281"/>
        <item x="82"/>
        <item x="88"/>
        <item x="530"/>
        <item x="108"/>
        <item x="246"/>
        <item x="229"/>
        <item x="6"/>
        <item x="50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325"/>
        <item x="433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72"/>
        <item x="326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603"/>
        <item x="73"/>
        <item x="253"/>
        <item x="598"/>
        <item x="267"/>
        <item x="205"/>
        <item x="409"/>
        <item x="592"/>
        <item x="45"/>
        <item x="276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457"/>
        <item x="237"/>
        <item x="416"/>
        <item x="258"/>
        <item x="403"/>
        <item x="600"/>
        <item x="500"/>
        <item x="89"/>
        <item x="589"/>
        <item x="51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68"/>
        <item x="161"/>
        <item x="327"/>
        <item x="472"/>
        <item x="320"/>
        <item x="181"/>
        <item x="502"/>
        <item x="529"/>
        <item x="314"/>
        <item x="190"/>
        <item x="182"/>
        <item x="293"/>
        <item x="124"/>
        <item x="331"/>
        <item x="135"/>
        <item x="302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29"/>
        <item x="524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163"/>
        <item x="342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273"/>
        <item x="282"/>
        <item x="588"/>
        <item x="142"/>
        <item x="32"/>
        <item x="248"/>
        <item x="548"/>
        <item x="245"/>
        <item x="146"/>
        <item x="557"/>
        <item x="427"/>
        <item x="153"/>
        <item x="379"/>
        <item x="452"/>
        <item x="101"/>
        <item x="61"/>
        <item x="544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625"/>
        <item x="166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0"/>
        <item x="546"/>
        <item x="279"/>
        <item x="266"/>
        <item x="65"/>
        <item x="207"/>
        <item x="341"/>
        <item x="565"/>
        <item x="121"/>
        <item x="22"/>
        <item x="208"/>
        <item x="366"/>
        <item x="455"/>
        <item x="450"/>
        <item x="49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551"/>
        <item x="610"/>
        <item x="521"/>
        <item x="150"/>
        <item x="386"/>
        <item x="90"/>
        <item x="251"/>
        <item x="294"/>
        <item x="255"/>
        <item x="478"/>
        <item x="286"/>
        <item x="20"/>
        <item x="393"/>
        <item x="28"/>
        <item x="83"/>
        <item x="453"/>
        <item x="1"/>
        <item x="584"/>
        <item x="408"/>
        <item x="80"/>
        <item x="572"/>
        <item x="365"/>
        <item x="473"/>
        <item x="319"/>
        <item x="212"/>
        <item x="439"/>
        <item x="458"/>
        <item x="405"/>
        <item x="396"/>
        <item x="120"/>
        <item x="71"/>
        <item x="156"/>
        <item x="259"/>
        <item x="189"/>
        <item x="483"/>
        <item x="406"/>
        <item x="254"/>
        <item x="35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486"/>
        <item x="183"/>
        <item x="567"/>
        <item x="347"/>
        <item x="187"/>
        <item x="191"/>
        <item x="606"/>
        <item x="467"/>
        <item x="627"/>
        <item x="513"/>
        <item x="206"/>
        <item x="528"/>
        <item x="413"/>
        <item x="96"/>
        <item x="172"/>
        <item x="599"/>
        <item x="378"/>
        <item x="568"/>
        <item x="152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8"/>
        <item x="137"/>
        <item x="75"/>
        <item x="374"/>
        <item x="481"/>
        <item x="373"/>
        <item x="235"/>
        <item x="470"/>
        <item x="352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556"/>
        <item x="477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dataField="1"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2" showAll="0">
      <items count="241">
        <item x="32"/>
        <item x="186"/>
        <item x="39"/>
        <item x="213"/>
        <item x="38"/>
        <item x="187"/>
        <item x="78"/>
        <item x="192"/>
        <item x="180"/>
        <item x="141"/>
        <item x="98"/>
        <item x="152"/>
        <item x="188"/>
        <item x="99"/>
        <item x="131"/>
        <item x="60"/>
        <item x="196"/>
        <item x="47"/>
        <item x="114"/>
        <item x="208"/>
        <item x="10"/>
        <item x="229"/>
        <item x="101"/>
        <item x="27"/>
        <item x="63"/>
        <item x="185"/>
        <item x="179"/>
        <item x="150"/>
        <item x="1"/>
        <item x="127"/>
        <item x="146"/>
        <item x="126"/>
        <item x="219"/>
        <item x="81"/>
        <item x="218"/>
        <item x="206"/>
        <item x="154"/>
        <item x="224"/>
        <item x="95"/>
        <item x="226"/>
        <item x="205"/>
        <item x="156"/>
        <item x="64"/>
        <item x="209"/>
        <item x="122"/>
        <item x="125"/>
        <item x="184"/>
        <item x="227"/>
        <item x="231"/>
        <item x="164"/>
        <item x="43"/>
        <item x="52"/>
        <item x="89"/>
        <item x="138"/>
        <item x="46"/>
        <item x="113"/>
        <item x="123"/>
        <item x="6"/>
        <item x="96"/>
        <item x="200"/>
        <item x="234"/>
        <item x="50"/>
        <item x="68"/>
        <item x="36"/>
        <item x="61"/>
        <item x="56"/>
        <item x="49"/>
        <item x="14"/>
        <item x="34"/>
        <item x="109"/>
        <item x="77"/>
        <item x="92"/>
        <item x="119"/>
        <item x="168"/>
        <item x="29"/>
        <item x="158"/>
        <item x="121"/>
        <item x="145"/>
        <item x="236"/>
        <item x="191"/>
        <item x="35"/>
        <item x="20"/>
        <item x="151"/>
        <item x="214"/>
        <item x="222"/>
        <item x="159"/>
        <item x="199"/>
        <item x="62"/>
        <item x="73"/>
        <item x="233"/>
        <item x="128"/>
        <item x="183"/>
        <item x="85"/>
        <item x="163"/>
        <item x="130"/>
        <item x="67"/>
        <item x="169"/>
        <item x="124"/>
        <item x="216"/>
        <item x="135"/>
        <item x="153"/>
        <item x="100"/>
        <item x="211"/>
        <item x="8"/>
        <item x="134"/>
        <item x="5"/>
        <item x="33"/>
        <item x="182"/>
        <item x="40"/>
        <item x="16"/>
        <item x="55"/>
        <item x="172"/>
        <item x="76"/>
        <item x="115"/>
        <item x="22"/>
        <item x="162"/>
        <item x="79"/>
        <item x="28"/>
        <item x="160"/>
        <item x="59"/>
        <item x="110"/>
        <item x="193"/>
        <item x="2"/>
        <item x="147"/>
        <item x="48"/>
        <item x="30"/>
        <item x="137"/>
        <item x="108"/>
        <item x="37"/>
        <item x="21"/>
        <item x="217"/>
        <item x="80"/>
        <item x="155"/>
        <item x="176"/>
        <item x="17"/>
        <item x="44"/>
        <item x="83"/>
        <item x="144"/>
        <item x="161"/>
        <item x="58"/>
        <item x="139"/>
        <item x="0"/>
        <item x="93"/>
        <item x="45"/>
        <item x="13"/>
        <item x="84"/>
        <item x="103"/>
        <item x="157"/>
        <item x="194"/>
        <item x="51"/>
        <item x="65"/>
        <item x="175"/>
        <item x="189"/>
        <item x="136"/>
        <item x="26"/>
        <item x="167"/>
        <item x="72"/>
        <item x="197"/>
        <item x="201"/>
        <item x="235"/>
        <item x="71"/>
        <item x="149"/>
        <item x="11"/>
        <item x="228"/>
        <item x="142"/>
        <item x="75"/>
        <item x="118"/>
        <item x="171"/>
        <item x="24"/>
        <item x="170"/>
        <item x="23"/>
        <item x="148"/>
        <item x="25"/>
        <item x="202"/>
        <item x="225"/>
        <item x="102"/>
        <item x="237"/>
        <item x="166"/>
        <item x="116"/>
        <item x="204"/>
        <item x="174"/>
        <item x="42"/>
        <item x="12"/>
        <item x="91"/>
        <item x="3"/>
        <item x="86"/>
        <item x="66"/>
        <item x="88"/>
        <item x="54"/>
        <item x="143"/>
        <item x="70"/>
        <item x="178"/>
        <item x="203"/>
        <item x="94"/>
        <item x="239"/>
        <item x="165"/>
        <item x="195"/>
        <item x="90"/>
        <item x="120"/>
        <item x="132"/>
        <item x="232"/>
        <item x="112"/>
        <item x="223"/>
        <item x="129"/>
        <item x="53"/>
        <item x="221"/>
        <item x="57"/>
        <item x="220"/>
        <item x="105"/>
        <item x="230"/>
        <item x="87"/>
        <item x="177"/>
        <item x="210"/>
        <item x="190"/>
        <item x="15"/>
        <item x="31"/>
        <item x="41"/>
        <item x="74"/>
        <item x="198"/>
        <item x="7"/>
        <item x="69"/>
        <item x="133"/>
        <item x="212"/>
        <item x="181"/>
        <item x="107"/>
        <item x="117"/>
        <item x="104"/>
        <item x="111"/>
        <item x="207"/>
        <item x="106"/>
        <item x="215"/>
        <item x="173"/>
        <item x="82"/>
        <item x="18"/>
        <item x="97"/>
        <item x="19"/>
        <item x="9"/>
        <item x="140"/>
        <item x="238"/>
        <item x="4"/>
        <item t="default"/>
      </items>
    </pivotField>
    <pivotField compact="0" showAll="0">
      <items count="34">
        <item x="11"/>
        <item x="19"/>
        <item x="18"/>
        <item x="24"/>
        <item x="20"/>
        <item x="28"/>
        <item x="26"/>
        <item x="5"/>
        <item x="2"/>
        <item x="31"/>
        <item x="25"/>
        <item x="4"/>
        <item x="8"/>
        <item x="9"/>
        <item x="23"/>
        <item x="13"/>
        <item x="12"/>
        <item x="22"/>
        <item x="16"/>
        <item x="15"/>
        <item x="21"/>
        <item x="0"/>
        <item x="3"/>
        <item x="14"/>
        <item x="6"/>
        <item x="7"/>
        <item x="30"/>
        <item x="17"/>
        <item x="32"/>
        <item x="1"/>
        <item x="27"/>
        <item x="29"/>
        <item x="10"/>
        <item t="default"/>
      </items>
    </pivotField>
    <pivotField compact="0" showAll="0">
      <items count="12">
        <item x="2"/>
        <item x="0"/>
        <item x="3"/>
        <item x="7"/>
        <item x="4"/>
        <item x="5"/>
        <item x="9"/>
        <item x="8"/>
        <item x="6"/>
        <item x="10"/>
        <item x="1"/>
        <item t="default"/>
      </items>
    </pivotField>
    <pivotField compact="0" showAll="0">
      <items count="46">
        <item x="0"/>
        <item x="13"/>
        <item x="2"/>
        <item x="16"/>
        <item x="6"/>
        <item x="3"/>
        <item x="1"/>
        <item x="42"/>
        <item x="33"/>
        <item x="25"/>
        <item x="20"/>
        <item x="10"/>
        <item x="30"/>
        <item x="7"/>
        <item x="41"/>
        <item x="19"/>
        <item x="4"/>
        <item x="44"/>
        <item x="26"/>
        <item x="36"/>
        <item x="15"/>
        <item x="40"/>
        <item x="24"/>
        <item x="38"/>
        <item x="23"/>
        <item x="14"/>
        <item x="43"/>
        <item x="5"/>
        <item x="18"/>
        <item x="34"/>
        <item x="29"/>
        <item x="35"/>
        <item x="32"/>
        <item x="9"/>
        <item x="27"/>
        <item x="17"/>
        <item x="11"/>
        <item x="28"/>
        <item x="8"/>
        <item x="37"/>
        <item x="22"/>
        <item x="12"/>
        <item x="21"/>
        <item x="31"/>
        <item x="3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numFmtId="58" showAll="0">
      <items count="12">
        <item x="2"/>
        <item x="10"/>
        <item x="6"/>
        <item x="8"/>
        <item x="9"/>
        <item x="1"/>
        <item x="7"/>
        <item x="0"/>
        <item x="4"/>
        <item x="3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0" showAll="0">
      <items count="204">
        <item x="4"/>
        <item x="129"/>
        <item x="9"/>
        <item x="19"/>
        <item x="91"/>
        <item x="18"/>
        <item x="76"/>
        <item x="156"/>
        <item x="187"/>
        <item x="98"/>
        <item x="182"/>
        <item x="103"/>
        <item x="96"/>
        <item x="107"/>
        <item x="99"/>
        <item x="163"/>
        <item x="122"/>
        <item x="64"/>
        <item x="7"/>
        <item x="173"/>
        <item x="69"/>
        <item x="38"/>
        <item x="31"/>
        <item x="15"/>
        <item x="168"/>
        <item x="184"/>
        <item x="160"/>
        <item x="81"/>
        <item x="196"/>
        <item x="97"/>
        <item x="190"/>
        <item x="53"/>
        <item x="191"/>
        <item x="49"/>
        <item x="119"/>
        <item x="104"/>
        <item x="198"/>
        <item x="121"/>
        <item x="110"/>
        <item x="84"/>
        <item x="172"/>
        <item x="149"/>
        <item x="202"/>
        <item x="88"/>
        <item x="178"/>
        <item x="161"/>
        <item x="65"/>
        <item x="131"/>
        <item x="50"/>
        <item x="82"/>
        <item x="61"/>
        <item x="80"/>
        <item x="3"/>
        <item x="85"/>
        <item x="12"/>
        <item x="39"/>
        <item x="157"/>
        <item x="179"/>
        <item x="106"/>
        <item x="150"/>
        <item x="201"/>
        <item x="94"/>
        <item x="177"/>
        <item x="25"/>
        <item x="135"/>
        <item x="23"/>
        <item x="153"/>
        <item x="24"/>
        <item x="154"/>
        <item x="108"/>
        <item x="70"/>
        <item x="130"/>
        <item x="11"/>
        <item x="136"/>
        <item x="66"/>
        <item x="199"/>
        <item x="176"/>
        <item x="67"/>
        <item x="151"/>
        <item x="26"/>
        <item x="125"/>
        <item x="158"/>
        <item x="60"/>
        <item x="47"/>
        <item x="171"/>
        <item x="95"/>
        <item x="78"/>
        <item x="13"/>
        <item x="42"/>
        <item x="87"/>
        <item x="0"/>
        <item x="128"/>
        <item x="54"/>
        <item x="145"/>
        <item x="132"/>
        <item x="77"/>
        <item x="41"/>
        <item x="17"/>
        <item x="159"/>
        <item x="140"/>
        <item x="74"/>
        <item x="188"/>
        <item x="21"/>
        <item x="36"/>
        <item x="100"/>
        <item x="126"/>
        <item x="30"/>
        <item x="44"/>
        <item x="2"/>
        <item x="170"/>
        <item x="102"/>
        <item x="55"/>
        <item x="144"/>
        <item x="28"/>
        <item x="73"/>
        <item x="146"/>
        <item x="22"/>
        <item x="71"/>
        <item x="155"/>
        <item x="51"/>
        <item x="16"/>
        <item x="37"/>
        <item x="164"/>
        <item x="32"/>
        <item x="5"/>
        <item x="123"/>
        <item x="8"/>
        <item x="185"/>
        <item x="92"/>
        <item x="124"/>
        <item x="114"/>
        <item x="62"/>
        <item x="120"/>
        <item x="147"/>
        <item x="79"/>
        <item x="165"/>
        <item x="118"/>
        <item x="68"/>
        <item x="57"/>
        <item x="174"/>
        <item x="143"/>
        <item x="186"/>
        <item x="138"/>
        <item x="20"/>
        <item x="34"/>
        <item x="169"/>
        <item x="200"/>
        <item x="133"/>
        <item x="111"/>
        <item x="142"/>
        <item x="29"/>
        <item x="152"/>
        <item x="109"/>
        <item x="86"/>
        <item x="72"/>
        <item x="101"/>
        <item x="33"/>
        <item x="14"/>
        <item x="45"/>
        <item x="52"/>
        <item x="56"/>
        <item x="35"/>
        <item x="63"/>
        <item x="46"/>
        <item x="175"/>
        <item x="90"/>
        <item x="6"/>
        <item x="113"/>
        <item x="105"/>
        <item x="43"/>
        <item x="127"/>
        <item x="83"/>
        <item x="48"/>
        <item x="40"/>
        <item x="148"/>
        <item x="197"/>
        <item x="194"/>
        <item x="166"/>
        <item x="115"/>
        <item x="112"/>
        <item x="183"/>
        <item x="59"/>
        <item x="141"/>
        <item x="180"/>
        <item x="193"/>
        <item x="89"/>
        <item x="192"/>
        <item x="139"/>
        <item x="181"/>
        <item x="75"/>
        <item x="189"/>
        <item x="116"/>
        <item x="134"/>
        <item x="117"/>
        <item x="1"/>
        <item x="137"/>
        <item x="162"/>
        <item x="167"/>
        <item x="58"/>
        <item x="27"/>
        <item x="93"/>
        <item x="195"/>
        <item x="10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179" showAll="0">
      <items count="632">
        <item x="616"/>
        <item x="2"/>
        <item x="57"/>
        <item x="179"/>
        <item x="111"/>
        <item x="297"/>
        <item x="285"/>
        <item x="171"/>
        <item x="492"/>
        <item x="95"/>
        <item x="53"/>
        <item x="630"/>
        <item x="176"/>
        <item x="585"/>
        <item x="388"/>
        <item x="574"/>
        <item x="105"/>
        <item x="82"/>
        <item x="531"/>
        <item x="108"/>
        <item x="262"/>
        <item x="118"/>
        <item x="246"/>
        <item x="530"/>
        <item x="88"/>
        <item x="50"/>
        <item x="229"/>
        <item x="281"/>
        <item x="6"/>
        <item x="322"/>
        <item x="417"/>
        <item x="242"/>
        <item x="115"/>
        <item x="571"/>
        <item x="126"/>
        <item x="518"/>
        <item x="310"/>
        <item x="220"/>
        <item x="460"/>
        <item x="475"/>
        <item x="516"/>
        <item x="619"/>
        <item x="601"/>
        <item x="290"/>
        <item x="353"/>
        <item x="340"/>
        <item x="138"/>
        <item x="113"/>
        <item x="489"/>
        <item x="304"/>
        <item x="86"/>
        <item x="107"/>
        <item x="459"/>
        <item x="25"/>
        <item x="210"/>
        <item x="581"/>
        <item x="463"/>
        <item x="550"/>
        <item x="462"/>
        <item x="444"/>
        <item x="433"/>
        <item x="173"/>
        <item x="411"/>
        <item x="123"/>
        <item x="608"/>
        <item x="112"/>
        <item x="525"/>
        <item x="346"/>
        <item x="216"/>
        <item x="168"/>
        <item x="620"/>
        <item x="325"/>
        <item x="256"/>
        <item x="52"/>
        <item x="390"/>
        <item x="329"/>
        <item x="431"/>
        <item x="127"/>
        <item x="465"/>
        <item x="607"/>
        <item x="438"/>
        <item x="231"/>
        <item x="5"/>
        <item x="244"/>
        <item x="317"/>
        <item x="337"/>
        <item x="596"/>
        <item x="343"/>
        <item x="296"/>
        <item x="539"/>
        <item x="569"/>
        <item x="132"/>
        <item x="510"/>
        <item x="38"/>
        <item x="145"/>
        <item x="247"/>
        <item x="306"/>
        <item x="326"/>
        <item x="238"/>
        <item x="583"/>
        <item x="27"/>
        <item x="507"/>
        <item x="193"/>
        <item x="284"/>
        <item x="26"/>
        <item x="487"/>
        <item x="461"/>
        <item x="357"/>
        <item x="372"/>
        <item x="349"/>
        <item x="369"/>
        <item x="151"/>
        <item x="4"/>
        <item x="476"/>
        <item x="564"/>
        <item x="295"/>
        <item x="578"/>
        <item x="257"/>
        <item x="192"/>
        <item x="597"/>
        <item x="130"/>
        <item x="178"/>
        <item x="136"/>
        <item x="239"/>
        <item x="221"/>
        <item x="368"/>
        <item x="58"/>
        <item x="570"/>
        <item x="407"/>
        <item x="494"/>
        <item x="200"/>
        <item x="542"/>
        <item x="480"/>
        <item x="56"/>
        <item x="360"/>
        <item x="545"/>
        <item x="185"/>
        <item x="333"/>
        <item x="0"/>
        <item x="78"/>
        <item x="11"/>
        <item x="313"/>
        <item x="73"/>
        <item x="626"/>
        <item x="482"/>
        <item x="485"/>
        <item x="512"/>
        <item x="3"/>
        <item x="402"/>
        <item x="232"/>
        <item x="409"/>
        <item x="97"/>
        <item x="81"/>
        <item x="307"/>
        <item x="603"/>
        <item x="93"/>
        <item x="226"/>
        <item x="435"/>
        <item x="332"/>
        <item x="160"/>
        <item x="592"/>
        <item x="117"/>
        <item x="51"/>
        <item x="230"/>
        <item x="446"/>
        <item x="303"/>
        <item x="442"/>
        <item x="102"/>
        <item x="598"/>
        <item x="484"/>
        <item x="276"/>
        <item x="580"/>
        <item x="100"/>
        <item x="70"/>
        <item x="523"/>
        <item x="253"/>
        <item x="217"/>
        <item x="377"/>
        <item x="34"/>
        <item x="490"/>
        <item x="237"/>
        <item x="205"/>
        <item x="577"/>
        <item x="560"/>
        <item x="167"/>
        <item x="74"/>
        <item x="410"/>
        <item x="267"/>
        <item x="211"/>
        <item x="604"/>
        <item x="14"/>
        <item x="177"/>
        <item x="270"/>
        <item x="45"/>
        <item x="327"/>
        <item x="579"/>
        <item x="155"/>
        <item x="269"/>
        <item x="331"/>
        <item x="436"/>
        <item x="292"/>
        <item x="519"/>
        <item x="500"/>
        <item x="228"/>
        <item x="600"/>
        <item x="320"/>
        <item x="491"/>
        <item x="362"/>
        <item x="258"/>
        <item x="13"/>
        <item x="457"/>
        <item x="268"/>
        <item x="181"/>
        <item x="129"/>
        <item x="215"/>
        <item x="535"/>
        <item x="403"/>
        <item x="213"/>
        <item x="456"/>
        <item x="149"/>
        <item x="416"/>
        <item x="302"/>
        <item x="595"/>
        <item x="161"/>
        <item x="261"/>
        <item x="140"/>
        <item x="508"/>
        <item x="89"/>
        <item x="524"/>
        <item x="472"/>
        <item x="131"/>
        <item x="197"/>
        <item x="593"/>
        <item x="562"/>
        <item x="274"/>
        <item x="188"/>
        <item x="24"/>
        <item x="502"/>
        <item x="497"/>
        <item x="67"/>
        <item x="182"/>
        <item x="190"/>
        <item x="330"/>
        <item x="314"/>
        <item x="293"/>
        <item x="278"/>
        <item x="154"/>
        <item x="124"/>
        <item x="170"/>
        <item x="68"/>
        <item x="589"/>
        <item x="315"/>
        <item x="342"/>
        <item x="509"/>
        <item x="611"/>
        <item x="529"/>
        <item x="72"/>
        <item x="418"/>
        <item x="385"/>
        <item x="488"/>
        <item x="31"/>
        <item x="240"/>
        <item x="135"/>
        <item x="445"/>
        <item x="29"/>
        <item x="517"/>
        <item x="324"/>
        <item x="308"/>
        <item x="300"/>
        <item x="245"/>
        <item x="142"/>
        <item x="420"/>
        <item x="91"/>
        <item x="563"/>
        <item x="503"/>
        <item x="609"/>
        <item x="10"/>
        <item x="157"/>
        <item x="184"/>
        <item x="469"/>
        <item x="288"/>
        <item x="614"/>
        <item x="557"/>
        <item x="77"/>
        <item x="40"/>
        <item x="69"/>
        <item x="42"/>
        <item x="622"/>
        <item x="615"/>
        <item x="544"/>
        <item x="122"/>
        <item x="514"/>
        <item x="501"/>
        <item x="415"/>
        <item x="21"/>
        <item x="548"/>
        <item x="61"/>
        <item x="153"/>
        <item x="311"/>
        <item x="196"/>
        <item x="379"/>
        <item x="392"/>
        <item x="526"/>
        <item x="273"/>
        <item x="282"/>
        <item x="590"/>
        <item x="248"/>
        <item x="87"/>
        <item x="163"/>
        <item x="493"/>
        <item x="532"/>
        <item x="452"/>
        <item x="36"/>
        <item x="133"/>
        <item x="588"/>
        <item x="575"/>
        <item x="64"/>
        <item x="249"/>
        <item x="162"/>
        <item x="348"/>
        <item x="243"/>
        <item x="448"/>
        <item x="103"/>
        <item x="449"/>
        <item x="166"/>
        <item x="104"/>
        <item x="264"/>
        <item x="440"/>
        <item x="298"/>
        <item x="363"/>
        <item x="629"/>
        <item x="380"/>
        <item x="144"/>
        <item x="429"/>
        <item x="432"/>
        <item x="398"/>
        <item x="558"/>
        <item x="84"/>
        <item x="397"/>
        <item x="32"/>
        <item x="559"/>
        <item x="146"/>
        <item x="404"/>
        <item x="427"/>
        <item x="219"/>
        <item x="344"/>
        <item x="101"/>
        <item x="367"/>
        <item x="605"/>
        <item x="576"/>
        <item x="625"/>
        <item x="387"/>
        <item x="543"/>
        <item x="85"/>
        <item x="466"/>
        <item x="233"/>
        <item x="66"/>
        <item x="280"/>
        <item x="394"/>
        <item x="165"/>
        <item x="573"/>
        <item x="419"/>
        <item x="169"/>
        <item x="7"/>
        <item x="454"/>
        <item x="358"/>
        <item x="147"/>
        <item x="594"/>
        <item x="199"/>
        <item x="37"/>
        <item x="534"/>
        <item x="214"/>
        <item x="383"/>
        <item x="506"/>
        <item x="376"/>
        <item x="424"/>
        <item x="471"/>
        <item x="223"/>
        <item x="283"/>
        <item x="546"/>
        <item x="175"/>
        <item x="49"/>
        <item x="207"/>
        <item x="553"/>
        <item x="9"/>
        <item x="65"/>
        <item x="121"/>
        <item x="128"/>
        <item x="522"/>
        <item x="412"/>
        <item x="389"/>
        <item x="334"/>
        <item x="468"/>
        <item x="316"/>
        <item x="350"/>
        <item x="498"/>
        <item x="227"/>
        <item x="370"/>
        <item x="401"/>
        <item x="234"/>
        <item x="400"/>
        <item x="279"/>
        <item x="250"/>
        <item x="565"/>
        <item x="266"/>
        <item x="251"/>
        <item x="399"/>
        <item x="208"/>
        <item x="43"/>
        <item x="1"/>
        <item x="260"/>
        <item x="610"/>
        <item x="209"/>
        <item x="80"/>
        <item x="414"/>
        <item x="613"/>
        <item x="366"/>
        <item x="396"/>
        <item x="551"/>
        <item x="35"/>
        <item x="289"/>
        <item x="255"/>
        <item x="572"/>
        <item x="473"/>
        <item x="90"/>
        <item x="189"/>
        <item x="365"/>
        <item x="540"/>
        <item x="450"/>
        <item x="386"/>
        <item x="393"/>
        <item x="20"/>
        <item x="286"/>
        <item x="341"/>
        <item x="92"/>
        <item x="28"/>
        <item x="552"/>
        <item x="71"/>
        <item x="22"/>
        <item x="499"/>
        <item x="537"/>
        <item x="294"/>
        <item x="439"/>
        <item x="455"/>
        <item x="83"/>
        <item x="426"/>
        <item x="406"/>
        <item x="150"/>
        <item x="224"/>
        <item x="364"/>
        <item x="12"/>
        <item x="443"/>
        <item x="195"/>
        <item x="483"/>
        <item x="159"/>
        <item x="384"/>
        <item x="515"/>
        <item x="319"/>
        <item x="405"/>
        <item x="521"/>
        <item x="478"/>
        <item x="584"/>
        <item x="259"/>
        <item x="120"/>
        <item x="453"/>
        <item x="354"/>
        <item x="291"/>
        <item x="408"/>
        <item x="106"/>
        <item x="451"/>
        <item x="19"/>
        <item x="156"/>
        <item x="254"/>
        <item x="212"/>
        <item x="437"/>
        <item x="458"/>
        <item x="191"/>
        <item x="114"/>
        <item x="23"/>
        <item x="567"/>
        <item x="586"/>
        <item x="617"/>
        <item x="496"/>
        <item x="467"/>
        <item x="201"/>
        <item x="252"/>
        <item x="203"/>
        <item x="299"/>
        <item x="143"/>
        <item x="15"/>
        <item x="323"/>
        <item x="204"/>
        <item x="30"/>
        <item x="63"/>
        <item x="183"/>
        <item x="351"/>
        <item x="186"/>
        <item x="287"/>
        <item x="98"/>
        <item x="347"/>
        <item x="474"/>
        <item x="434"/>
        <item x="33"/>
        <item x="134"/>
        <item x="109"/>
        <item x="60"/>
        <item x="328"/>
        <item x="338"/>
        <item x="187"/>
        <item x="335"/>
        <item x="206"/>
        <item x="218"/>
        <item x="486"/>
        <item x="606"/>
        <item x="158"/>
        <item x="339"/>
        <item x="272"/>
        <item x="422"/>
        <item x="152"/>
        <item x="55"/>
        <item x="549"/>
        <item x="110"/>
        <item x="621"/>
        <item x="425"/>
        <item x="225"/>
        <item x="541"/>
        <item x="495"/>
        <item x="309"/>
        <item x="194"/>
        <item x="373"/>
        <item x="441"/>
        <item x="413"/>
        <item x="172"/>
        <item x="54"/>
        <item x="547"/>
        <item x="141"/>
        <item x="371"/>
        <item x="504"/>
        <item x="44"/>
        <item x="624"/>
        <item x="627"/>
        <item x="76"/>
        <item x="561"/>
        <item x="378"/>
        <item x="513"/>
        <item x="528"/>
        <item x="554"/>
        <item x="41"/>
        <item x="59"/>
        <item x="599"/>
        <item x="241"/>
        <item x="96"/>
        <item x="568"/>
        <item x="48"/>
        <item x="271"/>
        <item x="505"/>
        <item x="352"/>
        <item x="277"/>
        <item x="359"/>
        <item x="16"/>
        <item x="75"/>
        <item x="137"/>
        <item x="47"/>
        <item x="481"/>
        <item x="470"/>
        <item x="235"/>
        <item x="381"/>
        <item x="17"/>
        <item x="374"/>
        <item x="336"/>
        <item x="265"/>
        <item x="18"/>
        <item x="119"/>
        <item x="321"/>
        <item x="301"/>
        <item x="602"/>
        <item x="263"/>
        <item x="312"/>
        <item x="628"/>
        <item x="479"/>
        <item x="582"/>
        <item x="39"/>
        <item x="428"/>
        <item x="180"/>
        <item x="618"/>
        <item x="477"/>
        <item x="533"/>
        <item x="148"/>
        <item x="305"/>
        <item x="94"/>
        <item x="375"/>
        <item x="355"/>
        <item x="566"/>
        <item x="447"/>
        <item x="555"/>
        <item x="382"/>
        <item x="202"/>
        <item x="356"/>
        <item x="623"/>
        <item x="511"/>
        <item x="556"/>
        <item x="536"/>
        <item x="591"/>
        <item x="99"/>
        <item x="318"/>
        <item x="198"/>
        <item x="391"/>
        <item x="395"/>
        <item x="430"/>
        <item x="423"/>
        <item x="527"/>
        <item x="79"/>
        <item x="8"/>
        <item x="520"/>
        <item x="125"/>
        <item x="116"/>
        <item x="538"/>
        <item x="222"/>
        <item x="587"/>
        <item x="62"/>
        <item x="345"/>
        <item x="275"/>
        <item x="612"/>
        <item x="361"/>
        <item x="464"/>
        <item x="164"/>
        <item x="139"/>
        <item x="174"/>
        <item x="421"/>
        <item x="46"/>
        <item x="236"/>
        <item t="default"/>
      </items>
    </pivotField>
    <pivotField compact="0" numFmtId="179" showAll="0">
      <items count="632">
        <item x="57"/>
        <item x="616"/>
        <item x="1"/>
        <item x="2"/>
        <item x="384"/>
        <item x="625"/>
        <item x="422"/>
        <item x="264"/>
        <item x="10"/>
        <item x="496"/>
        <item x="559"/>
        <item x="186"/>
        <item x="131"/>
        <item x="133"/>
        <item x="191"/>
        <item x="288"/>
        <item x="406"/>
        <item x="64"/>
        <item x="500"/>
        <item x="71"/>
        <item x="621"/>
        <item x="243"/>
        <item x="124"/>
        <item x="382"/>
        <item x="149"/>
        <item x="387"/>
        <item x="195"/>
        <item x="54"/>
        <item x="258"/>
        <item x="72"/>
        <item x="396"/>
        <item x="415"/>
        <item x="589"/>
        <item x="228"/>
        <item x="383"/>
        <item x="65"/>
        <item x="491"/>
        <item x="80"/>
        <item x="97"/>
        <item x="151"/>
        <item x="104"/>
        <item x="51"/>
        <item x="476"/>
        <item x="360"/>
        <item x="403"/>
        <item x="223"/>
        <item x="600"/>
        <item x="604"/>
        <item x="251"/>
        <item x="121"/>
        <item x="13"/>
        <item x="35"/>
        <item x="448"/>
        <item x="362"/>
        <item x="165"/>
        <item x="166"/>
        <item x="320"/>
        <item x="15"/>
        <item x="389"/>
        <item x="617"/>
        <item x="130"/>
        <item x="145"/>
        <item x="511"/>
        <item x="426"/>
        <item x="192"/>
        <item x="539"/>
        <item x="199"/>
        <item x="298"/>
        <item x="573"/>
        <item x="337"/>
        <item x="302"/>
        <item x="189"/>
        <item x="456"/>
        <item x="26"/>
        <item x="84"/>
        <item x="401"/>
        <item x="431"/>
        <item x="542"/>
        <item x="122"/>
        <item x="100"/>
        <item x="67"/>
        <item x="372"/>
        <item x="267"/>
        <item x="85"/>
        <item x="410"/>
        <item x="93"/>
        <item x="592"/>
        <item x="605"/>
        <item x="237"/>
        <item x="3"/>
        <item x="407"/>
        <item x="141"/>
        <item x="316"/>
        <item x="544"/>
        <item x="332"/>
        <item x="274"/>
        <item x="400"/>
        <item x="234"/>
        <item x="211"/>
        <item x="9"/>
        <item x="215"/>
        <item x="200"/>
        <item x="34"/>
        <item x="113"/>
        <item x="560"/>
        <item x="565"/>
        <item x="178"/>
        <item x="197"/>
        <item x="136"/>
        <item x="233"/>
        <item x="509"/>
        <item x="433"/>
        <item x="484"/>
        <item x="14"/>
        <item x="115"/>
        <item x="350"/>
        <item x="214"/>
        <item x="183"/>
        <item x="154"/>
        <item x="268"/>
        <item x="380"/>
        <item x="52"/>
        <item x="363"/>
        <item x="322"/>
        <item x="611"/>
        <item x="284"/>
        <item x="579"/>
        <item x="529"/>
        <item x="392"/>
        <item x="86"/>
        <item x="357"/>
        <item x="229"/>
        <item x="608"/>
        <item x="318"/>
        <item x="58"/>
        <item x="399"/>
        <item x="138"/>
        <item x="518"/>
        <item x="176"/>
        <item x="364"/>
        <item x="425"/>
        <item x="126"/>
        <item x="374"/>
        <item x="73"/>
        <item x="475"/>
        <item x="461"/>
        <item x="553"/>
        <item x="83"/>
        <item x="226"/>
        <item x="630"/>
        <item x="368"/>
        <item x="503"/>
        <item x="169"/>
        <item x="108"/>
        <item x="247"/>
        <item x="53"/>
        <item x="262"/>
        <item x="161"/>
        <item x="531"/>
        <item x="188"/>
        <item x="310"/>
        <item x="105"/>
        <item x="530"/>
        <item x="297"/>
        <item x="135"/>
        <item x="525"/>
        <item x="285"/>
        <item x="50"/>
        <item x="95"/>
        <item x="111"/>
        <item x="179"/>
        <item x="256"/>
        <item x="171"/>
        <item x="574"/>
        <item x="207"/>
        <item x="281"/>
        <item x="575"/>
        <item x="492"/>
        <item x="563"/>
        <item x="519"/>
        <item x="220"/>
        <item x="235"/>
        <item x="242"/>
        <item x="6"/>
        <item x="535"/>
        <item x="601"/>
        <item x="88"/>
        <item x="29"/>
        <item x="306"/>
        <item x="82"/>
        <item x="118"/>
        <item x="460"/>
        <item x="416"/>
        <item x="609"/>
        <item x="585"/>
        <item x="394"/>
        <item x="619"/>
        <item x="388"/>
        <item x="417"/>
        <item x="462"/>
        <item x="246"/>
        <item x="5"/>
        <item x="290"/>
        <item x="459"/>
        <item x="210"/>
        <item x="313"/>
        <item x="74"/>
        <item x="349"/>
        <item x="184"/>
        <item x="173"/>
        <item x="590"/>
        <item x="446"/>
        <item x="38"/>
        <item x="112"/>
        <item x="571"/>
        <item x="487"/>
        <item x="168"/>
        <item x="340"/>
        <item x="438"/>
        <item x="516"/>
        <item x="25"/>
        <item x="510"/>
        <item x="607"/>
        <item x="123"/>
        <item x="379"/>
        <item x="411"/>
        <item x="489"/>
        <item x="296"/>
        <item x="193"/>
        <item x="353"/>
        <item x="581"/>
        <item x="437"/>
        <item x="405"/>
        <item x="434"/>
        <item x="269"/>
        <item x="463"/>
        <item x="512"/>
        <item x="167"/>
        <item x="342"/>
        <item x="317"/>
        <item x="231"/>
        <item x="245"/>
        <item x="248"/>
        <item x="238"/>
        <item x="217"/>
        <item x="577"/>
        <item x="482"/>
        <item x="132"/>
        <item x="326"/>
        <item x="107"/>
        <item x="622"/>
        <item x="185"/>
        <item x="570"/>
        <item x="369"/>
        <item x="550"/>
        <item x="293"/>
        <item x="381"/>
        <item x="444"/>
        <item x="418"/>
        <item x="62"/>
        <item x="597"/>
        <item x="324"/>
        <item x="398"/>
        <item x="150"/>
        <item x="43"/>
        <item x="427"/>
        <item x="216"/>
        <item x="304"/>
        <item x="205"/>
        <item x="583"/>
        <item x="346"/>
        <item x="239"/>
        <item x="325"/>
        <item x="160"/>
        <item x="620"/>
        <item x="78"/>
        <item x="127"/>
        <item x="386"/>
        <item x="618"/>
        <item x="153"/>
        <item x="409"/>
        <item x="465"/>
        <item x="194"/>
        <item x="295"/>
        <item x="270"/>
        <item x="329"/>
        <item x="11"/>
        <item x="244"/>
        <item x="390"/>
        <item x="598"/>
        <item x="69"/>
        <item x="548"/>
        <item x="240"/>
        <item x="440"/>
        <item x="376"/>
        <item x="507"/>
        <item x="614"/>
        <item x="596"/>
        <item x="307"/>
        <item x="526"/>
        <item x="283"/>
        <item x="569"/>
        <item x="48"/>
        <item x="257"/>
        <item x="343"/>
        <item x="261"/>
        <item x="370"/>
        <item x="142"/>
        <item x="485"/>
        <item x="523"/>
        <item x="263"/>
        <item x="4"/>
        <item x="56"/>
        <item x="271"/>
        <item x="595"/>
        <item x="478"/>
        <item x="578"/>
        <item x="420"/>
        <item x="232"/>
        <item x="552"/>
        <item x="315"/>
        <item x="493"/>
        <item x="221"/>
        <item x="24"/>
        <item x="27"/>
        <item x="545"/>
        <item x="564"/>
        <item x="494"/>
        <item x="419"/>
        <item x="117"/>
        <item x="0"/>
        <item x="480"/>
        <item x="37"/>
        <item x="515"/>
        <item x="45"/>
        <item x="333"/>
        <item x="502"/>
        <item x="98"/>
        <item x="603"/>
        <item x="40"/>
        <item x="626"/>
        <item x="102"/>
        <item x="517"/>
        <item x="146"/>
        <item x="331"/>
        <item x="524"/>
        <item x="182"/>
        <item x="77"/>
        <item x="435"/>
        <item x="483"/>
        <item x="402"/>
        <item x="81"/>
        <item x="49"/>
        <item x="330"/>
        <item x="586"/>
        <item x="436"/>
        <item x="547"/>
        <item x="213"/>
        <item x="276"/>
        <item x="21"/>
        <item x="472"/>
        <item x="230"/>
        <item x="442"/>
        <item x="227"/>
        <item x="327"/>
        <item x="521"/>
        <item x="303"/>
        <item x="70"/>
        <item x="89"/>
        <item x="91"/>
        <item x="514"/>
        <item x="572"/>
        <item x="488"/>
        <item x="31"/>
        <item x="466"/>
        <item x="385"/>
        <item x="196"/>
        <item x="140"/>
        <item x="305"/>
        <item x="241"/>
        <item x="282"/>
        <item x="377"/>
        <item x="508"/>
        <item x="314"/>
        <item x="300"/>
        <item x="311"/>
        <item x="557"/>
        <item x="580"/>
        <item x="253"/>
        <item x="452"/>
        <item x="490"/>
        <item x="468"/>
        <item x="181"/>
        <item x="30"/>
        <item x="61"/>
        <item x="63"/>
        <item x="308"/>
        <item x="163"/>
        <item x="177"/>
        <item x="457"/>
        <item x="278"/>
        <item x="155"/>
        <item x="546"/>
        <item x="593"/>
        <item x="190"/>
        <item x="292"/>
        <item x="255"/>
        <item x="68"/>
        <item x="129"/>
        <item x="562"/>
        <item x="497"/>
        <item x="208"/>
        <item x="551"/>
        <item x="445"/>
        <item x="147"/>
        <item x="170"/>
        <item x="408"/>
        <item x="532"/>
        <item x="250"/>
        <item x="454"/>
        <item x="66"/>
        <item x="558"/>
        <item x="103"/>
        <item x="527"/>
        <item x="90"/>
        <item x="404"/>
        <item x="469"/>
        <item x="273"/>
        <item x="42"/>
        <item x="272"/>
        <item x="501"/>
        <item x="249"/>
        <item x="157"/>
        <item x="505"/>
        <item x="159"/>
        <item x="449"/>
        <item x="358"/>
        <item x="162"/>
        <item x="588"/>
        <item x="291"/>
        <item x="36"/>
        <item x="344"/>
        <item x="467"/>
        <item x="432"/>
        <item x="137"/>
        <item x="534"/>
        <item x="576"/>
        <item x="87"/>
        <item x="584"/>
        <item x="629"/>
        <item x="429"/>
        <item x="615"/>
        <item x="280"/>
        <item x="458"/>
        <item x="541"/>
        <item x="613"/>
        <item x="348"/>
        <item x="397"/>
        <item x="351"/>
        <item x="144"/>
        <item x="7"/>
        <item x="32"/>
        <item x="424"/>
        <item x="334"/>
        <item x="175"/>
        <item x="44"/>
        <item x="266"/>
        <item x="455"/>
        <item x="219"/>
        <item x="279"/>
        <item x="260"/>
        <item x="506"/>
        <item x="202"/>
        <item x="367"/>
        <item x="471"/>
        <item x="352"/>
        <item x="412"/>
        <item x="610"/>
        <item x="187"/>
        <item x="59"/>
        <item x="498"/>
        <item x="543"/>
        <item x="209"/>
        <item x="299"/>
        <item x="101"/>
        <item x="473"/>
        <item x="561"/>
        <item x="110"/>
        <item x="143"/>
        <item x="594"/>
        <item x="522"/>
        <item x="354"/>
        <item x="60"/>
        <item x="259"/>
        <item x="128"/>
        <item x="582"/>
        <item x="301"/>
        <item x="365"/>
        <item x="201"/>
        <item x="20"/>
        <item x="393"/>
        <item x="28"/>
        <item x="338"/>
        <item x="106"/>
        <item x="414"/>
        <item x="443"/>
        <item x="289"/>
        <item x="439"/>
        <item x="499"/>
        <item x="22"/>
        <item x="156"/>
        <item x="96"/>
        <item x="366"/>
        <item x="359"/>
        <item x="286"/>
        <item x="453"/>
        <item x="224"/>
        <item x="92"/>
        <item x="212"/>
        <item x="39"/>
        <item x="540"/>
        <item x="294"/>
        <item x="120"/>
        <item x="450"/>
        <item x="158"/>
        <item x="474"/>
        <item x="172"/>
        <item x="341"/>
        <item x="537"/>
        <item x="347"/>
        <item x="287"/>
        <item x="225"/>
        <item x="328"/>
        <item x="12"/>
        <item x="391"/>
        <item x="218"/>
        <item x="109"/>
        <item x="567"/>
        <item x="373"/>
        <item x="252"/>
        <item x="114"/>
        <item x="624"/>
        <item x="319"/>
        <item x="134"/>
        <item x="41"/>
        <item x="339"/>
        <item x="204"/>
        <item x="451"/>
        <item x="76"/>
        <item x="486"/>
        <item x="309"/>
        <item x="203"/>
        <item x="627"/>
        <item x="19"/>
        <item x="23"/>
        <item x="549"/>
        <item x="335"/>
        <item x="277"/>
        <item x="47"/>
        <item x="336"/>
        <item x="599"/>
        <item x="375"/>
        <item x="33"/>
        <item x="152"/>
        <item x="254"/>
        <item x="356"/>
        <item x="16"/>
        <item x="495"/>
        <item x="206"/>
        <item x="566"/>
        <item x="371"/>
        <item x="323"/>
        <item x="139"/>
        <item x="8"/>
        <item x="447"/>
        <item x="481"/>
        <item x="606"/>
        <item x="312"/>
        <item x="441"/>
        <item x="75"/>
        <item x="265"/>
        <item x="568"/>
        <item x="55"/>
        <item x="504"/>
        <item x="513"/>
        <item x="180"/>
        <item x="428"/>
        <item x="148"/>
        <item x="413"/>
        <item x="554"/>
        <item x="470"/>
        <item x="378"/>
        <item x="533"/>
        <item x="17"/>
        <item x="555"/>
        <item x="477"/>
        <item x="18"/>
        <item x="423"/>
        <item x="528"/>
        <item x="602"/>
        <item x="198"/>
        <item x="275"/>
        <item x="479"/>
        <item x="79"/>
        <item x="628"/>
        <item x="119"/>
        <item x="125"/>
        <item x="321"/>
        <item x="355"/>
        <item x="623"/>
        <item x="536"/>
        <item x="94"/>
        <item x="591"/>
        <item x="464"/>
        <item x="556"/>
        <item x="164"/>
        <item x="395"/>
        <item x="538"/>
        <item x="99"/>
        <item x="116"/>
        <item x="430"/>
        <item x="587"/>
        <item x="520"/>
        <item x="345"/>
        <item x="174"/>
        <item x="222"/>
        <item x="361"/>
        <item x="421"/>
        <item x="612"/>
        <item x="236"/>
        <item x="46"/>
        <item t="default"/>
      </items>
    </pivotField>
  </pivotFields>
  <dataFields count="1">
    <dataField name="Sum of Gross Profit" fld="24" baseField="0" baseItem="0"/>
  </dataFields>
  <formats count="2">
    <format dxfId="2">
      <pivotArea collapsedLevelsAreSubtotals="1" fieldPosition="0"/>
    </format>
    <format dxfId="3">
      <pivotArea collapsedLevelsAreSubtotals="1" fieldPosition="0"/>
    </format>
  </formats>
  <pivotTableStyleInfo name="PivotStylePreset4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B10" firstHeaderRow="0" firstDataRow="1" firstDataCol="0"/>
  <pivotFields count="42">
    <pivotField dataField="1" compact="0" showAll="0">
      <items count="631">
        <item x="604"/>
        <item x="448"/>
        <item x="6"/>
        <item x="517"/>
        <item x="572"/>
        <item x="45"/>
        <item x="366"/>
        <item x="200"/>
        <item x="550"/>
        <item x="323"/>
        <item x="437"/>
        <item x="165"/>
        <item x="79"/>
        <item x="360"/>
        <item x="327"/>
        <item x="299"/>
        <item x="452"/>
        <item x="576"/>
        <item x="192"/>
        <item x="121"/>
        <item x="331"/>
        <item x="438"/>
        <item x="456"/>
        <item x="147"/>
        <item x="223"/>
        <item x="189"/>
        <item x="346"/>
        <item x="277"/>
        <item x="349"/>
        <item x="534"/>
        <item x="53"/>
        <item x="64"/>
        <item x="162"/>
        <item x="469"/>
        <item x="579"/>
        <item x="624"/>
        <item x="105"/>
        <item x="268"/>
        <item x="255"/>
        <item x="88"/>
        <item x="338"/>
        <item x="23"/>
        <item x="219"/>
        <item x="280"/>
        <item x="249"/>
        <item x="375"/>
        <item x="539"/>
        <item x="171"/>
        <item x="224"/>
        <item x="77"/>
        <item x="48"/>
        <item x="602"/>
        <item x="225"/>
        <item x="167"/>
        <item x="44"/>
        <item x="143"/>
        <item x="182"/>
        <item x="573"/>
        <item x="80"/>
        <item x="511"/>
        <item x="561"/>
        <item x="314"/>
        <item x="390"/>
        <item x="287"/>
        <item x="271"/>
        <item x="2"/>
        <item x="91"/>
        <item x="291"/>
        <item x="433"/>
        <item x="584"/>
        <item x="198"/>
        <item x="73"/>
        <item x="362"/>
        <item x="203"/>
        <item x="184"/>
        <item x="496"/>
        <item x="51"/>
        <item x="98"/>
        <item x="117"/>
        <item x="131"/>
        <item x="214"/>
        <item x="494"/>
        <item x="170"/>
        <item x="612"/>
        <item x="542"/>
        <item x="628"/>
        <item x="519"/>
        <item x="546"/>
        <item x="254"/>
        <item x="350"/>
        <item x="63"/>
        <item x="545"/>
        <item x="150"/>
        <item x="222"/>
        <item x="614"/>
        <item x="238"/>
        <item x="259"/>
        <item x="128"/>
        <item x="531"/>
        <item x="325"/>
        <item x="458"/>
        <item x="370"/>
        <item x="65"/>
        <item x="625"/>
        <item x="603"/>
        <item x="623"/>
        <item x="30"/>
        <item x="514"/>
        <item x="476"/>
        <item x="343"/>
        <item x="498"/>
        <item x="196"/>
        <item x="120"/>
        <item x="444"/>
        <item x="454"/>
        <item x="201"/>
        <item x="473"/>
        <item x="300"/>
        <item x="381"/>
        <item x="151"/>
        <item x="484"/>
        <item x="295"/>
        <item x="123"/>
        <item x="228"/>
        <item x="477"/>
        <item x="283"/>
        <item x="136"/>
        <item x="215"/>
        <item x="386"/>
        <item x="590"/>
        <item x="315"/>
        <item x="536"/>
        <item x="418"/>
        <item x="260"/>
        <item x="265"/>
        <item x="258"/>
        <item x="527"/>
        <item x="38"/>
        <item x="212"/>
        <item x="430"/>
        <item x="336"/>
        <item x="175"/>
        <item x="608"/>
        <item x="290"/>
        <item x="407"/>
        <item x="383"/>
        <item x="595"/>
        <item x="525"/>
        <item x="197"/>
        <item x="459"/>
        <item x="220"/>
        <item x="575"/>
        <item x="278"/>
        <item x="74"/>
        <item x="4"/>
        <item x="588"/>
        <item x="465"/>
        <item x="411"/>
        <item x="348"/>
        <item x="500"/>
        <item x="242"/>
        <item x="67"/>
        <item x="435"/>
        <item x="618"/>
        <item x="339"/>
        <item x="443"/>
        <item x="449"/>
        <item x="475"/>
        <item x="436"/>
        <item x="68"/>
        <item x="538"/>
        <item x="368"/>
        <item x="337"/>
        <item x="144"/>
        <item x="186"/>
        <item x="317"/>
        <item x="387"/>
        <item x="84"/>
        <item x="153"/>
        <item x="440"/>
        <item x="159"/>
        <item x="403"/>
        <item x="369"/>
        <item x="580"/>
        <item x="34"/>
        <item x="506"/>
        <item x="482"/>
        <item x="134"/>
        <item x="20"/>
        <item x="569"/>
        <item x="94"/>
        <item x="114"/>
        <item x="455"/>
        <item x="124"/>
        <item x="307"/>
        <item x="164"/>
        <item x="622"/>
        <item x="257"/>
        <item x="320"/>
        <item x="310"/>
        <item x="27"/>
        <item x="345"/>
        <item x="139"/>
        <item x="141"/>
        <item x="508"/>
        <item x="204"/>
        <item x="626"/>
        <item x="191"/>
        <item x="392"/>
        <item x="468"/>
        <item x="410"/>
        <item x="14"/>
        <item x="330"/>
        <item x="232"/>
        <item x="227"/>
        <item x="554"/>
        <item x="541"/>
        <item x="627"/>
        <item x="236"/>
        <item x="266"/>
        <item x="537"/>
        <item x="113"/>
        <item x="413"/>
        <item x="177"/>
        <item x="395"/>
        <item x="478"/>
        <item x="335"/>
        <item x="163"/>
        <item x="154"/>
        <item x="548"/>
        <item x="324"/>
        <item x="104"/>
        <item x="133"/>
        <item x="308"/>
        <item x="108"/>
        <item x="33"/>
        <item x="400"/>
        <item x="29"/>
        <item x="78"/>
        <item x="213"/>
        <item x="152"/>
        <item x="457"/>
        <item x="547"/>
        <item x="15"/>
        <item x="321"/>
        <item x="522"/>
        <item x="296"/>
        <item x="563"/>
        <item x="479"/>
        <item x="9"/>
        <item x="146"/>
        <item x="190"/>
        <item x="24"/>
        <item x="161"/>
        <item x="250"/>
        <item x="110"/>
        <item x="352"/>
        <item x="138"/>
        <item x="180"/>
        <item x="585"/>
        <item x="488"/>
        <item x="62"/>
        <item x="559"/>
        <item x="391"/>
        <item x="453"/>
        <item x="50"/>
        <item x="606"/>
        <item x="0"/>
        <item x="286"/>
        <item x="233"/>
        <item x="106"/>
        <item x="69"/>
        <item x="56"/>
        <item x="40"/>
        <item x="251"/>
        <item x="389"/>
        <item x="503"/>
        <item x="246"/>
        <item x="166"/>
        <item x="560"/>
        <item x="609"/>
        <item x="333"/>
        <item x="340"/>
        <item x="5"/>
        <item x="611"/>
        <item x="361"/>
        <item x="66"/>
        <item x="252"/>
        <item x="535"/>
        <item x="571"/>
        <item x="460"/>
        <item x="160"/>
        <item x="1"/>
        <item x="523"/>
        <item x="282"/>
        <item x="485"/>
        <item x="409"/>
        <item x="428"/>
        <item x="483"/>
        <item x="142"/>
        <item x="43"/>
        <item x="404"/>
        <item x="382"/>
        <item x="516"/>
        <item x="309"/>
        <item x="544"/>
        <item x="230"/>
        <item x="312"/>
        <item x="493"/>
        <item x="567"/>
        <item x="148"/>
        <item x="593"/>
        <item x="193"/>
        <item x="439"/>
        <item x="75"/>
        <item x="76"/>
        <item x="412"/>
        <item x="49"/>
        <item x="520"/>
        <item x="422"/>
        <item x="116"/>
        <item x="102"/>
        <item x="577"/>
        <item x="273"/>
        <item x="22"/>
        <item x="264"/>
        <item x="322"/>
        <item x="187"/>
        <item x="463"/>
        <item x="442"/>
        <item x="355"/>
        <item x="423"/>
        <item x="491"/>
        <item x="385"/>
        <item x="528"/>
        <item x="553"/>
        <item x="408"/>
        <item x="244"/>
        <item x="46"/>
        <item x="599"/>
        <item x="156"/>
        <item x="557"/>
        <item x="447"/>
        <item x="499"/>
        <item x="231"/>
        <item x="334"/>
        <item x="586"/>
        <item x="492"/>
        <item x="276"/>
        <item x="432"/>
        <item x="125"/>
        <item x="597"/>
        <item x="122"/>
        <item x="7"/>
        <item x="581"/>
        <item x="85"/>
        <item x="37"/>
        <item x="87"/>
        <item x="127"/>
        <item x="169"/>
        <item x="399"/>
        <item x="540"/>
        <item x="32"/>
        <item x="39"/>
        <item x="96"/>
        <item x="183"/>
        <item x="474"/>
        <item x="341"/>
        <item x="471"/>
        <item x="429"/>
        <item x="414"/>
        <item x="248"/>
        <item x="194"/>
        <item x="401"/>
        <item x="208"/>
        <item x="556"/>
        <item x="206"/>
        <item x="582"/>
        <item x="372"/>
        <item x="35"/>
        <item x="358"/>
        <item x="526"/>
        <item x="319"/>
        <item x="216"/>
        <item x="495"/>
        <item x="505"/>
        <item x="610"/>
        <item x="441"/>
        <item x="270"/>
        <item x="417"/>
        <item x="617"/>
        <item x="188"/>
        <item x="155"/>
        <item x="566"/>
        <item x="103"/>
        <item x="507"/>
        <item x="217"/>
        <item x="137"/>
        <item x="464"/>
        <item x="25"/>
        <item x="294"/>
        <item x="489"/>
        <item x="107"/>
        <item x="19"/>
        <item x="72"/>
        <item x="234"/>
        <item x="426"/>
        <item x="620"/>
        <item x="364"/>
        <item x="318"/>
        <item x="521"/>
        <item x="272"/>
        <item x="135"/>
        <item x="431"/>
        <item x="607"/>
        <item x="100"/>
        <item x="450"/>
        <item x="243"/>
        <item x="26"/>
        <item x="253"/>
        <item x="285"/>
        <item x="241"/>
        <item x="373"/>
        <item x="558"/>
        <item x="302"/>
        <item x="267"/>
        <item x="446"/>
        <item x="12"/>
        <item x="357"/>
        <item x="518"/>
        <item x="342"/>
        <item x="237"/>
        <item x="344"/>
        <item x="140"/>
        <item x="59"/>
        <item x="598"/>
        <item x="109"/>
        <item x="351"/>
        <item x="111"/>
        <item x="353"/>
        <item x="311"/>
        <item x="615"/>
        <item x="71"/>
        <item x="168"/>
        <item x="591"/>
        <item x="274"/>
        <item x="176"/>
        <item x="509"/>
        <item x="356"/>
        <item x="510"/>
        <item x="47"/>
        <item x="195"/>
        <item x="173"/>
        <item x="434"/>
        <item x="397"/>
        <item x="486"/>
        <item x="564"/>
        <item x="210"/>
        <item x="425"/>
        <item x="92"/>
        <item x="41"/>
        <item x="199"/>
        <item x="81"/>
        <item x="363"/>
        <item x="235"/>
        <item x="512"/>
        <item x="303"/>
        <item x="205"/>
        <item x="533"/>
        <item x="616"/>
        <item x="578"/>
        <item x="3"/>
        <item x="568"/>
        <item x="570"/>
        <item x="119"/>
        <item x="256"/>
        <item x="374"/>
        <item x="600"/>
        <item x="298"/>
        <item x="378"/>
        <item x="416"/>
        <item x="313"/>
        <item x="16"/>
        <item x="145"/>
        <item x="149"/>
        <item x="583"/>
        <item x="247"/>
        <item x="481"/>
        <item x="487"/>
        <item x="605"/>
        <item x="95"/>
        <item x="371"/>
        <item x="419"/>
        <item x="301"/>
        <item x="587"/>
        <item x="574"/>
        <item x="226"/>
        <item x="461"/>
        <item x="367"/>
        <item x="532"/>
        <item x="332"/>
        <item x="99"/>
        <item x="83"/>
        <item x="501"/>
        <item x="552"/>
        <item x="551"/>
        <item x="132"/>
        <item x="305"/>
        <item x="293"/>
        <item x="415"/>
        <item x="306"/>
        <item x="480"/>
        <item x="451"/>
        <item x="158"/>
        <item x="549"/>
        <item x="262"/>
        <item x="524"/>
        <item x="445"/>
        <item x="504"/>
        <item x="31"/>
        <item x="347"/>
        <item x="269"/>
        <item x="388"/>
        <item x="393"/>
        <item x="292"/>
        <item x="11"/>
        <item x="82"/>
        <item x="462"/>
        <item x="130"/>
        <item x="239"/>
        <item x="406"/>
        <item x="10"/>
        <item x="61"/>
        <item x="90"/>
        <item x="613"/>
        <item x="126"/>
        <item x="284"/>
        <item x="97"/>
        <item x="185"/>
        <item x="28"/>
        <item x="211"/>
        <item x="52"/>
        <item x="21"/>
        <item x="209"/>
        <item x="396"/>
        <item x="359"/>
        <item x="398"/>
        <item x="365"/>
        <item x="89"/>
        <item x="207"/>
        <item x="513"/>
        <item x="376"/>
        <item x="57"/>
        <item x="70"/>
        <item x="240"/>
        <item x="112"/>
        <item x="621"/>
        <item x="129"/>
        <item x="420"/>
        <item x="178"/>
        <item x="328"/>
        <item x="562"/>
        <item x="101"/>
        <item x="179"/>
        <item x="427"/>
        <item x="394"/>
        <item x="275"/>
        <item x="221"/>
        <item x="502"/>
        <item x="472"/>
        <item x="596"/>
        <item x="279"/>
        <item x="115"/>
        <item x="172"/>
        <item x="490"/>
        <item x="594"/>
        <item x="36"/>
        <item x="93"/>
        <item x="629"/>
        <item x="329"/>
        <item x="18"/>
        <item x="601"/>
        <item x="289"/>
        <item x="229"/>
        <item x="218"/>
        <item x="58"/>
        <item x="54"/>
        <item x="157"/>
        <item x="530"/>
        <item x="326"/>
        <item x="60"/>
        <item x="470"/>
        <item x="380"/>
        <item x="466"/>
        <item x="424"/>
        <item x="42"/>
        <item x="379"/>
        <item x="497"/>
        <item x="515"/>
        <item x="421"/>
        <item x="13"/>
        <item x="17"/>
        <item x="174"/>
        <item x="592"/>
        <item x="316"/>
        <item x="86"/>
        <item x="384"/>
        <item x="555"/>
        <item x="405"/>
        <item x="263"/>
        <item x="181"/>
        <item x="619"/>
        <item x="261"/>
        <item x="402"/>
        <item x="377"/>
        <item x="288"/>
        <item x="529"/>
        <item x="565"/>
        <item x="55"/>
        <item x="297"/>
        <item x="304"/>
        <item x="245"/>
        <item x="467"/>
        <item x="354"/>
        <item x="118"/>
        <item x="543"/>
        <item x="202"/>
        <item x="281"/>
        <item x="589"/>
        <item x="8"/>
        <item t="default"/>
      </items>
    </pivotField>
    <pivotField compact="0" numFmtId="58" showAll="0">
      <items count="468">
        <item x="4"/>
        <item x="454"/>
        <item x="270"/>
        <item x="414"/>
        <item x="180"/>
        <item x="6"/>
        <item x="370"/>
        <item x="183"/>
        <item x="118"/>
        <item x="423"/>
        <item x="121"/>
        <item x="170"/>
        <item x="179"/>
        <item x="311"/>
        <item x="22"/>
        <item x="76"/>
        <item x="425"/>
        <item x="61"/>
        <item x="151"/>
        <item x="146"/>
        <item x="360"/>
        <item x="28"/>
        <item x="158"/>
        <item x="451"/>
        <item x="2"/>
        <item x="106"/>
        <item x="431"/>
        <item x="225"/>
        <item x="335"/>
        <item x="205"/>
        <item x="314"/>
        <item x="210"/>
        <item x="341"/>
        <item x="63"/>
        <item x="277"/>
        <item x="149"/>
        <item x="32"/>
        <item x="49"/>
        <item x="450"/>
        <item x="162"/>
        <item x="88"/>
        <item x="457"/>
        <item x="124"/>
        <item x="289"/>
        <item x="26"/>
        <item x="386"/>
        <item x="152"/>
        <item x="42"/>
        <item x="66"/>
        <item x="459"/>
        <item x="14"/>
        <item x="440"/>
        <item x="409"/>
        <item x="128"/>
        <item x="448"/>
        <item x="176"/>
        <item x="274"/>
        <item x="238"/>
        <item x="405"/>
        <item x="19"/>
        <item x="381"/>
        <item x="361"/>
        <item x="71"/>
        <item x="206"/>
        <item x="372"/>
        <item x="233"/>
        <item x="327"/>
        <item x="407"/>
        <item x="445"/>
        <item x="307"/>
        <item x="108"/>
        <item x="279"/>
        <item x="366"/>
        <item x="74"/>
        <item x="250"/>
        <item x="36"/>
        <item x="263"/>
        <item x="168"/>
        <item x="43"/>
        <item x="86"/>
        <item x="84"/>
        <item x="305"/>
        <item x="185"/>
        <item x="139"/>
        <item x="132"/>
        <item x="421"/>
        <item x="424"/>
        <item x="375"/>
        <item x="46"/>
        <item x="288"/>
        <item x="385"/>
        <item x="255"/>
        <item x="171"/>
        <item x="369"/>
        <item x="244"/>
        <item x="287"/>
        <item x="130"/>
        <item x="202"/>
        <item x="442"/>
        <item x="241"/>
        <item x="234"/>
        <item x="173"/>
        <item x="388"/>
        <item x="114"/>
        <item x="182"/>
        <item x="418"/>
        <item x="65"/>
        <item x="113"/>
        <item x="259"/>
        <item x="416"/>
        <item x="342"/>
        <item x="199"/>
        <item x="160"/>
        <item x="344"/>
        <item x="51"/>
        <item x="428"/>
        <item x="136"/>
        <item x="458"/>
        <item x="72"/>
        <item x="215"/>
        <item x="363"/>
        <item x="157"/>
        <item x="198"/>
        <item x="322"/>
        <item x="203"/>
        <item x="230"/>
        <item x="154"/>
        <item x="326"/>
        <item x="232"/>
        <item x="347"/>
        <item x="175"/>
        <item x="357"/>
        <item x="258"/>
        <item x="281"/>
        <item x="390"/>
        <item x="323"/>
        <item x="249"/>
        <item x="142"/>
        <item x="192"/>
        <item x="275"/>
        <item x="284"/>
        <item x="111"/>
        <item x="105"/>
        <item x="213"/>
        <item x="133"/>
        <item x="293"/>
        <item x="296"/>
        <item x="62"/>
        <item x="373"/>
        <item x="140"/>
        <item x="339"/>
        <item x="379"/>
        <item x="201"/>
        <item x="194"/>
        <item x="294"/>
        <item x="80"/>
        <item x="239"/>
        <item x="310"/>
        <item x="422"/>
        <item x="112"/>
        <item x="359"/>
        <item x="299"/>
        <item x="278"/>
        <item x="434"/>
        <item x="240"/>
        <item x="38"/>
        <item x="181"/>
        <item x="93"/>
        <item x="346"/>
        <item x="302"/>
        <item x="12"/>
        <item x="83"/>
        <item x="435"/>
        <item x="246"/>
        <item x="9"/>
        <item x="144"/>
        <item x="161"/>
        <item x="382"/>
        <item x="436"/>
        <item x="178"/>
        <item x="127"/>
        <item x="220"/>
        <item x="291"/>
        <item x="141"/>
        <item x="350"/>
        <item x="438"/>
        <item x="353"/>
        <item x="351"/>
        <item x="193"/>
        <item x="396"/>
        <item x="262"/>
        <item x="313"/>
        <item x="427"/>
        <item x="219"/>
        <item x="33"/>
        <item x="306"/>
        <item x="57"/>
        <item x="0"/>
        <item x="449"/>
        <item x="226"/>
        <item x="245"/>
        <item x="67"/>
        <item x="362"/>
        <item x="264"/>
        <item x="247"/>
        <item x="214"/>
        <item x="243"/>
        <item x="148"/>
        <item x="135"/>
        <item x="402"/>
        <item x="81"/>
        <item x="285"/>
        <item x="69"/>
        <item x="412"/>
        <item x="30"/>
        <item x="35"/>
        <item x="394"/>
        <item x="411"/>
        <item x="399"/>
        <item x="229"/>
        <item x="371"/>
        <item x="7"/>
        <item x="374"/>
        <item x="321"/>
        <item x="384"/>
        <item x="392"/>
        <item x="44"/>
        <item x="312"/>
        <item x="21"/>
        <item x="172"/>
        <item x="41"/>
        <item x="97"/>
        <item x="64"/>
        <item x="153"/>
        <item x="397"/>
        <item x="90"/>
        <item x="117"/>
        <item x="100"/>
        <item x="367"/>
        <item x="150"/>
        <item x="415"/>
        <item x="343"/>
        <item x="115"/>
        <item x="273"/>
        <item x="101"/>
        <item x="102"/>
        <item x="368"/>
        <item x="131"/>
        <item x="248"/>
        <item x="268"/>
        <item x="303"/>
        <item x="462"/>
        <item x="103"/>
        <item x="23"/>
        <item x="410"/>
        <item x="286"/>
        <item x="292"/>
        <item x="156"/>
        <item x="319"/>
        <item x="25"/>
        <item x="333"/>
        <item x="18"/>
        <item x="464"/>
        <item x="227"/>
        <item x="452"/>
        <item x="446"/>
        <item x="398"/>
        <item x="143"/>
        <item x="297"/>
        <item x="325"/>
        <item x="174"/>
        <item x="98"/>
        <item x="420"/>
        <item x="455"/>
        <item x="352"/>
        <item x="395"/>
        <item x="364"/>
        <item x="31"/>
        <item x="37"/>
        <item x="73"/>
        <item x="340"/>
        <item x="433"/>
        <item x="224"/>
        <item x="208"/>
        <item x="209"/>
        <item x="330"/>
        <item x="254"/>
        <item x="190"/>
        <item x="186"/>
        <item x="211"/>
        <item x="96"/>
        <item x="196"/>
        <item x="177"/>
        <item x="137"/>
        <item x="365"/>
        <item x="188"/>
        <item x="165"/>
        <item x="87"/>
        <item x="237"/>
        <item x="155"/>
        <item x="406"/>
        <item x="195"/>
        <item x="463"/>
        <item x="45"/>
        <item x="99"/>
        <item x="48"/>
        <item x="461"/>
        <item x="167"/>
        <item x="1"/>
        <item x="403"/>
        <item x="39"/>
        <item x="228"/>
        <item x="290"/>
        <item x="147"/>
        <item x="355"/>
        <item x="60"/>
        <item x="272"/>
        <item x="332"/>
        <item x="47"/>
        <item x="298"/>
        <item x="222"/>
        <item x="443"/>
        <item x="404"/>
        <item x="391"/>
        <item x="126"/>
        <item x="75"/>
        <item x="378"/>
        <item x="301"/>
        <item x="460"/>
        <item x="24"/>
        <item x="218"/>
        <item x="95"/>
        <item x="429"/>
        <item x="389"/>
        <item x="15"/>
        <item x="329"/>
        <item x="125"/>
        <item x="70"/>
        <item x="54"/>
        <item x="336"/>
        <item x="123"/>
        <item x="129"/>
        <item x="358"/>
        <item x="5"/>
        <item x="356"/>
        <item x="271"/>
        <item x="10"/>
        <item x="408"/>
        <item x="315"/>
        <item x="122"/>
        <item x="419"/>
        <item x="282"/>
        <item x="169"/>
        <item x="104"/>
        <item x="334"/>
        <item x="50"/>
        <item x="265"/>
        <item x="92"/>
        <item x="191"/>
        <item x="317"/>
        <item x="166"/>
        <item x="184"/>
        <item x="316"/>
        <item x="413"/>
        <item x="53"/>
        <item x="119"/>
        <item x="145"/>
        <item x="432"/>
        <item x="453"/>
        <item x="242"/>
        <item x="337"/>
        <item x="348"/>
        <item x="466"/>
        <item x="120"/>
        <item x="11"/>
        <item x="338"/>
        <item x="401"/>
        <item x="417"/>
        <item x="251"/>
        <item x="309"/>
        <item x="308"/>
        <item x="380"/>
        <item x="400"/>
        <item x="79"/>
        <item x="3"/>
        <item x="257"/>
        <item x="94"/>
        <item x="276"/>
        <item x="253"/>
        <item x="52"/>
        <item x="27"/>
        <item x="68"/>
        <item x="376"/>
        <item x="260"/>
        <item x="331"/>
        <item x="439"/>
        <item x="159"/>
        <item x="138"/>
        <item x="447"/>
        <item x="221"/>
        <item x="78"/>
        <item x="207"/>
        <item x="59"/>
        <item x="85"/>
        <item x="56"/>
        <item x="354"/>
        <item x="266"/>
        <item x="320"/>
        <item x="77"/>
        <item x="393"/>
        <item x="216"/>
        <item x="252"/>
        <item x="269"/>
        <item x="280"/>
        <item x="8"/>
        <item x="328"/>
        <item x="40"/>
        <item x="261"/>
        <item x="107"/>
        <item x="345"/>
        <item x="55"/>
        <item x="20"/>
        <item x="324"/>
        <item x="295"/>
        <item x="110"/>
        <item x="235"/>
        <item x="267"/>
        <item x="34"/>
        <item x="304"/>
        <item x="437"/>
        <item x="231"/>
        <item x="349"/>
        <item x="109"/>
        <item x="444"/>
        <item x="189"/>
        <item x="200"/>
        <item x="212"/>
        <item x="465"/>
        <item x="17"/>
        <item x="187"/>
        <item x="91"/>
        <item x="318"/>
        <item x="29"/>
        <item x="377"/>
        <item x="89"/>
        <item x="217"/>
        <item x="441"/>
        <item x="116"/>
        <item x="430"/>
        <item x="82"/>
        <item x="204"/>
        <item x="456"/>
        <item x="383"/>
        <item x="300"/>
        <item x="426"/>
        <item x="163"/>
        <item x="197"/>
        <item x="256"/>
        <item x="387"/>
        <item x="13"/>
        <item x="236"/>
        <item x="16"/>
        <item x="58"/>
        <item x="134"/>
        <item x="223"/>
        <item x="283"/>
        <item x="164"/>
        <item t="default"/>
      </items>
    </pivotField>
    <pivotField compact="0" numFmtId="58" showAll="0">
      <items count="469">
        <item x="1"/>
        <item x="4"/>
        <item x="6"/>
        <item x="184"/>
        <item x="198"/>
        <item x="410"/>
        <item x="269"/>
        <item x="124"/>
        <item x="127"/>
        <item x="186"/>
        <item x="440"/>
        <item x="77"/>
        <item x="23"/>
        <item x="418"/>
        <item x="182"/>
        <item x="61"/>
        <item x="278"/>
        <item x="173"/>
        <item x="151"/>
        <item x="110"/>
        <item x="421"/>
        <item x="296"/>
        <item x="161"/>
        <item x="156"/>
        <item x="383"/>
        <item x="95"/>
        <item x="222"/>
        <item x="2"/>
        <item x="154"/>
        <item x="213"/>
        <item x="210"/>
        <item x="313"/>
        <item x="49"/>
        <item x="338"/>
        <item x="309"/>
        <item x="63"/>
        <item x="289"/>
        <item x="131"/>
        <item x="276"/>
        <item x="165"/>
        <item x="129"/>
        <item x="356"/>
        <item x="399"/>
        <item x="14"/>
        <item x="452"/>
        <item x="449"/>
        <item x="436"/>
        <item x="91"/>
        <item x="188"/>
        <item x="42"/>
        <item x="429"/>
        <item x="234"/>
        <item x="205"/>
        <item x="66"/>
        <item x="183"/>
        <item x="27"/>
        <item x="294"/>
        <item x="71"/>
        <item x="369"/>
        <item x="425"/>
        <item x="378"/>
        <item x="382"/>
        <item x="179"/>
        <item x="407"/>
        <item x="20"/>
        <item x="280"/>
        <item x="434"/>
        <item x="358"/>
        <item x="102"/>
        <item x="402"/>
        <item x="211"/>
        <item x="373"/>
        <item x="75"/>
        <item x="281"/>
        <item x="113"/>
        <item x="325"/>
        <item x="366"/>
        <item x="270"/>
        <item x="89"/>
        <item x="36"/>
        <item x="304"/>
        <item x="439"/>
        <item x="86"/>
        <item x="43"/>
        <item x="392"/>
        <item x="259"/>
        <item x="419"/>
        <item x="415"/>
        <item x="437"/>
        <item x="417"/>
        <item x="137"/>
        <item x="466"/>
        <item x="372"/>
        <item x="171"/>
        <item x="263"/>
        <item x="144"/>
        <item x="174"/>
        <item x="46"/>
        <item x="463"/>
        <item x="207"/>
        <item x="253"/>
        <item x="240"/>
        <item x="237"/>
        <item x="385"/>
        <item x="288"/>
        <item x="176"/>
        <item x="169"/>
        <item x="229"/>
        <item x="135"/>
        <item x="465"/>
        <item x="51"/>
        <item x="285"/>
        <item x="119"/>
        <item x="120"/>
        <item x="65"/>
        <item x="203"/>
        <item x="164"/>
        <item x="78"/>
        <item x="339"/>
        <item x="459"/>
        <item x="141"/>
        <item x="379"/>
        <item x="412"/>
        <item x="257"/>
        <item x="359"/>
        <item x="202"/>
        <item x="321"/>
        <item x="226"/>
        <item x="72"/>
        <item x="307"/>
        <item x="160"/>
        <item x="455"/>
        <item x="228"/>
        <item x="354"/>
        <item x="352"/>
        <item x="158"/>
        <item x="324"/>
        <item x="394"/>
        <item x="208"/>
        <item x="405"/>
        <item x="262"/>
        <item x="146"/>
        <item x="322"/>
        <item x="256"/>
        <item x="178"/>
        <item x="246"/>
        <item x="283"/>
        <item x="387"/>
        <item x="195"/>
        <item x="138"/>
        <item x="274"/>
        <item x="109"/>
        <item x="286"/>
        <item x="216"/>
        <item x="370"/>
        <item x="368"/>
        <item x="116"/>
        <item x="297"/>
        <item x="292"/>
        <item x="335"/>
        <item x="206"/>
        <item x="82"/>
        <item x="62"/>
        <item x="235"/>
        <item x="435"/>
        <item x="308"/>
        <item x="295"/>
        <item x="357"/>
        <item x="428"/>
        <item x="361"/>
        <item x="197"/>
        <item x="384"/>
        <item x="464"/>
        <item x="117"/>
        <item x="97"/>
        <item x="236"/>
        <item x="85"/>
        <item x="242"/>
        <item x="185"/>
        <item x="252"/>
        <item x="453"/>
        <item x="38"/>
        <item x="302"/>
        <item x="430"/>
        <item x="249"/>
        <item x="413"/>
        <item x="9"/>
        <item x="343"/>
        <item x="12"/>
        <item x="133"/>
        <item x="175"/>
        <item x="432"/>
        <item x="148"/>
        <item x="380"/>
        <item x="390"/>
        <item x="181"/>
        <item x="145"/>
        <item x="347"/>
        <item x="350"/>
        <item x="279"/>
        <item x="258"/>
        <item x="311"/>
        <item x="67"/>
        <item x="446"/>
        <item x="401"/>
        <item x="33"/>
        <item x="220"/>
        <item x="426"/>
        <item x="196"/>
        <item x="374"/>
        <item x="260"/>
        <item x="0"/>
        <item x="153"/>
        <item x="57"/>
        <item x="243"/>
        <item x="241"/>
        <item x="239"/>
        <item x="287"/>
        <item x="300"/>
        <item x="140"/>
        <item x="83"/>
        <item x="409"/>
        <item x="35"/>
        <item x="69"/>
        <item x="31"/>
        <item x="408"/>
        <item x="320"/>
        <item x="364"/>
        <item x="371"/>
        <item x="225"/>
        <item x="337"/>
        <item x="427"/>
        <item x="22"/>
        <item x="389"/>
        <item x="93"/>
        <item x="101"/>
        <item x="44"/>
        <item x="7"/>
        <item x="41"/>
        <item x="162"/>
        <item x="64"/>
        <item x="104"/>
        <item x="420"/>
        <item x="106"/>
        <item x="123"/>
        <item x="157"/>
        <item x="306"/>
        <item x="155"/>
        <item x="391"/>
        <item x="277"/>
        <item x="265"/>
        <item x="442"/>
        <item x="411"/>
        <item x="272"/>
        <item x="303"/>
        <item x="121"/>
        <item x="74"/>
        <item x="454"/>
        <item x="245"/>
        <item x="136"/>
        <item x="105"/>
        <item x="363"/>
        <item x="291"/>
        <item x="24"/>
        <item x="159"/>
        <item x="26"/>
        <item x="445"/>
        <item x="19"/>
        <item x="107"/>
        <item x="223"/>
        <item x="293"/>
        <item x="422"/>
        <item x="318"/>
        <item x="331"/>
        <item x="441"/>
        <item x="330"/>
        <item x="147"/>
        <item x="298"/>
        <item x="32"/>
        <item x="461"/>
        <item x="416"/>
        <item x="447"/>
        <item x="177"/>
        <item x="103"/>
        <item x="336"/>
        <item x="251"/>
        <item x="212"/>
        <item x="349"/>
        <item x="393"/>
        <item x="149"/>
        <item x="37"/>
        <item x="73"/>
        <item x="424"/>
        <item x="180"/>
        <item x="214"/>
        <item x="360"/>
        <item x="329"/>
        <item x="100"/>
        <item x="190"/>
        <item x="233"/>
        <item x="167"/>
        <item x="200"/>
        <item x="142"/>
        <item x="192"/>
        <item x="458"/>
        <item x="398"/>
        <item x="170"/>
        <item x="90"/>
        <item x="290"/>
        <item x="271"/>
        <item x="48"/>
        <item x="431"/>
        <item x="45"/>
        <item x="199"/>
        <item x="351"/>
        <item x="39"/>
        <item x="60"/>
        <item x="224"/>
        <item x="400"/>
        <item x="47"/>
        <item x="152"/>
        <item x="299"/>
        <item x="388"/>
        <item x="118"/>
        <item x="301"/>
        <item x="386"/>
        <item x="340"/>
        <item x="219"/>
        <item x="132"/>
        <item x="54"/>
        <item x="353"/>
        <item x="70"/>
        <item x="76"/>
        <item x="451"/>
        <item x="128"/>
        <item x="99"/>
        <item x="367"/>
        <item x="25"/>
        <item x="112"/>
        <item x="403"/>
        <item x="15"/>
        <item x="134"/>
        <item x="130"/>
        <item x="355"/>
        <item x="5"/>
        <item x="29"/>
        <item x="456"/>
        <item x="314"/>
        <item x="261"/>
        <item x="10"/>
        <item x="108"/>
        <item x="332"/>
        <item x="268"/>
        <item x="194"/>
        <item x="172"/>
        <item x="189"/>
        <item x="96"/>
        <item x="50"/>
        <item x="315"/>
        <item x="187"/>
        <item x="443"/>
        <item x="125"/>
        <item x="53"/>
        <item x="168"/>
        <item x="238"/>
        <item x="467"/>
        <item x="334"/>
        <item x="344"/>
        <item x="333"/>
        <item x="126"/>
        <item x="396"/>
        <item x="267"/>
        <item x="397"/>
        <item x="247"/>
        <item x="11"/>
        <item x="3"/>
        <item x="98"/>
        <item x="255"/>
        <item x="342"/>
        <item x="305"/>
        <item x="310"/>
        <item x="28"/>
        <item x="266"/>
        <item x="250"/>
        <item x="433"/>
        <item x="81"/>
        <item x="375"/>
        <item x="80"/>
        <item x="231"/>
        <item x="275"/>
        <item x="362"/>
        <item x="52"/>
        <item x="221"/>
        <item x="460"/>
        <item x="163"/>
        <item x="68"/>
        <item x="414"/>
        <item x="56"/>
        <item x="87"/>
        <item x="143"/>
        <item x="282"/>
        <item x="448"/>
        <item x="18"/>
        <item x="79"/>
        <item x="59"/>
        <item x="319"/>
        <item x="217"/>
        <item x="248"/>
        <item x="406"/>
        <item x="377"/>
        <item x="273"/>
        <item x="326"/>
        <item x="8"/>
        <item x="111"/>
        <item x="341"/>
        <item x="55"/>
        <item x="40"/>
        <item x="450"/>
        <item x="365"/>
        <item x="88"/>
        <item x="230"/>
        <item x="21"/>
        <item x="323"/>
        <item x="227"/>
        <item x="345"/>
        <item x="264"/>
        <item x="34"/>
        <item x="312"/>
        <item x="115"/>
        <item x="244"/>
        <item x="457"/>
        <item x="204"/>
        <item x="114"/>
        <item x="215"/>
        <item x="462"/>
        <item x="438"/>
        <item x="193"/>
        <item x="17"/>
        <item x="30"/>
        <item x="191"/>
        <item x="218"/>
        <item x="122"/>
        <item x="376"/>
        <item x="92"/>
        <item x="317"/>
        <item x="94"/>
        <item x="84"/>
        <item x="150"/>
        <item x="423"/>
        <item x="254"/>
        <item x="404"/>
        <item x="209"/>
        <item x="381"/>
        <item x="348"/>
        <item x="316"/>
        <item x="232"/>
        <item x="58"/>
        <item x="327"/>
        <item x="16"/>
        <item x="166"/>
        <item x="444"/>
        <item x="328"/>
        <item x="201"/>
        <item x="346"/>
        <item x="284"/>
        <item x="139"/>
        <item x="13"/>
        <item x="3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showAll="0">
      <items count="41">
        <item x="6"/>
        <item x="36"/>
        <item x="38"/>
        <item x="5"/>
        <item x="8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9"/>
        <item x="28"/>
        <item x="1"/>
        <item x="30"/>
        <item x="24"/>
        <item x="7"/>
        <item x="23"/>
        <item x="14"/>
        <item x="27"/>
        <item x="4"/>
        <item x="35"/>
        <item x="26"/>
        <item t="default"/>
      </items>
    </pivotField>
    <pivotField compact="0" showAll="0">
      <items count="7">
        <item x="5"/>
        <item x="0"/>
        <item x="1"/>
        <item x="4"/>
        <item x="2"/>
        <item x="3"/>
        <item t="default"/>
      </items>
    </pivotField>
    <pivotField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numFmtId="179" showAll="0">
      <items count="630">
        <item x="614"/>
        <item x="2"/>
        <item x="57"/>
        <item x="296"/>
        <item x="111"/>
        <item x="178"/>
        <item x="284"/>
        <item x="170"/>
        <item x="490"/>
        <item x="105"/>
        <item x="95"/>
        <item x="175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numFmtId="10" showAll="0">
      <items count="229">
        <item x="4"/>
        <item x="140"/>
        <item x="9"/>
        <item x="19"/>
        <item x="98"/>
        <item x="18"/>
        <item x="83"/>
        <item x="170"/>
        <item x="212"/>
        <item x="107"/>
        <item x="205"/>
        <item x="112"/>
        <item x="105"/>
        <item x="117"/>
        <item x="108"/>
        <item x="179"/>
        <item x="133"/>
        <item x="70"/>
        <item x="7"/>
        <item x="195"/>
        <item x="75"/>
        <item x="41"/>
        <item x="31"/>
        <item x="15"/>
        <item x="188"/>
        <item x="208"/>
        <item x="174"/>
        <item x="88"/>
        <item x="221"/>
        <item x="106"/>
        <item x="215"/>
        <item x="57"/>
        <item x="216"/>
        <item x="53"/>
        <item x="129"/>
        <item x="113"/>
        <item x="223"/>
        <item x="132"/>
        <item x="120"/>
        <item x="91"/>
        <item x="193"/>
        <item x="163"/>
        <item x="227"/>
        <item x="95"/>
        <item x="201"/>
        <item x="176"/>
        <item x="71"/>
        <item x="143"/>
        <item x="54"/>
        <item x="89"/>
        <item x="67"/>
        <item x="87"/>
        <item x="3"/>
        <item x="92"/>
        <item x="12"/>
        <item x="42"/>
        <item x="171"/>
        <item x="202"/>
        <item x="116"/>
        <item x="164"/>
        <item x="226"/>
        <item x="103"/>
        <item x="200"/>
        <item x="25"/>
        <item x="147"/>
        <item x="23"/>
        <item x="167"/>
        <item x="24"/>
        <item x="168"/>
        <item x="118"/>
        <item x="76"/>
        <item x="142"/>
        <item x="11"/>
        <item x="148"/>
        <item x="72"/>
        <item x="224"/>
        <item x="199"/>
        <item x="73"/>
        <item x="165"/>
        <item x="26"/>
        <item x="136"/>
        <item x="172"/>
        <item x="66"/>
        <item x="51"/>
        <item x="192"/>
        <item x="104"/>
        <item x="85"/>
        <item x="13"/>
        <item x="45"/>
        <item x="94"/>
        <item x="0"/>
        <item x="139"/>
        <item x="59"/>
        <item x="158"/>
        <item x="144"/>
        <item x="84"/>
        <item x="44"/>
        <item x="17"/>
        <item x="173"/>
        <item x="153"/>
        <item x="81"/>
        <item x="213"/>
        <item x="21"/>
        <item x="37"/>
        <item x="109"/>
        <item x="137"/>
        <item x="30"/>
        <item x="48"/>
        <item x="2"/>
        <item x="191"/>
        <item x="111"/>
        <item x="60"/>
        <item x="157"/>
        <item x="28"/>
        <item x="80"/>
        <item x="159"/>
        <item x="22"/>
        <item x="77"/>
        <item x="169"/>
        <item x="55"/>
        <item x="16"/>
        <item x="40"/>
        <item x="180"/>
        <item x="33"/>
        <item x="5"/>
        <item x="134"/>
        <item x="8"/>
        <item x="209"/>
        <item x="101"/>
        <item x="135"/>
        <item x="124"/>
        <item x="68"/>
        <item x="130"/>
        <item x="161"/>
        <item x="86"/>
        <item x="181"/>
        <item x="128"/>
        <item x="74"/>
        <item x="63"/>
        <item x="196"/>
        <item x="156"/>
        <item x="211"/>
        <item x="150"/>
        <item x="20"/>
        <item x="35"/>
        <item x="189"/>
        <item x="225"/>
        <item x="145"/>
        <item x="121"/>
        <item x="155"/>
        <item x="29"/>
        <item x="166"/>
        <item x="119"/>
        <item x="93"/>
        <item x="78"/>
        <item x="110"/>
        <item x="34"/>
        <item x="14"/>
        <item x="49"/>
        <item x="56"/>
        <item x="62"/>
        <item x="36"/>
        <item x="69"/>
        <item x="50"/>
        <item x="197"/>
        <item x="97"/>
        <item x="6"/>
        <item x="123"/>
        <item x="114"/>
        <item x="46"/>
        <item x="138"/>
        <item x="90"/>
        <item x="52"/>
        <item x="43"/>
        <item x="162"/>
        <item x="222"/>
        <item x="219"/>
        <item x="182"/>
        <item x="125"/>
        <item x="122"/>
        <item x="207"/>
        <item x="65"/>
        <item x="154"/>
        <item x="203"/>
        <item x="218"/>
        <item x="96"/>
        <item x="217"/>
        <item x="152"/>
        <item x="204"/>
        <item x="82"/>
        <item x="214"/>
        <item x="126"/>
        <item x="146"/>
        <item x="127"/>
        <item x="1"/>
        <item x="149"/>
        <item x="177"/>
        <item x="183"/>
        <item x="64"/>
        <item x="27"/>
        <item x="102"/>
        <item x="220"/>
        <item x="10"/>
        <item x="115"/>
        <item x="47"/>
        <item x="194"/>
        <item x="61"/>
        <item x="131"/>
        <item x="100"/>
        <item x="187"/>
        <item x="151"/>
        <item x="99"/>
        <item x="141"/>
        <item x="178"/>
        <item x="190"/>
        <item x="79"/>
        <item x="186"/>
        <item x="38"/>
        <item x="210"/>
        <item x="39"/>
        <item x="184"/>
        <item x="206"/>
        <item x="160"/>
        <item x="32"/>
        <item x="58"/>
        <item x="175"/>
        <item x="198"/>
        <item x="185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630">
        <item x="296"/>
        <item x="111"/>
        <item x="57"/>
        <item x="178"/>
        <item x="284"/>
        <item x="170"/>
        <item x="490"/>
        <item x="105"/>
        <item x="95"/>
        <item x="175"/>
        <item x="2"/>
        <item x="614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showAll="0">
      <items count="3">
        <item x="1"/>
        <item x="0"/>
        <item t="default"/>
      </items>
    </pivotField>
    <pivotField compact="0" numFmtId="10" showAll="0">
      <items count="223">
        <item x="4"/>
        <item x="139"/>
        <item x="9"/>
        <item x="19"/>
        <item x="97"/>
        <item x="18"/>
        <item x="82"/>
        <item x="168"/>
        <item x="206"/>
        <item x="106"/>
        <item x="200"/>
        <item x="111"/>
        <item x="104"/>
        <item x="116"/>
        <item x="107"/>
        <item x="176"/>
        <item x="132"/>
        <item x="69"/>
        <item x="7"/>
        <item x="191"/>
        <item x="74"/>
        <item x="41"/>
        <item x="31"/>
        <item x="15"/>
        <item x="184"/>
        <item x="202"/>
        <item x="172"/>
        <item x="87"/>
        <item x="215"/>
        <item x="105"/>
        <item x="209"/>
        <item x="57"/>
        <item x="210"/>
        <item x="53"/>
        <item x="128"/>
        <item x="112"/>
        <item x="217"/>
        <item x="131"/>
        <item x="119"/>
        <item x="90"/>
        <item x="189"/>
        <item x="161"/>
        <item x="221"/>
        <item x="94"/>
        <item x="196"/>
        <item x="173"/>
        <item x="70"/>
        <item x="142"/>
        <item x="54"/>
        <item x="88"/>
        <item x="66"/>
        <item x="86"/>
        <item x="3"/>
        <item x="91"/>
        <item x="12"/>
        <item x="42"/>
        <item x="169"/>
        <item x="197"/>
        <item x="115"/>
        <item x="162"/>
        <item x="220"/>
        <item x="102"/>
        <item x="195"/>
        <item x="25"/>
        <item x="146"/>
        <item x="23"/>
        <item x="165"/>
        <item x="24"/>
        <item x="166"/>
        <item x="117"/>
        <item x="75"/>
        <item x="141"/>
        <item x="11"/>
        <item x="147"/>
        <item x="71"/>
        <item x="218"/>
        <item x="194"/>
        <item x="72"/>
        <item x="163"/>
        <item x="26"/>
        <item x="135"/>
        <item x="170"/>
        <item x="65"/>
        <item x="51"/>
        <item x="188"/>
        <item x="103"/>
        <item x="84"/>
        <item x="13"/>
        <item x="45"/>
        <item x="93"/>
        <item x="0"/>
        <item x="138"/>
        <item x="58"/>
        <item x="157"/>
        <item x="143"/>
        <item x="83"/>
        <item x="44"/>
        <item x="17"/>
        <item x="171"/>
        <item x="152"/>
        <item x="80"/>
        <item x="207"/>
        <item x="21"/>
        <item x="37"/>
        <item x="108"/>
        <item x="136"/>
        <item x="30"/>
        <item x="48"/>
        <item x="2"/>
        <item x="187"/>
        <item x="110"/>
        <item x="59"/>
        <item x="156"/>
        <item x="28"/>
        <item x="79"/>
        <item x="158"/>
        <item x="22"/>
        <item x="76"/>
        <item x="167"/>
        <item x="55"/>
        <item x="16"/>
        <item x="40"/>
        <item x="177"/>
        <item x="33"/>
        <item x="5"/>
        <item x="133"/>
        <item x="8"/>
        <item x="203"/>
        <item x="100"/>
        <item x="134"/>
        <item x="123"/>
        <item x="67"/>
        <item x="129"/>
        <item x="159"/>
        <item x="85"/>
        <item x="178"/>
        <item x="127"/>
        <item x="73"/>
        <item x="62"/>
        <item x="192"/>
        <item x="155"/>
        <item x="205"/>
        <item x="149"/>
        <item x="20"/>
        <item x="35"/>
        <item x="185"/>
        <item x="219"/>
        <item x="144"/>
        <item x="120"/>
        <item x="154"/>
        <item x="29"/>
        <item x="164"/>
        <item x="118"/>
        <item x="92"/>
        <item x="77"/>
        <item x="109"/>
        <item x="34"/>
        <item x="14"/>
        <item x="49"/>
        <item x="56"/>
        <item x="61"/>
        <item x="36"/>
        <item x="68"/>
        <item x="50"/>
        <item x="193"/>
        <item x="96"/>
        <item x="6"/>
        <item x="122"/>
        <item x="113"/>
        <item x="46"/>
        <item x="137"/>
        <item x="89"/>
        <item x="52"/>
        <item x="43"/>
        <item x="160"/>
        <item x="216"/>
        <item x="213"/>
        <item x="179"/>
        <item x="124"/>
        <item x="121"/>
        <item x="201"/>
        <item x="64"/>
        <item x="153"/>
        <item x="198"/>
        <item x="212"/>
        <item x="95"/>
        <item x="211"/>
        <item x="151"/>
        <item x="199"/>
        <item x="81"/>
        <item x="208"/>
        <item x="125"/>
        <item x="145"/>
        <item x="126"/>
        <item x="1"/>
        <item x="148"/>
        <item x="174"/>
        <item x="180"/>
        <item x="63"/>
        <item x="27"/>
        <item x="101"/>
        <item x="214"/>
        <item x="10"/>
        <item x="114"/>
        <item x="47"/>
        <item x="190"/>
        <item x="60"/>
        <item x="130"/>
        <item x="99"/>
        <item x="183"/>
        <item x="150"/>
        <item x="98"/>
        <item x="140"/>
        <item x="175"/>
        <item x="186"/>
        <item x="78"/>
        <item x="182"/>
        <item x="38"/>
        <item x="204"/>
        <item x="39"/>
        <item x="181"/>
        <item x="32"/>
        <item t="default"/>
      </items>
    </pivotField>
    <pivotField compact="0" showAll="0">
      <items count="35">
        <item x="1"/>
        <item x="6"/>
        <item x="12"/>
        <item x="20"/>
        <item x="28"/>
        <item x="27"/>
        <item x="4"/>
        <item x="3"/>
        <item x="17"/>
        <item x="33"/>
        <item x="22"/>
        <item x="13"/>
        <item x="29"/>
        <item x="26"/>
        <item x="25"/>
        <item x="8"/>
        <item x="21"/>
        <item x="18"/>
        <item x="16"/>
        <item x="14"/>
        <item x="15"/>
        <item x="5"/>
        <item x="7"/>
        <item x="9"/>
        <item x="31"/>
        <item x="24"/>
        <item x="23"/>
        <item x="10"/>
        <item x="2"/>
        <item x="0"/>
        <item x="32"/>
        <item x="30"/>
        <item x="11"/>
        <item x="19"/>
        <item t="default"/>
      </items>
    </pivotField>
    <pivotField compact="0" numFmtId="58" showAll="0">
      <items count="472">
        <item x="4"/>
        <item x="184"/>
        <item x="6"/>
        <item x="411"/>
        <item x="198"/>
        <item x="122"/>
        <item x="125"/>
        <item x="186"/>
        <item x="442"/>
        <item x="77"/>
        <item x="23"/>
        <item x="419"/>
        <item x="182"/>
        <item x="61"/>
        <item x="173"/>
        <item x="151"/>
        <item x="108"/>
        <item x="423"/>
        <item x="275"/>
        <item x="293"/>
        <item x="161"/>
        <item x="156"/>
        <item x="380"/>
        <item x="94"/>
        <item x="221"/>
        <item x="2"/>
        <item x="154"/>
        <item x="213"/>
        <item x="210"/>
        <item x="310"/>
        <item x="49"/>
        <item x="334"/>
        <item x="306"/>
        <item x="63"/>
        <item x="129"/>
        <item x="272"/>
        <item x="165"/>
        <item x="127"/>
        <item x="381"/>
        <item x="286"/>
        <item x="33"/>
        <item x="456"/>
        <item x="453"/>
        <item x="439"/>
        <item x="90"/>
        <item x="188"/>
        <item x="14"/>
        <item x="432"/>
        <item x="205"/>
        <item x="66"/>
        <item x="183"/>
        <item x="27"/>
        <item x="291"/>
        <item x="132"/>
        <item x="365"/>
        <item x="427"/>
        <item x="375"/>
        <item x="379"/>
        <item x="179"/>
        <item x="71"/>
        <item x="20"/>
        <item x="277"/>
        <item x="437"/>
        <item x="353"/>
        <item x="101"/>
        <item x="402"/>
        <item x="211"/>
        <item x="369"/>
        <item x="75"/>
        <item x="278"/>
        <item x="111"/>
        <item x="321"/>
        <item x="362"/>
        <item x="245"/>
        <item x="37"/>
        <item x="301"/>
        <item x="88"/>
        <item x="85"/>
        <item x="43"/>
        <item x="391"/>
        <item x="257"/>
        <item x="420"/>
        <item x="416"/>
        <item x="440"/>
        <item x="418"/>
        <item x="136"/>
        <item x="469"/>
        <item x="368"/>
        <item x="171"/>
        <item x="261"/>
        <item x="143"/>
        <item x="359"/>
        <item x="174"/>
        <item x="46"/>
        <item x="207"/>
        <item x="251"/>
        <item x="238"/>
        <item x="235"/>
        <item x="384"/>
        <item x="285"/>
        <item x="176"/>
        <item x="169"/>
        <item x="228"/>
        <item x="134"/>
        <item x="468"/>
        <item x="51"/>
        <item x="282"/>
        <item x="117"/>
        <item x="118"/>
        <item x="65"/>
        <item x="203"/>
        <item x="164"/>
        <item x="78"/>
        <item x="335"/>
        <item x="463"/>
        <item x="140"/>
        <item x="376"/>
        <item x="413"/>
        <item x="255"/>
        <item x="354"/>
        <item x="202"/>
        <item x="317"/>
        <item x="225"/>
        <item x="72"/>
        <item x="304"/>
        <item x="160"/>
        <item x="459"/>
        <item x="227"/>
        <item x="350"/>
        <item x="348"/>
        <item x="158"/>
        <item x="320"/>
        <item x="393"/>
        <item x="208"/>
        <item x="405"/>
        <item x="260"/>
        <item x="146"/>
        <item x="318"/>
        <item x="254"/>
        <item x="178"/>
        <item x="244"/>
        <item x="280"/>
        <item x="386"/>
        <item x="195"/>
        <item x="270"/>
        <item x="107"/>
        <item x="283"/>
        <item x="137"/>
        <item x="366"/>
        <item x="364"/>
        <item x="114"/>
        <item x="144"/>
        <item x="294"/>
        <item x="289"/>
        <item x="331"/>
        <item x="206"/>
        <item x="81"/>
        <item x="62"/>
        <item x="233"/>
        <item x="438"/>
        <item x="305"/>
        <item x="292"/>
        <item x="352"/>
        <item x="274"/>
        <item x="431"/>
        <item x="356"/>
        <item x="197"/>
        <item x="382"/>
        <item x="467"/>
        <item x="115"/>
        <item x="96"/>
        <item x="234"/>
        <item x="84"/>
        <item x="240"/>
        <item x="185"/>
        <item x="250"/>
        <item x="457"/>
        <item x="39"/>
        <item x="299"/>
        <item x="433"/>
        <item x="247"/>
        <item x="414"/>
        <item x="9"/>
        <item x="339"/>
        <item x="12"/>
        <item x="131"/>
        <item x="175"/>
        <item x="435"/>
        <item x="148"/>
        <item x="377"/>
        <item x="181"/>
        <item x="145"/>
        <item x="343"/>
        <item x="389"/>
        <item x="346"/>
        <item x="276"/>
        <item x="256"/>
        <item x="308"/>
        <item x="67"/>
        <item x="450"/>
        <item x="401"/>
        <item x="34"/>
        <item x="219"/>
        <item x="429"/>
        <item x="196"/>
        <item x="370"/>
        <item x="258"/>
        <item x="0"/>
        <item x="153"/>
        <item x="57"/>
        <item x="241"/>
        <item x="239"/>
        <item x="237"/>
        <item x="284"/>
        <item x="297"/>
        <item x="139"/>
        <item x="82"/>
        <item x="410"/>
        <item x="395"/>
        <item x="36"/>
        <item x="69"/>
        <item x="31"/>
        <item x="409"/>
        <item x="316"/>
        <item x="360"/>
        <item x="367"/>
        <item x="224"/>
        <item x="333"/>
        <item x="430"/>
        <item x="22"/>
        <item x="388"/>
        <item x="407"/>
        <item x="100"/>
        <item x="44"/>
        <item x="7"/>
        <item x="42"/>
        <item x="162"/>
        <item x="92"/>
        <item x="64"/>
        <item x="103"/>
        <item x="421"/>
        <item x="104"/>
        <item x="121"/>
        <item x="157"/>
        <item x="303"/>
        <item x="155"/>
        <item x="390"/>
        <item x="273"/>
        <item x="263"/>
        <item x="444"/>
        <item x="412"/>
        <item x="268"/>
        <item x="300"/>
        <item x="119"/>
        <item x="373"/>
        <item x="458"/>
        <item x="243"/>
        <item x="135"/>
        <item x="74"/>
        <item x="358"/>
        <item x="408"/>
        <item x="24"/>
        <item x="159"/>
        <item x="26"/>
        <item x="288"/>
        <item x="447"/>
        <item x="105"/>
        <item x="222"/>
        <item x="19"/>
        <item x="290"/>
        <item x="424"/>
        <item x="315"/>
        <item x="327"/>
        <item x="443"/>
        <item x="326"/>
        <item x="147"/>
        <item x="295"/>
        <item x="465"/>
        <item x="449"/>
        <item x="417"/>
        <item x="32"/>
        <item x="451"/>
        <item x="177"/>
        <item x="102"/>
        <item x="332"/>
        <item x="249"/>
        <item x="212"/>
        <item x="345"/>
        <item x="392"/>
        <item x="149"/>
        <item x="38"/>
        <item x="73"/>
        <item x="426"/>
        <item x="180"/>
        <item x="214"/>
        <item x="355"/>
        <item x="325"/>
        <item x="99"/>
        <item x="190"/>
        <item x="232"/>
        <item x="167"/>
        <item x="200"/>
        <item x="141"/>
        <item x="192"/>
        <item x="462"/>
        <item x="399"/>
        <item x="170"/>
        <item x="1"/>
        <item x="89"/>
        <item x="287"/>
        <item x="267"/>
        <item x="48"/>
        <item x="434"/>
        <item x="45"/>
        <item x="199"/>
        <item x="347"/>
        <item x="40"/>
        <item x="60"/>
        <item x="223"/>
        <item x="400"/>
        <item x="47"/>
        <item x="152"/>
        <item x="296"/>
        <item x="387"/>
        <item x="116"/>
        <item x="298"/>
        <item x="385"/>
        <item x="336"/>
        <item x="218"/>
        <item x="130"/>
        <item x="54"/>
        <item x="349"/>
        <item x="70"/>
        <item x="76"/>
        <item x="455"/>
        <item x="126"/>
        <item x="98"/>
        <item x="363"/>
        <item x="25"/>
        <item x="110"/>
        <item x="403"/>
        <item x="15"/>
        <item x="133"/>
        <item x="128"/>
        <item x="351"/>
        <item x="5"/>
        <item x="29"/>
        <item x="460"/>
        <item x="311"/>
        <item x="259"/>
        <item x="10"/>
        <item x="106"/>
        <item x="328"/>
        <item x="266"/>
        <item x="194"/>
        <item x="172"/>
        <item x="189"/>
        <item x="95"/>
        <item x="50"/>
        <item x="312"/>
        <item x="448"/>
        <item x="187"/>
        <item x="445"/>
        <item x="123"/>
        <item x="53"/>
        <item x="168"/>
        <item x="236"/>
        <item x="470"/>
        <item x="330"/>
        <item x="340"/>
        <item x="329"/>
        <item x="124"/>
        <item x="396"/>
        <item x="265"/>
        <item x="397"/>
        <item x="246"/>
        <item x="11"/>
        <item x="3"/>
        <item x="97"/>
        <item x="253"/>
        <item x="338"/>
        <item x="302"/>
        <item x="307"/>
        <item x="28"/>
        <item x="264"/>
        <item x="248"/>
        <item x="436"/>
        <item x="80"/>
        <item x="371"/>
        <item x="230"/>
        <item x="271"/>
        <item x="357"/>
        <item x="52"/>
        <item x="220"/>
        <item x="464"/>
        <item x="163"/>
        <item x="68"/>
        <item x="415"/>
        <item x="56"/>
        <item x="86"/>
        <item x="142"/>
        <item x="398"/>
        <item x="452"/>
        <item x="383"/>
        <item x="428"/>
        <item x="79"/>
        <item x="59"/>
        <item x="279"/>
        <item x="216"/>
        <item x="18"/>
        <item x="406"/>
        <item x="374"/>
        <item x="269"/>
        <item x="322"/>
        <item x="8"/>
        <item x="109"/>
        <item x="337"/>
        <item x="55"/>
        <item x="41"/>
        <item x="454"/>
        <item x="361"/>
        <item x="87"/>
        <item x="229"/>
        <item x="21"/>
        <item x="319"/>
        <item x="226"/>
        <item x="341"/>
        <item x="262"/>
        <item x="35"/>
        <item x="309"/>
        <item x="113"/>
        <item x="242"/>
        <item x="461"/>
        <item x="204"/>
        <item x="112"/>
        <item x="215"/>
        <item x="466"/>
        <item x="441"/>
        <item x="193"/>
        <item x="17"/>
        <item x="30"/>
        <item x="191"/>
        <item x="217"/>
        <item x="120"/>
        <item x="372"/>
        <item x="91"/>
        <item x="314"/>
        <item x="93"/>
        <item x="83"/>
        <item x="150"/>
        <item x="425"/>
        <item x="422"/>
        <item x="404"/>
        <item x="209"/>
        <item x="378"/>
        <item x="252"/>
        <item x="344"/>
        <item x="313"/>
        <item x="231"/>
        <item x="58"/>
        <item x="323"/>
        <item x="16"/>
        <item x="166"/>
        <item x="446"/>
        <item x="324"/>
        <item x="201"/>
        <item x="342"/>
        <item x="281"/>
        <item x="138"/>
        <item x="13"/>
        <item x="394"/>
        <item t="default"/>
      </items>
    </pivotField>
    <pivotField compact="0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dataField="1"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281"/>
        <item x="82"/>
        <item x="88"/>
        <item x="530"/>
        <item x="108"/>
        <item x="246"/>
        <item x="229"/>
        <item x="6"/>
        <item x="50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325"/>
        <item x="433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72"/>
        <item x="326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603"/>
        <item x="73"/>
        <item x="253"/>
        <item x="598"/>
        <item x="267"/>
        <item x="205"/>
        <item x="409"/>
        <item x="592"/>
        <item x="45"/>
        <item x="276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457"/>
        <item x="237"/>
        <item x="416"/>
        <item x="258"/>
        <item x="403"/>
        <item x="600"/>
        <item x="500"/>
        <item x="89"/>
        <item x="589"/>
        <item x="51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68"/>
        <item x="161"/>
        <item x="327"/>
        <item x="472"/>
        <item x="320"/>
        <item x="181"/>
        <item x="502"/>
        <item x="529"/>
        <item x="314"/>
        <item x="190"/>
        <item x="182"/>
        <item x="293"/>
        <item x="124"/>
        <item x="331"/>
        <item x="135"/>
        <item x="302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29"/>
        <item x="524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163"/>
        <item x="342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273"/>
        <item x="282"/>
        <item x="588"/>
        <item x="142"/>
        <item x="32"/>
        <item x="248"/>
        <item x="548"/>
        <item x="245"/>
        <item x="146"/>
        <item x="557"/>
        <item x="427"/>
        <item x="153"/>
        <item x="379"/>
        <item x="452"/>
        <item x="101"/>
        <item x="61"/>
        <item x="544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625"/>
        <item x="166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0"/>
        <item x="546"/>
        <item x="279"/>
        <item x="266"/>
        <item x="65"/>
        <item x="207"/>
        <item x="341"/>
        <item x="565"/>
        <item x="121"/>
        <item x="22"/>
        <item x="208"/>
        <item x="366"/>
        <item x="455"/>
        <item x="450"/>
        <item x="49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551"/>
        <item x="610"/>
        <item x="521"/>
        <item x="150"/>
        <item x="386"/>
        <item x="90"/>
        <item x="251"/>
        <item x="294"/>
        <item x="255"/>
        <item x="478"/>
        <item x="286"/>
        <item x="20"/>
        <item x="393"/>
        <item x="28"/>
        <item x="83"/>
        <item x="453"/>
        <item x="1"/>
        <item x="584"/>
        <item x="408"/>
        <item x="80"/>
        <item x="572"/>
        <item x="365"/>
        <item x="473"/>
        <item x="319"/>
        <item x="212"/>
        <item x="439"/>
        <item x="458"/>
        <item x="405"/>
        <item x="396"/>
        <item x="120"/>
        <item x="71"/>
        <item x="156"/>
        <item x="259"/>
        <item x="189"/>
        <item x="483"/>
        <item x="406"/>
        <item x="254"/>
        <item x="35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486"/>
        <item x="183"/>
        <item x="567"/>
        <item x="347"/>
        <item x="187"/>
        <item x="191"/>
        <item x="606"/>
        <item x="467"/>
        <item x="627"/>
        <item x="513"/>
        <item x="206"/>
        <item x="528"/>
        <item x="413"/>
        <item x="96"/>
        <item x="172"/>
        <item x="599"/>
        <item x="378"/>
        <item x="568"/>
        <item x="152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8"/>
        <item x="137"/>
        <item x="75"/>
        <item x="374"/>
        <item x="481"/>
        <item x="373"/>
        <item x="235"/>
        <item x="470"/>
        <item x="352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556"/>
        <item x="477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2" showAll="0">
      <items count="241">
        <item x="32"/>
        <item x="186"/>
        <item x="39"/>
        <item x="213"/>
        <item x="38"/>
        <item x="187"/>
        <item x="78"/>
        <item x="192"/>
        <item x="180"/>
        <item x="141"/>
        <item x="98"/>
        <item x="152"/>
        <item x="188"/>
        <item x="99"/>
        <item x="131"/>
        <item x="60"/>
        <item x="196"/>
        <item x="47"/>
        <item x="114"/>
        <item x="208"/>
        <item x="10"/>
        <item x="229"/>
        <item x="101"/>
        <item x="27"/>
        <item x="63"/>
        <item x="185"/>
        <item x="179"/>
        <item x="150"/>
        <item x="1"/>
        <item x="127"/>
        <item x="146"/>
        <item x="126"/>
        <item x="219"/>
        <item x="81"/>
        <item x="218"/>
        <item x="206"/>
        <item x="154"/>
        <item x="224"/>
        <item x="95"/>
        <item x="226"/>
        <item x="205"/>
        <item x="156"/>
        <item x="64"/>
        <item x="209"/>
        <item x="122"/>
        <item x="125"/>
        <item x="184"/>
        <item x="227"/>
        <item x="231"/>
        <item x="164"/>
        <item x="43"/>
        <item x="52"/>
        <item x="89"/>
        <item x="138"/>
        <item x="46"/>
        <item x="113"/>
        <item x="123"/>
        <item x="6"/>
        <item x="96"/>
        <item x="200"/>
        <item x="234"/>
        <item x="50"/>
        <item x="68"/>
        <item x="36"/>
        <item x="61"/>
        <item x="56"/>
        <item x="49"/>
        <item x="14"/>
        <item x="34"/>
        <item x="109"/>
        <item x="77"/>
        <item x="92"/>
        <item x="119"/>
        <item x="168"/>
        <item x="29"/>
        <item x="158"/>
        <item x="121"/>
        <item x="145"/>
        <item x="236"/>
        <item x="191"/>
        <item x="35"/>
        <item x="20"/>
        <item x="151"/>
        <item x="214"/>
        <item x="222"/>
        <item x="159"/>
        <item x="199"/>
        <item x="62"/>
        <item x="73"/>
        <item x="233"/>
        <item x="128"/>
        <item x="183"/>
        <item x="85"/>
        <item x="163"/>
        <item x="130"/>
        <item x="67"/>
        <item x="169"/>
        <item x="124"/>
        <item x="216"/>
        <item x="135"/>
        <item x="153"/>
        <item x="100"/>
        <item x="211"/>
        <item x="8"/>
        <item x="134"/>
        <item x="5"/>
        <item x="33"/>
        <item x="182"/>
        <item x="40"/>
        <item x="16"/>
        <item x="55"/>
        <item x="172"/>
        <item x="76"/>
        <item x="115"/>
        <item x="22"/>
        <item x="162"/>
        <item x="79"/>
        <item x="28"/>
        <item x="160"/>
        <item x="59"/>
        <item x="110"/>
        <item x="193"/>
        <item x="2"/>
        <item x="147"/>
        <item x="48"/>
        <item x="30"/>
        <item x="137"/>
        <item x="108"/>
        <item x="37"/>
        <item x="21"/>
        <item x="217"/>
        <item x="80"/>
        <item x="155"/>
        <item x="176"/>
        <item x="17"/>
        <item x="44"/>
        <item x="83"/>
        <item x="144"/>
        <item x="161"/>
        <item x="58"/>
        <item x="139"/>
        <item x="0"/>
        <item x="93"/>
        <item x="45"/>
        <item x="13"/>
        <item x="84"/>
        <item x="103"/>
        <item x="157"/>
        <item x="194"/>
        <item x="51"/>
        <item x="65"/>
        <item x="175"/>
        <item x="189"/>
        <item x="136"/>
        <item x="26"/>
        <item x="167"/>
        <item x="72"/>
        <item x="197"/>
        <item x="201"/>
        <item x="235"/>
        <item x="71"/>
        <item x="149"/>
        <item x="11"/>
        <item x="228"/>
        <item x="142"/>
        <item x="75"/>
        <item x="118"/>
        <item x="171"/>
        <item x="24"/>
        <item x="170"/>
        <item x="23"/>
        <item x="148"/>
        <item x="25"/>
        <item x="202"/>
        <item x="225"/>
        <item x="102"/>
        <item x="237"/>
        <item x="166"/>
        <item x="116"/>
        <item x="204"/>
        <item x="174"/>
        <item x="42"/>
        <item x="12"/>
        <item x="91"/>
        <item x="3"/>
        <item x="86"/>
        <item x="66"/>
        <item x="88"/>
        <item x="54"/>
        <item x="143"/>
        <item x="70"/>
        <item x="178"/>
        <item x="203"/>
        <item x="94"/>
        <item x="239"/>
        <item x="165"/>
        <item x="195"/>
        <item x="90"/>
        <item x="120"/>
        <item x="132"/>
        <item x="232"/>
        <item x="112"/>
        <item x="223"/>
        <item x="129"/>
        <item x="53"/>
        <item x="221"/>
        <item x="57"/>
        <item x="220"/>
        <item x="105"/>
        <item x="230"/>
        <item x="87"/>
        <item x="177"/>
        <item x="210"/>
        <item x="190"/>
        <item x="15"/>
        <item x="31"/>
        <item x="41"/>
        <item x="74"/>
        <item x="198"/>
        <item x="7"/>
        <item x="69"/>
        <item x="133"/>
        <item x="212"/>
        <item x="181"/>
        <item x="107"/>
        <item x="117"/>
        <item x="104"/>
        <item x="111"/>
        <item x="207"/>
        <item x="106"/>
        <item x="215"/>
        <item x="173"/>
        <item x="82"/>
        <item x="18"/>
        <item x="97"/>
        <item x="19"/>
        <item x="9"/>
        <item x="140"/>
        <item x="238"/>
        <item x="4"/>
        <item t="default"/>
      </items>
    </pivotField>
    <pivotField compact="0" showAll="0">
      <items count="34">
        <item x="11"/>
        <item x="19"/>
        <item x="18"/>
        <item x="24"/>
        <item x="20"/>
        <item x="28"/>
        <item x="26"/>
        <item x="5"/>
        <item x="2"/>
        <item x="31"/>
        <item x="25"/>
        <item x="4"/>
        <item x="8"/>
        <item x="9"/>
        <item x="23"/>
        <item x="13"/>
        <item x="12"/>
        <item x="22"/>
        <item x="16"/>
        <item x="15"/>
        <item x="21"/>
        <item x="0"/>
        <item x="3"/>
        <item x="14"/>
        <item x="6"/>
        <item x="7"/>
        <item x="30"/>
        <item x="17"/>
        <item x="32"/>
        <item x="1"/>
        <item x="27"/>
        <item x="29"/>
        <item x="10"/>
        <item t="default"/>
      </items>
    </pivotField>
    <pivotField compact="0" showAll="0">
      <items count="12">
        <item x="2"/>
        <item x="0"/>
        <item x="3"/>
        <item x="7"/>
        <item x="4"/>
        <item x="5"/>
        <item x="9"/>
        <item x="8"/>
        <item x="6"/>
        <item x="10"/>
        <item x="1"/>
        <item t="default"/>
      </items>
    </pivotField>
    <pivotField compact="0" showAll="0">
      <items count="46">
        <item x="0"/>
        <item x="13"/>
        <item x="2"/>
        <item x="16"/>
        <item x="6"/>
        <item x="3"/>
        <item x="1"/>
        <item x="42"/>
        <item x="33"/>
        <item x="25"/>
        <item x="20"/>
        <item x="10"/>
        <item x="30"/>
        <item x="7"/>
        <item x="41"/>
        <item x="19"/>
        <item x="4"/>
        <item x="44"/>
        <item x="26"/>
        <item x="36"/>
        <item x="15"/>
        <item x="40"/>
        <item x="24"/>
        <item x="38"/>
        <item x="23"/>
        <item x="14"/>
        <item x="43"/>
        <item x="5"/>
        <item x="18"/>
        <item x="34"/>
        <item x="29"/>
        <item x="35"/>
        <item x="32"/>
        <item x="9"/>
        <item x="27"/>
        <item x="17"/>
        <item x="11"/>
        <item x="28"/>
        <item x="8"/>
        <item x="37"/>
        <item x="22"/>
        <item x="12"/>
        <item x="21"/>
        <item x="31"/>
        <item x="3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numFmtId="58" showAll="0">
      <items count="12">
        <item x="2"/>
        <item x="10"/>
        <item x="6"/>
        <item x="8"/>
        <item x="9"/>
        <item x="1"/>
        <item x="7"/>
        <item x="0"/>
        <item x="4"/>
        <item x="3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0" showAll="0">
      <items count="204">
        <item x="4"/>
        <item x="129"/>
        <item x="9"/>
        <item x="19"/>
        <item x="91"/>
        <item x="18"/>
        <item x="76"/>
        <item x="156"/>
        <item x="187"/>
        <item x="98"/>
        <item x="182"/>
        <item x="103"/>
        <item x="96"/>
        <item x="107"/>
        <item x="99"/>
        <item x="163"/>
        <item x="122"/>
        <item x="64"/>
        <item x="7"/>
        <item x="173"/>
        <item x="69"/>
        <item x="38"/>
        <item x="31"/>
        <item x="15"/>
        <item x="168"/>
        <item x="184"/>
        <item x="160"/>
        <item x="81"/>
        <item x="196"/>
        <item x="97"/>
        <item x="190"/>
        <item x="53"/>
        <item x="191"/>
        <item x="49"/>
        <item x="119"/>
        <item x="104"/>
        <item x="198"/>
        <item x="121"/>
        <item x="110"/>
        <item x="84"/>
        <item x="172"/>
        <item x="149"/>
        <item x="202"/>
        <item x="88"/>
        <item x="178"/>
        <item x="161"/>
        <item x="65"/>
        <item x="131"/>
        <item x="50"/>
        <item x="82"/>
        <item x="61"/>
        <item x="80"/>
        <item x="3"/>
        <item x="85"/>
        <item x="12"/>
        <item x="39"/>
        <item x="157"/>
        <item x="179"/>
        <item x="106"/>
        <item x="150"/>
        <item x="201"/>
        <item x="94"/>
        <item x="177"/>
        <item x="25"/>
        <item x="135"/>
        <item x="23"/>
        <item x="153"/>
        <item x="24"/>
        <item x="154"/>
        <item x="108"/>
        <item x="70"/>
        <item x="130"/>
        <item x="11"/>
        <item x="136"/>
        <item x="66"/>
        <item x="199"/>
        <item x="176"/>
        <item x="67"/>
        <item x="151"/>
        <item x="26"/>
        <item x="125"/>
        <item x="158"/>
        <item x="60"/>
        <item x="47"/>
        <item x="171"/>
        <item x="95"/>
        <item x="78"/>
        <item x="13"/>
        <item x="42"/>
        <item x="87"/>
        <item x="0"/>
        <item x="128"/>
        <item x="54"/>
        <item x="145"/>
        <item x="132"/>
        <item x="77"/>
        <item x="41"/>
        <item x="17"/>
        <item x="159"/>
        <item x="140"/>
        <item x="74"/>
        <item x="188"/>
        <item x="21"/>
        <item x="36"/>
        <item x="100"/>
        <item x="126"/>
        <item x="30"/>
        <item x="44"/>
        <item x="2"/>
        <item x="170"/>
        <item x="102"/>
        <item x="55"/>
        <item x="144"/>
        <item x="28"/>
        <item x="73"/>
        <item x="146"/>
        <item x="22"/>
        <item x="71"/>
        <item x="155"/>
        <item x="51"/>
        <item x="16"/>
        <item x="37"/>
        <item x="164"/>
        <item x="32"/>
        <item x="5"/>
        <item x="123"/>
        <item x="8"/>
        <item x="185"/>
        <item x="92"/>
        <item x="124"/>
        <item x="114"/>
        <item x="62"/>
        <item x="120"/>
        <item x="147"/>
        <item x="79"/>
        <item x="165"/>
        <item x="118"/>
        <item x="68"/>
        <item x="57"/>
        <item x="174"/>
        <item x="143"/>
        <item x="186"/>
        <item x="138"/>
        <item x="20"/>
        <item x="34"/>
        <item x="169"/>
        <item x="200"/>
        <item x="133"/>
        <item x="111"/>
        <item x="142"/>
        <item x="29"/>
        <item x="152"/>
        <item x="109"/>
        <item x="86"/>
        <item x="72"/>
        <item x="101"/>
        <item x="33"/>
        <item x="14"/>
        <item x="45"/>
        <item x="52"/>
        <item x="56"/>
        <item x="35"/>
        <item x="63"/>
        <item x="46"/>
        <item x="175"/>
        <item x="90"/>
        <item x="6"/>
        <item x="113"/>
        <item x="105"/>
        <item x="43"/>
        <item x="127"/>
        <item x="83"/>
        <item x="48"/>
        <item x="40"/>
        <item x="148"/>
        <item x="197"/>
        <item x="194"/>
        <item x="166"/>
        <item x="115"/>
        <item x="112"/>
        <item x="183"/>
        <item x="59"/>
        <item x="141"/>
        <item x="180"/>
        <item x="193"/>
        <item x="89"/>
        <item x="192"/>
        <item x="139"/>
        <item x="181"/>
        <item x="75"/>
        <item x="189"/>
        <item x="116"/>
        <item x="134"/>
        <item x="117"/>
        <item x="1"/>
        <item x="137"/>
        <item x="162"/>
        <item x="167"/>
        <item x="58"/>
        <item x="27"/>
        <item x="93"/>
        <item x="195"/>
        <item x="10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179" showAll="0">
      <items count="632">
        <item x="616"/>
        <item x="2"/>
        <item x="57"/>
        <item x="179"/>
        <item x="111"/>
        <item x="297"/>
        <item x="285"/>
        <item x="171"/>
        <item x="492"/>
        <item x="95"/>
        <item x="53"/>
        <item x="630"/>
        <item x="176"/>
        <item x="585"/>
        <item x="388"/>
        <item x="574"/>
        <item x="105"/>
        <item x="82"/>
        <item x="531"/>
        <item x="108"/>
        <item x="262"/>
        <item x="118"/>
        <item x="246"/>
        <item x="530"/>
        <item x="88"/>
        <item x="50"/>
        <item x="229"/>
        <item x="281"/>
        <item x="6"/>
        <item x="322"/>
        <item x="417"/>
        <item x="242"/>
        <item x="115"/>
        <item x="571"/>
        <item x="126"/>
        <item x="518"/>
        <item x="310"/>
        <item x="220"/>
        <item x="460"/>
        <item x="475"/>
        <item x="516"/>
        <item x="619"/>
        <item x="601"/>
        <item x="290"/>
        <item x="353"/>
        <item x="340"/>
        <item x="138"/>
        <item x="113"/>
        <item x="489"/>
        <item x="304"/>
        <item x="86"/>
        <item x="107"/>
        <item x="459"/>
        <item x="25"/>
        <item x="210"/>
        <item x="581"/>
        <item x="463"/>
        <item x="550"/>
        <item x="462"/>
        <item x="444"/>
        <item x="433"/>
        <item x="173"/>
        <item x="411"/>
        <item x="123"/>
        <item x="608"/>
        <item x="112"/>
        <item x="525"/>
        <item x="346"/>
        <item x="216"/>
        <item x="168"/>
        <item x="620"/>
        <item x="325"/>
        <item x="256"/>
        <item x="52"/>
        <item x="390"/>
        <item x="329"/>
        <item x="431"/>
        <item x="127"/>
        <item x="465"/>
        <item x="607"/>
        <item x="438"/>
        <item x="231"/>
        <item x="5"/>
        <item x="244"/>
        <item x="317"/>
        <item x="337"/>
        <item x="596"/>
        <item x="343"/>
        <item x="296"/>
        <item x="539"/>
        <item x="569"/>
        <item x="132"/>
        <item x="510"/>
        <item x="38"/>
        <item x="145"/>
        <item x="247"/>
        <item x="306"/>
        <item x="326"/>
        <item x="238"/>
        <item x="583"/>
        <item x="27"/>
        <item x="507"/>
        <item x="193"/>
        <item x="284"/>
        <item x="26"/>
        <item x="487"/>
        <item x="461"/>
        <item x="357"/>
        <item x="372"/>
        <item x="349"/>
        <item x="369"/>
        <item x="151"/>
        <item x="4"/>
        <item x="476"/>
        <item x="564"/>
        <item x="295"/>
        <item x="578"/>
        <item x="257"/>
        <item x="192"/>
        <item x="597"/>
        <item x="130"/>
        <item x="178"/>
        <item x="136"/>
        <item x="239"/>
        <item x="221"/>
        <item x="368"/>
        <item x="58"/>
        <item x="570"/>
        <item x="407"/>
        <item x="494"/>
        <item x="200"/>
        <item x="542"/>
        <item x="480"/>
        <item x="56"/>
        <item x="360"/>
        <item x="545"/>
        <item x="185"/>
        <item x="333"/>
        <item x="0"/>
        <item x="78"/>
        <item x="11"/>
        <item x="313"/>
        <item x="73"/>
        <item x="626"/>
        <item x="482"/>
        <item x="485"/>
        <item x="512"/>
        <item x="3"/>
        <item x="402"/>
        <item x="232"/>
        <item x="409"/>
        <item x="97"/>
        <item x="81"/>
        <item x="307"/>
        <item x="603"/>
        <item x="93"/>
        <item x="226"/>
        <item x="435"/>
        <item x="332"/>
        <item x="160"/>
        <item x="592"/>
        <item x="117"/>
        <item x="51"/>
        <item x="230"/>
        <item x="446"/>
        <item x="303"/>
        <item x="442"/>
        <item x="102"/>
        <item x="598"/>
        <item x="484"/>
        <item x="276"/>
        <item x="580"/>
        <item x="100"/>
        <item x="70"/>
        <item x="523"/>
        <item x="253"/>
        <item x="217"/>
        <item x="377"/>
        <item x="34"/>
        <item x="490"/>
        <item x="237"/>
        <item x="205"/>
        <item x="577"/>
        <item x="560"/>
        <item x="167"/>
        <item x="74"/>
        <item x="410"/>
        <item x="267"/>
        <item x="211"/>
        <item x="604"/>
        <item x="14"/>
        <item x="177"/>
        <item x="270"/>
        <item x="45"/>
        <item x="327"/>
        <item x="579"/>
        <item x="155"/>
        <item x="269"/>
        <item x="331"/>
        <item x="436"/>
        <item x="292"/>
        <item x="519"/>
        <item x="500"/>
        <item x="228"/>
        <item x="600"/>
        <item x="320"/>
        <item x="491"/>
        <item x="362"/>
        <item x="258"/>
        <item x="13"/>
        <item x="457"/>
        <item x="268"/>
        <item x="181"/>
        <item x="129"/>
        <item x="215"/>
        <item x="535"/>
        <item x="403"/>
        <item x="213"/>
        <item x="456"/>
        <item x="149"/>
        <item x="416"/>
        <item x="302"/>
        <item x="595"/>
        <item x="161"/>
        <item x="261"/>
        <item x="140"/>
        <item x="508"/>
        <item x="89"/>
        <item x="524"/>
        <item x="472"/>
        <item x="131"/>
        <item x="197"/>
        <item x="593"/>
        <item x="562"/>
        <item x="274"/>
        <item x="188"/>
        <item x="24"/>
        <item x="502"/>
        <item x="497"/>
        <item x="67"/>
        <item x="182"/>
        <item x="190"/>
        <item x="330"/>
        <item x="314"/>
        <item x="293"/>
        <item x="278"/>
        <item x="154"/>
        <item x="124"/>
        <item x="170"/>
        <item x="68"/>
        <item x="589"/>
        <item x="315"/>
        <item x="342"/>
        <item x="509"/>
        <item x="611"/>
        <item x="529"/>
        <item x="72"/>
        <item x="418"/>
        <item x="385"/>
        <item x="488"/>
        <item x="31"/>
        <item x="240"/>
        <item x="135"/>
        <item x="445"/>
        <item x="29"/>
        <item x="517"/>
        <item x="324"/>
        <item x="308"/>
        <item x="300"/>
        <item x="245"/>
        <item x="142"/>
        <item x="420"/>
        <item x="91"/>
        <item x="563"/>
        <item x="503"/>
        <item x="609"/>
        <item x="10"/>
        <item x="157"/>
        <item x="184"/>
        <item x="469"/>
        <item x="288"/>
        <item x="614"/>
        <item x="557"/>
        <item x="77"/>
        <item x="40"/>
        <item x="69"/>
        <item x="42"/>
        <item x="622"/>
        <item x="615"/>
        <item x="544"/>
        <item x="122"/>
        <item x="514"/>
        <item x="501"/>
        <item x="415"/>
        <item x="21"/>
        <item x="548"/>
        <item x="61"/>
        <item x="153"/>
        <item x="311"/>
        <item x="196"/>
        <item x="379"/>
        <item x="392"/>
        <item x="526"/>
        <item x="273"/>
        <item x="282"/>
        <item x="590"/>
        <item x="248"/>
        <item x="87"/>
        <item x="163"/>
        <item x="493"/>
        <item x="532"/>
        <item x="452"/>
        <item x="36"/>
        <item x="133"/>
        <item x="588"/>
        <item x="575"/>
        <item x="64"/>
        <item x="249"/>
        <item x="162"/>
        <item x="348"/>
        <item x="243"/>
        <item x="448"/>
        <item x="103"/>
        <item x="449"/>
        <item x="166"/>
        <item x="104"/>
        <item x="264"/>
        <item x="440"/>
        <item x="298"/>
        <item x="363"/>
        <item x="629"/>
        <item x="380"/>
        <item x="144"/>
        <item x="429"/>
        <item x="432"/>
        <item x="398"/>
        <item x="558"/>
        <item x="84"/>
        <item x="397"/>
        <item x="32"/>
        <item x="559"/>
        <item x="146"/>
        <item x="404"/>
        <item x="427"/>
        <item x="219"/>
        <item x="344"/>
        <item x="101"/>
        <item x="367"/>
        <item x="605"/>
        <item x="576"/>
        <item x="625"/>
        <item x="387"/>
        <item x="543"/>
        <item x="85"/>
        <item x="466"/>
        <item x="233"/>
        <item x="66"/>
        <item x="280"/>
        <item x="394"/>
        <item x="165"/>
        <item x="573"/>
        <item x="419"/>
        <item x="169"/>
        <item x="7"/>
        <item x="454"/>
        <item x="358"/>
        <item x="147"/>
        <item x="594"/>
        <item x="199"/>
        <item x="37"/>
        <item x="534"/>
        <item x="214"/>
        <item x="383"/>
        <item x="506"/>
        <item x="376"/>
        <item x="424"/>
        <item x="471"/>
        <item x="223"/>
        <item x="283"/>
        <item x="546"/>
        <item x="175"/>
        <item x="49"/>
        <item x="207"/>
        <item x="553"/>
        <item x="9"/>
        <item x="65"/>
        <item x="121"/>
        <item x="128"/>
        <item x="522"/>
        <item x="412"/>
        <item x="389"/>
        <item x="334"/>
        <item x="468"/>
        <item x="316"/>
        <item x="350"/>
        <item x="498"/>
        <item x="227"/>
        <item x="370"/>
        <item x="401"/>
        <item x="234"/>
        <item x="400"/>
        <item x="279"/>
        <item x="250"/>
        <item x="565"/>
        <item x="266"/>
        <item x="251"/>
        <item x="399"/>
        <item x="208"/>
        <item x="43"/>
        <item x="1"/>
        <item x="260"/>
        <item x="610"/>
        <item x="209"/>
        <item x="80"/>
        <item x="414"/>
        <item x="613"/>
        <item x="366"/>
        <item x="396"/>
        <item x="551"/>
        <item x="35"/>
        <item x="289"/>
        <item x="255"/>
        <item x="572"/>
        <item x="473"/>
        <item x="90"/>
        <item x="189"/>
        <item x="365"/>
        <item x="540"/>
        <item x="450"/>
        <item x="386"/>
        <item x="393"/>
        <item x="20"/>
        <item x="286"/>
        <item x="341"/>
        <item x="92"/>
        <item x="28"/>
        <item x="552"/>
        <item x="71"/>
        <item x="22"/>
        <item x="499"/>
        <item x="537"/>
        <item x="294"/>
        <item x="439"/>
        <item x="455"/>
        <item x="83"/>
        <item x="426"/>
        <item x="406"/>
        <item x="150"/>
        <item x="224"/>
        <item x="364"/>
        <item x="12"/>
        <item x="443"/>
        <item x="195"/>
        <item x="483"/>
        <item x="159"/>
        <item x="384"/>
        <item x="515"/>
        <item x="319"/>
        <item x="405"/>
        <item x="521"/>
        <item x="478"/>
        <item x="584"/>
        <item x="259"/>
        <item x="120"/>
        <item x="453"/>
        <item x="354"/>
        <item x="291"/>
        <item x="408"/>
        <item x="106"/>
        <item x="451"/>
        <item x="19"/>
        <item x="156"/>
        <item x="254"/>
        <item x="212"/>
        <item x="437"/>
        <item x="458"/>
        <item x="191"/>
        <item x="114"/>
        <item x="23"/>
        <item x="567"/>
        <item x="586"/>
        <item x="617"/>
        <item x="496"/>
        <item x="467"/>
        <item x="201"/>
        <item x="252"/>
        <item x="203"/>
        <item x="299"/>
        <item x="143"/>
        <item x="15"/>
        <item x="323"/>
        <item x="204"/>
        <item x="30"/>
        <item x="63"/>
        <item x="183"/>
        <item x="351"/>
        <item x="186"/>
        <item x="287"/>
        <item x="98"/>
        <item x="347"/>
        <item x="474"/>
        <item x="434"/>
        <item x="33"/>
        <item x="134"/>
        <item x="109"/>
        <item x="60"/>
        <item x="328"/>
        <item x="338"/>
        <item x="187"/>
        <item x="335"/>
        <item x="206"/>
        <item x="218"/>
        <item x="486"/>
        <item x="606"/>
        <item x="158"/>
        <item x="339"/>
        <item x="272"/>
        <item x="422"/>
        <item x="152"/>
        <item x="55"/>
        <item x="549"/>
        <item x="110"/>
        <item x="621"/>
        <item x="425"/>
        <item x="225"/>
        <item x="541"/>
        <item x="495"/>
        <item x="309"/>
        <item x="194"/>
        <item x="373"/>
        <item x="441"/>
        <item x="413"/>
        <item x="172"/>
        <item x="54"/>
        <item x="547"/>
        <item x="141"/>
        <item x="371"/>
        <item x="504"/>
        <item x="44"/>
        <item x="624"/>
        <item x="627"/>
        <item x="76"/>
        <item x="561"/>
        <item x="378"/>
        <item x="513"/>
        <item x="528"/>
        <item x="554"/>
        <item x="41"/>
        <item x="59"/>
        <item x="599"/>
        <item x="241"/>
        <item x="96"/>
        <item x="568"/>
        <item x="48"/>
        <item x="271"/>
        <item x="505"/>
        <item x="352"/>
        <item x="277"/>
        <item x="359"/>
        <item x="16"/>
        <item x="75"/>
        <item x="137"/>
        <item x="47"/>
        <item x="481"/>
        <item x="470"/>
        <item x="235"/>
        <item x="381"/>
        <item x="17"/>
        <item x="374"/>
        <item x="336"/>
        <item x="265"/>
        <item x="18"/>
        <item x="119"/>
        <item x="321"/>
        <item x="301"/>
        <item x="602"/>
        <item x="263"/>
        <item x="312"/>
        <item x="628"/>
        <item x="479"/>
        <item x="582"/>
        <item x="39"/>
        <item x="428"/>
        <item x="180"/>
        <item x="618"/>
        <item x="477"/>
        <item x="533"/>
        <item x="148"/>
        <item x="305"/>
        <item x="94"/>
        <item x="375"/>
        <item x="355"/>
        <item x="566"/>
        <item x="447"/>
        <item x="555"/>
        <item x="382"/>
        <item x="202"/>
        <item x="356"/>
        <item x="623"/>
        <item x="511"/>
        <item x="556"/>
        <item x="536"/>
        <item x="591"/>
        <item x="99"/>
        <item x="318"/>
        <item x="198"/>
        <item x="391"/>
        <item x="395"/>
        <item x="430"/>
        <item x="423"/>
        <item x="527"/>
        <item x="79"/>
        <item x="8"/>
        <item x="520"/>
        <item x="125"/>
        <item x="116"/>
        <item x="538"/>
        <item x="222"/>
        <item x="587"/>
        <item x="62"/>
        <item x="345"/>
        <item x="275"/>
        <item x="612"/>
        <item x="361"/>
        <item x="464"/>
        <item x="164"/>
        <item x="139"/>
        <item x="174"/>
        <item x="421"/>
        <item x="46"/>
        <item x="236"/>
        <item t="default"/>
      </items>
    </pivotField>
    <pivotField compact="0" numFmtId="179" showAll="0">
      <items count="632">
        <item x="57"/>
        <item x="616"/>
        <item x="1"/>
        <item x="2"/>
        <item x="384"/>
        <item x="625"/>
        <item x="422"/>
        <item x="264"/>
        <item x="10"/>
        <item x="496"/>
        <item x="559"/>
        <item x="186"/>
        <item x="131"/>
        <item x="133"/>
        <item x="191"/>
        <item x="288"/>
        <item x="406"/>
        <item x="64"/>
        <item x="500"/>
        <item x="71"/>
        <item x="621"/>
        <item x="243"/>
        <item x="124"/>
        <item x="382"/>
        <item x="149"/>
        <item x="387"/>
        <item x="195"/>
        <item x="54"/>
        <item x="258"/>
        <item x="72"/>
        <item x="396"/>
        <item x="415"/>
        <item x="589"/>
        <item x="228"/>
        <item x="383"/>
        <item x="65"/>
        <item x="491"/>
        <item x="80"/>
        <item x="97"/>
        <item x="151"/>
        <item x="104"/>
        <item x="51"/>
        <item x="476"/>
        <item x="360"/>
        <item x="403"/>
        <item x="223"/>
        <item x="600"/>
        <item x="604"/>
        <item x="251"/>
        <item x="121"/>
        <item x="13"/>
        <item x="35"/>
        <item x="448"/>
        <item x="362"/>
        <item x="165"/>
        <item x="166"/>
        <item x="320"/>
        <item x="15"/>
        <item x="389"/>
        <item x="617"/>
        <item x="130"/>
        <item x="145"/>
        <item x="511"/>
        <item x="426"/>
        <item x="192"/>
        <item x="539"/>
        <item x="199"/>
        <item x="298"/>
        <item x="573"/>
        <item x="337"/>
        <item x="302"/>
        <item x="189"/>
        <item x="456"/>
        <item x="26"/>
        <item x="84"/>
        <item x="401"/>
        <item x="431"/>
        <item x="542"/>
        <item x="122"/>
        <item x="100"/>
        <item x="67"/>
        <item x="372"/>
        <item x="267"/>
        <item x="85"/>
        <item x="410"/>
        <item x="93"/>
        <item x="592"/>
        <item x="605"/>
        <item x="237"/>
        <item x="3"/>
        <item x="407"/>
        <item x="141"/>
        <item x="316"/>
        <item x="544"/>
        <item x="332"/>
        <item x="274"/>
        <item x="400"/>
        <item x="234"/>
        <item x="211"/>
        <item x="9"/>
        <item x="215"/>
        <item x="200"/>
        <item x="34"/>
        <item x="113"/>
        <item x="560"/>
        <item x="565"/>
        <item x="178"/>
        <item x="197"/>
        <item x="136"/>
        <item x="233"/>
        <item x="509"/>
        <item x="433"/>
        <item x="484"/>
        <item x="14"/>
        <item x="115"/>
        <item x="350"/>
        <item x="214"/>
        <item x="183"/>
        <item x="154"/>
        <item x="268"/>
        <item x="380"/>
        <item x="52"/>
        <item x="363"/>
        <item x="322"/>
        <item x="611"/>
        <item x="284"/>
        <item x="579"/>
        <item x="529"/>
        <item x="392"/>
        <item x="86"/>
        <item x="357"/>
        <item x="229"/>
        <item x="608"/>
        <item x="318"/>
        <item x="58"/>
        <item x="399"/>
        <item x="138"/>
        <item x="518"/>
        <item x="176"/>
        <item x="364"/>
        <item x="425"/>
        <item x="126"/>
        <item x="374"/>
        <item x="73"/>
        <item x="475"/>
        <item x="461"/>
        <item x="553"/>
        <item x="83"/>
        <item x="226"/>
        <item x="630"/>
        <item x="368"/>
        <item x="503"/>
        <item x="169"/>
        <item x="108"/>
        <item x="247"/>
        <item x="53"/>
        <item x="262"/>
        <item x="161"/>
        <item x="531"/>
        <item x="188"/>
        <item x="310"/>
        <item x="105"/>
        <item x="530"/>
        <item x="297"/>
        <item x="135"/>
        <item x="525"/>
        <item x="285"/>
        <item x="50"/>
        <item x="95"/>
        <item x="111"/>
        <item x="179"/>
        <item x="256"/>
        <item x="171"/>
        <item x="574"/>
        <item x="207"/>
        <item x="281"/>
        <item x="575"/>
        <item x="492"/>
        <item x="563"/>
        <item x="519"/>
        <item x="220"/>
        <item x="235"/>
        <item x="242"/>
        <item x="6"/>
        <item x="535"/>
        <item x="601"/>
        <item x="88"/>
        <item x="29"/>
        <item x="306"/>
        <item x="82"/>
        <item x="118"/>
        <item x="460"/>
        <item x="416"/>
        <item x="609"/>
        <item x="585"/>
        <item x="394"/>
        <item x="619"/>
        <item x="388"/>
        <item x="417"/>
        <item x="462"/>
        <item x="246"/>
        <item x="5"/>
        <item x="290"/>
        <item x="459"/>
        <item x="210"/>
        <item x="313"/>
        <item x="74"/>
        <item x="349"/>
        <item x="184"/>
        <item x="173"/>
        <item x="590"/>
        <item x="446"/>
        <item x="38"/>
        <item x="112"/>
        <item x="571"/>
        <item x="487"/>
        <item x="168"/>
        <item x="340"/>
        <item x="438"/>
        <item x="516"/>
        <item x="25"/>
        <item x="510"/>
        <item x="607"/>
        <item x="123"/>
        <item x="379"/>
        <item x="411"/>
        <item x="489"/>
        <item x="296"/>
        <item x="193"/>
        <item x="353"/>
        <item x="581"/>
        <item x="437"/>
        <item x="405"/>
        <item x="434"/>
        <item x="269"/>
        <item x="463"/>
        <item x="512"/>
        <item x="167"/>
        <item x="342"/>
        <item x="317"/>
        <item x="231"/>
        <item x="245"/>
        <item x="248"/>
        <item x="238"/>
        <item x="217"/>
        <item x="577"/>
        <item x="482"/>
        <item x="132"/>
        <item x="326"/>
        <item x="107"/>
        <item x="622"/>
        <item x="185"/>
        <item x="570"/>
        <item x="369"/>
        <item x="550"/>
        <item x="293"/>
        <item x="381"/>
        <item x="444"/>
        <item x="418"/>
        <item x="62"/>
        <item x="597"/>
        <item x="324"/>
        <item x="398"/>
        <item x="150"/>
        <item x="43"/>
        <item x="427"/>
        <item x="216"/>
        <item x="304"/>
        <item x="205"/>
        <item x="583"/>
        <item x="346"/>
        <item x="239"/>
        <item x="325"/>
        <item x="160"/>
        <item x="620"/>
        <item x="78"/>
        <item x="127"/>
        <item x="386"/>
        <item x="618"/>
        <item x="153"/>
        <item x="409"/>
        <item x="465"/>
        <item x="194"/>
        <item x="295"/>
        <item x="270"/>
        <item x="329"/>
        <item x="11"/>
        <item x="244"/>
        <item x="390"/>
        <item x="598"/>
        <item x="69"/>
        <item x="548"/>
        <item x="240"/>
        <item x="440"/>
        <item x="376"/>
        <item x="507"/>
        <item x="614"/>
        <item x="596"/>
        <item x="307"/>
        <item x="526"/>
        <item x="283"/>
        <item x="569"/>
        <item x="48"/>
        <item x="257"/>
        <item x="343"/>
        <item x="261"/>
        <item x="370"/>
        <item x="142"/>
        <item x="485"/>
        <item x="523"/>
        <item x="263"/>
        <item x="4"/>
        <item x="56"/>
        <item x="271"/>
        <item x="595"/>
        <item x="478"/>
        <item x="578"/>
        <item x="420"/>
        <item x="232"/>
        <item x="552"/>
        <item x="315"/>
        <item x="493"/>
        <item x="221"/>
        <item x="24"/>
        <item x="27"/>
        <item x="545"/>
        <item x="564"/>
        <item x="494"/>
        <item x="419"/>
        <item x="117"/>
        <item x="0"/>
        <item x="480"/>
        <item x="37"/>
        <item x="515"/>
        <item x="45"/>
        <item x="333"/>
        <item x="502"/>
        <item x="98"/>
        <item x="603"/>
        <item x="40"/>
        <item x="626"/>
        <item x="102"/>
        <item x="517"/>
        <item x="146"/>
        <item x="331"/>
        <item x="524"/>
        <item x="182"/>
        <item x="77"/>
        <item x="435"/>
        <item x="483"/>
        <item x="402"/>
        <item x="81"/>
        <item x="49"/>
        <item x="330"/>
        <item x="586"/>
        <item x="436"/>
        <item x="547"/>
        <item x="213"/>
        <item x="276"/>
        <item x="21"/>
        <item x="472"/>
        <item x="230"/>
        <item x="442"/>
        <item x="227"/>
        <item x="327"/>
        <item x="521"/>
        <item x="303"/>
        <item x="70"/>
        <item x="89"/>
        <item x="91"/>
        <item x="514"/>
        <item x="572"/>
        <item x="488"/>
        <item x="31"/>
        <item x="466"/>
        <item x="385"/>
        <item x="196"/>
        <item x="140"/>
        <item x="305"/>
        <item x="241"/>
        <item x="282"/>
        <item x="377"/>
        <item x="508"/>
        <item x="314"/>
        <item x="300"/>
        <item x="311"/>
        <item x="557"/>
        <item x="580"/>
        <item x="253"/>
        <item x="452"/>
        <item x="490"/>
        <item x="468"/>
        <item x="181"/>
        <item x="30"/>
        <item x="61"/>
        <item x="63"/>
        <item x="308"/>
        <item x="163"/>
        <item x="177"/>
        <item x="457"/>
        <item x="278"/>
        <item x="155"/>
        <item x="546"/>
        <item x="593"/>
        <item x="190"/>
        <item x="292"/>
        <item x="255"/>
        <item x="68"/>
        <item x="129"/>
        <item x="562"/>
        <item x="497"/>
        <item x="208"/>
        <item x="551"/>
        <item x="445"/>
        <item x="147"/>
        <item x="170"/>
        <item x="408"/>
        <item x="532"/>
        <item x="250"/>
        <item x="454"/>
        <item x="66"/>
        <item x="558"/>
        <item x="103"/>
        <item x="527"/>
        <item x="90"/>
        <item x="404"/>
        <item x="469"/>
        <item x="273"/>
        <item x="42"/>
        <item x="272"/>
        <item x="501"/>
        <item x="249"/>
        <item x="157"/>
        <item x="505"/>
        <item x="159"/>
        <item x="449"/>
        <item x="358"/>
        <item x="162"/>
        <item x="588"/>
        <item x="291"/>
        <item x="36"/>
        <item x="344"/>
        <item x="467"/>
        <item x="432"/>
        <item x="137"/>
        <item x="534"/>
        <item x="576"/>
        <item x="87"/>
        <item x="584"/>
        <item x="629"/>
        <item x="429"/>
        <item x="615"/>
        <item x="280"/>
        <item x="458"/>
        <item x="541"/>
        <item x="613"/>
        <item x="348"/>
        <item x="397"/>
        <item x="351"/>
        <item x="144"/>
        <item x="7"/>
        <item x="32"/>
        <item x="424"/>
        <item x="334"/>
        <item x="175"/>
        <item x="44"/>
        <item x="266"/>
        <item x="455"/>
        <item x="219"/>
        <item x="279"/>
        <item x="260"/>
        <item x="506"/>
        <item x="202"/>
        <item x="367"/>
        <item x="471"/>
        <item x="352"/>
        <item x="412"/>
        <item x="610"/>
        <item x="187"/>
        <item x="59"/>
        <item x="498"/>
        <item x="543"/>
        <item x="209"/>
        <item x="299"/>
        <item x="101"/>
        <item x="473"/>
        <item x="561"/>
        <item x="110"/>
        <item x="143"/>
        <item x="594"/>
        <item x="522"/>
        <item x="354"/>
        <item x="60"/>
        <item x="259"/>
        <item x="128"/>
        <item x="582"/>
        <item x="301"/>
        <item x="365"/>
        <item x="201"/>
        <item x="20"/>
        <item x="393"/>
        <item x="28"/>
        <item x="338"/>
        <item x="106"/>
        <item x="414"/>
        <item x="443"/>
        <item x="289"/>
        <item x="439"/>
        <item x="499"/>
        <item x="22"/>
        <item x="156"/>
        <item x="96"/>
        <item x="366"/>
        <item x="359"/>
        <item x="286"/>
        <item x="453"/>
        <item x="224"/>
        <item x="92"/>
        <item x="212"/>
        <item x="39"/>
        <item x="540"/>
        <item x="294"/>
        <item x="120"/>
        <item x="450"/>
        <item x="158"/>
        <item x="474"/>
        <item x="172"/>
        <item x="341"/>
        <item x="537"/>
        <item x="347"/>
        <item x="287"/>
        <item x="225"/>
        <item x="328"/>
        <item x="12"/>
        <item x="391"/>
        <item x="218"/>
        <item x="109"/>
        <item x="567"/>
        <item x="373"/>
        <item x="252"/>
        <item x="114"/>
        <item x="624"/>
        <item x="319"/>
        <item x="134"/>
        <item x="41"/>
        <item x="339"/>
        <item x="204"/>
        <item x="451"/>
        <item x="76"/>
        <item x="486"/>
        <item x="309"/>
        <item x="203"/>
        <item x="627"/>
        <item x="19"/>
        <item x="23"/>
        <item x="549"/>
        <item x="335"/>
        <item x="277"/>
        <item x="47"/>
        <item x="336"/>
        <item x="599"/>
        <item x="375"/>
        <item x="33"/>
        <item x="152"/>
        <item x="254"/>
        <item x="356"/>
        <item x="16"/>
        <item x="495"/>
        <item x="206"/>
        <item x="566"/>
        <item x="371"/>
        <item x="323"/>
        <item x="139"/>
        <item x="8"/>
        <item x="447"/>
        <item x="481"/>
        <item x="606"/>
        <item x="312"/>
        <item x="441"/>
        <item x="75"/>
        <item x="265"/>
        <item x="568"/>
        <item x="55"/>
        <item x="504"/>
        <item x="513"/>
        <item x="180"/>
        <item x="428"/>
        <item x="148"/>
        <item x="413"/>
        <item x="554"/>
        <item x="470"/>
        <item x="378"/>
        <item x="533"/>
        <item x="17"/>
        <item x="555"/>
        <item x="477"/>
        <item x="18"/>
        <item x="423"/>
        <item x="528"/>
        <item x="602"/>
        <item x="198"/>
        <item x="275"/>
        <item x="479"/>
        <item x="79"/>
        <item x="628"/>
        <item x="119"/>
        <item x="125"/>
        <item x="321"/>
        <item x="355"/>
        <item x="623"/>
        <item x="536"/>
        <item x="94"/>
        <item x="591"/>
        <item x="464"/>
        <item x="556"/>
        <item x="164"/>
        <item x="395"/>
        <item x="538"/>
        <item x="99"/>
        <item x="116"/>
        <item x="430"/>
        <item x="587"/>
        <item x="520"/>
        <item x="345"/>
        <item x="174"/>
        <item x="222"/>
        <item x="361"/>
        <item x="421"/>
        <item x="612"/>
        <item x="236"/>
        <item x="46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Gross Revenue " fld="22" baseField="0" baseItem="0"/>
    <dataField name="Count of Order ID" fld="0" subtotal="count" baseField="0" baseItem="0"/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B13" firstHeaderRow="0" firstDataRow="1" firstDataCol="0"/>
  <pivotFields count="42">
    <pivotField dataField="1" compact="0" showAll="0">
      <items count="631">
        <item x="604"/>
        <item x="448"/>
        <item x="6"/>
        <item x="517"/>
        <item x="572"/>
        <item x="45"/>
        <item x="366"/>
        <item x="200"/>
        <item x="550"/>
        <item x="323"/>
        <item x="437"/>
        <item x="165"/>
        <item x="79"/>
        <item x="360"/>
        <item x="327"/>
        <item x="299"/>
        <item x="452"/>
        <item x="576"/>
        <item x="192"/>
        <item x="121"/>
        <item x="331"/>
        <item x="438"/>
        <item x="456"/>
        <item x="147"/>
        <item x="223"/>
        <item x="189"/>
        <item x="346"/>
        <item x="277"/>
        <item x="349"/>
        <item x="534"/>
        <item x="53"/>
        <item x="64"/>
        <item x="162"/>
        <item x="469"/>
        <item x="579"/>
        <item x="624"/>
        <item x="105"/>
        <item x="268"/>
        <item x="255"/>
        <item x="88"/>
        <item x="338"/>
        <item x="23"/>
        <item x="219"/>
        <item x="280"/>
        <item x="249"/>
        <item x="375"/>
        <item x="539"/>
        <item x="171"/>
        <item x="224"/>
        <item x="77"/>
        <item x="48"/>
        <item x="602"/>
        <item x="225"/>
        <item x="167"/>
        <item x="44"/>
        <item x="143"/>
        <item x="182"/>
        <item x="573"/>
        <item x="80"/>
        <item x="511"/>
        <item x="561"/>
        <item x="314"/>
        <item x="390"/>
        <item x="287"/>
        <item x="271"/>
        <item x="2"/>
        <item x="91"/>
        <item x="291"/>
        <item x="433"/>
        <item x="584"/>
        <item x="198"/>
        <item x="73"/>
        <item x="362"/>
        <item x="203"/>
        <item x="184"/>
        <item x="496"/>
        <item x="51"/>
        <item x="98"/>
        <item x="117"/>
        <item x="131"/>
        <item x="214"/>
        <item x="494"/>
        <item x="170"/>
        <item x="612"/>
        <item x="542"/>
        <item x="628"/>
        <item x="519"/>
        <item x="546"/>
        <item x="254"/>
        <item x="350"/>
        <item x="63"/>
        <item x="545"/>
        <item x="150"/>
        <item x="222"/>
        <item x="614"/>
        <item x="238"/>
        <item x="259"/>
        <item x="128"/>
        <item x="531"/>
        <item x="325"/>
        <item x="458"/>
        <item x="370"/>
        <item x="65"/>
        <item x="625"/>
        <item x="603"/>
        <item x="623"/>
        <item x="30"/>
        <item x="514"/>
        <item x="476"/>
        <item x="343"/>
        <item x="498"/>
        <item x="196"/>
        <item x="120"/>
        <item x="444"/>
        <item x="454"/>
        <item x="201"/>
        <item x="473"/>
        <item x="300"/>
        <item x="381"/>
        <item x="151"/>
        <item x="484"/>
        <item x="295"/>
        <item x="123"/>
        <item x="228"/>
        <item x="477"/>
        <item x="283"/>
        <item x="136"/>
        <item x="215"/>
        <item x="386"/>
        <item x="590"/>
        <item x="315"/>
        <item x="536"/>
        <item x="418"/>
        <item x="260"/>
        <item x="265"/>
        <item x="258"/>
        <item x="527"/>
        <item x="38"/>
        <item x="212"/>
        <item x="430"/>
        <item x="336"/>
        <item x="175"/>
        <item x="608"/>
        <item x="290"/>
        <item x="407"/>
        <item x="383"/>
        <item x="595"/>
        <item x="525"/>
        <item x="197"/>
        <item x="459"/>
        <item x="220"/>
        <item x="575"/>
        <item x="278"/>
        <item x="74"/>
        <item x="4"/>
        <item x="588"/>
        <item x="465"/>
        <item x="411"/>
        <item x="348"/>
        <item x="500"/>
        <item x="242"/>
        <item x="67"/>
        <item x="435"/>
        <item x="618"/>
        <item x="339"/>
        <item x="443"/>
        <item x="449"/>
        <item x="475"/>
        <item x="436"/>
        <item x="68"/>
        <item x="538"/>
        <item x="368"/>
        <item x="337"/>
        <item x="144"/>
        <item x="186"/>
        <item x="317"/>
        <item x="387"/>
        <item x="84"/>
        <item x="153"/>
        <item x="440"/>
        <item x="159"/>
        <item x="403"/>
        <item x="369"/>
        <item x="580"/>
        <item x="34"/>
        <item x="506"/>
        <item x="482"/>
        <item x="134"/>
        <item x="20"/>
        <item x="569"/>
        <item x="94"/>
        <item x="114"/>
        <item x="455"/>
        <item x="124"/>
        <item x="307"/>
        <item x="164"/>
        <item x="622"/>
        <item x="257"/>
        <item x="320"/>
        <item x="310"/>
        <item x="27"/>
        <item x="345"/>
        <item x="139"/>
        <item x="141"/>
        <item x="508"/>
        <item x="204"/>
        <item x="626"/>
        <item x="191"/>
        <item x="392"/>
        <item x="468"/>
        <item x="410"/>
        <item x="14"/>
        <item x="330"/>
        <item x="232"/>
        <item x="227"/>
        <item x="554"/>
        <item x="541"/>
        <item x="627"/>
        <item x="236"/>
        <item x="266"/>
        <item x="537"/>
        <item x="113"/>
        <item x="413"/>
        <item x="177"/>
        <item x="395"/>
        <item x="478"/>
        <item x="335"/>
        <item x="163"/>
        <item x="154"/>
        <item x="548"/>
        <item x="324"/>
        <item x="104"/>
        <item x="133"/>
        <item x="308"/>
        <item x="108"/>
        <item x="33"/>
        <item x="400"/>
        <item x="29"/>
        <item x="78"/>
        <item x="213"/>
        <item x="152"/>
        <item x="457"/>
        <item x="547"/>
        <item x="15"/>
        <item x="321"/>
        <item x="522"/>
        <item x="296"/>
        <item x="563"/>
        <item x="479"/>
        <item x="9"/>
        <item x="146"/>
        <item x="190"/>
        <item x="24"/>
        <item x="161"/>
        <item x="250"/>
        <item x="110"/>
        <item x="352"/>
        <item x="138"/>
        <item x="180"/>
        <item x="585"/>
        <item x="488"/>
        <item x="62"/>
        <item x="559"/>
        <item x="391"/>
        <item x="453"/>
        <item x="50"/>
        <item x="606"/>
        <item x="0"/>
        <item x="286"/>
        <item x="233"/>
        <item x="106"/>
        <item x="69"/>
        <item x="56"/>
        <item x="40"/>
        <item x="251"/>
        <item x="389"/>
        <item x="503"/>
        <item x="246"/>
        <item x="166"/>
        <item x="560"/>
        <item x="609"/>
        <item x="333"/>
        <item x="340"/>
        <item x="5"/>
        <item x="611"/>
        <item x="361"/>
        <item x="66"/>
        <item x="252"/>
        <item x="535"/>
        <item x="571"/>
        <item x="460"/>
        <item x="160"/>
        <item x="1"/>
        <item x="523"/>
        <item x="282"/>
        <item x="485"/>
        <item x="409"/>
        <item x="428"/>
        <item x="483"/>
        <item x="142"/>
        <item x="43"/>
        <item x="404"/>
        <item x="382"/>
        <item x="516"/>
        <item x="309"/>
        <item x="544"/>
        <item x="230"/>
        <item x="312"/>
        <item x="493"/>
        <item x="567"/>
        <item x="148"/>
        <item x="593"/>
        <item x="193"/>
        <item x="439"/>
        <item x="75"/>
        <item x="76"/>
        <item x="412"/>
        <item x="49"/>
        <item x="520"/>
        <item x="422"/>
        <item x="116"/>
        <item x="102"/>
        <item x="577"/>
        <item x="273"/>
        <item x="22"/>
        <item x="264"/>
        <item x="322"/>
        <item x="187"/>
        <item x="463"/>
        <item x="442"/>
        <item x="355"/>
        <item x="423"/>
        <item x="491"/>
        <item x="385"/>
        <item x="528"/>
        <item x="553"/>
        <item x="408"/>
        <item x="244"/>
        <item x="46"/>
        <item x="599"/>
        <item x="156"/>
        <item x="557"/>
        <item x="447"/>
        <item x="499"/>
        <item x="231"/>
        <item x="334"/>
        <item x="586"/>
        <item x="492"/>
        <item x="276"/>
        <item x="432"/>
        <item x="125"/>
        <item x="597"/>
        <item x="122"/>
        <item x="7"/>
        <item x="581"/>
        <item x="85"/>
        <item x="37"/>
        <item x="87"/>
        <item x="127"/>
        <item x="169"/>
        <item x="399"/>
        <item x="540"/>
        <item x="32"/>
        <item x="39"/>
        <item x="96"/>
        <item x="183"/>
        <item x="474"/>
        <item x="341"/>
        <item x="471"/>
        <item x="429"/>
        <item x="414"/>
        <item x="248"/>
        <item x="194"/>
        <item x="401"/>
        <item x="208"/>
        <item x="556"/>
        <item x="206"/>
        <item x="582"/>
        <item x="372"/>
        <item x="35"/>
        <item x="358"/>
        <item x="526"/>
        <item x="319"/>
        <item x="216"/>
        <item x="495"/>
        <item x="505"/>
        <item x="610"/>
        <item x="441"/>
        <item x="270"/>
        <item x="417"/>
        <item x="617"/>
        <item x="188"/>
        <item x="155"/>
        <item x="566"/>
        <item x="103"/>
        <item x="507"/>
        <item x="217"/>
        <item x="137"/>
        <item x="464"/>
        <item x="25"/>
        <item x="294"/>
        <item x="489"/>
        <item x="107"/>
        <item x="19"/>
        <item x="72"/>
        <item x="234"/>
        <item x="426"/>
        <item x="620"/>
        <item x="364"/>
        <item x="318"/>
        <item x="521"/>
        <item x="272"/>
        <item x="135"/>
        <item x="431"/>
        <item x="607"/>
        <item x="100"/>
        <item x="450"/>
        <item x="243"/>
        <item x="26"/>
        <item x="253"/>
        <item x="285"/>
        <item x="241"/>
        <item x="373"/>
        <item x="558"/>
        <item x="302"/>
        <item x="267"/>
        <item x="446"/>
        <item x="12"/>
        <item x="357"/>
        <item x="518"/>
        <item x="342"/>
        <item x="237"/>
        <item x="344"/>
        <item x="140"/>
        <item x="59"/>
        <item x="598"/>
        <item x="109"/>
        <item x="351"/>
        <item x="111"/>
        <item x="353"/>
        <item x="311"/>
        <item x="615"/>
        <item x="71"/>
        <item x="168"/>
        <item x="591"/>
        <item x="274"/>
        <item x="176"/>
        <item x="509"/>
        <item x="356"/>
        <item x="510"/>
        <item x="47"/>
        <item x="195"/>
        <item x="173"/>
        <item x="434"/>
        <item x="397"/>
        <item x="486"/>
        <item x="564"/>
        <item x="210"/>
        <item x="425"/>
        <item x="92"/>
        <item x="41"/>
        <item x="199"/>
        <item x="81"/>
        <item x="363"/>
        <item x="235"/>
        <item x="512"/>
        <item x="303"/>
        <item x="205"/>
        <item x="533"/>
        <item x="616"/>
        <item x="578"/>
        <item x="3"/>
        <item x="568"/>
        <item x="570"/>
        <item x="119"/>
        <item x="256"/>
        <item x="374"/>
        <item x="600"/>
        <item x="298"/>
        <item x="378"/>
        <item x="416"/>
        <item x="313"/>
        <item x="16"/>
        <item x="145"/>
        <item x="149"/>
        <item x="583"/>
        <item x="247"/>
        <item x="481"/>
        <item x="487"/>
        <item x="605"/>
        <item x="95"/>
        <item x="371"/>
        <item x="419"/>
        <item x="301"/>
        <item x="587"/>
        <item x="574"/>
        <item x="226"/>
        <item x="461"/>
        <item x="367"/>
        <item x="532"/>
        <item x="332"/>
        <item x="99"/>
        <item x="83"/>
        <item x="501"/>
        <item x="552"/>
        <item x="551"/>
        <item x="132"/>
        <item x="305"/>
        <item x="293"/>
        <item x="415"/>
        <item x="306"/>
        <item x="480"/>
        <item x="451"/>
        <item x="158"/>
        <item x="549"/>
        <item x="262"/>
        <item x="524"/>
        <item x="445"/>
        <item x="504"/>
        <item x="31"/>
        <item x="347"/>
        <item x="269"/>
        <item x="388"/>
        <item x="393"/>
        <item x="292"/>
        <item x="11"/>
        <item x="82"/>
        <item x="462"/>
        <item x="130"/>
        <item x="239"/>
        <item x="406"/>
        <item x="10"/>
        <item x="61"/>
        <item x="90"/>
        <item x="613"/>
        <item x="126"/>
        <item x="284"/>
        <item x="97"/>
        <item x="185"/>
        <item x="28"/>
        <item x="211"/>
        <item x="52"/>
        <item x="21"/>
        <item x="209"/>
        <item x="396"/>
        <item x="359"/>
        <item x="398"/>
        <item x="365"/>
        <item x="89"/>
        <item x="207"/>
        <item x="513"/>
        <item x="376"/>
        <item x="57"/>
        <item x="70"/>
        <item x="240"/>
        <item x="112"/>
        <item x="621"/>
        <item x="129"/>
        <item x="420"/>
        <item x="178"/>
        <item x="328"/>
        <item x="562"/>
        <item x="101"/>
        <item x="179"/>
        <item x="427"/>
        <item x="394"/>
        <item x="275"/>
        <item x="221"/>
        <item x="502"/>
        <item x="472"/>
        <item x="596"/>
        <item x="279"/>
        <item x="115"/>
        <item x="172"/>
        <item x="490"/>
        <item x="594"/>
        <item x="36"/>
        <item x="93"/>
        <item x="629"/>
        <item x="329"/>
        <item x="18"/>
        <item x="601"/>
        <item x="289"/>
        <item x="229"/>
        <item x="218"/>
        <item x="58"/>
        <item x="54"/>
        <item x="157"/>
        <item x="530"/>
        <item x="326"/>
        <item x="60"/>
        <item x="470"/>
        <item x="380"/>
        <item x="466"/>
        <item x="424"/>
        <item x="42"/>
        <item x="379"/>
        <item x="497"/>
        <item x="515"/>
        <item x="421"/>
        <item x="13"/>
        <item x="17"/>
        <item x="174"/>
        <item x="592"/>
        <item x="316"/>
        <item x="86"/>
        <item x="384"/>
        <item x="555"/>
        <item x="405"/>
        <item x="263"/>
        <item x="181"/>
        <item x="619"/>
        <item x="261"/>
        <item x="402"/>
        <item x="377"/>
        <item x="288"/>
        <item x="529"/>
        <item x="565"/>
        <item x="55"/>
        <item x="297"/>
        <item x="304"/>
        <item x="245"/>
        <item x="467"/>
        <item x="354"/>
        <item x="118"/>
        <item x="543"/>
        <item x="202"/>
        <item x="281"/>
        <item x="589"/>
        <item x="8"/>
        <item t="default"/>
      </items>
    </pivotField>
    <pivotField compact="0" numFmtId="58" showAll="0">
      <items count="468">
        <item x="4"/>
        <item x="454"/>
        <item x="270"/>
        <item x="414"/>
        <item x="180"/>
        <item x="6"/>
        <item x="370"/>
        <item x="183"/>
        <item x="118"/>
        <item x="423"/>
        <item x="121"/>
        <item x="170"/>
        <item x="179"/>
        <item x="311"/>
        <item x="22"/>
        <item x="76"/>
        <item x="425"/>
        <item x="61"/>
        <item x="151"/>
        <item x="146"/>
        <item x="360"/>
        <item x="28"/>
        <item x="158"/>
        <item x="451"/>
        <item x="2"/>
        <item x="106"/>
        <item x="431"/>
        <item x="225"/>
        <item x="335"/>
        <item x="205"/>
        <item x="314"/>
        <item x="210"/>
        <item x="341"/>
        <item x="63"/>
        <item x="277"/>
        <item x="149"/>
        <item x="32"/>
        <item x="49"/>
        <item x="450"/>
        <item x="162"/>
        <item x="88"/>
        <item x="457"/>
        <item x="124"/>
        <item x="289"/>
        <item x="26"/>
        <item x="386"/>
        <item x="152"/>
        <item x="42"/>
        <item x="66"/>
        <item x="459"/>
        <item x="14"/>
        <item x="440"/>
        <item x="409"/>
        <item x="128"/>
        <item x="448"/>
        <item x="176"/>
        <item x="274"/>
        <item x="238"/>
        <item x="405"/>
        <item x="19"/>
        <item x="381"/>
        <item x="361"/>
        <item x="71"/>
        <item x="206"/>
        <item x="372"/>
        <item x="233"/>
        <item x="327"/>
        <item x="407"/>
        <item x="445"/>
        <item x="307"/>
        <item x="108"/>
        <item x="279"/>
        <item x="366"/>
        <item x="74"/>
        <item x="250"/>
        <item x="36"/>
        <item x="263"/>
        <item x="168"/>
        <item x="43"/>
        <item x="86"/>
        <item x="84"/>
        <item x="305"/>
        <item x="185"/>
        <item x="139"/>
        <item x="132"/>
        <item x="421"/>
        <item x="424"/>
        <item x="375"/>
        <item x="46"/>
        <item x="288"/>
        <item x="385"/>
        <item x="255"/>
        <item x="171"/>
        <item x="369"/>
        <item x="244"/>
        <item x="287"/>
        <item x="130"/>
        <item x="202"/>
        <item x="442"/>
        <item x="241"/>
        <item x="234"/>
        <item x="173"/>
        <item x="388"/>
        <item x="114"/>
        <item x="182"/>
        <item x="418"/>
        <item x="65"/>
        <item x="113"/>
        <item x="259"/>
        <item x="416"/>
        <item x="342"/>
        <item x="199"/>
        <item x="160"/>
        <item x="344"/>
        <item x="51"/>
        <item x="428"/>
        <item x="136"/>
        <item x="458"/>
        <item x="72"/>
        <item x="215"/>
        <item x="363"/>
        <item x="157"/>
        <item x="198"/>
        <item x="322"/>
        <item x="203"/>
        <item x="230"/>
        <item x="154"/>
        <item x="326"/>
        <item x="232"/>
        <item x="347"/>
        <item x="175"/>
        <item x="357"/>
        <item x="258"/>
        <item x="281"/>
        <item x="390"/>
        <item x="323"/>
        <item x="249"/>
        <item x="142"/>
        <item x="192"/>
        <item x="275"/>
        <item x="284"/>
        <item x="111"/>
        <item x="105"/>
        <item x="213"/>
        <item x="133"/>
        <item x="293"/>
        <item x="296"/>
        <item x="62"/>
        <item x="373"/>
        <item x="140"/>
        <item x="339"/>
        <item x="379"/>
        <item x="201"/>
        <item x="194"/>
        <item x="294"/>
        <item x="80"/>
        <item x="239"/>
        <item x="310"/>
        <item x="422"/>
        <item x="112"/>
        <item x="359"/>
        <item x="299"/>
        <item x="278"/>
        <item x="434"/>
        <item x="240"/>
        <item x="38"/>
        <item x="181"/>
        <item x="93"/>
        <item x="346"/>
        <item x="302"/>
        <item x="12"/>
        <item x="83"/>
        <item x="435"/>
        <item x="246"/>
        <item x="9"/>
        <item x="144"/>
        <item x="161"/>
        <item x="382"/>
        <item x="436"/>
        <item x="178"/>
        <item x="127"/>
        <item x="220"/>
        <item x="291"/>
        <item x="141"/>
        <item x="350"/>
        <item x="438"/>
        <item x="353"/>
        <item x="351"/>
        <item x="193"/>
        <item x="396"/>
        <item x="262"/>
        <item x="313"/>
        <item x="427"/>
        <item x="219"/>
        <item x="33"/>
        <item x="306"/>
        <item x="57"/>
        <item x="0"/>
        <item x="449"/>
        <item x="226"/>
        <item x="245"/>
        <item x="67"/>
        <item x="362"/>
        <item x="264"/>
        <item x="247"/>
        <item x="214"/>
        <item x="243"/>
        <item x="148"/>
        <item x="135"/>
        <item x="402"/>
        <item x="81"/>
        <item x="285"/>
        <item x="69"/>
        <item x="412"/>
        <item x="30"/>
        <item x="35"/>
        <item x="394"/>
        <item x="411"/>
        <item x="399"/>
        <item x="229"/>
        <item x="371"/>
        <item x="7"/>
        <item x="374"/>
        <item x="321"/>
        <item x="384"/>
        <item x="392"/>
        <item x="44"/>
        <item x="312"/>
        <item x="21"/>
        <item x="172"/>
        <item x="41"/>
        <item x="97"/>
        <item x="64"/>
        <item x="153"/>
        <item x="397"/>
        <item x="90"/>
        <item x="117"/>
        <item x="100"/>
        <item x="367"/>
        <item x="150"/>
        <item x="415"/>
        <item x="343"/>
        <item x="115"/>
        <item x="273"/>
        <item x="101"/>
        <item x="102"/>
        <item x="368"/>
        <item x="131"/>
        <item x="248"/>
        <item x="268"/>
        <item x="303"/>
        <item x="462"/>
        <item x="103"/>
        <item x="23"/>
        <item x="410"/>
        <item x="286"/>
        <item x="292"/>
        <item x="156"/>
        <item x="319"/>
        <item x="25"/>
        <item x="333"/>
        <item x="18"/>
        <item x="464"/>
        <item x="227"/>
        <item x="452"/>
        <item x="446"/>
        <item x="398"/>
        <item x="143"/>
        <item x="297"/>
        <item x="325"/>
        <item x="174"/>
        <item x="98"/>
        <item x="420"/>
        <item x="455"/>
        <item x="352"/>
        <item x="395"/>
        <item x="364"/>
        <item x="31"/>
        <item x="37"/>
        <item x="73"/>
        <item x="340"/>
        <item x="433"/>
        <item x="224"/>
        <item x="208"/>
        <item x="209"/>
        <item x="330"/>
        <item x="254"/>
        <item x="190"/>
        <item x="186"/>
        <item x="211"/>
        <item x="96"/>
        <item x="196"/>
        <item x="177"/>
        <item x="137"/>
        <item x="365"/>
        <item x="188"/>
        <item x="165"/>
        <item x="87"/>
        <item x="237"/>
        <item x="155"/>
        <item x="406"/>
        <item x="195"/>
        <item x="463"/>
        <item x="45"/>
        <item x="99"/>
        <item x="48"/>
        <item x="461"/>
        <item x="167"/>
        <item x="1"/>
        <item x="403"/>
        <item x="39"/>
        <item x="228"/>
        <item x="290"/>
        <item x="147"/>
        <item x="355"/>
        <item x="60"/>
        <item x="272"/>
        <item x="332"/>
        <item x="47"/>
        <item x="298"/>
        <item x="222"/>
        <item x="443"/>
        <item x="404"/>
        <item x="391"/>
        <item x="126"/>
        <item x="75"/>
        <item x="378"/>
        <item x="301"/>
        <item x="460"/>
        <item x="24"/>
        <item x="218"/>
        <item x="95"/>
        <item x="429"/>
        <item x="389"/>
        <item x="15"/>
        <item x="329"/>
        <item x="125"/>
        <item x="70"/>
        <item x="54"/>
        <item x="336"/>
        <item x="123"/>
        <item x="129"/>
        <item x="358"/>
        <item x="5"/>
        <item x="356"/>
        <item x="271"/>
        <item x="10"/>
        <item x="408"/>
        <item x="315"/>
        <item x="122"/>
        <item x="419"/>
        <item x="282"/>
        <item x="169"/>
        <item x="104"/>
        <item x="334"/>
        <item x="50"/>
        <item x="265"/>
        <item x="92"/>
        <item x="191"/>
        <item x="317"/>
        <item x="166"/>
        <item x="184"/>
        <item x="316"/>
        <item x="413"/>
        <item x="53"/>
        <item x="119"/>
        <item x="145"/>
        <item x="432"/>
        <item x="453"/>
        <item x="242"/>
        <item x="337"/>
        <item x="348"/>
        <item x="466"/>
        <item x="120"/>
        <item x="11"/>
        <item x="338"/>
        <item x="401"/>
        <item x="417"/>
        <item x="251"/>
        <item x="309"/>
        <item x="308"/>
        <item x="380"/>
        <item x="400"/>
        <item x="79"/>
        <item x="3"/>
        <item x="257"/>
        <item x="94"/>
        <item x="276"/>
        <item x="253"/>
        <item x="52"/>
        <item x="27"/>
        <item x="68"/>
        <item x="376"/>
        <item x="260"/>
        <item x="331"/>
        <item x="439"/>
        <item x="159"/>
        <item x="138"/>
        <item x="447"/>
        <item x="221"/>
        <item x="78"/>
        <item x="207"/>
        <item x="59"/>
        <item x="85"/>
        <item x="56"/>
        <item x="354"/>
        <item x="266"/>
        <item x="320"/>
        <item x="77"/>
        <item x="393"/>
        <item x="216"/>
        <item x="252"/>
        <item x="269"/>
        <item x="280"/>
        <item x="8"/>
        <item x="328"/>
        <item x="40"/>
        <item x="261"/>
        <item x="107"/>
        <item x="345"/>
        <item x="55"/>
        <item x="20"/>
        <item x="324"/>
        <item x="295"/>
        <item x="110"/>
        <item x="235"/>
        <item x="267"/>
        <item x="34"/>
        <item x="304"/>
        <item x="437"/>
        <item x="231"/>
        <item x="349"/>
        <item x="109"/>
        <item x="444"/>
        <item x="189"/>
        <item x="200"/>
        <item x="212"/>
        <item x="465"/>
        <item x="17"/>
        <item x="187"/>
        <item x="91"/>
        <item x="318"/>
        <item x="29"/>
        <item x="377"/>
        <item x="89"/>
        <item x="217"/>
        <item x="441"/>
        <item x="116"/>
        <item x="430"/>
        <item x="82"/>
        <item x="204"/>
        <item x="456"/>
        <item x="383"/>
        <item x="300"/>
        <item x="426"/>
        <item x="163"/>
        <item x="197"/>
        <item x="256"/>
        <item x="387"/>
        <item x="13"/>
        <item x="236"/>
        <item x="16"/>
        <item x="58"/>
        <item x="134"/>
        <item x="223"/>
        <item x="283"/>
        <item x="164"/>
        <item t="default"/>
      </items>
    </pivotField>
    <pivotField compact="0" numFmtId="58" showAll="0">
      <items count="469">
        <item x="1"/>
        <item x="4"/>
        <item x="6"/>
        <item x="184"/>
        <item x="198"/>
        <item x="410"/>
        <item x="269"/>
        <item x="124"/>
        <item x="127"/>
        <item x="186"/>
        <item x="440"/>
        <item x="77"/>
        <item x="23"/>
        <item x="418"/>
        <item x="182"/>
        <item x="61"/>
        <item x="278"/>
        <item x="173"/>
        <item x="151"/>
        <item x="110"/>
        <item x="421"/>
        <item x="296"/>
        <item x="161"/>
        <item x="156"/>
        <item x="383"/>
        <item x="95"/>
        <item x="222"/>
        <item x="2"/>
        <item x="154"/>
        <item x="213"/>
        <item x="210"/>
        <item x="313"/>
        <item x="49"/>
        <item x="338"/>
        <item x="309"/>
        <item x="63"/>
        <item x="289"/>
        <item x="131"/>
        <item x="276"/>
        <item x="165"/>
        <item x="129"/>
        <item x="356"/>
        <item x="399"/>
        <item x="14"/>
        <item x="452"/>
        <item x="449"/>
        <item x="436"/>
        <item x="91"/>
        <item x="188"/>
        <item x="42"/>
        <item x="429"/>
        <item x="234"/>
        <item x="205"/>
        <item x="66"/>
        <item x="183"/>
        <item x="27"/>
        <item x="294"/>
        <item x="71"/>
        <item x="369"/>
        <item x="425"/>
        <item x="378"/>
        <item x="382"/>
        <item x="179"/>
        <item x="407"/>
        <item x="20"/>
        <item x="280"/>
        <item x="434"/>
        <item x="358"/>
        <item x="102"/>
        <item x="402"/>
        <item x="211"/>
        <item x="373"/>
        <item x="75"/>
        <item x="281"/>
        <item x="113"/>
        <item x="325"/>
        <item x="366"/>
        <item x="270"/>
        <item x="89"/>
        <item x="36"/>
        <item x="304"/>
        <item x="439"/>
        <item x="86"/>
        <item x="43"/>
        <item x="392"/>
        <item x="259"/>
        <item x="419"/>
        <item x="415"/>
        <item x="437"/>
        <item x="417"/>
        <item x="137"/>
        <item x="466"/>
        <item x="372"/>
        <item x="171"/>
        <item x="263"/>
        <item x="144"/>
        <item x="174"/>
        <item x="46"/>
        <item x="463"/>
        <item x="207"/>
        <item x="253"/>
        <item x="240"/>
        <item x="237"/>
        <item x="385"/>
        <item x="288"/>
        <item x="176"/>
        <item x="169"/>
        <item x="229"/>
        <item x="135"/>
        <item x="465"/>
        <item x="51"/>
        <item x="285"/>
        <item x="119"/>
        <item x="120"/>
        <item x="65"/>
        <item x="203"/>
        <item x="164"/>
        <item x="78"/>
        <item x="339"/>
        <item x="459"/>
        <item x="141"/>
        <item x="379"/>
        <item x="412"/>
        <item x="257"/>
        <item x="359"/>
        <item x="202"/>
        <item x="321"/>
        <item x="226"/>
        <item x="72"/>
        <item x="307"/>
        <item x="160"/>
        <item x="455"/>
        <item x="228"/>
        <item x="354"/>
        <item x="352"/>
        <item x="158"/>
        <item x="324"/>
        <item x="394"/>
        <item x="208"/>
        <item x="405"/>
        <item x="262"/>
        <item x="146"/>
        <item x="322"/>
        <item x="256"/>
        <item x="178"/>
        <item x="246"/>
        <item x="283"/>
        <item x="387"/>
        <item x="195"/>
        <item x="138"/>
        <item x="274"/>
        <item x="109"/>
        <item x="286"/>
        <item x="216"/>
        <item x="370"/>
        <item x="368"/>
        <item x="116"/>
        <item x="297"/>
        <item x="292"/>
        <item x="335"/>
        <item x="206"/>
        <item x="82"/>
        <item x="62"/>
        <item x="235"/>
        <item x="435"/>
        <item x="308"/>
        <item x="295"/>
        <item x="357"/>
        <item x="428"/>
        <item x="361"/>
        <item x="197"/>
        <item x="384"/>
        <item x="464"/>
        <item x="117"/>
        <item x="97"/>
        <item x="236"/>
        <item x="85"/>
        <item x="242"/>
        <item x="185"/>
        <item x="252"/>
        <item x="453"/>
        <item x="38"/>
        <item x="302"/>
        <item x="430"/>
        <item x="249"/>
        <item x="413"/>
        <item x="9"/>
        <item x="343"/>
        <item x="12"/>
        <item x="133"/>
        <item x="175"/>
        <item x="432"/>
        <item x="148"/>
        <item x="380"/>
        <item x="390"/>
        <item x="181"/>
        <item x="145"/>
        <item x="347"/>
        <item x="350"/>
        <item x="279"/>
        <item x="258"/>
        <item x="311"/>
        <item x="67"/>
        <item x="446"/>
        <item x="401"/>
        <item x="33"/>
        <item x="220"/>
        <item x="426"/>
        <item x="196"/>
        <item x="374"/>
        <item x="260"/>
        <item x="0"/>
        <item x="153"/>
        <item x="57"/>
        <item x="243"/>
        <item x="241"/>
        <item x="239"/>
        <item x="287"/>
        <item x="300"/>
        <item x="140"/>
        <item x="83"/>
        <item x="409"/>
        <item x="35"/>
        <item x="69"/>
        <item x="31"/>
        <item x="408"/>
        <item x="320"/>
        <item x="364"/>
        <item x="371"/>
        <item x="225"/>
        <item x="337"/>
        <item x="427"/>
        <item x="22"/>
        <item x="389"/>
        <item x="93"/>
        <item x="101"/>
        <item x="44"/>
        <item x="7"/>
        <item x="41"/>
        <item x="162"/>
        <item x="64"/>
        <item x="104"/>
        <item x="420"/>
        <item x="106"/>
        <item x="123"/>
        <item x="157"/>
        <item x="306"/>
        <item x="155"/>
        <item x="391"/>
        <item x="277"/>
        <item x="265"/>
        <item x="442"/>
        <item x="411"/>
        <item x="272"/>
        <item x="303"/>
        <item x="121"/>
        <item x="74"/>
        <item x="454"/>
        <item x="245"/>
        <item x="136"/>
        <item x="105"/>
        <item x="363"/>
        <item x="291"/>
        <item x="24"/>
        <item x="159"/>
        <item x="26"/>
        <item x="445"/>
        <item x="19"/>
        <item x="107"/>
        <item x="223"/>
        <item x="293"/>
        <item x="422"/>
        <item x="318"/>
        <item x="331"/>
        <item x="441"/>
        <item x="330"/>
        <item x="147"/>
        <item x="298"/>
        <item x="32"/>
        <item x="461"/>
        <item x="416"/>
        <item x="447"/>
        <item x="177"/>
        <item x="103"/>
        <item x="336"/>
        <item x="251"/>
        <item x="212"/>
        <item x="349"/>
        <item x="393"/>
        <item x="149"/>
        <item x="37"/>
        <item x="73"/>
        <item x="424"/>
        <item x="180"/>
        <item x="214"/>
        <item x="360"/>
        <item x="329"/>
        <item x="100"/>
        <item x="190"/>
        <item x="233"/>
        <item x="167"/>
        <item x="200"/>
        <item x="142"/>
        <item x="192"/>
        <item x="458"/>
        <item x="398"/>
        <item x="170"/>
        <item x="90"/>
        <item x="290"/>
        <item x="271"/>
        <item x="48"/>
        <item x="431"/>
        <item x="45"/>
        <item x="199"/>
        <item x="351"/>
        <item x="39"/>
        <item x="60"/>
        <item x="224"/>
        <item x="400"/>
        <item x="47"/>
        <item x="152"/>
        <item x="299"/>
        <item x="388"/>
        <item x="118"/>
        <item x="301"/>
        <item x="386"/>
        <item x="340"/>
        <item x="219"/>
        <item x="132"/>
        <item x="54"/>
        <item x="353"/>
        <item x="70"/>
        <item x="76"/>
        <item x="451"/>
        <item x="128"/>
        <item x="99"/>
        <item x="367"/>
        <item x="25"/>
        <item x="112"/>
        <item x="403"/>
        <item x="15"/>
        <item x="134"/>
        <item x="130"/>
        <item x="355"/>
        <item x="5"/>
        <item x="29"/>
        <item x="456"/>
        <item x="314"/>
        <item x="261"/>
        <item x="10"/>
        <item x="108"/>
        <item x="332"/>
        <item x="268"/>
        <item x="194"/>
        <item x="172"/>
        <item x="189"/>
        <item x="96"/>
        <item x="50"/>
        <item x="315"/>
        <item x="187"/>
        <item x="443"/>
        <item x="125"/>
        <item x="53"/>
        <item x="168"/>
        <item x="238"/>
        <item x="467"/>
        <item x="334"/>
        <item x="344"/>
        <item x="333"/>
        <item x="126"/>
        <item x="396"/>
        <item x="267"/>
        <item x="397"/>
        <item x="247"/>
        <item x="11"/>
        <item x="3"/>
        <item x="98"/>
        <item x="255"/>
        <item x="342"/>
        <item x="305"/>
        <item x="310"/>
        <item x="28"/>
        <item x="266"/>
        <item x="250"/>
        <item x="433"/>
        <item x="81"/>
        <item x="375"/>
        <item x="80"/>
        <item x="231"/>
        <item x="275"/>
        <item x="362"/>
        <item x="52"/>
        <item x="221"/>
        <item x="460"/>
        <item x="163"/>
        <item x="68"/>
        <item x="414"/>
        <item x="56"/>
        <item x="87"/>
        <item x="143"/>
        <item x="282"/>
        <item x="448"/>
        <item x="18"/>
        <item x="79"/>
        <item x="59"/>
        <item x="319"/>
        <item x="217"/>
        <item x="248"/>
        <item x="406"/>
        <item x="377"/>
        <item x="273"/>
        <item x="326"/>
        <item x="8"/>
        <item x="111"/>
        <item x="341"/>
        <item x="55"/>
        <item x="40"/>
        <item x="450"/>
        <item x="365"/>
        <item x="88"/>
        <item x="230"/>
        <item x="21"/>
        <item x="323"/>
        <item x="227"/>
        <item x="345"/>
        <item x="264"/>
        <item x="34"/>
        <item x="312"/>
        <item x="115"/>
        <item x="244"/>
        <item x="457"/>
        <item x="204"/>
        <item x="114"/>
        <item x="215"/>
        <item x="462"/>
        <item x="438"/>
        <item x="193"/>
        <item x="17"/>
        <item x="30"/>
        <item x="191"/>
        <item x="218"/>
        <item x="122"/>
        <item x="376"/>
        <item x="92"/>
        <item x="317"/>
        <item x="94"/>
        <item x="84"/>
        <item x="150"/>
        <item x="423"/>
        <item x="254"/>
        <item x="404"/>
        <item x="209"/>
        <item x="381"/>
        <item x="348"/>
        <item x="316"/>
        <item x="232"/>
        <item x="58"/>
        <item x="327"/>
        <item x="16"/>
        <item x="166"/>
        <item x="444"/>
        <item x="328"/>
        <item x="201"/>
        <item x="346"/>
        <item x="284"/>
        <item x="139"/>
        <item x="13"/>
        <item x="3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showAll="0">
      <items count="41">
        <item x="6"/>
        <item x="36"/>
        <item x="38"/>
        <item x="5"/>
        <item x="8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9"/>
        <item x="28"/>
        <item x="1"/>
        <item x="30"/>
        <item x="24"/>
        <item x="7"/>
        <item x="23"/>
        <item x="14"/>
        <item x="27"/>
        <item x="4"/>
        <item x="35"/>
        <item x="26"/>
        <item t="default"/>
      </items>
    </pivotField>
    <pivotField compact="0" showAll="0">
      <items count="7">
        <item x="5"/>
        <item x="0"/>
        <item x="1"/>
        <item x="4"/>
        <item x="2"/>
        <item x="3"/>
        <item t="default"/>
      </items>
    </pivotField>
    <pivotField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>
      <items count="17">
        <item x="7"/>
        <item x="4"/>
        <item x="0"/>
        <item x="13"/>
        <item x="5"/>
        <item x="8"/>
        <item x="3"/>
        <item x="9"/>
        <item x="2"/>
        <item x="1"/>
        <item x="10"/>
        <item x="14"/>
        <item x="11"/>
        <item x="12"/>
        <item x="6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0">
        <item x="138"/>
        <item x="620"/>
        <item x="332"/>
        <item x="414"/>
        <item x="339"/>
        <item x="393"/>
        <item x="440"/>
        <item x="292"/>
        <item x="490"/>
        <item x="586"/>
        <item x="206"/>
        <item x="13"/>
        <item x="477"/>
        <item x="57"/>
        <item x="260"/>
        <item x="58"/>
        <item x="324"/>
        <item x="102"/>
        <item x="169"/>
        <item x="69"/>
        <item x="496"/>
        <item x="415"/>
        <item x="311"/>
        <item x="318"/>
        <item x="488"/>
        <item x="331"/>
        <item x="354"/>
        <item x="515"/>
        <item x="184"/>
        <item x="544"/>
        <item x="220"/>
        <item x="258"/>
        <item x="449"/>
        <item x="520"/>
        <item x="575"/>
        <item x="269"/>
        <item x="21"/>
        <item x="157"/>
        <item x="130"/>
        <item x="153"/>
        <item x="289"/>
        <item x="75"/>
        <item x="112"/>
        <item x="568"/>
        <item x="186"/>
        <item x="617"/>
        <item x="587"/>
        <item x="226"/>
        <item x="551"/>
        <item x="550"/>
        <item x="96"/>
        <item x="459"/>
        <item x="213"/>
        <item x="351"/>
        <item x="298"/>
        <item x="56"/>
        <item x="287"/>
        <item x="49"/>
        <item x="146"/>
        <item x="436"/>
        <item x="345"/>
        <item x="179"/>
        <item x="357"/>
        <item x="141"/>
        <item x="492"/>
        <item x="556"/>
        <item x="464"/>
        <item x="603"/>
        <item x="359"/>
        <item x="591"/>
        <item x="9"/>
        <item x="276"/>
        <item x="17"/>
        <item x="337"/>
        <item x="540"/>
        <item x="291"/>
        <item x="453"/>
        <item x="24"/>
        <item x="208"/>
        <item x="92"/>
        <item x="65"/>
        <item x="76"/>
        <item x="553"/>
        <item x="535"/>
        <item x="305"/>
        <item x="181"/>
        <item x="407"/>
        <item x="108"/>
        <item x="74"/>
        <item x="168"/>
        <item x="512"/>
        <item x="470"/>
        <item x="578"/>
        <item x="606"/>
        <item x="623"/>
        <item x="33"/>
        <item x="171"/>
        <item x="626"/>
        <item x="400"/>
        <item x="125"/>
        <item x="390"/>
        <item x="123"/>
        <item x="483"/>
        <item x="522"/>
        <item x="376"/>
        <item x="23"/>
        <item x="86"/>
        <item x="81"/>
        <item x="323"/>
        <item x="509"/>
        <item x="366"/>
        <item x="457"/>
        <item x="11"/>
        <item x="135"/>
        <item x="8"/>
        <item x="293"/>
        <item x="156"/>
        <item x="463"/>
        <item x="209"/>
        <item x="314"/>
        <item x="466"/>
        <item x="84"/>
        <item x="160"/>
        <item x="259"/>
        <item x="347"/>
        <item x="255"/>
        <item x="572"/>
        <item x="219"/>
        <item x="616"/>
        <item x="593"/>
        <item x="325"/>
        <item x="73"/>
        <item x="170"/>
        <item x="588"/>
        <item x="489"/>
        <item x="517"/>
        <item x="462"/>
        <item x="77"/>
        <item x="518"/>
        <item x="563"/>
        <item x="43"/>
        <item x="126"/>
        <item x="124"/>
        <item x="109"/>
        <item x="567"/>
        <item x="503"/>
        <item x="458"/>
        <item x="450"/>
        <item x="396"/>
        <item x="29"/>
        <item x="229"/>
        <item x="60"/>
        <item x="364"/>
        <item x="221"/>
        <item x="205"/>
        <item x="68"/>
        <item x="249"/>
        <item x="35"/>
        <item x="59"/>
        <item x="104"/>
        <item x="510"/>
        <item x="100"/>
        <item x="85"/>
        <item x="233"/>
        <item x="0"/>
        <item x="36"/>
        <item x="392"/>
        <item x="435"/>
        <item x="402"/>
        <item x="288"/>
        <item x="475"/>
        <item x="236"/>
        <item x="584"/>
        <item x="176"/>
        <item x="299"/>
        <item x="266"/>
        <item x="558"/>
        <item x="322"/>
        <item x="474"/>
        <item x="476"/>
        <item x="532"/>
        <item x="165"/>
        <item x="144"/>
        <item x="294"/>
        <item x="14"/>
        <item x="526"/>
        <item x="444"/>
        <item x="581"/>
        <item x="538"/>
        <item x="348"/>
        <item x="118"/>
        <item x="278"/>
        <item x="245"/>
        <item x="383"/>
        <item x="238"/>
        <item x="369"/>
        <item x="628"/>
        <item x="480"/>
        <item x="145"/>
        <item x="18"/>
        <item x="63"/>
        <item x="263"/>
        <item x="506"/>
        <item x="570"/>
        <item x="344"/>
        <item x="98"/>
        <item x="52"/>
        <item x="361"/>
        <item x="513"/>
        <item x="580"/>
        <item x="70"/>
        <item x="308"/>
        <item x="303"/>
        <item x="541"/>
        <item x="241"/>
        <item x="456"/>
        <item x="602"/>
        <item x="22"/>
        <item x="254"/>
        <item x="507"/>
        <item x="103"/>
        <item x="189"/>
        <item x="562"/>
        <item x="386"/>
        <item x="250"/>
        <item x="150"/>
        <item x="519"/>
        <item x="592"/>
        <item x="367"/>
        <item x="55"/>
        <item x="408"/>
        <item x="274"/>
        <item x="172"/>
        <item x="101"/>
        <item x="387"/>
        <item x="533"/>
        <item x="564"/>
        <item x="424"/>
        <item x="51"/>
        <item x="191"/>
        <item x="406"/>
        <item x="116"/>
        <item x="395"/>
        <item x="423"/>
        <item x="71"/>
        <item x="4"/>
        <item x="597"/>
        <item x="429"/>
        <item x="420"/>
        <item x="282"/>
        <item x="328"/>
        <item x="385"/>
        <item x="110"/>
        <item x="223"/>
        <item x="131"/>
        <item x="19"/>
        <item x="401"/>
        <item x="283"/>
        <item x="32"/>
        <item x="338"/>
        <item x="565"/>
        <item x="313"/>
        <item x="270"/>
        <item x="590"/>
        <item x="215"/>
        <item x="185"/>
        <item x="204"/>
        <item x="95"/>
        <item x="403"/>
        <item x="166"/>
        <item x="139"/>
        <item x="67"/>
        <item x="471"/>
        <item x="508"/>
        <item x="216"/>
        <item x="114"/>
        <item x="246"/>
        <item x="596"/>
        <item x="88"/>
        <item x="327"/>
        <item x="248"/>
        <item x="134"/>
        <item x="272"/>
        <item x="426"/>
        <item x="82"/>
        <item x="397"/>
        <item x="120"/>
        <item x="624"/>
        <item x="417"/>
        <item x="614"/>
        <item x="188"/>
        <item x="350"/>
        <item x="548"/>
        <item x="296"/>
        <item x="50"/>
        <item x="251"/>
        <item x="371"/>
        <item x="431"/>
        <item x="498"/>
        <item x="54"/>
        <item x="203"/>
        <item x="455"/>
        <item x="129"/>
        <item x="62"/>
        <item x="232"/>
        <item x="177"/>
        <item x="304"/>
        <item x="446"/>
        <item x="279"/>
        <item x="297"/>
        <item x="182"/>
        <item x="362"/>
        <item x="388"/>
        <item x="560"/>
        <item x="571"/>
        <item x="521"/>
        <item x="546"/>
        <item x="309"/>
        <item x="194"/>
        <item x="164"/>
        <item x="66"/>
        <item x="452"/>
        <item x="7"/>
        <item x="174"/>
        <item x="555"/>
        <item x="445"/>
        <item x="579"/>
        <item x="190"/>
        <item x="167"/>
        <item x="382"/>
        <item x="257"/>
        <item x="210"/>
        <item x="187"/>
        <item x="78"/>
        <item x="609"/>
        <item x="543"/>
        <item x="5"/>
        <item x="271"/>
        <item x="539"/>
        <item x="430"/>
        <item x="183"/>
        <item x="493"/>
        <item x="253"/>
        <item x="87"/>
        <item x="117"/>
        <item x="530"/>
        <item x="162"/>
        <item x="497"/>
        <item x="317"/>
        <item x="394"/>
        <item x="265"/>
        <item x="159"/>
        <item x="39"/>
        <item x="495"/>
        <item x="310"/>
        <item x="494"/>
        <item x="589"/>
        <item x="379"/>
        <item x="40"/>
        <item x="222"/>
        <item x="225"/>
        <item x="301"/>
        <item x="97"/>
        <item x="340"/>
        <item x="72"/>
        <item x="478"/>
        <item x="89"/>
        <item x="44"/>
        <item x="46"/>
        <item x="143"/>
        <item x="256"/>
        <item x="622"/>
        <item x="437"/>
        <item x="561"/>
        <item x="247"/>
        <item x="482"/>
        <item x="576"/>
        <item x="113"/>
        <item x="20"/>
        <item x="398"/>
        <item x="197"/>
        <item x="375"/>
        <item x="574"/>
        <item x="505"/>
        <item x="306"/>
        <item x="573"/>
        <item x="381"/>
        <item x="356"/>
        <item x="316"/>
        <item x="128"/>
        <item x="516"/>
        <item x="111"/>
        <item x="547"/>
        <item x="320"/>
        <item x="619"/>
        <item x="621"/>
        <item x="79"/>
        <item x="321"/>
        <item x="542"/>
        <item x="47"/>
        <item x="461"/>
        <item x="611"/>
        <item x="378"/>
        <item x="275"/>
        <item x="193"/>
        <item x="610"/>
        <item x="465"/>
        <item x="202"/>
        <item x="599"/>
        <item x="502"/>
        <item x="119"/>
        <item x="107"/>
        <item x="534"/>
        <item x="412"/>
        <item x="83"/>
        <item x="549"/>
        <item x="214"/>
        <item x="377"/>
        <item x="154"/>
        <item x="31"/>
        <item x="432"/>
        <item x="501"/>
        <item x="280"/>
        <item x="122"/>
        <item x="618"/>
        <item x="155"/>
        <item x="537"/>
        <item x="613"/>
        <item x="352"/>
        <item x="330"/>
        <item x="261"/>
        <item x="566"/>
        <item x="528"/>
        <item x="343"/>
        <item x="2"/>
        <item x="28"/>
        <item x="434"/>
        <item x="286"/>
        <item x="53"/>
        <item x="419"/>
        <item x="16"/>
        <item x="281"/>
        <item x="346"/>
        <item x="212"/>
        <item x="342"/>
        <item x="27"/>
        <item x="559"/>
        <item x="511"/>
        <item x="201"/>
        <item x="370"/>
        <item x="326"/>
        <item x="106"/>
        <item x="447"/>
        <item x="237"/>
        <item x="481"/>
        <item x="230"/>
        <item x="421"/>
        <item x="132"/>
        <item x="529"/>
        <item x="267"/>
        <item x="425"/>
        <item x="199"/>
        <item x="391"/>
        <item x="90"/>
        <item x="240"/>
        <item x="285"/>
        <item x="262"/>
        <item x="333"/>
        <item x="411"/>
        <item x="439"/>
        <item x="127"/>
        <item x="569"/>
        <item x="3"/>
        <item x="582"/>
        <item x="148"/>
        <item x="64"/>
        <item x="625"/>
        <item x="244"/>
        <item x="30"/>
        <item x="374"/>
        <item x="196"/>
        <item x="302"/>
        <item x="583"/>
        <item x="360"/>
        <item x="161"/>
        <item x="451"/>
        <item x="427"/>
        <item x="405"/>
        <item x="484"/>
        <item x="552"/>
        <item x="315"/>
        <item x="329"/>
        <item x="487"/>
        <item x="454"/>
        <item x="284"/>
        <item x="277"/>
        <item x="26"/>
        <item x="365"/>
        <item x="93"/>
        <item x="10"/>
        <item x="243"/>
        <item x="224"/>
        <item x="604"/>
        <item x="180"/>
        <item x="577"/>
        <item x="335"/>
        <item x="491"/>
        <item x="121"/>
        <item x="373"/>
        <item x="136"/>
        <item x="140"/>
        <item x="531"/>
        <item x="61"/>
        <item x="99"/>
        <item x="418"/>
        <item x="410"/>
        <item x="504"/>
        <item x="235"/>
        <item x="433"/>
        <item x="105"/>
        <item x="499"/>
        <item x="627"/>
        <item x="158"/>
        <item x="319"/>
        <item x="472"/>
        <item x="585"/>
        <item x="195"/>
        <item x="500"/>
        <item x="334"/>
        <item x="231"/>
        <item x="389"/>
        <item x="473"/>
        <item x="264"/>
        <item x="485"/>
        <item x="48"/>
        <item x="525"/>
        <item x="536"/>
        <item x="409"/>
        <item x="514"/>
        <item x="524"/>
        <item x="438"/>
        <item x="227"/>
        <item x="312"/>
        <item x="448"/>
        <item x="554"/>
        <item x="428"/>
        <item x="45"/>
        <item x="523"/>
        <item x="218"/>
        <item x="252"/>
        <item x="307"/>
        <item x="211"/>
        <item x="41"/>
        <item x="467"/>
        <item x="363"/>
        <item x="368"/>
        <item x="173"/>
        <item x="479"/>
        <item x="163"/>
        <item x="25"/>
        <item x="147"/>
        <item x="142"/>
        <item x="34"/>
        <item x="527"/>
        <item x="594"/>
        <item x="133"/>
        <item x="441"/>
        <item x="341"/>
        <item x="608"/>
        <item x="137"/>
        <item x="192"/>
        <item x="239"/>
        <item x="601"/>
        <item x="175"/>
        <item x="612"/>
        <item x="336"/>
        <item x="242"/>
        <item x="605"/>
        <item x="399"/>
        <item x="217"/>
        <item x="615"/>
        <item x="486"/>
        <item x="416"/>
        <item x="380"/>
        <item x="207"/>
        <item x="600"/>
        <item x="149"/>
        <item x="6"/>
        <item x="422"/>
        <item x="115"/>
        <item x="91"/>
        <item x="300"/>
        <item x="38"/>
        <item x="557"/>
        <item x="358"/>
        <item x="268"/>
        <item x="15"/>
        <item x="460"/>
        <item x="198"/>
        <item x="228"/>
        <item x="469"/>
        <item x="152"/>
        <item x="37"/>
        <item x="349"/>
        <item x="234"/>
        <item x="295"/>
        <item x="443"/>
        <item x="178"/>
        <item x="151"/>
        <item x="12"/>
        <item x="200"/>
        <item x="372"/>
        <item x="273"/>
        <item x="290"/>
        <item x="384"/>
        <item x="94"/>
        <item x="607"/>
        <item x="1"/>
        <item x="404"/>
        <item x="468"/>
        <item x="355"/>
        <item x="442"/>
        <item x="545"/>
        <item x="80"/>
        <item x="42"/>
        <item x="598"/>
        <item x="595"/>
        <item x="353"/>
        <item x="413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numFmtId="179" showAll="0">
      <items count="630">
        <item x="614"/>
        <item x="2"/>
        <item x="57"/>
        <item x="296"/>
        <item x="111"/>
        <item x="178"/>
        <item x="284"/>
        <item x="170"/>
        <item x="490"/>
        <item x="105"/>
        <item x="95"/>
        <item x="175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numFmtId="10" showAll="0">
      <items count="229">
        <item x="4"/>
        <item x="140"/>
        <item x="9"/>
        <item x="19"/>
        <item x="98"/>
        <item x="18"/>
        <item x="83"/>
        <item x="170"/>
        <item x="212"/>
        <item x="107"/>
        <item x="205"/>
        <item x="112"/>
        <item x="105"/>
        <item x="117"/>
        <item x="108"/>
        <item x="179"/>
        <item x="133"/>
        <item x="70"/>
        <item x="7"/>
        <item x="195"/>
        <item x="75"/>
        <item x="41"/>
        <item x="31"/>
        <item x="15"/>
        <item x="188"/>
        <item x="208"/>
        <item x="174"/>
        <item x="88"/>
        <item x="221"/>
        <item x="106"/>
        <item x="215"/>
        <item x="57"/>
        <item x="216"/>
        <item x="53"/>
        <item x="129"/>
        <item x="113"/>
        <item x="223"/>
        <item x="132"/>
        <item x="120"/>
        <item x="91"/>
        <item x="193"/>
        <item x="163"/>
        <item x="227"/>
        <item x="95"/>
        <item x="201"/>
        <item x="176"/>
        <item x="71"/>
        <item x="143"/>
        <item x="54"/>
        <item x="89"/>
        <item x="67"/>
        <item x="87"/>
        <item x="3"/>
        <item x="92"/>
        <item x="12"/>
        <item x="42"/>
        <item x="171"/>
        <item x="202"/>
        <item x="116"/>
        <item x="164"/>
        <item x="226"/>
        <item x="103"/>
        <item x="200"/>
        <item x="25"/>
        <item x="147"/>
        <item x="23"/>
        <item x="167"/>
        <item x="24"/>
        <item x="168"/>
        <item x="118"/>
        <item x="76"/>
        <item x="142"/>
        <item x="11"/>
        <item x="148"/>
        <item x="72"/>
        <item x="224"/>
        <item x="199"/>
        <item x="73"/>
        <item x="165"/>
        <item x="26"/>
        <item x="136"/>
        <item x="172"/>
        <item x="66"/>
        <item x="51"/>
        <item x="192"/>
        <item x="104"/>
        <item x="85"/>
        <item x="13"/>
        <item x="45"/>
        <item x="94"/>
        <item x="0"/>
        <item x="139"/>
        <item x="59"/>
        <item x="158"/>
        <item x="144"/>
        <item x="84"/>
        <item x="44"/>
        <item x="17"/>
        <item x="173"/>
        <item x="153"/>
        <item x="81"/>
        <item x="213"/>
        <item x="21"/>
        <item x="37"/>
        <item x="109"/>
        <item x="137"/>
        <item x="30"/>
        <item x="48"/>
        <item x="2"/>
        <item x="191"/>
        <item x="111"/>
        <item x="60"/>
        <item x="157"/>
        <item x="28"/>
        <item x="80"/>
        <item x="159"/>
        <item x="22"/>
        <item x="77"/>
        <item x="169"/>
        <item x="55"/>
        <item x="16"/>
        <item x="40"/>
        <item x="180"/>
        <item x="33"/>
        <item x="5"/>
        <item x="134"/>
        <item x="8"/>
        <item x="209"/>
        <item x="101"/>
        <item x="135"/>
        <item x="124"/>
        <item x="68"/>
        <item x="130"/>
        <item x="161"/>
        <item x="86"/>
        <item x="181"/>
        <item x="128"/>
        <item x="74"/>
        <item x="63"/>
        <item x="196"/>
        <item x="156"/>
        <item x="211"/>
        <item x="150"/>
        <item x="20"/>
        <item x="35"/>
        <item x="189"/>
        <item x="225"/>
        <item x="145"/>
        <item x="121"/>
        <item x="155"/>
        <item x="29"/>
        <item x="166"/>
        <item x="119"/>
        <item x="93"/>
        <item x="78"/>
        <item x="110"/>
        <item x="34"/>
        <item x="14"/>
        <item x="49"/>
        <item x="56"/>
        <item x="62"/>
        <item x="36"/>
        <item x="69"/>
        <item x="50"/>
        <item x="197"/>
        <item x="97"/>
        <item x="6"/>
        <item x="123"/>
        <item x="114"/>
        <item x="46"/>
        <item x="138"/>
        <item x="90"/>
        <item x="52"/>
        <item x="43"/>
        <item x="162"/>
        <item x="222"/>
        <item x="219"/>
        <item x="182"/>
        <item x="125"/>
        <item x="122"/>
        <item x="207"/>
        <item x="65"/>
        <item x="154"/>
        <item x="203"/>
        <item x="218"/>
        <item x="96"/>
        <item x="217"/>
        <item x="152"/>
        <item x="204"/>
        <item x="82"/>
        <item x="214"/>
        <item x="126"/>
        <item x="146"/>
        <item x="127"/>
        <item x="1"/>
        <item x="149"/>
        <item x="177"/>
        <item x="183"/>
        <item x="64"/>
        <item x="27"/>
        <item x="102"/>
        <item x="220"/>
        <item x="10"/>
        <item x="115"/>
        <item x="47"/>
        <item x="194"/>
        <item x="61"/>
        <item x="131"/>
        <item x="100"/>
        <item x="187"/>
        <item x="151"/>
        <item x="99"/>
        <item x="141"/>
        <item x="178"/>
        <item x="190"/>
        <item x="79"/>
        <item x="186"/>
        <item x="38"/>
        <item x="210"/>
        <item x="39"/>
        <item x="184"/>
        <item x="206"/>
        <item x="160"/>
        <item x="32"/>
        <item x="58"/>
        <item x="175"/>
        <item x="198"/>
        <item x="185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630">
        <item x="296"/>
        <item x="111"/>
        <item x="57"/>
        <item x="178"/>
        <item x="284"/>
        <item x="170"/>
        <item x="490"/>
        <item x="105"/>
        <item x="95"/>
        <item x="175"/>
        <item x="2"/>
        <item x="614"/>
        <item x="245"/>
        <item x="53"/>
        <item x="387"/>
        <item x="82"/>
        <item x="126"/>
        <item x="628"/>
        <item x="6"/>
        <item x="569"/>
        <item x="228"/>
        <item x="115"/>
        <item x="309"/>
        <item x="458"/>
        <item x="321"/>
        <item x="529"/>
        <item x="339"/>
        <item x="88"/>
        <item x="138"/>
        <item x="579"/>
        <item x="118"/>
        <item x="478"/>
        <item x="261"/>
        <item x="50"/>
        <item x="280"/>
        <item x="572"/>
        <item x="523"/>
        <item x="289"/>
        <item x="241"/>
        <item x="583"/>
        <item x="606"/>
        <item x="352"/>
        <item x="209"/>
        <item x="528"/>
        <item x="514"/>
        <item x="345"/>
        <item x="243"/>
        <item x="416"/>
        <item x="460"/>
        <item x="107"/>
        <item x="485"/>
        <item x="25"/>
        <item x="204"/>
        <item x="432"/>
        <item x="441"/>
        <item x="34"/>
        <item x="457"/>
        <item x="548"/>
        <item x="303"/>
        <item x="112"/>
        <item x="473"/>
        <item x="306"/>
        <item x="328"/>
        <item x="316"/>
        <item x="219"/>
        <item x="605"/>
        <item x="52"/>
        <item x="102"/>
        <item x="342"/>
        <item x="172"/>
        <item x="113"/>
        <item x="371"/>
        <item x="3"/>
        <item x="237"/>
        <item x="596"/>
        <item x="430"/>
        <item x="434"/>
        <item x="123"/>
        <item x="567"/>
        <item x="482"/>
        <item x="516"/>
        <item x="161"/>
        <item x="487"/>
        <item x="445"/>
        <item x="213"/>
        <item x="367"/>
        <item x="230"/>
        <item x="576"/>
        <item x="508"/>
        <item x="268"/>
        <item x="100"/>
        <item x="215"/>
        <item x="574"/>
        <item x="108"/>
        <item x="474"/>
        <item x="127"/>
        <item x="192"/>
        <item x="537"/>
        <item x="51"/>
        <item x="81"/>
        <item x="164"/>
        <item x="136"/>
        <item x="426"/>
        <item x="359"/>
        <item x="231"/>
        <item x="177"/>
        <item x="617"/>
        <item x="618"/>
        <item x="455"/>
        <item x="97"/>
        <item x="319"/>
        <item x="505"/>
        <item x="27"/>
        <item x="336"/>
        <item x="38"/>
        <item x="348"/>
        <item x="294"/>
        <item x="130"/>
        <item x="314"/>
        <item x="437"/>
        <item x="577"/>
        <item x="480"/>
        <item x="443"/>
        <item x="266"/>
        <item x="220"/>
        <item x="176"/>
        <item x="216"/>
        <item x="295"/>
        <item x="291"/>
        <item x="158"/>
        <item x="154"/>
        <item x="558"/>
        <item x="406"/>
        <item x="132"/>
        <item x="302"/>
        <item x="167"/>
        <item x="269"/>
        <item x="378"/>
        <item x="624"/>
        <item x="72"/>
        <item x="11"/>
        <item x="45"/>
        <item x="257"/>
        <item x="305"/>
        <item x="389"/>
        <item x="149"/>
        <item x="439"/>
        <item x="599"/>
        <item x="133"/>
        <item x="297"/>
        <item x="463"/>
        <item x="4"/>
        <item x="384"/>
        <item x="587"/>
        <item x="557"/>
        <item x="483"/>
        <item x="67"/>
        <item x="238"/>
        <item x="461"/>
        <item x="0"/>
        <item x="324"/>
        <item x="70"/>
        <item x="117"/>
        <item x="199"/>
        <item x="272"/>
        <item x="144"/>
        <item x="13"/>
        <item x="29"/>
        <item x="491"/>
        <item x="533"/>
        <item x="488"/>
        <item x="131"/>
        <item x="602"/>
        <item x="86"/>
        <item x="256"/>
        <item x="10"/>
        <item x="124"/>
        <item x="476"/>
        <item x="591"/>
        <item x="9"/>
        <item x="56"/>
        <item x="77"/>
        <item x="451"/>
        <item x="594"/>
        <item x="561"/>
        <item x="145"/>
        <item x="283"/>
        <item x="368"/>
        <item x="147"/>
        <item x="312"/>
        <item x="313"/>
        <item x="489"/>
        <item x="255"/>
        <item x="492"/>
        <item x="570"/>
        <item x="63"/>
        <item x="454"/>
        <item x="26"/>
        <item x="252"/>
        <item x="1"/>
        <item x="362"/>
        <item x="307"/>
        <item x="212"/>
        <item x="191"/>
        <item x="415"/>
        <item x="356"/>
        <item x="250"/>
        <item x="417"/>
        <item x="409"/>
        <item x="310"/>
        <item x="522"/>
        <item x="507"/>
        <item x="540"/>
        <item x="393"/>
        <item x="151"/>
        <item x="5"/>
        <item x="14"/>
        <item x="195"/>
        <item x="620"/>
        <item x="573"/>
        <item x="236"/>
        <item x="408"/>
        <item x="383"/>
        <item x="402"/>
        <item x="198"/>
        <item x="329"/>
        <item x="190"/>
        <item x="183"/>
        <item x="498"/>
        <item x="275"/>
        <item x="382"/>
        <item x="571"/>
        <item x="414"/>
        <item x="613"/>
        <item x="267"/>
        <item x="433"/>
        <item x="90"/>
        <item x="249"/>
        <item x="467"/>
        <item x="227"/>
        <item x="140"/>
        <item x="263"/>
        <item x="35"/>
        <item x="242"/>
        <item x="323"/>
        <item x="229"/>
        <item x="217"/>
        <item x="588"/>
        <item x="146"/>
        <item x="326"/>
        <item x="459"/>
        <item x="550"/>
        <item x="601"/>
        <item x="497"/>
        <item x="189"/>
        <item x="92"/>
        <item x="502"/>
        <item x="386"/>
        <item x="200"/>
        <item x="513"/>
        <item x="494"/>
        <item x="54"/>
        <item x="623"/>
        <item x="519"/>
        <item x="301"/>
        <item x="431"/>
        <item x="512"/>
        <item x="287"/>
        <item x="43"/>
        <item x="568"/>
        <item x="143"/>
        <item x="466"/>
        <item x="128"/>
        <item x="246"/>
        <item x="616"/>
        <item x="248"/>
        <item x="184"/>
        <item x="109"/>
        <item x="129"/>
        <item x="609"/>
        <item x="442"/>
        <item x="376"/>
        <item x="15"/>
        <item x="260"/>
        <item x="447"/>
        <item x="543"/>
        <item x="527"/>
        <item x="510"/>
        <item x="292"/>
        <item x="615"/>
        <item x="222"/>
        <item x="93"/>
        <item x="349"/>
        <item x="281"/>
        <item x="546"/>
        <item x="74"/>
        <item x="87"/>
        <item x="575"/>
        <item x="581"/>
        <item x="379"/>
        <item x="361"/>
        <item x="399"/>
        <item x="582"/>
        <item x="42"/>
        <item x="332"/>
        <item x="541"/>
        <item x="64"/>
        <item x="495"/>
        <item x="331"/>
        <item x="410"/>
        <item x="315"/>
        <item x="317"/>
        <item x="400"/>
        <item x="520"/>
        <item x="401"/>
        <item x="373"/>
        <item x="363"/>
        <item x="501"/>
        <item x="159"/>
        <item x="168"/>
        <item x="436"/>
        <item x="66"/>
        <item x="435"/>
        <item x="562"/>
        <item x="65"/>
        <item x="288"/>
        <item x="187"/>
        <item x="21"/>
        <item x="61"/>
        <item x="214"/>
        <item x="545"/>
        <item x="150"/>
        <item x="69"/>
        <item x="598"/>
        <item x="530"/>
        <item x="381"/>
        <item x="89"/>
        <item x="84"/>
        <item x="472"/>
        <item x="398"/>
        <item x="218"/>
        <item x="188"/>
        <item x="335"/>
        <item x="444"/>
        <item x="32"/>
        <item x="353"/>
        <item x="337"/>
        <item x="428"/>
        <item x="210"/>
        <item x="239"/>
        <item x="160"/>
        <item x="471"/>
        <item x="73"/>
        <item x="153"/>
        <item x="182"/>
        <item x="595"/>
        <item x="299"/>
        <item x="334"/>
        <item x="181"/>
        <item x="357"/>
        <item x="469"/>
        <item x="405"/>
        <item x="104"/>
        <item x="185"/>
        <item x="166"/>
        <item x="37"/>
        <item x="44"/>
        <item x="603"/>
        <item x="91"/>
        <item x="590"/>
        <item x="325"/>
        <item x="535"/>
        <item x="524"/>
        <item x="298"/>
        <item x="607"/>
        <item x="233"/>
        <item x="122"/>
        <item x="625"/>
        <item x="270"/>
        <item x="58"/>
        <item x="12"/>
        <item x="395"/>
        <item x="551"/>
        <item x="350"/>
        <item x="380"/>
        <item x="71"/>
        <item x="226"/>
        <item x="196"/>
        <item x="142"/>
        <item x="388"/>
        <item x="555"/>
        <item x="225"/>
        <item x="421"/>
        <item x="311"/>
        <item x="80"/>
        <item x="517"/>
        <item x="162"/>
        <item x="282"/>
        <item x="369"/>
        <item x="563"/>
        <item x="201"/>
        <item x="619"/>
        <item x="532"/>
        <item x="194"/>
        <item x="452"/>
        <item x="370"/>
        <item x="39"/>
        <item x="470"/>
        <item x="232"/>
        <item x="425"/>
        <item x="286"/>
        <item x="525"/>
        <item x="608"/>
        <item x="385"/>
        <item x="375"/>
        <item x="503"/>
        <item x="515"/>
        <item x="496"/>
        <item x="135"/>
        <item x="338"/>
        <item x="397"/>
        <item x="141"/>
        <item x="560"/>
        <item x="358"/>
        <item x="273"/>
        <item x="155"/>
        <item x="247"/>
        <item x="556"/>
        <item x="28"/>
        <item x="253"/>
        <item x="499"/>
        <item x="85"/>
        <item x="121"/>
        <item x="391"/>
        <item x="419"/>
        <item x="593"/>
        <item x="418"/>
        <item x="542"/>
        <item x="584"/>
        <item x="36"/>
        <item x="404"/>
        <item x="40"/>
        <item x="234"/>
        <item x="271"/>
        <item x="360"/>
        <item x="509"/>
        <item x="592"/>
        <item x="48"/>
        <item x="240"/>
        <item x="30"/>
        <item x="110"/>
        <item x="597"/>
        <item x="206"/>
        <item x="83"/>
        <item x="251"/>
        <item x="340"/>
        <item x="47"/>
        <item x="565"/>
        <item x="559"/>
        <item x="468"/>
        <item x="125"/>
        <item x="165"/>
        <item x="627"/>
        <item x="137"/>
        <item x="506"/>
        <item x="456"/>
        <item x="68"/>
        <item x="96"/>
        <item x="612"/>
        <item x="377"/>
        <item x="59"/>
        <item x="62"/>
        <item x="180"/>
        <item x="174"/>
        <item x="500"/>
        <item x="481"/>
        <item x="424"/>
        <item x="521"/>
        <item x="193"/>
        <item x="101"/>
        <item x="119"/>
        <item x="407"/>
        <item x="554"/>
        <item x="156"/>
        <item x="346"/>
        <item x="304"/>
        <item x="262"/>
        <item x="78"/>
        <item x="98"/>
        <item x="341"/>
        <item x="549"/>
        <item x="344"/>
        <item x="403"/>
        <item x="163"/>
        <item x="169"/>
        <item x="207"/>
        <item x="578"/>
        <item x="277"/>
        <item x="258"/>
        <item x="300"/>
        <item x="453"/>
        <item x="484"/>
        <item x="427"/>
        <item x="23"/>
        <item x="76"/>
        <item x="449"/>
        <item x="290"/>
        <item x="564"/>
        <item x="351"/>
        <item x="450"/>
        <item x="448"/>
        <item x="390"/>
        <item x="152"/>
        <item x="18"/>
        <item x="278"/>
        <item x="465"/>
        <item x="464"/>
        <item x="374"/>
        <item x="586"/>
        <item x="355"/>
        <item x="179"/>
        <item x="539"/>
        <item x="446"/>
        <item x="244"/>
        <item x="438"/>
        <item x="274"/>
        <item x="106"/>
        <item x="139"/>
        <item x="202"/>
        <item x="186"/>
        <item x="171"/>
        <item x="621"/>
        <item x="347"/>
        <item x="365"/>
        <item x="580"/>
        <item x="8"/>
        <item x="536"/>
        <item x="423"/>
        <item x="134"/>
        <item x="276"/>
        <item x="589"/>
        <item x="208"/>
        <item x="17"/>
        <item x="547"/>
        <item x="626"/>
        <item x="148"/>
        <item x="318"/>
        <item x="330"/>
        <item x="354"/>
        <item x="203"/>
        <item x="544"/>
        <item x="265"/>
        <item x="94"/>
        <item x="322"/>
        <item x="264"/>
        <item x="411"/>
        <item x="223"/>
        <item x="7"/>
        <item x="475"/>
        <item x="157"/>
        <item x="22"/>
        <item x="254"/>
        <item x="205"/>
        <item x="285"/>
        <item x="259"/>
        <item x="553"/>
        <item x="24"/>
        <item x="60"/>
        <item x="504"/>
        <item x="49"/>
        <item x="31"/>
        <item x="622"/>
        <item x="197"/>
        <item x="534"/>
        <item x="462"/>
        <item x="211"/>
        <item x="224"/>
        <item x="16"/>
        <item x="413"/>
        <item x="279"/>
        <item x="477"/>
        <item x="120"/>
        <item x="333"/>
        <item x="600"/>
        <item x="235"/>
        <item x="79"/>
        <item x="429"/>
        <item x="479"/>
        <item x="486"/>
        <item x="343"/>
        <item x="611"/>
        <item x="55"/>
        <item x="538"/>
        <item x="531"/>
        <item x="566"/>
        <item x="396"/>
        <item x="420"/>
        <item x="20"/>
        <item x="392"/>
        <item x="221"/>
        <item x="552"/>
        <item x="103"/>
        <item x="493"/>
        <item x="364"/>
        <item x="511"/>
        <item x="33"/>
        <item x="585"/>
        <item x="366"/>
        <item x="412"/>
        <item x="518"/>
        <item x="99"/>
        <item x="394"/>
        <item x="75"/>
        <item x="320"/>
        <item x="308"/>
        <item x="327"/>
        <item x="422"/>
        <item x="41"/>
        <item x="610"/>
        <item x="173"/>
        <item x="293"/>
        <item x="526"/>
        <item x="440"/>
        <item x="114"/>
        <item x="116"/>
        <item x="372"/>
        <item x="46"/>
        <item x="604"/>
        <item x="19"/>
        <item t="default"/>
      </items>
    </pivotField>
    <pivotField compact="0" showAll="0">
      <items count="3">
        <item x="1"/>
        <item x="0"/>
        <item t="default"/>
      </items>
    </pivotField>
    <pivotField compact="0" numFmtId="10" showAll="0">
      <items count="223">
        <item x="4"/>
        <item x="139"/>
        <item x="9"/>
        <item x="19"/>
        <item x="97"/>
        <item x="18"/>
        <item x="82"/>
        <item x="168"/>
        <item x="206"/>
        <item x="106"/>
        <item x="200"/>
        <item x="111"/>
        <item x="104"/>
        <item x="116"/>
        <item x="107"/>
        <item x="176"/>
        <item x="132"/>
        <item x="69"/>
        <item x="7"/>
        <item x="191"/>
        <item x="74"/>
        <item x="41"/>
        <item x="31"/>
        <item x="15"/>
        <item x="184"/>
        <item x="202"/>
        <item x="172"/>
        <item x="87"/>
        <item x="215"/>
        <item x="105"/>
        <item x="209"/>
        <item x="57"/>
        <item x="210"/>
        <item x="53"/>
        <item x="128"/>
        <item x="112"/>
        <item x="217"/>
        <item x="131"/>
        <item x="119"/>
        <item x="90"/>
        <item x="189"/>
        <item x="161"/>
        <item x="221"/>
        <item x="94"/>
        <item x="196"/>
        <item x="173"/>
        <item x="70"/>
        <item x="142"/>
        <item x="54"/>
        <item x="88"/>
        <item x="66"/>
        <item x="86"/>
        <item x="3"/>
        <item x="91"/>
        <item x="12"/>
        <item x="42"/>
        <item x="169"/>
        <item x="197"/>
        <item x="115"/>
        <item x="162"/>
        <item x="220"/>
        <item x="102"/>
        <item x="195"/>
        <item x="25"/>
        <item x="146"/>
        <item x="23"/>
        <item x="165"/>
        <item x="24"/>
        <item x="166"/>
        <item x="117"/>
        <item x="75"/>
        <item x="141"/>
        <item x="11"/>
        <item x="147"/>
        <item x="71"/>
        <item x="218"/>
        <item x="194"/>
        <item x="72"/>
        <item x="163"/>
        <item x="26"/>
        <item x="135"/>
        <item x="170"/>
        <item x="65"/>
        <item x="51"/>
        <item x="188"/>
        <item x="103"/>
        <item x="84"/>
        <item x="13"/>
        <item x="45"/>
        <item x="93"/>
        <item x="0"/>
        <item x="138"/>
        <item x="58"/>
        <item x="157"/>
        <item x="143"/>
        <item x="83"/>
        <item x="44"/>
        <item x="17"/>
        <item x="171"/>
        <item x="152"/>
        <item x="80"/>
        <item x="207"/>
        <item x="21"/>
        <item x="37"/>
        <item x="108"/>
        <item x="136"/>
        <item x="30"/>
        <item x="48"/>
        <item x="2"/>
        <item x="187"/>
        <item x="110"/>
        <item x="59"/>
        <item x="156"/>
        <item x="28"/>
        <item x="79"/>
        <item x="158"/>
        <item x="22"/>
        <item x="76"/>
        <item x="167"/>
        <item x="55"/>
        <item x="16"/>
        <item x="40"/>
        <item x="177"/>
        <item x="33"/>
        <item x="5"/>
        <item x="133"/>
        <item x="8"/>
        <item x="203"/>
        <item x="100"/>
        <item x="134"/>
        <item x="123"/>
        <item x="67"/>
        <item x="129"/>
        <item x="159"/>
        <item x="85"/>
        <item x="178"/>
        <item x="127"/>
        <item x="73"/>
        <item x="62"/>
        <item x="192"/>
        <item x="155"/>
        <item x="205"/>
        <item x="149"/>
        <item x="20"/>
        <item x="35"/>
        <item x="185"/>
        <item x="219"/>
        <item x="144"/>
        <item x="120"/>
        <item x="154"/>
        <item x="29"/>
        <item x="164"/>
        <item x="118"/>
        <item x="92"/>
        <item x="77"/>
        <item x="109"/>
        <item x="34"/>
        <item x="14"/>
        <item x="49"/>
        <item x="56"/>
        <item x="61"/>
        <item x="36"/>
        <item x="68"/>
        <item x="50"/>
        <item x="193"/>
        <item x="96"/>
        <item x="6"/>
        <item x="122"/>
        <item x="113"/>
        <item x="46"/>
        <item x="137"/>
        <item x="89"/>
        <item x="52"/>
        <item x="43"/>
        <item x="160"/>
        <item x="216"/>
        <item x="213"/>
        <item x="179"/>
        <item x="124"/>
        <item x="121"/>
        <item x="201"/>
        <item x="64"/>
        <item x="153"/>
        <item x="198"/>
        <item x="212"/>
        <item x="95"/>
        <item x="211"/>
        <item x="151"/>
        <item x="199"/>
        <item x="81"/>
        <item x="208"/>
        <item x="125"/>
        <item x="145"/>
        <item x="126"/>
        <item x="1"/>
        <item x="148"/>
        <item x="174"/>
        <item x="180"/>
        <item x="63"/>
        <item x="27"/>
        <item x="101"/>
        <item x="214"/>
        <item x="10"/>
        <item x="114"/>
        <item x="47"/>
        <item x="190"/>
        <item x="60"/>
        <item x="130"/>
        <item x="99"/>
        <item x="183"/>
        <item x="150"/>
        <item x="98"/>
        <item x="140"/>
        <item x="175"/>
        <item x="186"/>
        <item x="78"/>
        <item x="182"/>
        <item x="38"/>
        <item x="204"/>
        <item x="39"/>
        <item x="181"/>
        <item x="32"/>
        <item t="default"/>
      </items>
    </pivotField>
    <pivotField compact="0" showAll="0">
      <items count="35">
        <item x="1"/>
        <item x="6"/>
        <item x="12"/>
        <item x="20"/>
        <item x="28"/>
        <item x="27"/>
        <item x="4"/>
        <item x="3"/>
        <item x="17"/>
        <item x="33"/>
        <item x="22"/>
        <item x="13"/>
        <item x="29"/>
        <item x="26"/>
        <item x="25"/>
        <item x="8"/>
        <item x="21"/>
        <item x="18"/>
        <item x="16"/>
        <item x="14"/>
        <item x="15"/>
        <item x="5"/>
        <item x="7"/>
        <item x="9"/>
        <item x="31"/>
        <item x="24"/>
        <item x="23"/>
        <item x="10"/>
        <item x="2"/>
        <item x="0"/>
        <item x="32"/>
        <item x="30"/>
        <item x="11"/>
        <item x="19"/>
        <item t="default"/>
      </items>
    </pivotField>
    <pivotField compact="0" numFmtId="58" showAll="0">
      <items count="472">
        <item x="4"/>
        <item x="184"/>
        <item x="6"/>
        <item x="411"/>
        <item x="198"/>
        <item x="122"/>
        <item x="125"/>
        <item x="186"/>
        <item x="442"/>
        <item x="77"/>
        <item x="23"/>
        <item x="419"/>
        <item x="182"/>
        <item x="61"/>
        <item x="173"/>
        <item x="151"/>
        <item x="108"/>
        <item x="423"/>
        <item x="275"/>
        <item x="293"/>
        <item x="161"/>
        <item x="156"/>
        <item x="380"/>
        <item x="94"/>
        <item x="221"/>
        <item x="2"/>
        <item x="154"/>
        <item x="213"/>
        <item x="210"/>
        <item x="310"/>
        <item x="49"/>
        <item x="334"/>
        <item x="306"/>
        <item x="63"/>
        <item x="129"/>
        <item x="272"/>
        <item x="165"/>
        <item x="127"/>
        <item x="381"/>
        <item x="286"/>
        <item x="33"/>
        <item x="456"/>
        <item x="453"/>
        <item x="439"/>
        <item x="90"/>
        <item x="188"/>
        <item x="14"/>
        <item x="432"/>
        <item x="205"/>
        <item x="66"/>
        <item x="183"/>
        <item x="27"/>
        <item x="291"/>
        <item x="132"/>
        <item x="365"/>
        <item x="427"/>
        <item x="375"/>
        <item x="379"/>
        <item x="179"/>
        <item x="71"/>
        <item x="20"/>
        <item x="277"/>
        <item x="437"/>
        <item x="353"/>
        <item x="101"/>
        <item x="402"/>
        <item x="211"/>
        <item x="369"/>
        <item x="75"/>
        <item x="278"/>
        <item x="111"/>
        <item x="321"/>
        <item x="362"/>
        <item x="245"/>
        <item x="37"/>
        <item x="301"/>
        <item x="88"/>
        <item x="85"/>
        <item x="43"/>
        <item x="391"/>
        <item x="257"/>
        <item x="420"/>
        <item x="416"/>
        <item x="440"/>
        <item x="418"/>
        <item x="136"/>
        <item x="469"/>
        <item x="368"/>
        <item x="171"/>
        <item x="261"/>
        <item x="143"/>
        <item x="359"/>
        <item x="174"/>
        <item x="46"/>
        <item x="207"/>
        <item x="251"/>
        <item x="238"/>
        <item x="235"/>
        <item x="384"/>
        <item x="285"/>
        <item x="176"/>
        <item x="169"/>
        <item x="228"/>
        <item x="134"/>
        <item x="468"/>
        <item x="51"/>
        <item x="282"/>
        <item x="117"/>
        <item x="118"/>
        <item x="65"/>
        <item x="203"/>
        <item x="164"/>
        <item x="78"/>
        <item x="335"/>
        <item x="463"/>
        <item x="140"/>
        <item x="376"/>
        <item x="413"/>
        <item x="255"/>
        <item x="354"/>
        <item x="202"/>
        <item x="317"/>
        <item x="225"/>
        <item x="72"/>
        <item x="304"/>
        <item x="160"/>
        <item x="459"/>
        <item x="227"/>
        <item x="350"/>
        <item x="348"/>
        <item x="158"/>
        <item x="320"/>
        <item x="393"/>
        <item x="208"/>
        <item x="405"/>
        <item x="260"/>
        <item x="146"/>
        <item x="318"/>
        <item x="254"/>
        <item x="178"/>
        <item x="244"/>
        <item x="280"/>
        <item x="386"/>
        <item x="195"/>
        <item x="270"/>
        <item x="107"/>
        <item x="283"/>
        <item x="137"/>
        <item x="366"/>
        <item x="364"/>
        <item x="114"/>
        <item x="144"/>
        <item x="294"/>
        <item x="289"/>
        <item x="331"/>
        <item x="206"/>
        <item x="81"/>
        <item x="62"/>
        <item x="233"/>
        <item x="438"/>
        <item x="305"/>
        <item x="292"/>
        <item x="352"/>
        <item x="274"/>
        <item x="431"/>
        <item x="356"/>
        <item x="197"/>
        <item x="382"/>
        <item x="467"/>
        <item x="115"/>
        <item x="96"/>
        <item x="234"/>
        <item x="84"/>
        <item x="240"/>
        <item x="185"/>
        <item x="250"/>
        <item x="457"/>
        <item x="39"/>
        <item x="299"/>
        <item x="433"/>
        <item x="247"/>
        <item x="414"/>
        <item x="9"/>
        <item x="339"/>
        <item x="12"/>
        <item x="131"/>
        <item x="175"/>
        <item x="435"/>
        <item x="148"/>
        <item x="377"/>
        <item x="181"/>
        <item x="145"/>
        <item x="343"/>
        <item x="389"/>
        <item x="346"/>
        <item x="276"/>
        <item x="256"/>
        <item x="308"/>
        <item x="67"/>
        <item x="450"/>
        <item x="401"/>
        <item x="34"/>
        <item x="219"/>
        <item x="429"/>
        <item x="196"/>
        <item x="370"/>
        <item x="258"/>
        <item x="0"/>
        <item x="153"/>
        <item x="57"/>
        <item x="241"/>
        <item x="239"/>
        <item x="237"/>
        <item x="284"/>
        <item x="297"/>
        <item x="139"/>
        <item x="82"/>
        <item x="410"/>
        <item x="395"/>
        <item x="36"/>
        <item x="69"/>
        <item x="31"/>
        <item x="409"/>
        <item x="316"/>
        <item x="360"/>
        <item x="367"/>
        <item x="224"/>
        <item x="333"/>
        <item x="430"/>
        <item x="22"/>
        <item x="388"/>
        <item x="407"/>
        <item x="100"/>
        <item x="44"/>
        <item x="7"/>
        <item x="42"/>
        <item x="162"/>
        <item x="92"/>
        <item x="64"/>
        <item x="103"/>
        <item x="421"/>
        <item x="104"/>
        <item x="121"/>
        <item x="157"/>
        <item x="303"/>
        <item x="155"/>
        <item x="390"/>
        <item x="273"/>
        <item x="263"/>
        <item x="444"/>
        <item x="412"/>
        <item x="268"/>
        <item x="300"/>
        <item x="119"/>
        <item x="373"/>
        <item x="458"/>
        <item x="243"/>
        <item x="135"/>
        <item x="74"/>
        <item x="358"/>
        <item x="408"/>
        <item x="24"/>
        <item x="159"/>
        <item x="26"/>
        <item x="288"/>
        <item x="447"/>
        <item x="105"/>
        <item x="222"/>
        <item x="19"/>
        <item x="290"/>
        <item x="424"/>
        <item x="315"/>
        <item x="327"/>
        <item x="443"/>
        <item x="326"/>
        <item x="147"/>
        <item x="295"/>
        <item x="465"/>
        <item x="449"/>
        <item x="417"/>
        <item x="32"/>
        <item x="451"/>
        <item x="177"/>
        <item x="102"/>
        <item x="332"/>
        <item x="249"/>
        <item x="212"/>
        <item x="345"/>
        <item x="392"/>
        <item x="149"/>
        <item x="38"/>
        <item x="73"/>
        <item x="426"/>
        <item x="180"/>
        <item x="214"/>
        <item x="355"/>
        <item x="325"/>
        <item x="99"/>
        <item x="190"/>
        <item x="232"/>
        <item x="167"/>
        <item x="200"/>
        <item x="141"/>
        <item x="192"/>
        <item x="462"/>
        <item x="399"/>
        <item x="170"/>
        <item x="1"/>
        <item x="89"/>
        <item x="287"/>
        <item x="267"/>
        <item x="48"/>
        <item x="434"/>
        <item x="45"/>
        <item x="199"/>
        <item x="347"/>
        <item x="40"/>
        <item x="60"/>
        <item x="223"/>
        <item x="400"/>
        <item x="47"/>
        <item x="152"/>
        <item x="296"/>
        <item x="387"/>
        <item x="116"/>
        <item x="298"/>
        <item x="385"/>
        <item x="336"/>
        <item x="218"/>
        <item x="130"/>
        <item x="54"/>
        <item x="349"/>
        <item x="70"/>
        <item x="76"/>
        <item x="455"/>
        <item x="126"/>
        <item x="98"/>
        <item x="363"/>
        <item x="25"/>
        <item x="110"/>
        <item x="403"/>
        <item x="15"/>
        <item x="133"/>
        <item x="128"/>
        <item x="351"/>
        <item x="5"/>
        <item x="29"/>
        <item x="460"/>
        <item x="311"/>
        <item x="259"/>
        <item x="10"/>
        <item x="106"/>
        <item x="328"/>
        <item x="266"/>
        <item x="194"/>
        <item x="172"/>
        <item x="189"/>
        <item x="95"/>
        <item x="50"/>
        <item x="312"/>
        <item x="448"/>
        <item x="187"/>
        <item x="445"/>
        <item x="123"/>
        <item x="53"/>
        <item x="168"/>
        <item x="236"/>
        <item x="470"/>
        <item x="330"/>
        <item x="340"/>
        <item x="329"/>
        <item x="124"/>
        <item x="396"/>
        <item x="265"/>
        <item x="397"/>
        <item x="246"/>
        <item x="11"/>
        <item x="3"/>
        <item x="97"/>
        <item x="253"/>
        <item x="338"/>
        <item x="302"/>
        <item x="307"/>
        <item x="28"/>
        <item x="264"/>
        <item x="248"/>
        <item x="436"/>
        <item x="80"/>
        <item x="371"/>
        <item x="230"/>
        <item x="271"/>
        <item x="357"/>
        <item x="52"/>
        <item x="220"/>
        <item x="464"/>
        <item x="163"/>
        <item x="68"/>
        <item x="415"/>
        <item x="56"/>
        <item x="86"/>
        <item x="142"/>
        <item x="398"/>
        <item x="452"/>
        <item x="383"/>
        <item x="428"/>
        <item x="79"/>
        <item x="59"/>
        <item x="279"/>
        <item x="216"/>
        <item x="18"/>
        <item x="406"/>
        <item x="374"/>
        <item x="269"/>
        <item x="322"/>
        <item x="8"/>
        <item x="109"/>
        <item x="337"/>
        <item x="55"/>
        <item x="41"/>
        <item x="454"/>
        <item x="361"/>
        <item x="87"/>
        <item x="229"/>
        <item x="21"/>
        <item x="319"/>
        <item x="226"/>
        <item x="341"/>
        <item x="262"/>
        <item x="35"/>
        <item x="309"/>
        <item x="113"/>
        <item x="242"/>
        <item x="461"/>
        <item x="204"/>
        <item x="112"/>
        <item x="215"/>
        <item x="466"/>
        <item x="441"/>
        <item x="193"/>
        <item x="17"/>
        <item x="30"/>
        <item x="191"/>
        <item x="217"/>
        <item x="120"/>
        <item x="372"/>
        <item x="91"/>
        <item x="314"/>
        <item x="93"/>
        <item x="83"/>
        <item x="150"/>
        <item x="425"/>
        <item x="422"/>
        <item x="404"/>
        <item x="209"/>
        <item x="378"/>
        <item x="252"/>
        <item x="344"/>
        <item x="313"/>
        <item x="231"/>
        <item x="58"/>
        <item x="323"/>
        <item x="16"/>
        <item x="166"/>
        <item x="446"/>
        <item x="324"/>
        <item x="201"/>
        <item x="342"/>
        <item x="281"/>
        <item x="138"/>
        <item x="13"/>
        <item x="394"/>
        <item t="default"/>
      </items>
    </pivotField>
    <pivotField compact="0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281"/>
        <item x="82"/>
        <item x="88"/>
        <item x="530"/>
        <item x="108"/>
        <item x="246"/>
        <item x="229"/>
        <item x="6"/>
        <item x="50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325"/>
        <item x="433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72"/>
        <item x="326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603"/>
        <item x="73"/>
        <item x="253"/>
        <item x="598"/>
        <item x="267"/>
        <item x="205"/>
        <item x="409"/>
        <item x="592"/>
        <item x="45"/>
        <item x="276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457"/>
        <item x="237"/>
        <item x="416"/>
        <item x="258"/>
        <item x="403"/>
        <item x="600"/>
        <item x="500"/>
        <item x="89"/>
        <item x="589"/>
        <item x="51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68"/>
        <item x="161"/>
        <item x="327"/>
        <item x="472"/>
        <item x="320"/>
        <item x="181"/>
        <item x="502"/>
        <item x="529"/>
        <item x="314"/>
        <item x="190"/>
        <item x="182"/>
        <item x="293"/>
        <item x="124"/>
        <item x="331"/>
        <item x="135"/>
        <item x="302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29"/>
        <item x="524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163"/>
        <item x="342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273"/>
        <item x="282"/>
        <item x="588"/>
        <item x="142"/>
        <item x="32"/>
        <item x="248"/>
        <item x="548"/>
        <item x="245"/>
        <item x="146"/>
        <item x="557"/>
        <item x="427"/>
        <item x="153"/>
        <item x="379"/>
        <item x="452"/>
        <item x="101"/>
        <item x="61"/>
        <item x="544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625"/>
        <item x="166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0"/>
        <item x="546"/>
        <item x="279"/>
        <item x="266"/>
        <item x="65"/>
        <item x="207"/>
        <item x="341"/>
        <item x="565"/>
        <item x="121"/>
        <item x="22"/>
        <item x="208"/>
        <item x="366"/>
        <item x="455"/>
        <item x="450"/>
        <item x="49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551"/>
        <item x="610"/>
        <item x="521"/>
        <item x="150"/>
        <item x="386"/>
        <item x="90"/>
        <item x="251"/>
        <item x="294"/>
        <item x="255"/>
        <item x="478"/>
        <item x="286"/>
        <item x="20"/>
        <item x="393"/>
        <item x="28"/>
        <item x="83"/>
        <item x="453"/>
        <item x="1"/>
        <item x="584"/>
        <item x="408"/>
        <item x="80"/>
        <item x="572"/>
        <item x="365"/>
        <item x="473"/>
        <item x="319"/>
        <item x="212"/>
        <item x="439"/>
        <item x="458"/>
        <item x="405"/>
        <item x="396"/>
        <item x="120"/>
        <item x="71"/>
        <item x="156"/>
        <item x="259"/>
        <item x="189"/>
        <item x="483"/>
        <item x="406"/>
        <item x="254"/>
        <item x="35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486"/>
        <item x="183"/>
        <item x="567"/>
        <item x="347"/>
        <item x="187"/>
        <item x="191"/>
        <item x="606"/>
        <item x="467"/>
        <item x="627"/>
        <item x="513"/>
        <item x="206"/>
        <item x="528"/>
        <item x="413"/>
        <item x="96"/>
        <item x="172"/>
        <item x="599"/>
        <item x="378"/>
        <item x="568"/>
        <item x="152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8"/>
        <item x="137"/>
        <item x="75"/>
        <item x="374"/>
        <item x="481"/>
        <item x="373"/>
        <item x="235"/>
        <item x="470"/>
        <item x="352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556"/>
        <item x="477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179" showAll="0">
      <items count="632">
        <item x="179"/>
        <item x="111"/>
        <item x="297"/>
        <item x="285"/>
        <item x="171"/>
        <item x="492"/>
        <item x="95"/>
        <item x="53"/>
        <item x="57"/>
        <item x="630"/>
        <item x="2"/>
        <item x="585"/>
        <item x="176"/>
        <item x="388"/>
        <item x="574"/>
        <item x="262"/>
        <item x="105"/>
        <item x="531"/>
        <item x="118"/>
        <item x="82"/>
        <item x="281"/>
        <item x="88"/>
        <item x="530"/>
        <item x="108"/>
        <item x="246"/>
        <item x="229"/>
        <item x="50"/>
        <item x="6"/>
        <item x="322"/>
        <item x="571"/>
        <item x="518"/>
        <item x="115"/>
        <item x="310"/>
        <item x="616"/>
        <item x="417"/>
        <item x="242"/>
        <item x="126"/>
        <item x="460"/>
        <item x="475"/>
        <item x="516"/>
        <item x="220"/>
        <item x="601"/>
        <item x="619"/>
        <item x="353"/>
        <item x="290"/>
        <item x="113"/>
        <item x="489"/>
        <item x="340"/>
        <item x="107"/>
        <item x="304"/>
        <item x="25"/>
        <item x="459"/>
        <item x="138"/>
        <item x="210"/>
        <item x="444"/>
        <item x="173"/>
        <item x="86"/>
        <item x="462"/>
        <item x="346"/>
        <item x="123"/>
        <item x="411"/>
        <item x="581"/>
        <item x="550"/>
        <item x="608"/>
        <item x="112"/>
        <item x="463"/>
        <item x="433"/>
        <item x="325"/>
        <item x="525"/>
        <item x="168"/>
        <item x="329"/>
        <item x="216"/>
        <item x="431"/>
        <item x="390"/>
        <item x="620"/>
        <item x="438"/>
        <item x="317"/>
        <item x="256"/>
        <item x="52"/>
        <item x="127"/>
        <item x="231"/>
        <item x="607"/>
        <item x="5"/>
        <item x="343"/>
        <item x="569"/>
        <item x="244"/>
        <item x="465"/>
        <item x="296"/>
        <item x="596"/>
        <item x="539"/>
        <item x="27"/>
        <item x="337"/>
        <item x="510"/>
        <item x="247"/>
        <item x="357"/>
        <item x="38"/>
        <item x="4"/>
        <item x="326"/>
        <item x="372"/>
        <item x="132"/>
        <item x="193"/>
        <item x="507"/>
        <item x="145"/>
        <item x="369"/>
        <item x="238"/>
        <item x="306"/>
        <item x="583"/>
        <item x="26"/>
        <item x="578"/>
        <item x="192"/>
        <item x="461"/>
        <item x="239"/>
        <item x="564"/>
        <item x="221"/>
        <item x="570"/>
        <item x="487"/>
        <item x="542"/>
        <item x="476"/>
        <item x="151"/>
        <item x="349"/>
        <item x="284"/>
        <item x="295"/>
        <item x="130"/>
        <item x="368"/>
        <item x="313"/>
        <item x="360"/>
        <item x="480"/>
        <item x="494"/>
        <item x="178"/>
        <item x="512"/>
        <item x="482"/>
        <item x="597"/>
        <item x="0"/>
        <item x="11"/>
        <item x="257"/>
        <item x="56"/>
        <item x="3"/>
        <item x="333"/>
        <item x="58"/>
        <item x="332"/>
        <item x="51"/>
        <item x="407"/>
        <item x="81"/>
        <item x="97"/>
        <item x="136"/>
        <item x="226"/>
        <item x="78"/>
        <item x="626"/>
        <item x="402"/>
        <item x="160"/>
        <item x="185"/>
        <item x="580"/>
        <item x="117"/>
        <item x="442"/>
        <item x="200"/>
        <item x="435"/>
        <item x="307"/>
        <item x="545"/>
        <item x="303"/>
        <item x="232"/>
        <item x="230"/>
        <item x="93"/>
        <item x="217"/>
        <item x="485"/>
        <item x="490"/>
        <item x="484"/>
        <item x="73"/>
        <item x="603"/>
        <item x="253"/>
        <item x="598"/>
        <item x="267"/>
        <item x="205"/>
        <item x="409"/>
        <item x="592"/>
        <item x="276"/>
        <item x="45"/>
        <item x="377"/>
        <item x="102"/>
        <item x="155"/>
        <item x="100"/>
        <item x="34"/>
        <item x="70"/>
        <item x="177"/>
        <item x="13"/>
        <item x="14"/>
        <item x="523"/>
        <item x="74"/>
        <item x="577"/>
        <item x="292"/>
        <item x="446"/>
        <item x="560"/>
        <item x="211"/>
        <item x="491"/>
        <item x="129"/>
        <item x="579"/>
        <item x="140"/>
        <item x="269"/>
        <item x="167"/>
        <item x="595"/>
        <item x="436"/>
        <item x="270"/>
        <item x="604"/>
        <item x="188"/>
        <item x="215"/>
        <item x="237"/>
        <item x="457"/>
        <item x="416"/>
        <item x="258"/>
        <item x="403"/>
        <item x="600"/>
        <item x="500"/>
        <item x="89"/>
        <item x="519"/>
        <item x="589"/>
        <item x="410"/>
        <item x="268"/>
        <item x="456"/>
        <item x="149"/>
        <item x="593"/>
        <item x="497"/>
        <item x="228"/>
        <item x="535"/>
        <item x="611"/>
        <item x="508"/>
        <item x="213"/>
        <item x="161"/>
        <item x="68"/>
        <item x="327"/>
        <item x="472"/>
        <item x="320"/>
        <item x="181"/>
        <item x="502"/>
        <item x="529"/>
        <item x="314"/>
        <item x="190"/>
        <item x="182"/>
        <item x="293"/>
        <item x="331"/>
        <item x="124"/>
        <item x="302"/>
        <item x="135"/>
        <item x="72"/>
        <item x="562"/>
        <item x="274"/>
        <item x="154"/>
        <item x="362"/>
        <item x="420"/>
        <item x="197"/>
        <item x="170"/>
        <item x="24"/>
        <item x="278"/>
        <item x="261"/>
        <item x="31"/>
        <item x="315"/>
        <item x="445"/>
        <item x="40"/>
        <item x="184"/>
        <item x="131"/>
        <item x="385"/>
        <item x="240"/>
        <item x="524"/>
        <item x="29"/>
        <item x="308"/>
        <item x="615"/>
        <item x="514"/>
        <item x="67"/>
        <item x="563"/>
        <item x="503"/>
        <item x="469"/>
        <item x="488"/>
        <item x="324"/>
        <item x="91"/>
        <item x="517"/>
        <item x="614"/>
        <item x="526"/>
        <item x="69"/>
        <item x="609"/>
        <item x="122"/>
        <item x="330"/>
        <item x="509"/>
        <item x="501"/>
        <item x="157"/>
        <item x="196"/>
        <item x="622"/>
        <item x="342"/>
        <item x="163"/>
        <item x="87"/>
        <item x="300"/>
        <item x="418"/>
        <item x="311"/>
        <item x="493"/>
        <item x="21"/>
        <item x="42"/>
        <item x="298"/>
        <item x="532"/>
        <item x="288"/>
        <item x="575"/>
        <item x="142"/>
        <item x="273"/>
        <item x="282"/>
        <item x="588"/>
        <item x="248"/>
        <item x="32"/>
        <item x="245"/>
        <item x="548"/>
        <item x="557"/>
        <item x="146"/>
        <item x="427"/>
        <item x="153"/>
        <item x="379"/>
        <item x="452"/>
        <item x="61"/>
        <item x="544"/>
        <item x="101"/>
        <item x="432"/>
        <item x="348"/>
        <item x="10"/>
        <item x="36"/>
        <item x="344"/>
        <item x="77"/>
        <item x="84"/>
        <item x="162"/>
        <item x="590"/>
        <item x="249"/>
        <item x="219"/>
        <item x="404"/>
        <item x="397"/>
        <item x="415"/>
        <item x="144"/>
        <item x="429"/>
        <item x="363"/>
        <item x="398"/>
        <item x="629"/>
        <item x="103"/>
        <item x="243"/>
        <item x="440"/>
        <item x="133"/>
        <item x="64"/>
        <item x="449"/>
        <item x="558"/>
        <item x="576"/>
        <item x="559"/>
        <item x="392"/>
        <item x="7"/>
        <item x="573"/>
        <item x="466"/>
        <item x="367"/>
        <item x="605"/>
        <item x="380"/>
        <item x="506"/>
        <item x="264"/>
        <item x="448"/>
        <item x="199"/>
        <item x="233"/>
        <item x="543"/>
        <item x="66"/>
        <item x="394"/>
        <item x="594"/>
        <item x="9"/>
        <item x="383"/>
        <item x="389"/>
        <item x="223"/>
        <item x="387"/>
        <item x="454"/>
        <item x="471"/>
        <item x="166"/>
        <item x="625"/>
        <item x="104"/>
        <item x="85"/>
        <item x="370"/>
        <item x="468"/>
        <item x="419"/>
        <item x="175"/>
        <item x="553"/>
        <item x="412"/>
        <item x="316"/>
        <item x="522"/>
        <item x="376"/>
        <item x="358"/>
        <item x="165"/>
        <item x="260"/>
        <item x="128"/>
        <item x="37"/>
        <item x="399"/>
        <item x="147"/>
        <item x="283"/>
        <item x="424"/>
        <item x="350"/>
        <item x="234"/>
        <item x="534"/>
        <item x="227"/>
        <item x="401"/>
        <item x="414"/>
        <item x="280"/>
        <item x="214"/>
        <item x="334"/>
        <item x="169"/>
        <item x="546"/>
        <item x="540"/>
        <item x="279"/>
        <item x="266"/>
        <item x="65"/>
        <item x="207"/>
        <item x="565"/>
        <item x="341"/>
        <item x="121"/>
        <item x="22"/>
        <item x="208"/>
        <item x="366"/>
        <item x="455"/>
        <item x="49"/>
        <item x="450"/>
        <item x="552"/>
        <item x="498"/>
        <item x="499"/>
        <item x="400"/>
        <item x="209"/>
        <item x="537"/>
        <item x="12"/>
        <item x="443"/>
        <item x="364"/>
        <item x="250"/>
        <item x="43"/>
        <item x="92"/>
        <item x="613"/>
        <item x="289"/>
        <item x="610"/>
        <item x="551"/>
        <item x="521"/>
        <item x="150"/>
        <item x="386"/>
        <item x="90"/>
        <item x="251"/>
        <item x="255"/>
        <item x="294"/>
        <item x="478"/>
        <item x="286"/>
        <item x="20"/>
        <item x="393"/>
        <item x="28"/>
        <item x="83"/>
        <item x="1"/>
        <item x="453"/>
        <item x="584"/>
        <item x="408"/>
        <item x="80"/>
        <item x="572"/>
        <item x="473"/>
        <item x="365"/>
        <item x="319"/>
        <item x="212"/>
        <item x="439"/>
        <item x="405"/>
        <item x="458"/>
        <item x="396"/>
        <item x="120"/>
        <item x="71"/>
        <item x="156"/>
        <item x="259"/>
        <item x="189"/>
        <item x="483"/>
        <item x="406"/>
        <item x="35"/>
        <item x="254"/>
        <item x="23"/>
        <item x="224"/>
        <item x="201"/>
        <item x="451"/>
        <item x="19"/>
        <item x="159"/>
        <item x="515"/>
        <item x="496"/>
        <item x="195"/>
        <item x="204"/>
        <item x="106"/>
        <item x="203"/>
        <item x="299"/>
        <item x="384"/>
        <item x="434"/>
        <item x="33"/>
        <item x="323"/>
        <item x="114"/>
        <item x="351"/>
        <item x="109"/>
        <item x="586"/>
        <item x="354"/>
        <item x="143"/>
        <item x="617"/>
        <item x="474"/>
        <item x="426"/>
        <item x="287"/>
        <item x="30"/>
        <item x="252"/>
        <item x="15"/>
        <item x="437"/>
        <item x="291"/>
        <item x="134"/>
        <item x="63"/>
        <item x="335"/>
        <item x="110"/>
        <item x="55"/>
        <item x="60"/>
        <item x="183"/>
        <item x="486"/>
        <item x="567"/>
        <item x="347"/>
        <item x="187"/>
        <item x="191"/>
        <item x="606"/>
        <item x="467"/>
        <item x="627"/>
        <item x="206"/>
        <item x="513"/>
        <item x="528"/>
        <item x="413"/>
        <item x="96"/>
        <item x="172"/>
        <item x="599"/>
        <item x="152"/>
        <item x="378"/>
        <item x="568"/>
        <item x="328"/>
        <item x="186"/>
        <item x="561"/>
        <item x="225"/>
        <item x="272"/>
        <item x="541"/>
        <item x="422"/>
        <item x="76"/>
        <item x="158"/>
        <item x="549"/>
        <item x="495"/>
        <item x="98"/>
        <item x="371"/>
        <item x="547"/>
        <item x="504"/>
        <item x="624"/>
        <item x="194"/>
        <item x="54"/>
        <item x="338"/>
        <item x="441"/>
        <item x="621"/>
        <item x="309"/>
        <item x="141"/>
        <item x="59"/>
        <item x="554"/>
        <item x="218"/>
        <item x="44"/>
        <item x="339"/>
        <item x="48"/>
        <item x="241"/>
        <item x="359"/>
        <item x="277"/>
        <item x="271"/>
        <item x="312"/>
        <item x="425"/>
        <item x="381"/>
        <item x="137"/>
        <item x="18"/>
        <item x="75"/>
        <item x="374"/>
        <item x="373"/>
        <item x="481"/>
        <item x="235"/>
        <item x="352"/>
        <item x="470"/>
        <item x="39"/>
        <item x="17"/>
        <item x="628"/>
        <item x="16"/>
        <item x="148"/>
        <item x="618"/>
        <item x="47"/>
        <item x="479"/>
        <item x="355"/>
        <item x="321"/>
        <item x="180"/>
        <item x="94"/>
        <item x="41"/>
        <item x="119"/>
        <item x="505"/>
        <item x="301"/>
        <item x="263"/>
        <item x="555"/>
        <item x="602"/>
        <item x="265"/>
        <item x="305"/>
        <item x="375"/>
        <item x="582"/>
        <item x="566"/>
        <item x="336"/>
        <item x="428"/>
        <item x="447"/>
        <item x="382"/>
        <item x="99"/>
        <item x="477"/>
        <item x="556"/>
        <item x="536"/>
        <item x="533"/>
        <item x="430"/>
        <item x="511"/>
        <item x="356"/>
        <item x="623"/>
        <item x="591"/>
        <item x="527"/>
        <item x="318"/>
        <item x="395"/>
        <item x="202"/>
        <item x="198"/>
        <item x="125"/>
        <item x="222"/>
        <item x="520"/>
        <item x="8"/>
        <item x="79"/>
        <item x="538"/>
        <item x="391"/>
        <item x="587"/>
        <item x="423"/>
        <item x="116"/>
        <item x="361"/>
        <item x="612"/>
        <item x="345"/>
        <item x="275"/>
        <item x="164"/>
        <item x="62"/>
        <item x="139"/>
        <item x="464"/>
        <item x="46"/>
        <item x="421"/>
        <item x="174"/>
        <item x="236"/>
        <item t="default"/>
      </items>
    </pivotField>
    <pivotField compact="0" numFmtId="2" showAll="0">
      <items count="241">
        <item x="32"/>
        <item x="186"/>
        <item x="39"/>
        <item x="213"/>
        <item x="38"/>
        <item x="187"/>
        <item x="78"/>
        <item x="192"/>
        <item x="180"/>
        <item x="141"/>
        <item x="98"/>
        <item x="152"/>
        <item x="188"/>
        <item x="99"/>
        <item x="131"/>
        <item x="60"/>
        <item x="196"/>
        <item x="47"/>
        <item x="114"/>
        <item x="208"/>
        <item x="10"/>
        <item x="229"/>
        <item x="101"/>
        <item x="27"/>
        <item x="63"/>
        <item x="185"/>
        <item x="179"/>
        <item x="150"/>
        <item x="1"/>
        <item x="127"/>
        <item x="146"/>
        <item x="126"/>
        <item x="219"/>
        <item x="81"/>
        <item x="218"/>
        <item x="206"/>
        <item x="154"/>
        <item x="224"/>
        <item x="95"/>
        <item x="226"/>
        <item x="205"/>
        <item x="156"/>
        <item x="64"/>
        <item x="209"/>
        <item x="122"/>
        <item x="125"/>
        <item x="184"/>
        <item x="227"/>
        <item x="231"/>
        <item x="164"/>
        <item x="43"/>
        <item x="52"/>
        <item x="89"/>
        <item x="138"/>
        <item x="46"/>
        <item x="113"/>
        <item x="123"/>
        <item x="6"/>
        <item x="96"/>
        <item x="200"/>
        <item x="234"/>
        <item x="50"/>
        <item x="68"/>
        <item x="36"/>
        <item x="61"/>
        <item x="56"/>
        <item x="49"/>
        <item x="14"/>
        <item x="34"/>
        <item x="109"/>
        <item x="77"/>
        <item x="92"/>
        <item x="119"/>
        <item x="168"/>
        <item x="29"/>
        <item x="158"/>
        <item x="121"/>
        <item x="145"/>
        <item x="236"/>
        <item x="191"/>
        <item x="35"/>
        <item x="20"/>
        <item x="151"/>
        <item x="214"/>
        <item x="222"/>
        <item x="159"/>
        <item x="199"/>
        <item x="62"/>
        <item x="73"/>
        <item x="233"/>
        <item x="128"/>
        <item x="183"/>
        <item x="85"/>
        <item x="163"/>
        <item x="130"/>
        <item x="67"/>
        <item x="169"/>
        <item x="124"/>
        <item x="216"/>
        <item x="135"/>
        <item x="153"/>
        <item x="100"/>
        <item x="211"/>
        <item x="8"/>
        <item x="134"/>
        <item x="5"/>
        <item x="33"/>
        <item x="182"/>
        <item x="40"/>
        <item x="16"/>
        <item x="55"/>
        <item x="172"/>
        <item x="76"/>
        <item x="115"/>
        <item x="22"/>
        <item x="162"/>
        <item x="79"/>
        <item x="28"/>
        <item x="160"/>
        <item x="59"/>
        <item x="110"/>
        <item x="193"/>
        <item x="2"/>
        <item x="147"/>
        <item x="48"/>
        <item x="30"/>
        <item x="137"/>
        <item x="108"/>
        <item x="37"/>
        <item x="21"/>
        <item x="217"/>
        <item x="80"/>
        <item x="155"/>
        <item x="176"/>
        <item x="17"/>
        <item x="44"/>
        <item x="83"/>
        <item x="144"/>
        <item x="161"/>
        <item x="58"/>
        <item x="139"/>
        <item x="0"/>
        <item x="93"/>
        <item x="45"/>
        <item x="13"/>
        <item x="84"/>
        <item x="103"/>
        <item x="157"/>
        <item x="194"/>
        <item x="51"/>
        <item x="65"/>
        <item x="175"/>
        <item x="189"/>
        <item x="136"/>
        <item x="26"/>
        <item x="167"/>
        <item x="72"/>
        <item x="197"/>
        <item x="201"/>
        <item x="235"/>
        <item x="71"/>
        <item x="149"/>
        <item x="11"/>
        <item x="228"/>
        <item x="142"/>
        <item x="75"/>
        <item x="118"/>
        <item x="171"/>
        <item x="24"/>
        <item x="170"/>
        <item x="23"/>
        <item x="148"/>
        <item x="25"/>
        <item x="202"/>
        <item x="225"/>
        <item x="102"/>
        <item x="237"/>
        <item x="166"/>
        <item x="116"/>
        <item x="204"/>
        <item x="174"/>
        <item x="42"/>
        <item x="12"/>
        <item x="91"/>
        <item x="3"/>
        <item x="86"/>
        <item x="66"/>
        <item x="88"/>
        <item x="54"/>
        <item x="143"/>
        <item x="70"/>
        <item x="178"/>
        <item x="203"/>
        <item x="94"/>
        <item x="239"/>
        <item x="165"/>
        <item x="195"/>
        <item x="90"/>
        <item x="120"/>
        <item x="132"/>
        <item x="232"/>
        <item x="112"/>
        <item x="223"/>
        <item x="129"/>
        <item x="53"/>
        <item x="221"/>
        <item x="57"/>
        <item x="220"/>
        <item x="105"/>
        <item x="230"/>
        <item x="87"/>
        <item x="177"/>
        <item x="210"/>
        <item x="190"/>
        <item x="15"/>
        <item x="31"/>
        <item x="41"/>
        <item x="74"/>
        <item x="198"/>
        <item x="7"/>
        <item x="69"/>
        <item x="133"/>
        <item x="212"/>
        <item x="181"/>
        <item x="107"/>
        <item x="117"/>
        <item x="104"/>
        <item x="111"/>
        <item x="207"/>
        <item x="106"/>
        <item x="215"/>
        <item x="173"/>
        <item x="82"/>
        <item x="18"/>
        <item x="97"/>
        <item x="19"/>
        <item x="9"/>
        <item x="140"/>
        <item x="238"/>
        <item x="4"/>
        <item t="default"/>
      </items>
    </pivotField>
    <pivotField compact="0" showAll="0">
      <items count="34">
        <item x="11"/>
        <item x="19"/>
        <item x="18"/>
        <item x="24"/>
        <item x="20"/>
        <item x="28"/>
        <item x="26"/>
        <item x="5"/>
        <item x="2"/>
        <item x="31"/>
        <item x="25"/>
        <item x="4"/>
        <item x="8"/>
        <item x="9"/>
        <item x="23"/>
        <item x="13"/>
        <item x="12"/>
        <item x="22"/>
        <item x="16"/>
        <item x="15"/>
        <item x="21"/>
        <item x="0"/>
        <item x="3"/>
        <item x="14"/>
        <item x="6"/>
        <item x="7"/>
        <item x="30"/>
        <item x="17"/>
        <item x="32"/>
        <item x="1"/>
        <item x="27"/>
        <item x="29"/>
        <item x="10"/>
        <item t="default"/>
      </items>
    </pivotField>
    <pivotField compact="0" showAll="0">
      <items count="12">
        <item x="2"/>
        <item x="0"/>
        <item x="3"/>
        <item x="7"/>
        <item x="4"/>
        <item x="5"/>
        <item x="9"/>
        <item x="8"/>
        <item x="6"/>
        <item x="10"/>
        <item x="1"/>
        <item t="default"/>
      </items>
    </pivotField>
    <pivotField compact="0" showAll="0">
      <items count="46">
        <item x="0"/>
        <item x="13"/>
        <item x="2"/>
        <item x="16"/>
        <item x="6"/>
        <item x="3"/>
        <item x="1"/>
        <item x="42"/>
        <item x="33"/>
        <item x="25"/>
        <item x="20"/>
        <item x="10"/>
        <item x="30"/>
        <item x="7"/>
        <item x="41"/>
        <item x="19"/>
        <item x="4"/>
        <item x="44"/>
        <item x="26"/>
        <item x="36"/>
        <item x="15"/>
        <item x="40"/>
        <item x="24"/>
        <item x="38"/>
        <item x="23"/>
        <item x="14"/>
        <item x="43"/>
        <item x="5"/>
        <item x="18"/>
        <item x="34"/>
        <item x="29"/>
        <item x="35"/>
        <item x="32"/>
        <item x="9"/>
        <item x="27"/>
        <item x="17"/>
        <item x="11"/>
        <item x="28"/>
        <item x="8"/>
        <item x="37"/>
        <item x="22"/>
        <item x="12"/>
        <item x="21"/>
        <item x="31"/>
        <item x="39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">
        <item x="4"/>
        <item x="2"/>
        <item x="9"/>
        <item x="7"/>
        <item x="5"/>
        <item x="3"/>
        <item x="6"/>
        <item x="0"/>
        <item x="1"/>
        <item x="11"/>
        <item x="8"/>
        <item x="10"/>
        <item t="default"/>
      </items>
    </pivotField>
    <pivotField compact="0" numFmtId="58" showAll="0">
      <items count="12">
        <item x="2"/>
        <item x="10"/>
        <item x="6"/>
        <item x="8"/>
        <item x="9"/>
        <item x="1"/>
        <item x="7"/>
        <item x="0"/>
        <item x="4"/>
        <item x="3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numFmtId="17" showAll="0">
      <items count="34">
        <item x="4"/>
        <item x="2"/>
        <item x="21"/>
        <item x="11"/>
        <item x="14"/>
        <item x="22"/>
        <item x="23"/>
        <item x="24"/>
        <item x="27"/>
        <item x="32"/>
        <item x="30"/>
        <item x="26"/>
        <item x="8"/>
        <item x="31"/>
        <item x="0"/>
        <item x="19"/>
        <item x="6"/>
        <item x="16"/>
        <item x="13"/>
        <item x="20"/>
        <item x="29"/>
        <item x="1"/>
        <item x="17"/>
        <item x="5"/>
        <item x="9"/>
        <item x="25"/>
        <item x="3"/>
        <item x="18"/>
        <item x="7"/>
        <item x="15"/>
        <item x="12"/>
        <item x="28"/>
        <item x="1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0" showAll="0">
      <items count="204">
        <item x="4"/>
        <item x="129"/>
        <item x="9"/>
        <item x="19"/>
        <item x="91"/>
        <item x="18"/>
        <item x="76"/>
        <item x="156"/>
        <item x="187"/>
        <item x="98"/>
        <item x="182"/>
        <item x="103"/>
        <item x="96"/>
        <item x="107"/>
        <item x="99"/>
        <item x="163"/>
        <item x="122"/>
        <item x="64"/>
        <item x="7"/>
        <item x="173"/>
        <item x="69"/>
        <item x="38"/>
        <item x="31"/>
        <item x="15"/>
        <item x="168"/>
        <item x="184"/>
        <item x="160"/>
        <item x="81"/>
        <item x="196"/>
        <item x="97"/>
        <item x="190"/>
        <item x="53"/>
        <item x="191"/>
        <item x="49"/>
        <item x="119"/>
        <item x="104"/>
        <item x="198"/>
        <item x="121"/>
        <item x="110"/>
        <item x="84"/>
        <item x="172"/>
        <item x="149"/>
        <item x="202"/>
        <item x="88"/>
        <item x="178"/>
        <item x="161"/>
        <item x="65"/>
        <item x="131"/>
        <item x="50"/>
        <item x="82"/>
        <item x="61"/>
        <item x="80"/>
        <item x="3"/>
        <item x="85"/>
        <item x="12"/>
        <item x="39"/>
        <item x="157"/>
        <item x="179"/>
        <item x="106"/>
        <item x="150"/>
        <item x="201"/>
        <item x="94"/>
        <item x="177"/>
        <item x="25"/>
        <item x="135"/>
        <item x="23"/>
        <item x="153"/>
        <item x="24"/>
        <item x="154"/>
        <item x="108"/>
        <item x="70"/>
        <item x="130"/>
        <item x="11"/>
        <item x="136"/>
        <item x="66"/>
        <item x="199"/>
        <item x="176"/>
        <item x="67"/>
        <item x="151"/>
        <item x="26"/>
        <item x="125"/>
        <item x="158"/>
        <item x="60"/>
        <item x="47"/>
        <item x="171"/>
        <item x="95"/>
        <item x="78"/>
        <item x="13"/>
        <item x="42"/>
        <item x="87"/>
        <item x="0"/>
        <item x="128"/>
        <item x="54"/>
        <item x="145"/>
        <item x="132"/>
        <item x="77"/>
        <item x="41"/>
        <item x="17"/>
        <item x="159"/>
        <item x="140"/>
        <item x="74"/>
        <item x="188"/>
        <item x="21"/>
        <item x="36"/>
        <item x="100"/>
        <item x="126"/>
        <item x="30"/>
        <item x="44"/>
        <item x="2"/>
        <item x="170"/>
        <item x="102"/>
        <item x="55"/>
        <item x="144"/>
        <item x="28"/>
        <item x="73"/>
        <item x="146"/>
        <item x="22"/>
        <item x="71"/>
        <item x="155"/>
        <item x="51"/>
        <item x="16"/>
        <item x="37"/>
        <item x="164"/>
        <item x="32"/>
        <item x="5"/>
        <item x="123"/>
        <item x="8"/>
        <item x="185"/>
        <item x="92"/>
        <item x="124"/>
        <item x="114"/>
        <item x="62"/>
        <item x="120"/>
        <item x="147"/>
        <item x="79"/>
        <item x="165"/>
        <item x="118"/>
        <item x="68"/>
        <item x="57"/>
        <item x="174"/>
        <item x="143"/>
        <item x="186"/>
        <item x="138"/>
        <item x="20"/>
        <item x="34"/>
        <item x="169"/>
        <item x="200"/>
        <item x="133"/>
        <item x="111"/>
        <item x="142"/>
        <item x="29"/>
        <item x="152"/>
        <item x="109"/>
        <item x="86"/>
        <item x="72"/>
        <item x="101"/>
        <item x="33"/>
        <item x="14"/>
        <item x="45"/>
        <item x="52"/>
        <item x="56"/>
        <item x="35"/>
        <item x="63"/>
        <item x="46"/>
        <item x="175"/>
        <item x="90"/>
        <item x="6"/>
        <item x="113"/>
        <item x="105"/>
        <item x="43"/>
        <item x="127"/>
        <item x="83"/>
        <item x="48"/>
        <item x="40"/>
        <item x="148"/>
        <item x="197"/>
        <item x="194"/>
        <item x="166"/>
        <item x="115"/>
        <item x="112"/>
        <item x="183"/>
        <item x="59"/>
        <item x="141"/>
        <item x="180"/>
        <item x="193"/>
        <item x="89"/>
        <item x="192"/>
        <item x="139"/>
        <item x="181"/>
        <item x="75"/>
        <item x="189"/>
        <item x="116"/>
        <item x="134"/>
        <item x="117"/>
        <item x="1"/>
        <item x="137"/>
        <item x="162"/>
        <item x="167"/>
        <item x="58"/>
        <item x="27"/>
        <item x="93"/>
        <item x="195"/>
        <item x="10"/>
        <item t="default"/>
      </items>
    </pivotField>
    <pivotField compact="0" numFmtId="179" showAll="0">
      <items count="632">
        <item x="492"/>
        <item x="111"/>
        <item x="179"/>
        <item x="297"/>
        <item x="171"/>
        <item x="285"/>
        <item x="105"/>
        <item x="246"/>
        <item x="388"/>
        <item x="82"/>
        <item x="571"/>
        <item x="95"/>
        <item x="6"/>
        <item x="340"/>
        <item x="176"/>
        <item x="460"/>
        <item x="126"/>
        <item x="581"/>
        <item x="480"/>
        <item x="53"/>
        <item x="310"/>
        <item x="630"/>
        <item x="229"/>
        <item x="353"/>
        <item x="88"/>
        <item x="118"/>
        <item x="531"/>
        <item x="585"/>
        <item x="244"/>
        <item x="138"/>
        <item x="516"/>
        <item x="290"/>
        <item x="242"/>
        <item x="50"/>
        <item x="115"/>
        <item x="346"/>
        <item x="322"/>
        <item x="417"/>
        <item x="574"/>
        <item x="107"/>
        <item x="550"/>
        <item x="304"/>
        <item x="442"/>
        <item x="210"/>
        <item x="525"/>
        <item x="281"/>
        <item x="262"/>
        <item x="329"/>
        <item x="343"/>
        <item x="102"/>
        <item x="608"/>
        <item x="487"/>
        <item x="462"/>
        <item x="530"/>
        <item x="25"/>
        <item x="307"/>
        <item x="435"/>
        <item x="162"/>
        <item x="205"/>
        <item x="569"/>
        <item x="459"/>
        <item x="112"/>
        <item x="607"/>
        <item x="220"/>
        <item x="216"/>
        <item x="317"/>
        <item x="127"/>
        <item x="238"/>
        <item x="578"/>
        <item x="598"/>
        <item x="620"/>
        <item x="81"/>
        <item x="457"/>
        <item x="576"/>
        <item x="123"/>
        <item x="34"/>
        <item x="173"/>
        <item x="433"/>
        <item x="489"/>
        <item x="446"/>
        <item x="232"/>
        <item x="231"/>
        <item x="52"/>
        <item x="27"/>
        <item x="292"/>
        <item x="475"/>
        <item x="177"/>
        <item x="510"/>
        <item x="626"/>
        <item x="507"/>
        <item x="390"/>
        <item x="214"/>
        <item x="303"/>
        <item x="269"/>
        <item x="221"/>
        <item x="465"/>
        <item x="444"/>
        <item x="295"/>
        <item x="193"/>
        <item x="619"/>
        <item x="368"/>
        <item x="484"/>
        <item x="3"/>
        <item x="70"/>
        <item x="463"/>
        <item x="144"/>
        <item x="0"/>
        <item x="273"/>
        <item x="485"/>
        <item x="372"/>
        <item x="315"/>
        <item x="108"/>
        <item x="490"/>
        <item x="596"/>
        <item x="159"/>
        <item x="136"/>
        <item x="132"/>
        <item x="349"/>
        <item x="455"/>
        <item x="325"/>
        <item x="100"/>
        <item x="38"/>
        <item x="257"/>
        <item x="4"/>
        <item x="253"/>
        <item x="593"/>
        <item x="385"/>
        <item x="427"/>
        <item x="270"/>
        <item x="518"/>
        <item x="165"/>
        <item x="11"/>
        <item x="296"/>
        <item x="45"/>
        <item x="117"/>
        <item x="168"/>
        <item x="56"/>
        <item x="482"/>
        <item x="438"/>
        <item x="178"/>
        <item x="494"/>
        <item x="113"/>
        <item x="77"/>
        <item x="147"/>
        <item x="379"/>
        <item x="314"/>
        <item x="440"/>
        <item x="306"/>
        <item x="327"/>
        <item x="431"/>
        <item x="276"/>
        <item x="239"/>
        <item x="218"/>
        <item x="213"/>
        <item x="579"/>
        <item x="615"/>
        <item x="217"/>
        <item x="230"/>
        <item x="504"/>
        <item x="452"/>
        <item x="524"/>
        <item x="308"/>
        <item x="320"/>
        <item x="603"/>
        <item x="92"/>
        <item x="128"/>
        <item x="129"/>
        <item x="601"/>
        <item x="330"/>
        <item x="469"/>
        <item x="377"/>
        <item x="154"/>
        <item x="545"/>
        <item x="572"/>
        <item x="560"/>
        <item x="190"/>
        <item x="543"/>
        <item x="249"/>
        <item x="493"/>
        <item x="409"/>
        <item x="311"/>
        <item x="476"/>
        <item x="499"/>
        <item x="407"/>
        <item x="535"/>
        <item x="333"/>
        <item x="250"/>
        <item x="42"/>
        <item x="432"/>
        <item x="539"/>
        <item x="369"/>
        <item x="200"/>
        <item x="67"/>
        <item x="29"/>
        <item x="63"/>
        <item x="402"/>
        <item x="140"/>
        <item x="418"/>
        <item x="337"/>
        <item x="497"/>
        <item x="522"/>
        <item x="196"/>
        <item x="256"/>
        <item x="289"/>
        <item x="87"/>
        <item x="564"/>
        <item x="267"/>
        <item x="90"/>
        <item x="51"/>
        <item x="360"/>
        <item x="97"/>
        <item x="109"/>
        <item x="478"/>
        <item x="284"/>
        <item x="130"/>
        <item x="443"/>
        <item x="143"/>
        <item x="261"/>
        <item x="5"/>
        <item x="563"/>
        <item x="219"/>
        <item x="201"/>
        <item x="298"/>
        <item x="185"/>
        <item x="313"/>
        <item x="429"/>
        <item x="86"/>
        <item x="61"/>
        <item x="473"/>
        <item x="363"/>
        <item x="436"/>
        <item x="537"/>
        <item x="416"/>
        <item x="622"/>
        <item x="338"/>
        <item x="509"/>
        <item x="282"/>
        <item x="336"/>
        <item x="445"/>
        <item x="514"/>
        <item x="583"/>
        <item x="12"/>
        <item x="9"/>
        <item x="32"/>
        <item x="335"/>
        <item x="471"/>
        <item x="251"/>
        <item x="515"/>
        <item x="300"/>
        <item x="394"/>
        <item x="324"/>
        <item x="155"/>
        <item x="354"/>
        <item x="498"/>
        <item x="339"/>
        <item x="468"/>
        <item x="410"/>
        <item x="590"/>
        <item x="358"/>
        <item x="254"/>
        <item x="570"/>
        <item x="562"/>
        <item x="66"/>
        <item x="43"/>
        <item x="532"/>
        <item x="146"/>
        <item x="604"/>
        <item x="474"/>
        <item x="89"/>
        <item x="411"/>
        <item x="575"/>
        <item x="237"/>
        <item x="133"/>
        <item x="548"/>
        <item x="557"/>
        <item x="35"/>
        <item x="456"/>
        <item x="610"/>
        <item x="258"/>
        <item x="72"/>
        <item x="584"/>
        <item x="268"/>
        <item x="371"/>
        <item x="616"/>
        <item x="534"/>
        <item x="552"/>
        <item x="21"/>
        <item x="184"/>
        <item x="461"/>
        <item x="567"/>
        <item x="521"/>
        <item x="577"/>
        <item x="594"/>
        <item x="28"/>
        <item x="14"/>
        <item x="36"/>
        <item x="149"/>
        <item x="181"/>
        <item x="357"/>
        <item x="501"/>
        <item x="434"/>
        <item x="13"/>
        <item x="597"/>
        <item x="470"/>
        <item x="293"/>
        <item x="589"/>
        <item x="182"/>
        <item x="191"/>
        <item x="287"/>
        <item x="252"/>
        <item x="119"/>
        <item x="169"/>
        <item x="559"/>
        <item x="247"/>
        <item x="91"/>
        <item x="512"/>
        <item x="341"/>
        <item x="627"/>
        <item x="629"/>
        <item x="160"/>
        <item x="453"/>
        <item x="157"/>
        <item x="618"/>
        <item x="142"/>
        <item x="74"/>
        <item x="44"/>
        <item x="199"/>
        <item x="380"/>
        <item x="361"/>
        <item x="472"/>
        <item x="378"/>
        <item x="312"/>
        <item x="170"/>
        <item x="400"/>
        <item x="415"/>
        <item x="54"/>
        <item x="573"/>
        <item x="26"/>
        <item x="558"/>
        <item x="47"/>
        <item x="580"/>
        <item x="437"/>
        <item x="101"/>
        <item x="299"/>
        <item x="37"/>
        <item x="153"/>
        <item x="450"/>
        <item x="318"/>
        <item x="350"/>
        <item x="547"/>
        <item x="68"/>
        <item x="556"/>
        <item x="202"/>
        <item x="15"/>
        <item x="145"/>
        <item x="302"/>
        <item x="326"/>
        <item x="448"/>
        <item x="491"/>
        <item x="156"/>
        <item x="451"/>
        <item x="508"/>
        <item x="167"/>
        <item x="10"/>
        <item x="69"/>
        <item x="73"/>
        <item x="240"/>
        <item x="163"/>
        <item x="152"/>
        <item x="617"/>
        <item x="517"/>
        <item x="505"/>
        <item x="347"/>
        <item x="227"/>
        <item x="366"/>
        <item x="428"/>
        <item x="529"/>
        <item x="131"/>
        <item x="383"/>
        <item x="611"/>
        <item x="175"/>
        <item x="542"/>
        <item x="449"/>
        <item x="23"/>
        <item x="124"/>
        <item x="359"/>
        <item x="278"/>
        <item x="351"/>
        <item x="403"/>
        <item x="439"/>
        <item x="348"/>
        <item x="599"/>
        <item x="192"/>
        <item x="345"/>
        <item x="319"/>
        <item x="374"/>
        <item x="189"/>
        <item x="503"/>
        <item x="150"/>
        <item x="486"/>
        <item x="93"/>
        <item x="323"/>
        <item x="243"/>
        <item x="18"/>
        <item x="591"/>
        <item x="203"/>
        <item x="316"/>
        <item x="283"/>
        <item x="387"/>
        <item x="401"/>
        <item x="623"/>
        <item x="183"/>
        <item x="161"/>
        <item x="39"/>
        <item x="228"/>
        <item x="271"/>
        <item x="588"/>
        <item x="362"/>
        <item x="206"/>
        <item x="424"/>
        <item x="549"/>
        <item x="477"/>
        <item x="364"/>
        <item x="58"/>
        <item x="523"/>
        <item x="519"/>
        <item x="125"/>
        <item x="286"/>
        <item x="17"/>
        <item x="628"/>
        <item x="188"/>
        <item x="224"/>
        <item x="65"/>
        <item x="331"/>
        <item x="272"/>
        <item x="526"/>
        <item x="1"/>
        <item x="94"/>
        <item x="215"/>
        <item x="134"/>
        <item x="223"/>
        <item x="209"/>
        <item x="279"/>
        <item x="151"/>
        <item x="609"/>
        <item x="419"/>
        <item x="280"/>
        <item x="265"/>
        <item x="76"/>
        <item x="376"/>
        <item x="399"/>
        <item x="259"/>
        <item x="78"/>
        <item x="404"/>
        <item x="391"/>
        <item x="180"/>
        <item x="502"/>
        <item x="496"/>
        <item x="595"/>
        <item x="392"/>
        <item x="106"/>
        <item x="538"/>
        <item x="381"/>
        <item x="291"/>
        <item x="197"/>
        <item x="602"/>
        <item x="382"/>
        <item x="454"/>
        <item x="533"/>
        <item x="426"/>
        <item x="55"/>
        <item x="104"/>
        <item x="384"/>
        <item x="553"/>
        <item x="386"/>
        <item x="211"/>
        <item x="566"/>
        <item x="551"/>
        <item x="467"/>
        <item x="277"/>
        <item x="398"/>
        <item x="59"/>
        <item x="356"/>
        <item x="204"/>
        <item x="80"/>
        <item x="332"/>
        <item x="84"/>
        <item x="110"/>
        <item x="554"/>
        <item x="561"/>
        <item x="412"/>
        <item x="222"/>
        <item x="98"/>
        <item x="430"/>
        <item x="396"/>
        <item x="355"/>
        <item x="137"/>
        <item x="208"/>
        <item x="420"/>
        <item x="447"/>
        <item x="40"/>
        <item x="264"/>
        <item x="527"/>
        <item x="605"/>
        <item x="248"/>
        <item x="370"/>
        <item x="479"/>
        <item x="158"/>
        <item x="57"/>
        <item x="16"/>
        <item x="241"/>
        <item x="96"/>
        <item x="375"/>
        <item x="342"/>
        <item x="500"/>
        <item x="586"/>
        <item x="352"/>
        <item x="565"/>
        <item x="62"/>
        <item x="164"/>
        <item x="234"/>
        <item x="226"/>
        <item x="30"/>
        <item x="207"/>
        <item x="592"/>
        <item x="99"/>
        <item x="413"/>
        <item x="540"/>
        <item x="141"/>
        <item x="186"/>
        <item x="172"/>
        <item x="458"/>
        <item x="301"/>
        <item x="266"/>
        <item x="425"/>
        <item x="288"/>
        <item x="22"/>
        <item x="367"/>
        <item x="520"/>
        <item x="481"/>
        <item x="414"/>
        <item x="334"/>
        <item x="536"/>
        <item x="495"/>
        <item x="365"/>
        <item x="7"/>
        <item x="393"/>
        <item x="148"/>
        <item x="120"/>
        <item x="546"/>
        <item x="321"/>
        <item x="64"/>
        <item x="48"/>
        <item x="544"/>
        <item x="483"/>
        <item x="233"/>
        <item x="397"/>
        <item x="421"/>
        <item x="614"/>
        <item x="198"/>
        <item x="612"/>
        <item x="20"/>
        <item x="8"/>
        <item x="506"/>
        <item x="187"/>
        <item x="464"/>
        <item x="600"/>
        <item x="275"/>
        <item x="235"/>
        <item x="621"/>
        <item x="625"/>
        <item x="624"/>
        <item x="245"/>
        <item x="225"/>
        <item x="405"/>
        <item x="441"/>
        <item x="294"/>
        <item x="122"/>
        <item x="236"/>
        <item x="85"/>
        <item x="587"/>
        <item x="582"/>
        <item x="541"/>
        <item x="328"/>
        <item x="71"/>
        <item x="194"/>
        <item x="511"/>
        <item x="116"/>
        <item x="75"/>
        <item x="121"/>
        <item x="41"/>
        <item x="395"/>
        <item x="528"/>
        <item x="309"/>
        <item x="103"/>
        <item x="195"/>
        <item x="568"/>
        <item x="466"/>
        <item x="79"/>
        <item x="274"/>
        <item x="135"/>
        <item x="174"/>
        <item x="408"/>
        <item x="613"/>
        <item x="46"/>
        <item x="83"/>
        <item x="513"/>
        <item x="33"/>
        <item x="406"/>
        <item x="555"/>
        <item x="212"/>
        <item x="305"/>
        <item x="49"/>
        <item x="263"/>
        <item x="2"/>
        <item x="31"/>
        <item x="139"/>
        <item x="606"/>
        <item x="488"/>
        <item x="60"/>
        <item x="255"/>
        <item x="260"/>
        <item x="114"/>
        <item x="423"/>
        <item x="166"/>
        <item x="373"/>
        <item x="389"/>
        <item x="422"/>
        <item x="24"/>
        <item x="19"/>
        <item x="344"/>
        <item t="default"/>
      </items>
    </pivotField>
    <pivotField compact="0" showAll="0">
      <items count="53">
        <item x="33"/>
        <item x="28"/>
        <item x="5"/>
        <item x="27"/>
        <item x="7"/>
        <item x="4"/>
        <item x="15"/>
        <item x="0"/>
        <item x="10"/>
        <item x="21"/>
        <item x="2"/>
        <item x="20"/>
        <item x="16"/>
        <item x="11"/>
        <item x="13"/>
        <item x="17"/>
        <item x="6"/>
        <item x="14"/>
        <item x="9"/>
        <item x="42"/>
        <item x="3"/>
        <item x="8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179" showAll="0">
      <items count="632">
        <item x="616"/>
        <item x="2"/>
        <item x="57"/>
        <item x="179"/>
        <item x="111"/>
        <item x="297"/>
        <item x="285"/>
        <item x="171"/>
        <item x="492"/>
        <item x="95"/>
        <item x="53"/>
        <item x="630"/>
        <item x="176"/>
        <item x="585"/>
        <item x="388"/>
        <item x="574"/>
        <item x="105"/>
        <item x="82"/>
        <item x="531"/>
        <item x="108"/>
        <item x="262"/>
        <item x="118"/>
        <item x="246"/>
        <item x="530"/>
        <item x="88"/>
        <item x="50"/>
        <item x="229"/>
        <item x="281"/>
        <item x="6"/>
        <item x="322"/>
        <item x="417"/>
        <item x="242"/>
        <item x="115"/>
        <item x="571"/>
        <item x="126"/>
        <item x="518"/>
        <item x="310"/>
        <item x="220"/>
        <item x="460"/>
        <item x="475"/>
        <item x="516"/>
        <item x="619"/>
        <item x="601"/>
        <item x="290"/>
        <item x="353"/>
        <item x="340"/>
        <item x="138"/>
        <item x="113"/>
        <item x="489"/>
        <item x="304"/>
        <item x="86"/>
        <item x="107"/>
        <item x="459"/>
        <item x="25"/>
        <item x="210"/>
        <item x="581"/>
        <item x="463"/>
        <item x="550"/>
        <item x="462"/>
        <item x="444"/>
        <item x="433"/>
        <item x="173"/>
        <item x="411"/>
        <item x="123"/>
        <item x="608"/>
        <item x="112"/>
        <item x="525"/>
        <item x="346"/>
        <item x="216"/>
        <item x="168"/>
        <item x="620"/>
        <item x="325"/>
        <item x="256"/>
        <item x="52"/>
        <item x="390"/>
        <item x="329"/>
        <item x="431"/>
        <item x="127"/>
        <item x="465"/>
        <item x="607"/>
        <item x="438"/>
        <item x="231"/>
        <item x="5"/>
        <item x="244"/>
        <item x="317"/>
        <item x="337"/>
        <item x="596"/>
        <item x="343"/>
        <item x="296"/>
        <item x="539"/>
        <item x="569"/>
        <item x="132"/>
        <item x="510"/>
        <item x="38"/>
        <item x="145"/>
        <item x="247"/>
        <item x="306"/>
        <item x="326"/>
        <item x="238"/>
        <item x="583"/>
        <item x="27"/>
        <item x="507"/>
        <item x="193"/>
        <item x="284"/>
        <item x="26"/>
        <item x="487"/>
        <item x="461"/>
        <item x="357"/>
        <item x="372"/>
        <item x="349"/>
        <item x="369"/>
        <item x="151"/>
        <item x="4"/>
        <item x="476"/>
        <item x="564"/>
        <item x="295"/>
        <item x="578"/>
        <item x="257"/>
        <item x="192"/>
        <item x="597"/>
        <item x="130"/>
        <item x="178"/>
        <item x="136"/>
        <item x="239"/>
        <item x="221"/>
        <item x="368"/>
        <item x="58"/>
        <item x="570"/>
        <item x="407"/>
        <item x="494"/>
        <item x="200"/>
        <item x="542"/>
        <item x="480"/>
        <item x="56"/>
        <item x="360"/>
        <item x="545"/>
        <item x="185"/>
        <item x="333"/>
        <item x="0"/>
        <item x="78"/>
        <item x="11"/>
        <item x="313"/>
        <item x="73"/>
        <item x="626"/>
        <item x="482"/>
        <item x="485"/>
        <item x="512"/>
        <item x="3"/>
        <item x="402"/>
        <item x="232"/>
        <item x="409"/>
        <item x="97"/>
        <item x="81"/>
        <item x="307"/>
        <item x="603"/>
        <item x="93"/>
        <item x="226"/>
        <item x="435"/>
        <item x="332"/>
        <item x="160"/>
        <item x="592"/>
        <item x="117"/>
        <item x="51"/>
        <item x="230"/>
        <item x="446"/>
        <item x="303"/>
        <item x="442"/>
        <item x="102"/>
        <item x="598"/>
        <item x="484"/>
        <item x="276"/>
        <item x="580"/>
        <item x="100"/>
        <item x="70"/>
        <item x="523"/>
        <item x="253"/>
        <item x="217"/>
        <item x="377"/>
        <item x="34"/>
        <item x="490"/>
        <item x="237"/>
        <item x="205"/>
        <item x="577"/>
        <item x="560"/>
        <item x="167"/>
        <item x="74"/>
        <item x="410"/>
        <item x="267"/>
        <item x="211"/>
        <item x="604"/>
        <item x="14"/>
        <item x="177"/>
        <item x="270"/>
        <item x="45"/>
        <item x="327"/>
        <item x="579"/>
        <item x="155"/>
        <item x="269"/>
        <item x="331"/>
        <item x="436"/>
        <item x="292"/>
        <item x="519"/>
        <item x="500"/>
        <item x="228"/>
        <item x="600"/>
        <item x="320"/>
        <item x="491"/>
        <item x="362"/>
        <item x="258"/>
        <item x="13"/>
        <item x="457"/>
        <item x="268"/>
        <item x="181"/>
        <item x="129"/>
        <item x="215"/>
        <item x="535"/>
        <item x="403"/>
        <item x="213"/>
        <item x="456"/>
        <item x="149"/>
        <item x="416"/>
        <item x="302"/>
        <item x="595"/>
        <item x="161"/>
        <item x="261"/>
        <item x="140"/>
        <item x="508"/>
        <item x="89"/>
        <item x="524"/>
        <item x="472"/>
        <item x="131"/>
        <item x="197"/>
        <item x="593"/>
        <item x="562"/>
        <item x="274"/>
        <item x="188"/>
        <item x="24"/>
        <item x="502"/>
        <item x="497"/>
        <item x="67"/>
        <item x="182"/>
        <item x="190"/>
        <item x="330"/>
        <item x="314"/>
        <item x="293"/>
        <item x="278"/>
        <item x="154"/>
        <item x="124"/>
        <item x="170"/>
        <item x="68"/>
        <item x="589"/>
        <item x="315"/>
        <item x="342"/>
        <item x="509"/>
        <item x="611"/>
        <item x="529"/>
        <item x="72"/>
        <item x="418"/>
        <item x="385"/>
        <item x="488"/>
        <item x="31"/>
        <item x="240"/>
        <item x="135"/>
        <item x="445"/>
        <item x="29"/>
        <item x="517"/>
        <item x="324"/>
        <item x="308"/>
        <item x="300"/>
        <item x="245"/>
        <item x="142"/>
        <item x="420"/>
        <item x="91"/>
        <item x="563"/>
        <item x="503"/>
        <item x="609"/>
        <item x="10"/>
        <item x="157"/>
        <item x="184"/>
        <item x="469"/>
        <item x="288"/>
        <item x="614"/>
        <item x="557"/>
        <item x="77"/>
        <item x="40"/>
        <item x="69"/>
        <item x="42"/>
        <item x="622"/>
        <item x="615"/>
        <item x="544"/>
        <item x="122"/>
        <item x="514"/>
        <item x="501"/>
        <item x="415"/>
        <item x="21"/>
        <item x="548"/>
        <item x="61"/>
        <item x="153"/>
        <item x="311"/>
        <item x="196"/>
        <item x="379"/>
        <item x="392"/>
        <item x="526"/>
        <item x="273"/>
        <item x="282"/>
        <item x="590"/>
        <item x="248"/>
        <item x="87"/>
        <item x="163"/>
        <item x="493"/>
        <item x="532"/>
        <item x="452"/>
        <item x="36"/>
        <item x="133"/>
        <item x="588"/>
        <item x="575"/>
        <item x="64"/>
        <item x="249"/>
        <item x="162"/>
        <item x="348"/>
        <item x="243"/>
        <item x="448"/>
        <item x="103"/>
        <item x="449"/>
        <item x="166"/>
        <item x="104"/>
        <item x="264"/>
        <item x="440"/>
        <item x="298"/>
        <item x="363"/>
        <item x="629"/>
        <item x="380"/>
        <item x="144"/>
        <item x="429"/>
        <item x="432"/>
        <item x="398"/>
        <item x="558"/>
        <item x="84"/>
        <item x="397"/>
        <item x="32"/>
        <item x="559"/>
        <item x="146"/>
        <item x="404"/>
        <item x="427"/>
        <item x="219"/>
        <item x="344"/>
        <item x="101"/>
        <item x="367"/>
        <item x="605"/>
        <item x="576"/>
        <item x="625"/>
        <item x="387"/>
        <item x="543"/>
        <item x="85"/>
        <item x="466"/>
        <item x="233"/>
        <item x="66"/>
        <item x="280"/>
        <item x="394"/>
        <item x="165"/>
        <item x="573"/>
        <item x="419"/>
        <item x="169"/>
        <item x="7"/>
        <item x="454"/>
        <item x="358"/>
        <item x="147"/>
        <item x="594"/>
        <item x="199"/>
        <item x="37"/>
        <item x="534"/>
        <item x="214"/>
        <item x="383"/>
        <item x="506"/>
        <item x="376"/>
        <item x="424"/>
        <item x="471"/>
        <item x="223"/>
        <item x="283"/>
        <item x="546"/>
        <item x="175"/>
        <item x="49"/>
        <item x="207"/>
        <item x="553"/>
        <item x="9"/>
        <item x="65"/>
        <item x="121"/>
        <item x="128"/>
        <item x="522"/>
        <item x="412"/>
        <item x="389"/>
        <item x="334"/>
        <item x="468"/>
        <item x="316"/>
        <item x="350"/>
        <item x="498"/>
        <item x="227"/>
        <item x="370"/>
        <item x="401"/>
        <item x="234"/>
        <item x="400"/>
        <item x="279"/>
        <item x="250"/>
        <item x="565"/>
        <item x="266"/>
        <item x="251"/>
        <item x="399"/>
        <item x="208"/>
        <item x="43"/>
        <item x="1"/>
        <item x="260"/>
        <item x="610"/>
        <item x="209"/>
        <item x="80"/>
        <item x="414"/>
        <item x="613"/>
        <item x="366"/>
        <item x="396"/>
        <item x="551"/>
        <item x="35"/>
        <item x="289"/>
        <item x="255"/>
        <item x="572"/>
        <item x="473"/>
        <item x="90"/>
        <item x="189"/>
        <item x="365"/>
        <item x="540"/>
        <item x="450"/>
        <item x="386"/>
        <item x="393"/>
        <item x="20"/>
        <item x="286"/>
        <item x="341"/>
        <item x="92"/>
        <item x="28"/>
        <item x="552"/>
        <item x="71"/>
        <item x="22"/>
        <item x="499"/>
        <item x="537"/>
        <item x="294"/>
        <item x="439"/>
        <item x="455"/>
        <item x="83"/>
        <item x="426"/>
        <item x="406"/>
        <item x="150"/>
        <item x="224"/>
        <item x="364"/>
        <item x="12"/>
        <item x="443"/>
        <item x="195"/>
        <item x="483"/>
        <item x="159"/>
        <item x="384"/>
        <item x="515"/>
        <item x="319"/>
        <item x="405"/>
        <item x="521"/>
        <item x="478"/>
        <item x="584"/>
        <item x="259"/>
        <item x="120"/>
        <item x="453"/>
        <item x="354"/>
        <item x="291"/>
        <item x="408"/>
        <item x="106"/>
        <item x="451"/>
        <item x="19"/>
        <item x="156"/>
        <item x="254"/>
        <item x="212"/>
        <item x="437"/>
        <item x="458"/>
        <item x="191"/>
        <item x="114"/>
        <item x="23"/>
        <item x="567"/>
        <item x="586"/>
        <item x="617"/>
        <item x="496"/>
        <item x="467"/>
        <item x="201"/>
        <item x="252"/>
        <item x="203"/>
        <item x="299"/>
        <item x="143"/>
        <item x="15"/>
        <item x="323"/>
        <item x="204"/>
        <item x="30"/>
        <item x="63"/>
        <item x="183"/>
        <item x="351"/>
        <item x="186"/>
        <item x="287"/>
        <item x="98"/>
        <item x="347"/>
        <item x="474"/>
        <item x="434"/>
        <item x="33"/>
        <item x="134"/>
        <item x="109"/>
        <item x="60"/>
        <item x="328"/>
        <item x="338"/>
        <item x="187"/>
        <item x="335"/>
        <item x="206"/>
        <item x="218"/>
        <item x="486"/>
        <item x="606"/>
        <item x="158"/>
        <item x="339"/>
        <item x="272"/>
        <item x="422"/>
        <item x="152"/>
        <item x="55"/>
        <item x="549"/>
        <item x="110"/>
        <item x="621"/>
        <item x="425"/>
        <item x="225"/>
        <item x="541"/>
        <item x="495"/>
        <item x="309"/>
        <item x="194"/>
        <item x="373"/>
        <item x="441"/>
        <item x="413"/>
        <item x="172"/>
        <item x="54"/>
        <item x="547"/>
        <item x="141"/>
        <item x="371"/>
        <item x="504"/>
        <item x="44"/>
        <item x="624"/>
        <item x="627"/>
        <item x="76"/>
        <item x="561"/>
        <item x="378"/>
        <item x="513"/>
        <item x="528"/>
        <item x="554"/>
        <item x="41"/>
        <item x="59"/>
        <item x="599"/>
        <item x="241"/>
        <item x="96"/>
        <item x="568"/>
        <item x="48"/>
        <item x="271"/>
        <item x="505"/>
        <item x="352"/>
        <item x="277"/>
        <item x="359"/>
        <item x="16"/>
        <item x="75"/>
        <item x="137"/>
        <item x="47"/>
        <item x="481"/>
        <item x="470"/>
        <item x="235"/>
        <item x="381"/>
        <item x="17"/>
        <item x="374"/>
        <item x="336"/>
        <item x="265"/>
        <item x="18"/>
        <item x="119"/>
        <item x="321"/>
        <item x="301"/>
        <item x="602"/>
        <item x="263"/>
        <item x="312"/>
        <item x="628"/>
        <item x="479"/>
        <item x="582"/>
        <item x="39"/>
        <item x="428"/>
        <item x="180"/>
        <item x="618"/>
        <item x="477"/>
        <item x="533"/>
        <item x="148"/>
        <item x="305"/>
        <item x="94"/>
        <item x="375"/>
        <item x="355"/>
        <item x="566"/>
        <item x="447"/>
        <item x="555"/>
        <item x="382"/>
        <item x="202"/>
        <item x="356"/>
        <item x="623"/>
        <item x="511"/>
        <item x="556"/>
        <item x="536"/>
        <item x="591"/>
        <item x="99"/>
        <item x="318"/>
        <item x="198"/>
        <item x="391"/>
        <item x="395"/>
        <item x="430"/>
        <item x="423"/>
        <item x="527"/>
        <item x="79"/>
        <item x="8"/>
        <item x="520"/>
        <item x="125"/>
        <item x="116"/>
        <item x="538"/>
        <item x="222"/>
        <item x="587"/>
        <item x="62"/>
        <item x="345"/>
        <item x="275"/>
        <item x="612"/>
        <item x="361"/>
        <item x="464"/>
        <item x="164"/>
        <item x="139"/>
        <item x="174"/>
        <item x="421"/>
        <item x="46"/>
        <item x="236"/>
        <item t="default"/>
      </items>
    </pivotField>
    <pivotField compact="0" numFmtId="179" showAll="0">
      <items count="632">
        <item x="57"/>
        <item x="616"/>
        <item x="1"/>
        <item x="2"/>
        <item x="384"/>
        <item x="625"/>
        <item x="422"/>
        <item x="264"/>
        <item x="10"/>
        <item x="496"/>
        <item x="559"/>
        <item x="186"/>
        <item x="131"/>
        <item x="133"/>
        <item x="191"/>
        <item x="288"/>
        <item x="406"/>
        <item x="64"/>
        <item x="500"/>
        <item x="71"/>
        <item x="621"/>
        <item x="243"/>
        <item x="124"/>
        <item x="382"/>
        <item x="149"/>
        <item x="387"/>
        <item x="195"/>
        <item x="54"/>
        <item x="258"/>
        <item x="72"/>
        <item x="396"/>
        <item x="415"/>
        <item x="589"/>
        <item x="228"/>
        <item x="383"/>
        <item x="65"/>
        <item x="491"/>
        <item x="80"/>
        <item x="97"/>
        <item x="151"/>
        <item x="104"/>
        <item x="51"/>
        <item x="476"/>
        <item x="360"/>
        <item x="403"/>
        <item x="223"/>
        <item x="600"/>
        <item x="604"/>
        <item x="251"/>
        <item x="121"/>
        <item x="13"/>
        <item x="35"/>
        <item x="448"/>
        <item x="362"/>
        <item x="165"/>
        <item x="166"/>
        <item x="320"/>
        <item x="15"/>
        <item x="389"/>
        <item x="617"/>
        <item x="130"/>
        <item x="145"/>
        <item x="511"/>
        <item x="426"/>
        <item x="192"/>
        <item x="539"/>
        <item x="199"/>
        <item x="298"/>
        <item x="573"/>
        <item x="337"/>
        <item x="302"/>
        <item x="189"/>
        <item x="456"/>
        <item x="26"/>
        <item x="84"/>
        <item x="401"/>
        <item x="431"/>
        <item x="542"/>
        <item x="122"/>
        <item x="100"/>
        <item x="67"/>
        <item x="372"/>
        <item x="267"/>
        <item x="85"/>
        <item x="410"/>
        <item x="93"/>
        <item x="592"/>
        <item x="605"/>
        <item x="237"/>
        <item x="3"/>
        <item x="407"/>
        <item x="141"/>
        <item x="316"/>
        <item x="544"/>
        <item x="332"/>
        <item x="274"/>
        <item x="400"/>
        <item x="234"/>
        <item x="211"/>
        <item x="9"/>
        <item x="215"/>
        <item x="200"/>
        <item x="34"/>
        <item x="113"/>
        <item x="560"/>
        <item x="565"/>
        <item x="178"/>
        <item x="197"/>
        <item x="136"/>
        <item x="233"/>
        <item x="509"/>
        <item x="433"/>
        <item x="484"/>
        <item x="14"/>
        <item x="115"/>
        <item x="350"/>
        <item x="214"/>
        <item x="183"/>
        <item x="154"/>
        <item x="268"/>
        <item x="380"/>
        <item x="52"/>
        <item x="363"/>
        <item x="322"/>
        <item x="611"/>
        <item x="284"/>
        <item x="579"/>
        <item x="529"/>
        <item x="392"/>
        <item x="86"/>
        <item x="357"/>
        <item x="229"/>
        <item x="608"/>
        <item x="318"/>
        <item x="58"/>
        <item x="399"/>
        <item x="138"/>
        <item x="518"/>
        <item x="176"/>
        <item x="364"/>
        <item x="425"/>
        <item x="126"/>
        <item x="374"/>
        <item x="73"/>
        <item x="475"/>
        <item x="461"/>
        <item x="553"/>
        <item x="83"/>
        <item x="226"/>
        <item x="630"/>
        <item x="368"/>
        <item x="503"/>
        <item x="169"/>
        <item x="108"/>
        <item x="247"/>
        <item x="53"/>
        <item x="262"/>
        <item x="161"/>
        <item x="531"/>
        <item x="188"/>
        <item x="310"/>
        <item x="105"/>
        <item x="530"/>
        <item x="297"/>
        <item x="135"/>
        <item x="525"/>
        <item x="285"/>
        <item x="50"/>
        <item x="95"/>
        <item x="111"/>
        <item x="179"/>
        <item x="256"/>
        <item x="171"/>
        <item x="574"/>
        <item x="207"/>
        <item x="281"/>
        <item x="575"/>
        <item x="492"/>
        <item x="563"/>
        <item x="519"/>
        <item x="220"/>
        <item x="235"/>
        <item x="242"/>
        <item x="6"/>
        <item x="535"/>
        <item x="601"/>
        <item x="88"/>
        <item x="29"/>
        <item x="306"/>
        <item x="82"/>
        <item x="118"/>
        <item x="460"/>
        <item x="416"/>
        <item x="609"/>
        <item x="585"/>
        <item x="394"/>
        <item x="619"/>
        <item x="388"/>
        <item x="417"/>
        <item x="462"/>
        <item x="246"/>
        <item x="5"/>
        <item x="290"/>
        <item x="459"/>
        <item x="210"/>
        <item x="313"/>
        <item x="74"/>
        <item x="349"/>
        <item x="184"/>
        <item x="173"/>
        <item x="590"/>
        <item x="446"/>
        <item x="38"/>
        <item x="112"/>
        <item x="571"/>
        <item x="487"/>
        <item x="168"/>
        <item x="340"/>
        <item x="438"/>
        <item x="516"/>
        <item x="25"/>
        <item x="510"/>
        <item x="607"/>
        <item x="123"/>
        <item x="379"/>
        <item x="411"/>
        <item x="489"/>
        <item x="296"/>
        <item x="193"/>
        <item x="353"/>
        <item x="581"/>
        <item x="437"/>
        <item x="405"/>
        <item x="434"/>
        <item x="269"/>
        <item x="463"/>
        <item x="512"/>
        <item x="167"/>
        <item x="342"/>
        <item x="317"/>
        <item x="231"/>
        <item x="245"/>
        <item x="248"/>
        <item x="238"/>
        <item x="217"/>
        <item x="577"/>
        <item x="482"/>
        <item x="132"/>
        <item x="326"/>
        <item x="107"/>
        <item x="622"/>
        <item x="185"/>
        <item x="570"/>
        <item x="369"/>
        <item x="550"/>
        <item x="293"/>
        <item x="381"/>
        <item x="444"/>
        <item x="418"/>
        <item x="62"/>
        <item x="597"/>
        <item x="324"/>
        <item x="398"/>
        <item x="150"/>
        <item x="43"/>
        <item x="427"/>
        <item x="216"/>
        <item x="304"/>
        <item x="205"/>
        <item x="583"/>
        <item x="346"/>
        <item x="239"/>
        <item x="325"/>
        <item x="160"/>
        <item x="620"/>
        <item x="78"/>
        <item x="127"/>
        <item x="386"/>
        <item x="618"/>
        <item x="153"/>
        <item x="409"/>
        <item x="465"/>
        <item x="194"/>
        <item x="295"/>
        <item x="270"/>
        <item x="329"/>
        <item x="11"/>
        <item x="244"/>
        <item x="390"/>
        <item x="598"/>
        <item x="69"/>
        <item x="548"/>
        <item x="240"/>
        <item x="440"/>
        <item x="376"/>
        <item x="507"/>
        <item x="614"/>
        <item x="596"/>
        <item x="307"/>
        <item x="526"/>
        <item x="283"/>
        <item x="569"/>
        <item x="48"/>
        <item x="257"/>
        <item x="343"/>
        <item x="261"/>
        <item x="370"/>
        <item x="142"/>
        <item x="485"/>
        <item x="523"/>
        <item x="263"/>
        <item x="4"/>
        <item x="56"/>
        <item x="271"/>
        <item x="595"/>
        <item x="478"/>
        <item x="578"/>
        <item x="420"/>
        <item x="232"/>
        <item x="552"/>
        <item x="315"/>
        <item x="493"/>
        <item x="221"/>
        <item x="24"/>
        <item x="27"/>
        <item x="545"/>
        <item x="564"/>
        <item x="494"/>
        <item x="419"/>
        <item x="117"/>
        <item x="0"/>
        <item x="480"/>
        <item x="37"/>
        <item x="515"/>
        <item x="45"/>
        <item x="333"/>
        <item x="502"/>
        <item x="98"/>
        <item x="603"/>
        <item x="40"/>
        <item x="626"/>
        <item x="102"/>
        <item x="517"/>
        <item x="146"/>
        <item x="331"/>
        <item x="524"/>
        <item x="182"/>
        <item x="77"/>
        <item x="435"/>
        <item x="483"/>
        <item x="402"/>
        <item x="81"/>
        <item x="49"/>
        <item x="330"/>
        <item x="586"/>
        <item x="436"/>
        <item x="547"/>
        <item x="213"/>
        <item x="276"/>
        <item x="21"/>
        <item x="472"/>
        <item x="230"/>
        <item x="442"/>
        <item x="227"/>
        <item x="327"/>
        <item x="521"/>
        <item x="303"/>
        <item x="70"/>
        <item x="89"/>
        <item x="91"/>
        <item x="514"/>
        <item x="572"/>
        <item x="488"/>
        <item x="31"/>
        <item x="466"/>
        <item x="385"/>
        <item x="196"/>
        <item x="140"/>
        <item x="305"/>
        <item x="241"/>
        <item x="282"/>
        <item x="377"/>
        <item x="508"/>
        <item x="314"/>
        <item x="300"/>
        <item x="311"/>
        <item x="557"/>
        <item x="580"/>
        <item x="253"/>
        <item x="452"/>
        <item x="490"/>
        <item x="468"/>
        <item x="181"/>
        <item x="30"/>
        <item x="61"/>
        <item x="63"/>
        <item x="308"/>
        <item x="163"/>
        <item x="177"/>
        <item x="457"/>
        <item x="278"/>
        <item x="155"/>
        <item x="546"/>
        <item x="593"/>
        <item x="190"/>
        <item x="292"/>
        <item x="255"/>
        <item x="68"/>
        <item x="129"/>
        <item x="562"/>
        <item x="497"/>
        <item x="208"/>
        <item x="551"/>
        <item x="445"/>
        <item x="147"/>
        <item x="170"/>
        <item x="408"/>
        <item x="532"/>
        <item x="250"/>
        <item x="454"/>
        <item x="66"/>
        <item x="558"/>
        <item x="103"/>
        <item x="527"/>
        <item x="90"/>
        <item x="404"/>
        <item x="469"/>
        <item x="273"/>
        <item x="42"/>
        <item x="272"/>
        <item x="501"/>
        <item x="249"/>
        <item x="157"/>
        <item x="505"/>
        <item x="159"/>
        <item x="449"/>
        <item x="358"/>
        <item x="162"/>
        <item x="588"/>
        <item x="291"/>
        <item x="36"/>
        <item x="344"/>
        <item x="467"/>
        <item x="432"/>
        <item x="137"/>
        <item x="534"/>
        <item x="576"/>
        <item x="87"/>
        <item x="584"/>
        <item x="629"/>
        <item x="429"/>
        <item x="615"/>
        <item x="280"/>
        <item x="458"/>
        <item x="541"/>
        <item x="613"/>
        <item x="348"/>
        <item x="397"/>
        <item x="351"/>
        <item x="144"/>
        <item x="7"/>
        <item x="32"/>
        <item x="424"/>
        <item x="334"/>
        <item x="175"/>
        <item x="44"/>
        <item x="266"/>
        <item x="455"/>
        <item x="219"/>
        <item x="279"/>
        <item x="260"/>
        <item x="506"/>
        <item x="202"/>
        <item x="367"/>
        <item x="471"/>
        <item x="352"/>
        <item x="412"/>
        <item x="610"/>
        <item x="187"/>
        <item x="59"/>
        <item x="498"/>
        <item x="543"/>
        <item x="209"/>
        <item x="299"/>
        <item x="101"/>
        <item x="473"/>
        <item x="561"/>
        <item x="110"/>
        <item x="143"/>
        <item x="594"/>
        <item x="522"/>
        <item x="354"/>
        <item x="60"/>
        <item x="259"/>
        <item x="128"/>
        <item x="582"/>
        <item x="301"/>
        <item x="365"/>
        <item x="201"/>
        <item x="20"/>
        <item x="393"/>
        <item x="28"/>
        <item x="338"/>
        <item x="106"/>
        <item x="414"/>
        <item x="443"/>
        <item x="289"/>
        <item x="439"/>
        <item x="499"/>
        <item x="22"/>
        <item x="156"/>
        <item x="96"/>
        <item x="366"/>
        <item x="359"/>
        <item x="286"/>
        <item x="453"/>
        <item x="224"/>
        <item x="92"/>
        <item x="212"/>
        <item x="39"/>
        <item x="540"/>
        <item x="294"/>
        <item x="120"/>
        <item x="450"/>
        <item x="158"/>
        <item x="474"/>
        <item x="172"/>
        <item x="341"/>
        <item x="537"/>
        <item x="347"/>
        <item x="287"/>
        <item x="225"/>
        <item x="328"/>
        <item x="12"/>
        <item x="391"/>
        <item x="218"/>
        <item x="109"/>
        <item x="567"/>
        <item x="373"/>
        <item x="252"/>
        <item x="114"/>
        <item x="624"/>
        <item x="319"/>
        <item x="134"/>
        <item x="41"/>
        <item x="339"/>
        <item x="204"/>
        <item x="451"/>
        <item x="76"/>
        <item x="486"/>
        <item x="309"/>
        <item x="203"/>
        <item x="627"/>
        <item x="19"/>
        <item x="23"/>
        <item x="549"/>
        <item x="335"/>
        <item x="277"/>
        <item x="47"/>
        <item x="336"/>
        <item x="599"/>
        <item x="375"/>
        <item x="33"/>
        <item x="152"/>
        <item x="254"/>
        <item x="356"/>
        <item x="16"/>
        <item x="495"/>
        <item x="206"/>
        <item x="566"/>
        <item x="371"/>
        <item x="323"/>
        <item x="139"/>
        <item x="8"/>
        <item x="447"/>
        <item x="481"/>
        <item x="606"/>
        <item x="312"/>
        <item x="441"/>
        <item x="75"/>
        <item x="265"/>
        <item x="568"/>
        <item x="55"/>
        <item x="504"/>
        <item x="513"/>
        <item x="180"/>
        <item x="428"/>
        <item x="148"/>
        <item x="413"/>
        <item x="554"/>
        <item x="470"/>
        <item x="378"/>
        <item x="533"/>
        <item x="17"/>
        <item x="555"/>
        <item x="477"/>
        <item x="18"/>
        <item x="423"/>
        <item x="528"/>
        <item x="602"/>
        <item x="198"/>
        <item x="275"/>
        <item x="479"/>
        <item x="79"/>
        <item x="628"/>
        <item x="119"/>
        <item x="125"/>
        <item x="321"/>
        <item x="355"/>
        <item x="623"/>
        <item x="536"/>
        <item x="94"/>
        <item x="591"/>
        <item x="464"/>
        <item x="556"/>
        <item x="164"/>
        <item x="395"/>
        <item x="538"/>
        <item x="99"/>
        <item x="116"/>
        <item x="430"/>
        <item x="587"/>
        <item x="520"/>
        <item x="345"/>
        <item x="174"/>
        <item x="222"/>
        <item x="361"/>
        <item x="421"/>
        <item x="612"/>
        <item x="236"/>
        <item x="46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On Time Flag" fld="35" baseField="0" baseItem="0"/>
    <dataField name="Count of Order ID" fld="0" subtotal="count" baseField="0" baseItem="0"/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Groups" sourceName="Category Groups ">
  <pivotTables>
    <pivotTable tabId="9" name="PivotTable1"/>
    <pivotTable tabId="9" name="PivotTable2"/>
    <pivotTable tabId="9" name="PivotTable3"/>
    <pivotTable tabId="9" name="PivotTable4"/>
    <pivotTable tabId="10" name="PivotTable6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MM_YYY" sourceName="MMM-YYY">
  <pivotTables>
    <pivotTable tabId="9" name="PivotTable1"/>
    <pivotTable tabId="9" name="PivotTable2"/>
    <pivotTable tabId="9" name="PivotTable3"/>
    <pivotTable tabId="9" name="PivotTable4"/>
    <pivotTable tabId="10" name="PivotTable6"/>
  </pivotTables>
  <data>
    <tabular pivotCacheId="1">
      <items count="33">
        <i x="11" s="1"/>
        <i x="19" s="1"/>
        <i x="18" s="1"/>
        <i x="24" s="1"/>
        <i x="20" s="1"/>
        <i x="28" s="1"/>
        <i x="26" s="1"/>
        <i x="5" s="1"/>
        <i x="2" s="1"/>
        <i x="31" s="1"/>
        <i x="25" s="1"/>
        <i x="4" s="1"/>
        <i x="8" s="1"/>
        <i x="9" s="1"/>
        <i x="23" s="1"/>
        <i x="13" s="1"/>
        <i x="12" s="1"/>
        <i x="22" s="1"/>
        <i x="16" s="1"/>
        <i x="15" s="1"/>
        <i x="21" s="1"/>
        <i x="0" s="1"/>
        <i x="3" s="1"/>
        <i x="14" s="1"/>
        <i x="6" s="1"/>
        <i x="7" s="1"/>
        <i x="30" s="1"/>
        <i x="17" s="1"/>
        <i x="32" s="1"/>
        <i x="1" s="1"/>
        <i x="27" s="1"/>
        <i x="29" s="1"/>
        <i x="1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person" sourceName="Sales person">
  <pivotTables>
    <pivotTable tabId="9" name="PivotTable1"/>
    <pivotTable tabId="9" name="PivotTable2"/>
    <pivotTable tabId="9" name="PivotTable3"/>
    <pivotTable tabId="9" name="PivotTable4"/>
    <pivotTable tabId="10" name="PivotTable6"/>
    <pivotTable tabId="10" name="PivotTable7"/>
  </pivotTables>
  <data>
    <tabular pivotCacheId="1">
      <items count="16">
        <i x="7" s="1"/>
        <i x="4" s="1"/>
        <i x="0" s="1"/>
        <i x="13" s="1"/>
        <i x="5" s="1"/>
        <i x="8" s="1"/>
        <i x="3" s="1"/>
        <i x="9" s="1"/>
        <i x="2" s="1"/>
        <i x="1" s="1"/>
        <i x="10" s="1"/>
        <i x="14" s="1"/>
        <i x="11" s="1"/>
        <i x="12" s="1"/>
        <i x="6" s="1"/>
        <i x="15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annel" sourceName="Channel">
  <pivotTables>
    <pivotTable tabId="9" name="PivotTable1"/>
    <pivotTable tabId="9" name="PivotTable2"/>
    <pivotTable tabId="9" name="PivotTable3"/>
    <pivotTable tabId="9" name="PivotTable4"/>
    <pivotTable tabId="10" name="PivotTable6"/>
    <pivotTable tabId="10" name="PivotTable7"/>
  </pivotTables>
  <data>
    <tabular pivotCacheId="1">
      <items count="6">
        <i x="4" s="1"/>
        <i x="3" s="1"/>
        <i x="2" s="1"/>
        <i x="1" s="1"/>
        <i x="0" s="1"/>
        <i x="5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9" name="PivotTable1"/>
    <pivotTable tabId="9" name="PivotTable2"/>
    <pivotTable tabId="9" name="PivotTable3"/>
    <pivotTable tabId="9" name="PivotTable4"/>
    <pivotTable tabId="10" name="PivotTable6"/>
  </pivotTables>
  <data>
    <tabular pivotCacheId="1">
      <items count="12">
        <i x="4" s="1"/>
        <i x="2" s="1"/>
        <i x="9" s="1"/>
        <i x="7" s="1"/>
        <i x="5" s="1"/>
        <i x="3" s="1"/>
        <i x="6" s="1"/>
        <i x="0" s="1"/>
        <i x="1" s="1"/>
        <i x="11" s="1"/>
        <i x="8" s="1"/>
        <i x="1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style="SlicerStyleDark5" rowHeight="225425"/>
  <slicer name="Channel" cache="Slicer_Channel" caption="Channel" style="SlicerStyleLight5" rowHeight="225425"/>
  <slicer name="Sales person" cache="Slicer_Sales_person" caption="Sales person" startItem="9" style="SlicerStyleLight3" rowHeight="225425"/>
  <slicer name="MMM-YYY" cache="Slicer_MMM_YYY" caption="MMM-YYY" startItem="27" style="SlicerStyleLight2" rowHeight="225425"/>
  <slicer name="Category Groups " cache="Slicer_Category_Groups" caption="Category Groups " style="SlicerStyleLight4" rowHeight="225425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5.xml"/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7"/>
  <sheetViews>
    <sheetView workbookViewId="0">
      <selection activeCell="K55" sqref="K55"/>
    </sheetView>
  </sheetViews>
  <sheetFormatPr defaultColWidth="9" defaultRowHeight="15"/>
  <sheetData>
    <row r="1" spans="1:30">
      <c r="A1" s="20" t="s">
        <v>0</v>
      </c>
    </row>
    <row r="2" spans="1:30">
      <c r="A2" t="s">
        <v>1</v>
      </c>
      <c r="AD2" t="e" cm="1">
        <f t="array" ref="AD2">Region&amp;" 'Brief'!A26 "&amp;Country&amp;" | "&amp;City</f>
        <v>#NAME?</v>
      </c>
    </row>
    <row r="4" spans="1:30">
      <c r="A4" t="s">
        <v>2</v>
      </c>
    </row>
    <row r="5" spans="1:30">
      <c r="A5" t="s">
        <v>3</v>
      </c>
    </row>
    <row r="6" spans="1:30">
      <c r="A6" t="s">
        <v>4</v>
      </c>
    </row>
    <row r="8" spans="1:30">
      <c r="A8" t="s">
        <v>5</v>
      </c>
    </row>
    <row r="9" spans="1:30">
      <c r="A9" t="s">
        <v>6</v>
      </c>
    </row>
    <row r="10" spans="1:30">
      <c r="A10" t="s">
        <v>7</v>
      </c>
    </row>
    <row r="11" spans="1:30">
      <c r="A11" t="s">
        <v>8</v>
      </c>
    </row>
    <row r="12" spans="1:30">
      <c r="A12" t="s">
        <v>9</v>
      </c>
    </row>
    <row r="13" spans="1:30">
      <c r="A13" t="s">
        <v>10</v>
      </c>
    </row>
    <row r="14" spans="1:30">
      <c r="A14" t="s">
        <v>11</v>
      </c>
    </row>
    <row r="15" spans="1:30">
      <c r="A15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3" spans="1:1">
      <c r="A43" t="s">
        <v>36</v>
      </c>
    </row>
    <row r="44" spans="1:1">
      <c r="A44" t="s">
        <v>37</v>
      </c>
    </row>
    <row r="45" spans="1:1">
      <c r="A45" t="s">
        <v>38</v>
      </c>
    </row>
    <row r="46" spans="1:1">
      <c r="A46" t="s">
        <v>39</v>
      </c>
    </row>
    <row r="47" spans="1:1">
      <c r="A47" t="s">
        <v>40</v>
      </c>
    </row>
    <row r="48" spans="1:1">
      <c r="A48" t="s">
        <v>41</v>
      </c>
    </row>
    <row r="50" spans="1:1">
      <c r="A50" t="s">
        <v>42</v>
      </c>
    </row>
    <row r="51" spans="1:1">
      <c r="A51" t="s">
        <v>43</v>
      </c>
    </row>
    <row r="52" spans="1:1">
      <c r="A52" t="s">
        <v>44</v>
      </c>
    </row>
    <row r="53" spans="1:1">
      <c r="A53" t="s">
        <v>45</v>
      </c>
    </row>
    <row r="54" spans="1:1">
      <c r="A54" t="s">
        <v>46</v>
      </c>
    </row>
    <row r="55" spans="1:1">
      <c r="A55" t="s">
        <v>47</v>
      </c>
    </row>
    <row r="56" spans="1:1">
      <c r="A56" t="s">
        <v>48</v>
      </c>
    </row>
    <row r="57" spans="1:1">
      <c r="A57" t="s">
        <v>49</v>
      </c>
    </row>
    <row r="58" spans="1:1">
      <c r="A58" t="s">
        <v>50</v>
      </c>
    </row>
    <row r="59" spans="1:1">
      <c r="A59" t="s">
        <v>51</v>
      </c>
    </row>
    <row r="61" spans="1:1">
      <c r="A61" t="s">
        <v>52</v>
      </c>
    </row>
    <row r="62" spans="1:1">
      <c r="A62" t="s">
        <v>53</v>
      </c>
    </row>
    <row r="64" spans="1:1">
      <c r="A64" t="s">
        <v>54</v>
      </c>
    </row>
    <row r="65" spans="1:1">
      <c r="A65" t="s">
        <v>55</v>
      </c>
    </row>
    <row r="66" spans="1:1">
      <c r="A66" t="s">
        <v>56</v>
      </c>
    </row>
    <row r="67" spans="1:1">
      <c r="A67" t="s">
        <v>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0"/>
  <sheetViews>
    <sheetView workbookViewId="0">
      <selection activeCell="E133" sqref="E133"/>
    </sheetView>
  </sheetViews>
  <sheetFormatPr defaultColWidth="9" defaultRowHeight="15"/>
  <sheetData>
    <row r="1" ht="26.25" spans="1:1">
      <c r="A1" s="30" t="s">
        <v>58</v>
      </c>
    </row>
    <row r="3" ht="23.25" spans="1:1">
      <c r="A3" s="31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  <row r="7" spans="1:1">
      <c r="A7" t="s">
        <v>63</v>
      </c>
    </row>
    <row r="8" spans="1:1">
      <c r="A8" t="s">
        <v>64</v>
      </c>
    </row>
    <row r="9" spans="1:1">
      <c r="A9" t="s">
        <v>65</v>
      </c>
    </row>
    <row r="12" ht="23.25" spans="1:1">
      <c r="A12" s="31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1" ht="23.25" spans="1:1">
      <c r="A21" s="31" t="s">
        <v>74</v>
      </c>
    </row>
    <row r="22" spans="1:1">
      <c r="A22" t="s">
        <v>75</v>
      </c>
    </row>
    <row r="24" spans="1:1">
      <c r="A24" s="2" t="s">
        <v>76</v>
      </c>
    </row>
    <row r="25" spans="1:1">
      <c r="A25" t="s">
        <v>77</v>
      </c>
    </row>
    <row r="27" spans="1:1">
      <c r="A27" s="2" t="s">
        <v>78</v>
      </c>
    </row>
    <row r="28" spans="1:1">
      <c r="A28" t="s">
        <v>79</v>
      </c>
    </row>
    <row r="29" spans="1:1">
      <c r="A29" t="s">
        <v>80</v>
      </c>
    </row>
    <row r="31" spans="1:1">
      <c r="A31" s="2" t="s">
        <v>81</v>
      </c>
    </row>
    <row r="32" spans="1:1">
      <c r="A32" t="s">
        <v>82</v>
      </c>
    </row>
    <row r="35" spans="1:1">
      <c r="A35" s="2" t="s">
        <v>83</v>
      </c>
    </row>
    <row r="36" spans="1:1">
      <c r="A36" t="s">
        <v>84</v>
      </c>
    </row>
    <row r="37" spans="1:1">
      <c r="A37" t="s">
        <v>85</v>
      </c>
    </row>
    <row r="39" spans="1:1">
      <c r="A39" s="2" t="s">
        <v>86</v>
      </c>
    </row>
    <row r="40" spans="1:1">
      <c r="A40" t="s">
        <v>87</v>
      </c>
    </row>
    <row r="41" spans="1:1">
      <c r="A41" t="s">
        <v>88</v>
      </c>
    </row>
    <row r="43" spans="1:1">
      <c r="A43" s="2" t="s">
        <v>89</v>
      </c>
    </row>
    <row r="44" spans="1:1">
      <c r="A44" t="s">
        <v>90</v>
      </c>
    </row>
    <row r="45" spans="1:1">
      <c r="A45" s="2" t="s">
        <v>91</v>
      </c>
    </row>
    <row r="46" spans="1:1">
      <c r="A46" s="2" t="s">
        <v>92</v>
      </c>
    </row>
    <row r="47" spans="1:1">
      <c r="A47" s="2" t="s">
        <v>93</v>
      </c>
    </row>
    <row r="48" spans="1:1">
      <c r="A48" s="2" t="s">
        <v>94</v>
      </c>
    </row>
    <row r="51" ht="23.25" spans="1:1">
      <c r="A51" s="31" t="s">
        <v>95</v>
      </c>
    </row>
    <row r="52" spans="1:1">
      <c r="A52" t="s">
        <v>96</v>
      </c>
    </row>
    <row r="53" spans="1:1">
      <c r="A53" s="2" t="s">
        <v>97</v>
      </c>
    </row>
    <row r="54" spans="1:1">
      <c r="A54" t="s">
        <v>98</v>
      </c>
    </row>
    <row r="55" spans="1:1">
      <c r="A55" t="s">
        <v>99</v>
      </c>
    </row>
    <row r="57" spans="1:1">
      <c r="A57" s="2" t="s">
        <v>100</v>
      </c>
    </row>
    <row r="58" spans="1:1">
      <c r="A58" t="s">
        <v>101</v>
      </c>
    </row>
    <row r="59" spans="1:1">
      <c r="A59" s="2" t="s">
        <v>102</v>
      </c>
    </row>
    <row r="60" spans="1:1">
      <c r="A60" s="2" t="s">
        <v>103</v>
      </c>
    </row>
    <row r="61" spans="1:1">
      <c r="A61" s="2" t="s">
        <v>104</v>
      </c>
    </row>
    <row r="62" spans="1:1">
      <c r="A62" t="s">
        <v>105</v>
      </c>
    </row>
    <row r="64" spans="1:1">
      <c r="A64" s="2" t="s">
        <v>106</v>
      </c>
    </row>
    <row r="65" spans="1:1">
      <c r="A65" t="s">
        <v>107</v>
      </c>
    </row>
    <row r="66" spans="1:1">
      <c r="A66" t="s">
        <v>108</v>
      </c>
    </row>
    <row r="67" spans="1:1">
      <c r="A67" t="s">
        <v>109</v>
      </c>
    </row>
    <row r="68" spans="1:1">
      <c r="A68" t="s">
        <v>110</v>
      </c>
    </row>
    <row r="69" spans="1:1">
      <c r="A69" t="s">
        <v>111</v>
      </c>
    </row>
    <row r="71" spans="1:1">
      <c r="A71" s="2" t="s">
        <v>112</v>
      </c>
    </row>
    <row r="72" spans="1:1">
      <c r="A72" t="s">
        <v>113</v>
      </c>
    </row>
    <row r="73" spans="1:1">
      <c r="A73" t="s">
        <v>114</v>
      </c>
    </row>
    <row r="75" spans="1:1">
      <c r="A75" s="2" t="s">
        <v>115</v>
      </c>
    </row>
    <row r="76" spans="1:1">
      <c r="A76" t="s">
        <v>116</v>
      </c>
    </row>
    <row r="77" spans="1:1">
      <c r="A77" t="s">
        <v>117</v>
      </c>
    </row>
    <row r="79" spans="1:1">
      <c r="A79" s="2" t="s">
        <v>118</v>
      </c>
    </row>
    <row r="80" spans="1:1">
      <c r="A80" t="s">
        <v>119</v>
      </c>
    </row>
    <row r="81" spans="1:1">
      <c r="A81" t="s">
        <v>120</v>
      </c>
    </row>
    <row r="83" ht="23.25" spans="1:1">
      <c r="A83" s="31" t="s">
        <v>121</v>
      </c>
    </row>
    <row r="84" spans="1:1">
      <c r="A84" t="s">
        <v>122</v>
      </c>
    </row>
    <row r="86" spans="1:1">
      <c r="A86" t="s">
        <v>123</v>
      </c>
    </row>
    <row r="87" spans="1:1">
      <c r="A87" s="2" t="s">
        <v>124</v>
      </c>
    </row>
    <row r="88" spans="1:1">
      <c r="A88" s="2" t="s">
        <v>125</v>
      </c>
    </row>
    <row r="89" spans="1:1">
      <c r="A89" s="2" t="s">
        <v>126</v>
      </c>
    </row>
    <row r="90" spans="1:1">
      <c r="A90" s="32" t="s">
        <v>127</v>
      </c>
    </row>
    <row r="91" spans="1:1">
      <c r="A91" t="s">
        <v>128</v>
      </c>
    </row>
    <row r="92" spans="1:1">
      <c r="A92" t="s">
        <v>129</v>
      </c>
    </row>
    <row r="93" spans="1:1">
      <c r="A93" t="s">
        <v>130</v>
      </c>
    </row>
    <row r="95" spans="1:1">
      <c r="A95" s="32" t="s">
        <v>131</v>
      </c>
    </row>
    <row r="96" spans="1:1">
      <c r="A96" s="33" t="s">
        <v>132</v>
      </c>
    </row>
    <row r="97" spans="1:1">
      <c r="A97" s="33" t="s">
        <v>133</v>
      </c>
    </row>
    <row r="99" spans="1:1">
      <c r="A99" s="2" t="s">
        <v>134</v>
      </c>
    </row>
    <row r="100" spans="1:1">
      <c r="A100" t="s">
        <v>135</v>
      </c>
    </row>
    <row r="101" spans="1:1">
      <c r="A101" t="s">
        <v>136</v>
      </c>
    </row>
    <row r="102" spans="1:1">
      <c r="A102" t="s">
        <v>137</v>
      </c>
    </row>
    <row r="103" spans="1:1">
      <c r="A103" t="s">
        <v>138</v>
      </c>
    </row>
    <row r="104" spans="1:1">
      <c r="A104" t="s">
        <v>139</v>
      </c>
    </row>
    <row r="105" spans="1:1">
      <c r="A105" t="s">
        <v>140</v>
      </c>
    </row>
    <row r="107" ht="18.75" spans="1:1">
      <c r="A107" s="34" t="s">
        <v>141</v>
      </c>
    </row>
    <row r="108" spans="1:1">
      <c r="A108" t="s">
        <v>142</v>
      </c>
    </row>
    <row r="109" spans="1:1">
      <c r="A109" t="s">
        <v>143</v>
      </c>
    </row>
    <row r="110" spans="1:1">
      <c r="A110" t="s">
        <v>144</v>
      </c>
    </row>
    <row r="111" spans="1:1">
      <c r="A111" t="s">
        <v>145</v>
      </c>
    </row>
    <row r="114" ht="18.75" spans="1:21">
      <c r="A114" s="34" t="s">
        <v>146</v>
      </c>
    </row>
    <row r="115" spans="1:21">
      <c r="A115" t="s">
        <v>147</v>
      </c>
    </row>
    <row r="116" spans="1:21">
      <c r="A116" t="s">
        <v>148</v>
      </c>
    </row>
    <row r="118" ht="23.25" spans="1:21">
      <c r="A118" s="31" t="s">
        <v>149</v>
      </c>
    </row>
    <row r="119" spans="1:21">
      <c r="A119" t="s">
        <v>150</v>
      </c>
    </row>
    <row r="120" spans="1:21">
      <c r="A120" s="35" t="s">
        <v>151</v>
      </c>
    </row>
    <row r="121" spans="1:21">
      <c r="A121" s="35" t="s">
        <v>152</v>
      </c>
    </row>
    <row r="122" spans="1:21">
      <c r="A122" s="35" t="s">
        <v>153</v>
      </c>
    </row>
    <row r="123" spans="1:21">
      <c r="A123" s="35" t="s">
        <v>154</v>
      </c>
    </row>
    <row r="125" ht="23.25" spans="1:21">
      <c r="A125" s="31" t="s">
        <v>155</v>
      </c>
    </row>
    <row r="126" spans="1:21">
      <c r="A126" t="s">
        <v>156</v>
      </c>
    </row>
    <row r="127" spans="1:21">
      <c r="A127" t="s">
        <v>157</v>
      </c>
    </row>
    <row r="128" spans="1:21">
      <c r="A128" t="s">
        <v>158</v>
      </c>
      <c r="U128" s="2"/>
    </row>
    <row r="129" spans="1:1">
      <c r="A129" t="s">
        <v>159</v>
      </c>
    </row>
    <row r="130" spans="1:1">
      <c r="A130" t="s">
        <v>160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3"/>
  <sheetViews>
    <sheetView workbookViewId="0">
      <selection activeCell="A14" sqref="A14"/>
    </sheetView>
  </sheetViews>
  <sheetFormatPr defaultColWidth="9" defaultRowHeight="15"/>
  <cols>
    <col min="1" max="1" width="26" customWidth="1"/>
    <col min="2" max="2" width="16" customWidth="1"/>
    <col min="3" max="3" width="19" customWidth="1"/>
    <col min="4" max="4" width="17" customWidth="1"/>
    <col min="5" max="5" width="17.5714285714286" customWidth="1"/>
    <col min="6" max="6" width="13.1428571428571" customWidth="1"/>
    <col min="7" max="7" width="19.4285714285714" customWidth="1"/>
    <col min="8" max="8" width="16.8571428571429" customWidth="1"/>
    <col min="9" max="9" width="19.1428571428571" customWidth="1"/>
    <col min="10" max="10" width="20.5714285714286" customWidth="1"/>
    <col min="11" max="11" width="14.5714285714286" customWidth="1"/>
    <col min="12" max="12" width="15.4285714285714" customWidth="1"/>
    <col min="13" max="13" width="13" customWidth="1"/>
    <col min="14" max="14" width="16.4285714285714" customWidth="1"/>
    <col min="15" max="15" width="13.5714285714286" customWidth="1"/>
  </cols>
  <sheetData>
    <row r="1" spans="1:15">
      <c r="A1" s="20" t="s">
        <v>161</v>
      </c>
      <c r="B1" s="20" t="s">
        <v>162</v>
      </c>
      <c r="C1" s="20" t="s">
        <v>163</v>
      </c>
      <c r="D1" s="20" t="s">
        <v>164</v>
      </c>
      <c r="E1" s="20" t="s">
        <v>165</v>
      </c>
      <c r="F1" s="20" t="s">
        <v>166</v>
      </c>
      <c r="G1" s="20" t="s">
        <v>167</v>
      </c>
      <c r="H1" s="20" t="s">
        <v>168</v>
      </c>
      <c r="I1" s="20" t="s">
        <v>169</v>
      </c>
      <c r="J1" s="20" t="s">
        <v>170</v>
      </c>
      <c r="K1" s="20" t="s">
        <v>171</v>
      </c>
      <c r="L1" s="20" t="s">
        <v>172</v>
      </c>
      <c r="M1" s="20" t="s">
        <v>173</v>
      </c>
      <c r="N1" s="20" t="s">
        <v>174</v>
      </c>
      <c r="O1" s="20" t="s">
        <v>175</v>
      </c>
    </row>
    <row r="2" spans="1:15">
      <c r="A2" t="s">
        <v>176</v>
      </c>
      <c r="B2" s="29">
        <v>45362</v>
      </c>
      <c r="C2" s="29">
        <v>45388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>
        <v>279.24</v>
      </c>
      <c r="M2">
        <v>608.9</v>
      </c>
      <c r="N2">
        <v>0.112</v>
      </c>
      <c r="O2">
        <v>9</v>
      </c>
    </row>
    <row r="3" spans="1:15">
      <c r="A3" t="s">
        <v>185</v>
      </c>
      <c r="B3" s="29">
        <v>45588</v>
      </c>
      <c r="C3" s="29">
        <v>45587</v>
      </c>
      <c r="D3" t="s">
        <v>177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>
        <v>1084.39</v>
      </c>
      <c r="M3">
        <v>759.33</v>
      </c>
      <c r="N3">
        <v>0.237</v>
      </c>
      <c r="O3">
        <v>31</v>
      </c>
    </row>
    <row r="4" spans="1:15">
      <c r="A4" t="s">
        <v>193</v>
      </c>
      <c r="B4" s="29">
        <v>44985</v>
      </c>
      <c r="C4" s="29">
        <v>45010</v>
      </c>
      <c r="D4" t="s">
        <v>177</v>
      </c>
      <c r="E4" t="s">
        <v>178</v>
      </c>
      <c r="F4" t="s">
        <v>194</v>
      </c>
      <c r="G4" t="s">
        <v>180</v>
      </c>
      <c r="H4" t="s">
        <v>181</v>
      </c>
      <c r="I4" t="s">
        <v>195</v>
      </c>
      <c r="J4" t="s">
        <v>196</v>
      </c>
      <c r="K4" t="s">
        <v>197</v>
      </c>
      <c r="L4">
        <v>1460.76</v>
      </c>
      <c r="M4">
        <v>-30.66</v>
      </c>
      <c r="N4">
        <v>0.131</v>
      </c>
      <c r="O4">
        <v>12</v>
      </c>
    </row>
    <row r="5" spans="1:15">
      <c r="A5" t="s">
        <v>198</v>
      </c>
      <c r="B5" s="29">
        <v>45745</v>
      </c>
      <c r="C5" s="29">
        <v>45749</v>
      </c>
      <c r="D5" t="s">
        <v>177</v>
      </c>
      <c r="E5" t="s">
        <v>186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>
        <v>259.93</v>
      </c>
      <c r="M5">
        <v>255.94</v>
      </c>
      <c r="N5">
        <v>0.072</v>
      </c>
      <c r="O5">
        <v>22</v>
      </c>
    </row>
    <row r="6" spans="1:15">
      <c r="A6" t="s">
        <v>205</v>
      </c>
      <c r="B6" s="29">
        <v>45266</v>
      </c>
      <c r="C6" s="29">
        <v>45291</v>
      </c>
      <c r="D6" t="s">
        <v>206</v>
      </c>
      <c r="E6" t="s">
        <v>207</v>
      </c>
      <c r="F6" t="s">
        <v>208</v>
      </c>
      <c r="G6" t="s">
        <v>209</v>
      </c>
      <c r="H6" t="s">
        <v>181</v>
      </c>
      <c r="I6" t="s">
        <v>210</v>
      </c>
      <c r="J6" t="s">
        <v>191</v>
      </c>
      <c r="K6" t="s">
        <v>211</v>
      </c>
      <c r="L6">
        <v>663.03</v>
      </c>
      <c r="M6">
        <v>813.51</v>
      </c>
      <c r="N6">
        <v>0.102</v>
      </c>
      <c r="O6">
        <v>15</v>
      </c>
    </row>
    <row r="7" spans="1:15">
      <c r="A7" t="s">
        <v>212</v>
      </c>
      <c r="B7" s="29">
        <v>44928</v>
      </c>
      <c r="C7" s="29">
        <v>44931</v>
      </c>
      <c r="D7" t="s">
        <v>213</v>
      </c>
      <c r="E7" t="s">
        <v>214</v>
      </c>
      <c r="F7" t="s">
        <v>215</v>
      </c>
      <c r="G7" t="s">
        <v>180</v>
      </c>
      <c r="H7" t="s">
        <v>216</v>
      </c>
      <c r="I7" t="s">
        <v>217</v>
      </c>
      <c r="J7" t="s">
        <v>218</v>
      </c>
      <c r="K7" t="s">
        <v>219</v>
      </c>
      <c r="L7">
        <v>315.87</v>
      </c>
      <c r="M7">
        <v>591.68</v>
      </c>
      <c r="N7">
        <v>0</v>
      </c>
      <c r="O7">
        <v>7</v>
      </c>
    </row>
    <row r="8" spans="1:15">
      <c r="A8" t="s">
        <v>220</v>
      </c>
      <c r="B8" s="29">
        <v>45653</v>
      </c>
      <c r="C8" s="29">
        <v>45671</v>
      </c>
      <c r="D8" t="s">
        <v>206</v>
      </c>
      <c r="E8" t="s">
        <v>221</v>
      </c>
      <c r="F8" t="s">
        <v>222</v>
      </c>
      <c r="G8" t="s">
        <v>223</v>
      </c>
      <c r="H8" t="s">
        <v>201</v>
      </c>
      <c r="I8" t="s">
        <v>224</v>
      </c>
      <c r="J8" t="s">
        <v>225</v>
      </c>
      <c r="K8" t="s">
        <v>226</v>
      </c>
      <c r="L8">
        <v>586.07</v>
      </c>
      <c r="M8">
        <v>845.97</v>
      </c>
      <c r="N8">
        <v>0.147</v>
      </c>
      <c r="O8">
        <v>4</v>
      </c>
    </row>
    <row r="9" spans="1:15">
      <c r="A9" t="s">
        <v>227</v>
      </c>
      <c r="B9" s="29">
        <v>44941</v>
      </c>
      <c r="C9" s="29">
        <v>44939</v>
      </c>
      <c r="D9" t="s">
        <v>177</v>
      </c>
      <c r="E9" t="s">
        <v>186</v>
      </c>
      <c r="F9" t="s">
        <v>228</v>
      </c>
      <c r="G9" t="s">
        <v>188</v>
      </c>
      <c r="H9" t="s">
        <v>189</v>
      </c>
      <c r="I9" t="s">
        <v>229</v>
      </c>
      <c r="J9" t="s">
        <v>191</v>
      </c>
      <c r="K9" t="s">
        <v>230</v>
      </c>
      <c r="L9">
        <v>28.38</v>
      </c>
      <c r="M9">
        <v>47.22</v>
      </c>
      <c r="N9">
        <v>0.194</v>
      </c>
      <c r="O9">
        <v>18</v>
      </c>
    </row>
    <row r="10" spans="1:15">
      <c r="A10" t="s">
        <v>231</v>
      </c>
      <c r="B10" s="29">
        <v>45416</v>
      </c>
      <c r="C10" s="29">
        <v>45441</v>
      </c>
      <c r="D10" t="s">
        <v>177</v>
      </c>
      <c r="E10" t="s">
        <v>186</v>
      </c>
      <c r="F10" t="s">
        <v>228</v>
      </c>
      <c r="G10" t="s">
        <v>200</v>
      </c>
      <c r="H10" t="s">
        <v>201</v>
      </c>
      <c r="I10" t="s">
        <v>229</v>
      </c>
      <c r="J10" t="s">
        <v>225</v>
      </c>
      <c r="K10" t="s">
        <v>232</v>
      </c>
      <c r="L10">
        <v>1295.34</v>
      </c>
      <c r="M10">
        <v>2530.81</v>
      </c>
      <c r="N10">
        <v>0.031</v>
      </c>
      <c r="O10">
        <v>6</v>
      </c>
    </row>
    <row r="11" spans="1:15">
      <c r="A11" t="s">
        <v>233</v>
      </c>
      <c r="B11" s="29">
        <v>45798</v>
      </c>
      <c r="C11" s="29">
        <v>45817</v>
      </c>
      <c r="D11" t="s">
        <v>213</v>
      </c>
      <c r="E11" t="s">
        <v>234</v>
      </c>
      <c r="F11" t="s">
        <v>235</v>
      </c>
      <c r="G11" t="s">
        <v>200</v>
      </c>
      <c r="H11" t="s">
        <v>189</v>
      </c>
      <c r="I11" t="s">
        <v>236</v>
      </c>
      <c r="J11" t="s">
        <v>183</v>
      </c>
      <c r="K11" t="s">
        <v>237</v>
      </c>
      <c r="L11">
        <v>1331.38</v>
      </c>
      <c r="M11">
        <v>2309.56</v>
      </c>
      <c r="N11">
        <v>0.149</v>
      </c>
      <c r="O11">
        <v>31</v>
      </c>
    </row>
    <row r="12" spans="1:15">
      <c r="A12" t="s">
        <v>238</v>
      </c>
      <c r="B12" s="29">
        <v>45319</v>
      </c>
      <c r="C12" s="29">
        <v>45331</v>
      </c>
      <c r="D12" t="s">
        <v>239</v>
      </c>
      <c r="E12" t="s">
        <v>240</v>
      </c>
      <c r="F12" t="s">
        <v>241</v>
      </c>
      <c r="G12" t="s">
        <v>180</v>
      </c>
      <c r="H12" t="s">
        <v>189</v>
      </c>
      <c r="I12" t="s">
        <v>202</v>
      </c>
      <c r="J12" t="s">
        <v>242</v>
      </c>
      <c r="K12" t="s">
        <v>243</v>
      </c>
      <c r="L12">
        <v>644.17</v>
      </c>
      <c r="M12">
        <v>700.12</v>
      </c>
      <c r="N12">
        <v>0.006</v>
      </c>
      <c r="O12">
        <v>23</v>
      </c>
    </row>
    <row r="13" spans="1:15">
      <c r="A13" t="s">
        <v>244</v>
      </c>
      <c r="B13" s="29">
        <v>45660</v>
      </c>
      <c r="C13" s="29">
        <v>45680</v>
      </c>
      <c r="D13" t="s">
        <v>206</v>
      </c>
      <c r="E13" t="s">
        <v>207</v>
      </c>
      <c r="F13" t="s">
        <v>208</v>
      </c>
      <c r="G13" t="s">
        <v>180</v>
      </c>
      <c r="H13" t="s">
        <v>216</v>
      </c>
      <c r="I13" t="s">
        <v>245</v>
      </c>
      <c r="J13" t="s">
        <v>203</v>
      </c>
      <c r="K13" t="s">
        <v>246</v>
      </c>
      <c r="L13">
        <v>908.6</v>
      </c>
      <c r="M13">
        <v>691.37</v>
      </c>
      <c r="N13">
        <v>0.25</v>
      </c>
      <c r="O13">
        <v>20</v>
      </c>
    </row>
    <row r="14" spans="1:15">
      <c r="A14" t="s">
        <v>247</v>
      </c>
      <c r="B14" s="29">
        <v>45722</v>
      </c>
      <c r="C14" s="29">
        <v>45747</v>
      </c>
      <c r="D14" t="s">
        <v>213</v>
      </c>
      <c r="E14" t="s">
        <v>234</v>
      </c>
      <c r="F14" t="s">
        <v>248</v>
      </c>
      <c r="G14" t="s">
        <v>200</v>
      </c>
      <c r="H14" t="s">
        <v>189</v>
      </c>
      <c r="I14" t="s">
        <v>190</v>
      </c>
      <c r="J14" t="s">
        <v>183</v>
      </c>
      <c r="K14" t="s">
        <v>249</v>
      </c>
      <c r="L14">
        <v>331.57</v>
      </c>
      <c r="M14">
        <v>548.4</v>
      </c>
      <c r="N14">
        <v>0.094</v>
      </c>
      <c r="O14">
        <v>10</v>
      </c>
    </row>
    <row r="15" spans="1:15">
      <c r="A15" t="s">
        <v>250</v>
      </c>
      <c r="B15" s="29">
        <v>45311</v>
      </c>
      <c r="C15" s="29">
        <v>45335</v>
      </c>
      <c r="D15" t="s">
        <v>239</v>
      </c>
      <c r="E15" t="s">
        <v>251</v>
      </c>
      <c r="F15" t="s">
        <v>252</v>
      </c>
      <c r="G15" t="s">
        <v>180</v>
      </c>
      <c r="H15" t="s">
        <v>181</v>
      </c>
      <c r="I15" t="s">
        <v>253</v>
      </c>
      <c r="J15" t="s">
        <v>191</v>
      </c>
      <c r="K15" t="s">
        <v>254</v>
      </c>
      <c r="L15">
        <v>643.53</v>
      </c>
      <c r="M15">
        <v>1439.01</v>
      </c>
      <c r="N15">
        <v>0</v>
      </c>
      <c r="O15">
        <v>15</v>
      </c>
    </row>
    <row r="16" spans="1:15">
      <c r="A16" t="s">
        <v>255</v>
      </c>
      <c r="B16" s="29">
        <v>45901</v>
      </c>
      <c r="C16" s="29">
        <v>45930</v>
      </c>
      <c r="D16" t="s">
        <v>213</v>
      </c>
      <c r="E16" t="s">
        <v>234</v>
      </c>
      <c r="F16" t="s">
        <v>248</v>
      </c>
      <c r="G16" t="s">
        <v>188</v>
      </c>
      <c r="H16" t="s">
        <v>181</v>
      </c>
      <c r="I16" t="s">
        <v>256</v>
      </c>
      <c r="J16" t="s">
        <v>242</v>
      </c>
      <c r="K16" t="s">
        <v>257</v>
      </c>
      <c r="L16">
        <v>780.59</v>
      </c>
      <c r="M16">
        <v>631.57</v>
      </c>
      <c r="N16">
        <v>0</v>
      </c>
      <c r="O16">
        <v>12</v>
      </c>
    </row>
    <row r="17" spans="1:15">
      <c r="A17" t="s">
        <v>258</v>
      </c>
      <c r="B17" s="29">
        <v>45039</v>
      </c>
      <c r="C17" s="29">
        <v>45038</v>
      </c>
      <c r="D17" t="s">
        <v>177</v>
      </c>
      <c r="E17" t="s">
        <v>178</v>
      </c>
      <c r="F17" t="s">
        <v>194</v>
      </c>
      <c r="G17" t="s">
        <v>223</v>
      </c>
      <c r="H17" t="s">
        <v>259</v>
      </c>
      <c r="I17" t="s">
        <v>224</v>
      </c>
      <c r="J17" t="s">
        <v>218</v>
      </c>
      <c r="K17" t="s">
        <v>260</v>
      </c>
      <c r="L17">
        <v>756.51</v>
      </c>
      <c r="M17">
        <v>850.8</v>
      </c>
      <c r="N17">
        <v>0.074</v>
      </c>
      <c r="O17">
        <v>9</v>
      </c>
    </row>
    <row r="18" spans="1:15">
      <c r="A18" t="s">
        <v>261</v>
      </c>
      <c r="B18" s="29">
        <v>45636</v>
      </c>
      <c r="C18" s="29">
        <v>45665</v>
      </c>
      <c r="D18" t="s">
        <v>239</v>
      </c>
      <c r="E18" t="s">
        <v>251</v>
      </c>
      <c r="F18" t="s">
        <v>252</v>
      </c>
      <c r="G18" t="s">
        <v>223</v>
      </c>
      <c r="H18" t="s">
        <v>181</v>
      </c>
      <c r="I18" t="s">
        <v>256</v>
      </c>
      <c r="J18" t="s">
        <v>191</v>
      </c>
      <c r="K18" t="s">
        <v>262</v>
      </c>
      <c r="L18">
        <v>891.08</v>
      </c>
      <c r="M18">
        <v>1040.1</v>
      </c>
      <c r="N18">
        <v>0.109</v>
      </c>
      <c r="O18">
        <v>28</v>
      </c>
    </row>
    <row r="19" spans="1:15">
      <c r="A19" t="s">
        <v>263</v>
      </c>
      <c r="B19" s="29">
        <v>45908</v>
      </c>
      <c r="C19" s="29">
        <v>45916</v>
      </c>
      <c r="D19" t="s">
        <v>206</v>
      </c>
      <c r="E19" t="s">
        <v>207</v>
      </c>
      <c r="F19" t="s">
        <v>208</v>
      </c>
      <c r="G19" t="s">
        <v>180</v>
      </c>
      <c r="H19" t="s">
        <v>216</v>
      </c>
      <c r="I19" t="s">
        <v>182</v>
      </c>
      <c r="J19" t="s">
        <v>203</v>
      </c>
      <c r="K19" t="s">
        <v>264</v>
      </c>
      <c r="L19">
        <v>1225.57</v>
      </c>
      <c r="M19">
        <v>2705.57</v>
      </c>
      <c r="N19">
        <v>0.183</v>
      </c>
      <c r="O19">
        <v>16</v>
      </c>
    </row>
    <row r="20" spans="1:15">
      <c r="A20" t="s">
        <v>265</v>
      </c>
      <c r="B20" s="29">
        <v>45858</v>
      </c>
      <c r="C20" s="29">
        <v>45874</v>
      </c>
      <c r="D20" t="s">
        <v>213</v>
      </c>
      <c r="E20" t="s">
        <v>234</v>
      </c>
      <c r="F20" t="s">
        <v>248</v>
      </c>
      <c r="G20" t="s">
        <v>266</v>
      </c>
      <c r="H20" t="s">
        <v>201</v>
      </c>
      <c r="I20" t="s">
        <v>202</v>
      </c>
      <c r="J20" t="s">
        <v>242</v>
      </c>
      <c r="K20" t="s">
        <v>267</v>
      </c>
      <c r="L20">
        <v>1068.17</v>
      </c>
      <c r="M20">
        <v>2375.37</v>
      </c>
      <c r="N20">
        <v>0.109</v>
      </c>
      <c r="O20">
        <v>18</v>
      </c>
    </row>
    <row r="21" spans="1:15">
      <c r="A21" t="s">
        <v>268</v>
      </c>
      <c r="B21" s="29">
        <v>45798</v>
      </c>
      <c r="C21" s="29">
        <v>45796</v>
      </c>
      <c r="D21" t="s">
        <v>239</v>
      </c>
      <c r="E21" t="s">
        <v>269</v>
      </c>
      <c r="F21" t="s">
        <v>270</v>
      </c>
      <c r="G21" t="s">
        <v>266</v>
      </c>
      <c r="H21" t="s">
        <v>189</v>
      </c>
      <c r="I21" t="s">
        <v>271</v>
      </c>
      <c r="J21" t="s">
        <v>218</v>
      </c>
      <c r="K21" t="s">
        <v>272</v>
      </c>
      <c r="L21">
        <v>1015.16</v>
      </c>
      <c r="M21">
        <v>2148.14</v>
      </c>
      <c r="N21">
        <v>0.038</v>
      </c>
      <c r="O21">
        <v>19</v>
      </c>
    </row>
    <row r="22" spans="1:15">
      <c r="A22" t="s">
        <v>273</v>
      </c>
      <c r="B22" s="29">
        <v>45498</v>
      </c>
      <c r="C22" s="29">
        <v>45497</v>
      </c>
      <c r="D22" t="s">
        <v>177</v>
      </c>
      <c r="E22" t="s">
        <v>178</v>
      </c>
      <c r="F22" t="s">
        <v>274</v>
      </c>
      <c r="G22" t="s">
        <v>200</v>
      </c>
      <c r="H22" t="s">
        <v>259</v>
      </c>
      <c r="I22" t="s">
        <v>190</v>
      </c>
      <c r="J22" t="s">
        <v>218</v>
      </c>
      <c r="K22" t="s">
        <v>275</v>
      </c>
      <c r="L22">
        <v>1494.4</v>
      </c>
      <c r="M22">
        <v>3661.07</v>
      </c>
      <c r="N22">
        <v>0.072</v>
      </c>
      <c r="O22">
        <v>7</v>
      </c>
    </row>
    <row r="23" spans="1:15">
      <c r="A23" t="s">
        <v>276</v>
      </c>
      <c r="B23" s="29">
        <v>45057</v>
      </c>
      <c r="C23" s="29">
        <v>45074</v>
      </c>
      <c r="D23" t="s">
        <v>206</v>
      </c>
      <c r="E23" t="s">
        <v>277</v>
      </c>
      <c r="F23" t="s">
        <v>278</v>
      </c>
      <c r="G23" t="s">
        <v>266</v>
      </c>
      <c r="H23" t="s">
        <v>201</v>
      </c>
      <c r="I23" t="s">
        <v>224</v>
      </c>
      <c r="J23" t="s">
        <v>196</v>
      </c>
      <c r="K23" t="s">
        <v>279</v>
      </c>
      <c r="L23">
        <v>1331.19</v>
      </c>
      <c r="M23">
        <v>2903.09</v>
      </c>
      <c r="N23">
        <v>0.143</v>
      </c>
      <c r="O23">
        <v>8</v>
      </c>
    </row>
    <row r="24" spans="1:15">
      <c r="A24" t="s">
        <v>280</v>
      </c>
      <c r="B24" s="29">
        <v>45822</v>
      </c>
      <c r="C24" s="29">
        <v>45837</v>
      </c>
      <c r="D24" t="s">
        <v>177</v>
      </c>
      <c r="E24" t="s">
        <v>186</v>
      </c>
      <c r="F24" t="s">
        <v>187</v>
      </c>
      <c r="G24" t="s">
        <v>209</v>
      </c>
      <c r="H24" t="s">
        <v>201</v>
      </c>
      <c r="I24" t="s">
        <v>271</v>
      </c>
      <c r="J24" t="s">
        <v>242</v>
      </c>
      <c r="K24" t="s">
        <v>281</v>
      </c>
      <c r="L24">
        <v>730.99</v>
      </c>
      <c r="M24">
        <v>1242.84</v>
      </c>
      <c r="N24">
        <v>0.12</v>
      </c>
      <c r="O24">
        <v>10</v>
      </c>
    </row>
    <row r="25" spans="1:15">
      <c r="A25" t="s">
        <v>282</v>
      </c>
      <c r="B25" s="29">
        <v>45430</v>
      </c>
      <c r="C25" s="29">
        <v>45435</v>
      </c>
      <c r="D25" t="s">
        <v>213</v>
      </c>
      <c r="E25" t="s">
        <v>283</v>
      </c>
      <c r="F25" t="s">
        <v>284</v>
      </c>
      <c r="G25" t="s">
        <v>266</v>
      </c>
      <c r="H25" t="s">
        <v>181</v>
      </c>
      <c r="I25" t="s">
        <v>253</v>
      </c>
      <c r="J25" t="s">
        <v>218</v>
      </c>
      <c r="K25" t="s">
        <v>285</v>
      </c>
      <c r="L25">
        <v>1274.59</v>
      </c>
      <c r="M25">
        <v>2553.69</v>
      </c>
      <c r="N25">
        <v>0.01</v>
      </c>
      <c r="O25">
        <v>8</v>
      </c>
    </row>
    <row r="26" spans="1:15">
      <c r="A26" t="s">
        <v>286</v>
      </c>
      <c r="B26" s="29">
        <v>44964</v>
      </c>
      <c r="C26" s="29">
        <v>44969</v>
      </c>
      <c r="D26" t="s">
        <v>213</v>
      </c>
      <c r="E26" t="s">
        <v>234</v>
      </c>
      <c r="F26" t="s">
        <v>235</v>
      </c>
      <c r="G26" t="s">
        <v>188</v>
      </c>
      <c r="H26" t="s">
        <v>189</v>
      </c>
      <c r="I26" t="s">
        <v>287</v>
      </c>
      <c r="J26" t="s">
        <v>183</v>
      </c>
      <c r="K26" t="s">
        <v>288</v>
      </c>
      <c r="L26">
        <v>948.55</v>
      </c>
      <c r="M26">
        <v>2089.16</v>
      </c>
      <c r="N26">
        <v>0.007</v>
      </c>
      <c r="O26">
        <v>12</v>
      </c>
    </row>
    <row r="27" spans="1:15">
      <c r="A27" t="s">
        <v>289</v>
      </c>
      <c r="B27" s="29">
        <v>45473</v>
      </c>
      <c r="C27" s="29">
        <v>45487</v>
      </c>
      <c r="D27" t="s">
        <v>213</v>
      </c>
      <c r="E27" t="s">
        <v>234</v>
      </c>
      <c r="F27" t="s">
        <v>248</v>
      </c>
      <c r="G27" t="s">
        <v>188</v>
      </c>
      <c r="H27" t="s">
        <v>181</v>
      </c>
      <c r="I27" t="s">
        <v>182</v>
      </c>
      <c r="J27" t="s">
        <v>242</v>
      </c>
      <c r="K27" t="s">
        <v>290</v>
      </c>
      <c r="L27">
        <v>1491.85</v>
      </c>
      <c r="M27">
        <v>2583.02</v>
      </c>
      <c r="N27">
        <v>0.168</v>
      </c>
      <c r="O27">
        <v>4</v>
      </c>
    </row>
    <row r="28" spans="1:15">
      <c r="A28" t="s">
        <v>291</v>
      </c>
      <c r="B28" s="29">
        <v>45626</v>
      </c>
      <c r="C28" s="29">
        <v>45656</v>
      </c>
      <c r="D28" t="s">
        <v>239</v>
      </c>
      <c r="E28" t="s">
        <v>251</v>
      </c>
      <c r="F28" t="s">
        <v>252</v>
      </c>
      <c r="G28" t="s">
        <v>209</v>
      </c>
      <c r="H28" t="s">
        <v>201</v>
      </c>
      <c r="I28" t="s">
        <v>245</v>
      </c>
      <c r="J28" t="s">
        <v>191</v>
      </c>
      <c r="K28" t="s">
        <v>292</v>
      </c>
      <c r="L28">
        <v>117.64</v>
      </c>
      <c r="M28">
        <v>175.67</v>
      </c>
      <c r="N28">
        <v>0</v>
      </c>
      <c r="O28">
        <v>10</v>
      </c>
    </row>
    <row r="29" spans="1:15">
      <c r="A29" t="s">
        <v>293</v>
      </c>
      <c r="B29" s="29">
        <v>45492</v>
      </c>
      <c r="C29" s="29">
        <v>45492</v>
      </c>
      <c r="D29" t="s">
        <v>177</v>
      </c>
      <c r="E29" t="s">
        <v>178</v>
      </c>
      <c r="F29" t="s">
        <v>179</v>
      </c>
      <c r="G29" t="s">
        <v>223</v>
      </c>
      <c r="H29" t="s">
        <v>181</v>
      </c>
      <c r="I29" t="s">
        <v>236</v>
      </c>
      <c r="J29" t="s">
        <v>203</v>
      </c>
      <c r="K29" t="s">
        <v>294</v>
      </c>
      <c r="L29">
        <v>857.24</v>
      </c>
      <c r="M29">
        <v>758.23</v>
      </c>
      <c r="N29">
        <v>0.125</v>
      </c>
      <c r="O29">
        <v>6</v>
      </c>
    </row>
    <row r="30" spans="1:15">
      <c r="A30" t="s">
        <v>295</v>
      </c>
      <c r="B30" s="29">
        <v>45030</v>
      </c>
      <c r="C30" s="29">
        <v>45060</v>
      </c>
      <c r="D30" t="s">
        <v>177</v>
      </c>
      <c r="E30" t="s">
        <v>178</v>
      </c>
      <c r="F30" t="s">
        <v>296</v>
      </c>
      <c r="G30" t="s">
        <v>209</v>
      </c>
      <c r="H30" t="s">
        <v>201</v>
      </c>
      <c r="I30" t="s">
        <v>271</v>
      </c>
      <c r="J30" t="s">
        <v>203</v>
      </c>
      <c r="K30" t="s">
        <v>297</v>
      </c>
      <c r="L30">
        <v>209.25</v>
      </c>
      <c r="M30">
        <v>434.8</v>
      </c>
      <c r="N30">
        <v>0</v>
      </c>
      <c r="O30">
        <v>9</v>
      </c>
    </row>
    <row r="31" spans="1:15">
      <c r="A31" t="s">
        <v>298</v>
      </c>
      <c r="B31" s="29">
        <v>45754</v>
      </c>
      <c r="C31" s="29">
        <v>45758</v>
      </c>
      <c r="D31" t="s">
        <v>239</v>
      </c>
      <c r="E31" t="s">
        <v>251</v>
      </c>
      <c r="F31" t="s">
        <v>299</v>
      </c>
      <c r="G31" t="s">
        <v>188</v>
      </c>
      <c r="H31" t="s">
        <v>181</v>
      </c>
      <c r="I31" t="s">
        <v>224</v>
      </c>
      <c r="J31" t="s">
        <v>196</v>
      </c>
      <c r="K31" t="s">
        <v>300</v>
      </c>
      <c r="L31">
        <v>754.77</v>
      </c>
      <c r="M31">
        <v>1666.18</v>
      </c>
      <c r="N31">
        <v>0.139</v>
      </c>
      <c r="O31">
        <v>14</v>
      </c>
    </row>
    <row r="32" spans="1:15">
      <c r="A32" t="s">
        <v>301</v>
      </c>
      <c r="B32" s="29">
        <v>45653</v>
      </c>
      <c r="C32" s="29">
        <v>45672</v>
      </c>
      <c r="D32" t="s">
        <v>206</v>
      </c>
      <c r="E32" t="s">
        <v>221</v>
      </c>
      <c r="F32" t="s">
        <v>302</v>
      </c>
      <c r="G32" t="s">
        <v>200</v>
      </c>
      <c r="H32" t="s">
        <v>216</v>
      </c>
      <c r="I32" t="s">
        <v>202</v>
      </c>
      <c r="J32" t="s">
        <v>183</v>
      </c>
      <c r="K32" t="s">
        <v>303</v>
      </c>
      <c r="L32">
        <v>495.59</v>
      </c>
      <c r="M32">
        <v>631.78</v>
      </c>
      <c r="N32">
        <v>0.087</v>
      </c>
      <c r="O32">
        <v>17</v>
      </c>
    </row>
    <row r="33" spans="1:15">
      <c r="A33" t="s">
        <v>304</v>
      </c>
      <c r="B33" s="29">
        <v>44980</v>
      </c>
      <c r="C33" s="29">
        <v>45010</v>
      </c>
      <c r="D33" t="s">
        <v>213</v>
      </c>
      <c r="E33" t="s">
        <v>214</v>
      </c>
      <c r="F33" t="s">
        <v>305</v>
      </c>
      <c r="G33" t="s">
        <v>266</v>
      </c>
      <c r="H33" t="s">
        <v>189</v>
      </c>
      <c r="I33" t="s">
        <v>306</v>
      </c>
      <c r="J33" t="s">
        <v>203</v>
      </c>
      <c r="K33" t="s">
        <v>307</v>
      </c>
      <c r="L33">
        <v>1242.66</v>
      </c>
      <c r="M33">
        <v>1794.07</v>
      </c>
      <c r="N33">
        <v>0.089</v>
      </c>
      <c r="O33">
        <v>16</v>
      </c>
    </row>
    <row r="34" spans="1:15">
      <c r="A34" t="s">
        <v>308</v>
      </c>
      <c r="B34" s="29">
        <v>45862</v>
      </c>
      <c r="C34" s="29">
        <v>45875</v>
      </c>
      <c r="D34" t="s">
        <v>177</v>
      </c>
      <c r="E34" t="s">
        <v>309</v>
      </c>
      <c r="F34" t="s">
        <v>310</v>
      </c>
      <c r="G34" t="s">
        <v>188</v>
      </c>
      <c r="H34" t="s">
        <v>201</v>
      </c>
      <c r="I34" t="s">
        <v>306</v>
      </c>
      <c r="J34" t="s">
        <v>196</v>
      </c>
      <c r="K34" t="s">
        <v>311</v>
      </c>
      <c r="L34">
        <v>1463.9</v>
      </c>
      <c r="M34">
        <v>2633.02</v>
      </c>
      <c r="N34">
        <v>0.084</v>
      </c>
      <c r="O34">
        <v>4</v>
      </c>
    </row>
    <row r="35" spans="1:15">
      <c r="A35" t="s">
        <v>312</v>
      </c>
      <c r="B35" s="29">
        <v>45400</v>
      </c>
      <c r="C35" s="29">
        <v>45420</v>
      </c>
      <c r="D35" t="s">
        <v>239</v>
      </c>
      <c r="E35" t="s">
        <v>269</v>
      </c>
      <c r="F35" t="s">
        <v>313</v>
      </c>
      <c r="G35" t="s">
        <v>200</v>
      </c>
      <c r="I35" t="s">
        <v>306</v>
      </c>
      <c r="J35" t="s">
        <v>218</v>
      </c>
      <c r="K35" t="s">
        <v>314</v>
      </c>
      <c r="L35">
        <v>645.33</v>
      </c>
      <c r="M35">
        <v>1321.85</v>
      </c>
      <c r="N35">
        <v>0</v>
      </c>
      <c r="O35">
        <v>10</v>
      </c>
    </row>
    <row r="36" spans="1:15">
      <c r="A36" t="s">
        <v>315</v>
      </c>
      <c r="B36" s="29">
        <v>45527</v>
      </c>
      <c r="C36" s="29">
        <v>45525</v>
      </c>
      <c r="D36" t="s">
        <v>177</v>
      </c>
      <c r="E36" t="s">
        <v>309</v>
      </c>
      <c r="F36" t="s">
        <v>310</v>
      </c>
      <c r="G36" t="s">
        <v>188</v>
      </c>
      <c r="H36" t="s">
        <v>181</v>
      </c>
      <c r="I36" t="s">
        <v>224</v>
      </c>
      <c r="J36" t="s">
        <v>183</v>
      </c>
      <c r="K36" t="s">
        <v>316</v>
      </c>
      <c r="L36">
        <v>1432.52</v>
      </c>
      <c r="M36">
        <v>3036.87</v>
      </c>
      <c r="N36">
        <v>0</v>
      </c>
      <c r="O36">
        <v>9</v>
      </c>
    </row>
    <row r="37" spans="1:15">
      <c r="A37" t="s">
        <v>317</v>
      </c>
      <c r="B37" s="29">
        <v>45012</v>
      </c>
      <c r="C37" s="29">
        <v>45038</v>
      </c>
      <c r="D37" t="s">
        <v>206</v>
      </c>
      <c r="E37" t="s">
        <v>221</v>
      </c>
      <c r="F37" t="s">
        <v>302</v>
      </c>
      <c r="G37" t="s">
        <v>200</v>
      </c>
      <c r="H37" t="s">
        <v>201</v>
      </c>
      <c r="I37" t="s">
        <v>190</v>
      </c>
      <c r="J37" t="s">
        <v>191</v>
      </c>
      <c r="K37" t="s">
        <v>318</v>
      </c>
      <c r="L37">
        <v>178.53</v>
      </c>
      <c r="M37">
        <v>199.37</v>
      </c>
      <c r="N37">
        <v>0.101</v>
      </c>
      <c r="O37">
        <v>37</v>
      </c>
    </row>
    <row r="38" spans="1:15">
      <c r="A38" t="s">
        <v>319</v>
      </c>
      <c r="B38" s="29">
        <v>45358</v>
      </c>
      <c r="C38" s="29">
        <v>45376</v>
      </c>
      <c r="D38" t="s">
        <v>239</v>
      </c>
      <c r="E38" t="s">
        <v>240</v>
      </c>
      <c r="F38" t="s">
        <v>320</v>
      </c>
      <c r="G38" t="s">
        <v>180</v>
      </c>
      <c r="H38" t="s">
        <v>189</v>
      </c>
      <c r="I38" t="s">
        <v>217</v>
      </c>
      <c r="J38" t="s">
        <v>183</v>
      </c>
      <c r="K38" t="s">
        <v>321</v>
      </c>
      <c r="L38">
        <v>712.84</v>
      </c>
      <c r="M38">
        <v>927.51</v>
      </c>
      <c r="N38">
        <v>0.243</v>
      </c>
      <c r="O38">
        <v>27</v>
      </c>
    </row>
    <row r="39" spans="1:15">
      <c r="A39" t="s">
        <v>322</v>
      </c>
      <c r="B39" s="29">
        <v>45832</v>
      </c>
      <c r="C39" s="29">
        <v>45848</v>
      </c>
      <c r="D39" t="s">
        <v>206</v>
      </c>
      <c r="E39" t="s">
        <v>277</v>
      </c>
      <c r="F39" t="s">
        <v>323</v>
      </c>
      <c r="G39" t="s">
        <v>266</v>
      </c>
      <c r="H39" t="s">
        <v>259</v>
      </c>
      <c r="I39" t="s">
        <v>287</v>
      </c>
      <c r="J39" t="s">
        <v>183</v>
      </c>
      <c r="K39" t="s">
        <v>324</v>
      </c>
      <c r="L39">
        <v>757.19</v>
      </c>
      <c r="M39">
        <v>1735.41</v>
      </c>
      <c r="N39">
        <v>0.136</v>
      </c>
      <c r="O39">
        <v>8</v>
      </c>
    </row>
    <row r="40" spans="1:15">
      <c r="A40" t="s">
        <v>325</v>
      </c>
      <c r="B40" s="29">
        <v>45401</v>
      </c>
      <c r="C40" s="29">
        <v>45418</v>
      </c>
      <c r="D40" t="s">
        <v>177</v>
      </c>
      <c r="E40" t="s">
        <v>186</v>
      </c>
      <c r="F40" t="s">
        <v>187</v>
      </c>
      <c r="G40" t="s">
        <v>200</v>
      </c>
      <c r="H40" t="s">
        <v>189</v>
      </c>
      <c r="I40" t="s">
        <v>236</v>
      </c>
      <c r="J40" t="s">
        <v>191</v>
      </c>
      <c r="K40" t="s">
        <v>326</v>
      </c>
      <c r="L40">
        <v>865.33</v>
      </c>
      <c r="M40">
        <v>1395.64</v>
      </c>
      <c r="N40">
        <v>0.175</v>
      </c>
      <c r="O40">
        <v>13</v>
      </c>
    </row>
    <row r="41" spans="1:15">
      <c r="A41" t="s">
        <v>327</v>
      </c>
      <c r="B41" s="29">
        <v>45094</v>
      </c>
      <c r="C41" s="29">
        <v>45101</v>
      </c>
      <c r="D41" t="s">
        <v>213</v>
      </c>
      <c r="E41" t="s">
        <v>283</v>
      </c>
      <c r="F41" t="s">
        <v>328</v>
      </c>
      <c r="G41" t="s">
        <v>180</v>
      </c>
      <c r="H41" t="s">
        <v>181</v>
      </c>
      <c r="I41" t="s">
        <v>195</v>
      </c>
      <c r="J41" t="s">
        <v>191</v>
      </c>
      <c r="K41" t="s">
        <v>329</v>
      </c>
      <c r="L41">
        <v>313.99</v>
      </c>
      <c r="M41">
        <v>454.42</v>
      </c>
      <c r="N41">
        <v>0.129</v>
      </c>
      <c r="O41">
        <v>9</v>
      </c>
    </row>
    <row r="42" spans="1:15">
      <c r="A42" t="s">
        <v>330</v>
      </c>
      <c r="B42" s="29">
        <v>45531</v>
      </c>
      <c r="C42" s="29">
        <v>45554</v>
      </c>
      <c r="D42" t="s">
        <v>239</v>
      </c>
      <c r="E42" t="s">
        <v>240</v>
      </c>
      <c r="F42" t="s">
        <v>241</v>
      </c>
      <c r="G42" t="s">
        <v>223</v>
      </c>
      <c r="H42" t="s">
        <v>259</v>
      </c>
      <c r="I42" t="s">
        <v>306</v>
      </c>
      <c r="J42" t="s">
        <v>225</v>
      </c>
      <c r="K42" t="s">
        <v>331</v>
      </c>
      <c r="L42">
        <v>1024.01</v>
      </c>
      <c r="M42">
        <v>1580.97</v>
      </c>
      <c r="N42">
        <v>0.037</v>
      </c>
      <c r="O42">
        <v>27</v>
      </c>
    </row>
    <row r="43" spans="1:15">
      <c r="A43" t="s">
        <v>332</v>
      </c>
      <c r="B43" s="29">
        <v>45302</v>
      </c>
      <c r="C43" s="29">
        <v>45324</v>
      </c>
      <c r="D43" t="s">
        <v>177</v>
      </c>
      <c r="E43" t="s">
        <v>309</v>
      </c>
      <c r="F43" t="s">
        <v>333</v>
      </c>
      <c r="G43" t="s">
        <v>209</v>
      </c>
      <c r="H43" t="s">
        <v>189</v>
      </c>
      <c r="I43" t="s">
        <v>256</v>
      </c>
      <c r="J43" t="s">
        <v>196</v>
      </c>
      <c r="K43" t="s">
        <v>334</v>
      </c>
      <c r="L43">
        <v>1206.2</v>
      </c>
      <c r="M43">
        <v>1759.79</v>
      </c>
      <c r="N43">
        <v>0</v>
      </c>
      <c r="O43">
        <v>6</v>
      </c>
    </row>
    <row r="44" spans="1:15">
      <c r="A44" t="s">
        <v>335</v>
      </c>
      <c r="B44" s="29">
        <v>45590</v>
      </c>
      <c r="C44" s="29">
        <v>45610</v>
      </c>
      <c r="D44" t="s">
        <v>177</v>
      </c>
      <c r="E44" t="s">
        <v>178</v>
      </c>
      <c r="F44" t="s">
        <v>274</v>
      </c>
      <c r="G44" t="s">
        <v>180</v>
      </c>
      <c r="H44" t="s">
        <v>259</v>
      </c>
      <c r="I44" t="s">
        <v>253</v>
      </c>
      <c r="J44" t="s">
        <v>191</v>
      </c>
      <c r="K44" t="s">
        <v>336</v>
      </c>
      <c r="L44">
        <v>1396.48</v>
      </c>
      <c r="M44">
        <v>3204.5</v>
      </c>
      <c r="N44">
        <v>0.318</v>
      </c>
      <c r="O44">
        <v>14</v>
      </c>
    </row>
    <row r="45" spans="1:15">
      <c r="A45" t="s">
        <v>337</v>
      </c>
      <c r="B45" s="29">
        <v>45806</v>
      </c>
      <c r="C45" s="29">
        <v>45828</v>
      </c>
      <c r="D45" t="s">
        <v>239</v>
      </c>
      <c r="E45" t="s">
        <v>240</v>
      </c>
      <c r="F45" t="s">
        <v>241</v>
      </c>
      <c r="G45" t="s">
        <v>180</v>
      </c>
      <c r="H45" t="s">
        <v>259</v>
      </c>
      <c r="I45" t="s">
        <v>236</v>
      </c>
      <c r="J45" t="s">
        <v>191</v>
      </c>
      <c r="K45" t="s">
        <v>338</v>
      </c>
      <c r="L45">
        <v>483.47</v>
      </c>
      <c r="M45">
        <v>1135.43</v>
      </c>
      <c r="N45">
        <v>0.146</v>
      </c>
      <c r="O45">
        <v>11</v>
      </c>
    </row>
    <row r="46" spans="1:15">
      <c r="A46" t="s">
        <v>339</v>
      </c>
      <c r="B46" s="29">
        <v>45432</v>
      </c>
      <c r="C46" s="29">
        <v>45445</v>
      </c>
      <c r="D46" t="s">
        <v>213</v>
      </c>
      <c r="E46" t="s">
        <v>214</v>
      </c>
      <c r="F46" t="s">
        <v>340</v>
      </c>
      <c r="G46" t="s">
        <v>266</v>
      </c>
      <c r="H46" t="s">
        <v>201</v>
      </c>
      <c r="I46" t="s">
        <v>256</v>
      </c>
      <c r="J46" t="s">
        <v>183</v>
      </c>
      <c r="K46" t="s">
        <v>341</v>
      </c>
      <c r="L46">
        <v>675.43</v>
      </c>
      <c r="M46">
        <v>996.36</v>
      </c>
      <c r="N46">
        <v>0.182</v>
      </c>
      <c r="O46">
        <v>22</v>
      </c>
    </row>
    <row r="47" spans="1:15">
      <c r="A47" t="s">
        <v>342</v>
      </c>
      <c r="B47" s="29">
        <v>45035</v>
      </c>
      <c r="C47" s="29">
        <v>45046</v>
      </c>
      <c r="D47" t="s">
        <v>206</v>
      </c>
      <c r="E47" t="s">
        <v>221</v>
      </c>
      <c r="F47" t="s">
        <v>302</v>
      </c>
      <c r="G47" t="s">
        <v>223</v>
      </c>
      <c r="H47" t="s">
        <v>181</v>
      </c>
      <c r="I47" t="s">
        <v>236</v>
      </c>
      <c r="J47" t="s">
        <v>196</v>
      </c>
      <c r="K47" t="s">
        <v>343</v>
      </c>
      <c r="L47">
        <v>826.55</v>
      </c>
      <c r="M47">
        <v>1397.05</v>
      </c>
      <c r="N47">
        <v>0.169</v>
      </c>
      <c r="O47">
        <v>28</v>
      </c>
    </row>
    <row r="48" spans="1:15">
      <c r="A48" t="s">
        <v>344</v>
      </c>
      <c r="B48" s="29">
        <v>45100</v>
      </c>
      <c r="C48" s="29">
        <v>45110</v>
      </c>
      <c r="D48" t="s">
        <v>177</v>
      </c>
      <c r="E48" t="s">
        <v>186</v>
      </c>
      <c r="F48" t="s">
        <v>228</v>
      </c>
      <c r="G48" t="s">
        <v>209</v>
      </c>
      <c r="H48" t="s">
        <v>189</v>
      </c>
      <c r="I48" t="s">
        <v>190</v>
      </c>
      <c r="J48" t="s">
        <v>191</v>
      </c>
      <c r="K48" t="s">
        <v>345</v>
      </c>
      <c r="L48">
        <v>337.75</v>
      </c>
      <c r="M48">
        <v>548.89</v>
      </c>
      <c r="N48">
        <v>0</v>
      </c>
      <c r="O48">
        <v>13</v>
      </c>
    </row>
    <row r="49" spans="1:15">
      <c r="A49" t="s">
        <v>346</v>
      </c>
      <c r="B49" s="29">
        <v>45426</v>
      </c>
      <c r="C49" s="29">
        <v>45440</v>
      </c>
      <c r="D49" t="s">
        <v>239</v>
      </c>
      <c r="E49" t="s">
        <v>269</v>
      </c>
      <c r="F49" t="s">
        <v>270</v>
      </c>
      <c r="G49" t="s">
        <v>209</v>
      </c>
      <c r="H49" t="s">
        <v>181</v>
      </c>
      <c r="I49" t="s">
        <v>217</v>
      </c>
      <c r="J49" t="s">
        <v>196</v>
      </c>
      <c r="K49" t="s">
        <v>347</v>
      </c>
      <c r="L49">
        <v>1421.14</v>
      </c>
      <c r="M49">
        <v>3524</v>
      </c>
      <c r="N49">
        <v>0</v>
      </c>
      <c r="O49">
        <v>31</v>
      </c>
    </row>
    <row r="50" spans="1:15">
      <c r="A50" t="s">
        <v>348</v>
      </c>
      <c r="B50" s="29">
        <v>45579</v>
      </c>
      <c r="C50" s="29">
        <v>45604</v>
      </c>
      <c r="D50" t="s">
        <v>177</v>
      </c>
      <c r="E50" t="s">
        <v>186</v>
      </c>
      <c r="F50" t="s">
        <v>199</v>
      </c>
      <c r="G50" t="s">
        <v>266</v>
      </c>
      <c r="H50" t="s">
        <v>189</v>
      </c>
      <c r="I50" t="s">
        <v>229</v>
      </c>
      <c r="J50" t="s">
        <v>196</v>
      </c>
      <c r="K50" t="s">
        <v>349</v>
      </c>
      <c r="L50">
        <v>859.35</v>
      </c>
      <c r="M50">
        <v>1825.61</v>
      </c>
      <c r="N50">
        <v>0.187</v>
      </c>
      <c r="O50">
        <v>24</v>
      </c>
    </row>
    <row r="51" spans="1:15">
      <c r="A51" t="s">
        <v>350</v>
      </c>
      <c r="B51" s="29">
        <v>45117</v>
      </c>
      <c r="C51" s="29">
        <v>45139</v>
      </c>
      <c r="D51" t="s">
        <v>239</v>
      </c>
      <c r="E51" t="s">
        <v>251</v>
      </c>
      <c r="F51" t="s">
        <v>252</v>
      </c>
      <c r="G51" t="s">
        <v>209</v>
      </c>
      <c r="H51" t="s">
        <v>201</v>
      </c>
      <c r="I51" t="s">
        <v>217</v>
      </c>
      <c r="J51" t="s">
        <v>191</v>
      </c>
      <c r="K51" t="s">
        <v>351</v>
      </c>
      <c r="L51">
        <v>1303.56</v>
      </c>
      <c r="M51">
        <v>1791.37</v>
      </c>
      <c r="N51">
        <v>0.126</v>
      </c>
      <c r="O51">
        <v>22</v>
      </c>
    </row>
    <row r="52" spans="1:15">
      <c r="A52" t="s">
        <v>352</v>
      </c>
      <c r="B52" s="29">
        <v>45602</v>
      </c>
      <c r="C52" s="29">
        <v>45618</v>
      </c>
      <c r="D52" t="s">
        <v>213</v>
      </c>
      <c r="E52" t="s">
        <v>214</v>
      </c>
      <c r="F52" t="s">
        <v>215</v>
      </c>
      <c r="G52" t="s">
        <v>200</v>
      </c>
      <c r="H52" t="s">
        <v>216</v>
      </c>
      <c r="I52" t="s">
        <v>306</v>
      </c>
      <c r="J52" t="s">
        <v>242</v>
      </c>
      <c r="K52" t="s">
        <v>353</v>
      </c>
      <c r="L52">
        <v>1454.11</v>
      </c>
      <c r="M52">
        <v>2629.75</v>
      </c>
      <c r="N52">
        <v>0.292</v>
      </c>
      <c r="O52">
        <v>8</v>
      </c>
    </row>
    <row r="53" spans="1:15">
      <c r="A53" t="s">
        <v>354</v>
      </c>
      <c r="B53" s="29">
        <v>45582</v>
      </c>
      <c r="C53" s="29">
        <v>45602</v>
      </c>
      <c r="D53" t="s">
        <v>206</v>
      </c>
      <c r="E53" t="s">
        <v>221</v>
      </c>
      <c r="F53" t="s">
        <v>222</v>
      </c>
      <c r="G53" t="s">
        <v>266</v>
      </c>
      <c r="H53" t="s">
        <v>216</v>
      </c>
      <c r="I53" t="s">
        <v>229</v>
      </c>
      <c r="J53" t="s">
        <v>225</v>
      </c>
      <c r="K53" t="s">
        <v>355</v>
      </c>
      <c r="L53">
        <v>72.94</v>
      </c>
      <c r="M53">
        <v>106.3</v>
      </c>
      <c r="N53">
        <v>0.295</v>
      </c>
      <c r="O53">
        <v>8</v>
      </c>
    </row>
    <row r="54" spans="1:15">
      <c r="A54" t="s">
        <v>356</v>
      </c>
      <c r="B54" s="29">
        <v>45016</v>
      </c>
      <c r="C54" s="29">
        <v>45021</v>
      </c>
      <c r="D54" t="s">
        <v>177</v>
      </c>
      <c r="E54" t="s">
        <v>178</v>
      </c>
      <c r="F54" t="s">
        <v>296</v>
      </c>
      <c r="G54" t="s">
        <v>188</v>
      </c>
      <c r="H54" t="s">
        <v>201</v>
      </c>
      <c r="I54" t="s">
        <v>217</v>
      </c>
      <c r="J54" t="s">
        <v>218</v>
      </c>
      <c r="K54" t="s">
        <v>357</v>
      </c>
      <c r="L54">
        <v>533.26</v>
      </c>
      <c r="M54">
        <v>385.72</v>
      </c>
      <c r="N54">
        <v>0</v>
      </c>
      <c r="O54">
        <v>15</v>
      </c>
    </row>
    <row r="55" spans="1:15">
      <c r="A55" t="s">
        <v>358</v>
      </c>
      <c r="B55" s="29">
        <v>45678</v>
      </c>
      <c r="C55" s="29">
        <v>45704</v>
      </c>
      <c r="D55" t="s">
        <v>239</v>
      </c>
      <c r="E55" t="s">
        <v>251</v>
      </c>
      <c r="F55" t="s">
        <v>299</v>
      </c>
      <c r="G55" t="s">
        <v>180</v>
      </c>
      <c r="H55" t="s">
        <v>216</v>
      </c>
      <c r="I55" t="s">
        <v>229</v>
      </c>
      <c r="J55" t="s">
        <v>218</v>
      </c>
      <c r="K55" t="s">
        <v>359</v>
      </c>
      <c r="L55">
        <v>204.11</v>
      </c>
      <c r="M55">
        <v>236.87</v>
      </c>
      <c r="N55">
        <v>0.182</v>
      </c>
      <c r="O55">
        <v>13</v>
      </c>
    </row>
    <row r="56" spans="1:15">
      <c r="A56" t="s">
        <v>360</v>
      </c>
      <c r="B56" s="29">
        <v>45168</v>
      </c>
      <c r="C56" s="29">
        <v>45170</v>
      </c>
      <c r="D56" t="s">
        <v>239</v>
      </c>
      <c r="E56" t="s">
        <v>240</v>
      </c>
      <c r="F56" t="s">
        <v>320</v>
      </c>
      <c r="G56" t="s">
        <v>180</v>
      </c>
      <c r="H56" t="s">
        <v>259</v>
      </c>
      <c r="I56" t="s">
        <v>287</v>
      </c>
      <c r="J56" t="s">
        <v>196</v>
      </c>
      <c r="K56" t="s">
        <v>361</v>
      </c>
      <c r="L56">
        <v>44.42</v>
      </c>
      <c r="M56">
        <v>41.9</v>
      </c>
      <c r="N56">
        <v>0.144</v>
      </c>
      <c r="O56">
        <v>6</v>
      </c>
    </row>
    <row r="57" spans="1:15">
      <c r="A57" t="s">
        <v>362</v>
      </c>
      <c r="B57" s="29">
        <v>45753</v>
      </c>
      <c r="C57" s="29">
        <v>45777</v>
      </c>
      <c r="D57" t="s">
        <v>213</v>
      </c>
      <c r="E57" t="s">
        <v>234</v>
      </c>
      <c r="F57" t="s">
        <v>248</v>
      </c>
      <c r="G57" t="s">
        <v>188</v>
      </c>
      <c r="H57" t="s">
        <v>189</v>
      </c>
      <c r="I57" t="s">
        <v>256</v>
      </c>
      <c r="J57" t="s">
        <v>225</v>
      </c>
      <c r="K57" t="s">
        <v>363</v>
      </c>
      <c r="L57">
        <v>855.78</v>
      </c>
      <c r="M57">
        <v>977.38</v>
      </c>
      <c r="N57">
        <v>0.147</v>
      </c>
      <c r="O57">
        <v>38</v>
      </c>
    </row>
    <row r="58" spans="1:15">
      <c r="A58" t="s">
        <v>364</v>
      </c>
      <c r="B58" s="29">
        <v>45697</v>
      </c>
      <c r="C58" s="29">
        <v>45717</v>
      </c>
      <c r="D58" t="s">
        <v>213</v>
      </c>
      <c r="E58" t="s">
        <v>234</v>
      </c>
      <c r="F58" t="s">
        <v>235</v>
      </c>
      <c r="G58" t="s">
        <v>180</v>
      </c>
      <c r="H58" t="s">
        <v>216</v>
      </c>
      <c r="I58" t="s">
        <v>217</v>
      </c>
      <c r="J58" t="s">
        <v>218</v>
      </c>
      <c r="K58" t="s">
        <v>365</v>
      </c>
      <c r="L58">
        <v>1154.64</v>
      </c>
      <c r="M58">
        <v>2794.13</v>
      </c>
      <c r="N58">
        <v>0.035</v>
      </c>
      <c r="O58">
        <v>11</v>
      </c>
    </row>
    <row r="59" spans="1:15">
      <c r="A59" t="s">
        <v>366</v>
      </c>
      <c r="B59" s="29">
        <v>45643</v>
      </c>
      <c r="C59" s="29">
        <v>45644</v>
      </c>
      <c r="D59" t="s">
        <v>239</v>
      </c>
      <c r="E59" t="s">
        <v>240</v>
      </c>
      <c r="F59" t="s">
        <v>320</v>
      </c>
      <c r="G59" t="s">
        <v>188</v>
      </c>
      <c r="H59" t="s">
        <v>181</v>
      </c>
      <c r="I59" t="s">
        <v>210</v>
      </c>
      <c r="J59" t="s">
        <v>242</v>
      </c>
      <c r="K59" t="s">
        <v>367</v>
      </c>
      <c r="L59">
        <v>346.82</v>
      </c>
      <c r="M59">
        <v>701.95</v>
      </c>
      <c r="N59">
        <v>0.147</v>
      </c>
      <c r="O59">
        <v>8</v>
      </c>
    </row>
    <row r="60" spans="1:15">
      <c r="A60" t="s">
        <v>368</v>
      </c>
      <c r="B60" s="29">
        <v>45817</v>
      </c>
      <c r="C60" s="29">
        <v>45826</v>
      </c>
      <c r="D60" t="s">
        <v>239</v>
      </c>
      <c r="E60" t="s">
        <v>251</v>
      </c>
      <c r="F60" t="s">
        <v>252</v>
      </c>
      <c r="G60" t="s">
        <v>223</v>
      </c>
      <c r="H60" t="s">
        <v>201</v>
      </c>
      <c r="I60" t="s">
        <v>253</v>
      </c>
      <c r="J60" t="s">
        <v>242</v>
      </c>
      <c r="K60" t="s">
        <v>369</v>
      </c>
      <c r="L60">
        <v>1225.5</v>
      </c>
      <c r="M60">
        <v>-5.27</v>
      </c>
      <c r="N60">
        <v>0.075</v>
      </c>
      <c r="O60">
        <v>56</v>
      </c>
    </row>
    <row r="61" spans="1:15">
      <c r="A61" t="s">
        <v>370</v>
      </c>
      <c r="B61" s="29">
        <v>45779</v>
      </c>
      <c r="C61" s="29">
        <v>45790</v>
      </c>
      <c r="D61" t="s">
        <v>177</v>
      </c>
      <c r="E61" t="s">
        <v>178</v>
      </c>
      <c r="F61" t="s">
        <v>296</v>
      </c>
      <c r="G61" t="s">
        <v>223</v>
      </c>
      <c r="H61" t="s">
        <v>189</v>
      </c>
      <c r="I61" t="s">
        <v>236</v>
      </c>
      <c r="J61" t="s">
        <v>242</v>
      </c>
      <c r="K61" t="s">
        <v>371</v>
      </c>
      <c r="L61">
        <v>1057.6</v>
      </c>
      <c r="M61">
        <v>1437.06</v>
      </c>
      <c r="N61">
        <v>0.205</v>
      </c>
      <c r="O61">
        <v>4</v>
      </c>
    </row>
    <row r="62" spans="1:15">
      <c r="A62" t="s">
        <v>372</v>
      </c>
      <c r="B62" s="29">
        <v>45361</v>
      </c>
      <c r="C62" s="29">
        <v>45391</v>
      </c>
      <c r="D62" t="s">
        <v>239</v>
      </c>
      <c r="E62" t="s">
        <v>251</v>
      </c>
      <c r="F62" t="s">
        <v>299</v>
      </c>
      <c r="G62" t="s">
        <v>180</v>
      </c>
      <c r="H62" t="s">
        <v>259</v>
      </c>
      <c r="I62" t="s">
        <v>195</v>
      </c>
      <c r="J62" t="s">
        <v>183</v>
      </c>
      <c r="K62" t="s">
        <v>373</v>
      </c>
      <c r="L62">
        <v>1176.56</v>
      </c>
      <c r="M62">
        <v>1911.89</v>
      </c>
      <c r="N62">
        <v>0.119</v>
      </c>
      <c r="O62">
        <v>20</v>
      </c>
    </row>
    <row r="63" spans="1:15">
      <c r="A63" t="s">
        <v>374</v>
      </c>
      <c r="B63" s="29">
        <v>45910</v>
      </c>
      <c r="C63" s="29">
        <v>45912</v>
      </c>
      <c r="D63" t="s">
        <v>206</v>
      </c>
      <c r="E63" t="s">
        <v>207</v>
      </c>
      <c r="F63" t="s">
        <v>375</v>
      </c>
      <c r="G63" t="s">
        <v>209</v>
      </c>
      <c r="H63" t="s">
        <v>189</v>
      </c>
      <c r="I63" t="s">
        <v>229</v>
      </c>
      <c r="J63" t="s">
        <v>183</v>
      </c>
      <c r="K63" t="s">
        <v>376</v>
      </c>
      <c r="L63">
        <v>1470.15</v>
      </c>
      <c r="M63">
        <v>2593.78</v>
      </c>
      <c r="N63">
        <v>0.11</v>
      </c>
      <c r="O63">
        <v>12</v>
      </c>
    </row>
    <row r="64" spans="1:15">
      <c r="A64" t="s">
        <v>377</v>
      </c>
      <c r="B64" s="29">
        <v>45774</v>
      </c>
      <c r="C64" s="29">
        <v>45802</v>
      </c>
      <c r="D64" t="s">
        <v>239</v>
      </c>
      <c r="E64" t="s">
        <v>251</v>
      </c>
      <c r="F64" t="s">
        <v>378</v>
      </c>
      <c r="G64" t="s">
        <v>223</v>
      </c>
      <c r="H64" t="s">
        <v>201</v>
      </c>
      <c r="I64" t="s">
        <v>195</v>
      </c>
      <c r="J64" t="s">
        <v>203</v>
      </c>
      <c r="K64" t="s">
        <v>379</v>
      </c>
      <c r="L64">
        <v>603.45</v>
      </c>
      <c r="M64">
        <v>1244.08</v>
      </c>
      <c r="N64">
        <v>0.2</v>
      </c>
      <c r="O64">
        <v>11</v>
      </c>
    </row>
    <row r="65" spans="1:15">
      <c r="A65" t="s">
        <v>380</v>
      </c>
      <c r="B65" s="29">
        <v>45598</v>
      </c>
      <c r="C65" s="29">
        <v>45614</v>
      </c>
      <c r="D65" t="s">
        <v>206</v>
      </c>
      <c r="E65" t="s">
        <v>221</v>
      </c>
      <c r="F65" t="s">
        <v>381</v>
      </c>
      <c r="G65" t="s">
        <v>223</v>
      </c>
      <c r="H65" t="s">
        <v>216</v>
      </c>
      <c r="I65" t="s">
        <v>229</v>
      </c>
      <c r="J65" t="s">
        <v>225</v>
      </c>
      <c r="K65" t="s">
        <v>382</v>
      </c>
      <c r="L65">
        <v>1233.58</v>
      </c>
      <c r="M65">
        <v>1912.51</v>
      </c>
      <c r="N65">
        <v>0.255</v>
      </c>
      <c r="O65">
        <v>51</v>
      </c>
    </row>
    <row r="66" spans="1:15">
      <c r="A66" t="s">
        <v>383</v>
      </c>
      <c r="B66" s="29">
        <v>44972</v>
      </c>
      <c r="C66" s="29">
        <v>44983</v>
      </c>
      <c r="D66" t="s">
        <v>177</v>
      </c>
      <c r="E66" t="s">
        <v>309</v>
      </c>
      <c r="F66" t="s">
        <v>310</v>
      </c>
      <c r="G66" t="s">
        <v>200</v>
      </c>
      <c r="H66" t="s">
        <v>181</v>
      </c>
      <c r="I66" t="s">
        <v>256</v>
      </c>
      <c r="J66" t="s">
        <v>218</v>
      </c>
      <c r="K66" t="s">
        <v>384</v>
      </c>
      <c r="L66">
        <v>498.5</v>
      </c>
      <c r="M66">
        <v>755.87</v>
      </c>
      <c r="N66">
        <v>0.13</v>
      </c>
      <c r="O66">
        <v>40</v>
      </c>
    </row>
    <row r="67" spans="1:15">
      <c r="A67" t="s">
        <v>385</v>
      </c>
      <c r="B67" s="29">
        <v>45263</v>
      </c>
      <c r="C67" s="29">
        <v>45286</v>
      </c>
      <c r="D67" t="s">
        <v>213</v>
      </c>
      <c r="E67" t="s">
        <v>234</v>
      </c>
      <c r="F67" t="s">
        <v>386</v>
      </c>
      <c r="G67" t="s">
        <v>188</v>
      </c>
      <c r="H67" t="s">
        <v>181</v>
      </c>
      <c r="I67" t="s">
        <v>229</v>
      </c>
      <c r="J67" t="s">
        <v>203</v>
      </c>
      <c r="K67" t="s">
        <v>387</v>
      </c>
      <c r="L67">
        <v>1303.11</v>
      </c>
      <c r="M67">
        <v>1145.67</v>
      </c>
      <c r="N67">
        <v>0.184</v>
      </c>
      <c r="O67">
        <v>13</v>
      </c>
    </row>
    <row r="68" spans="1:15">
      <c r="A68" t="s">
        <v>388</v>
      </c>
      <c r="B68" s="29">
        <v>45004</v>
      </c>
      <c r="C68" s="29">
        <v>45025</v>
      </c>
      <c r="D68" t="s">
        <v>239</v>
      </c>
      <c r="E68" t="s">
        <v>269</v>
      </c>
      <c r="F68" t="s">
        <v>389</v>
      </c>
      <c r="G68" t="s">
        <v>209</v>
      </c>
      <c r="H68" t="s">
        <v>181</v>
      </c>
      <c r="I68" t="s">
        <v>210</v>
      </c>
      <c r="J68" t="s">
        <v>242</v>
      </c>
      <c r="K68" t="s">
        <v>390</v>
      </c>
      <c r="L68">
        <v>1082.17</v>
      </c>
      <c r="M68">
        <v>1234.1</v>
      </c>
      <c r="N68">
        <v>0.189</v>
      </c>
      <c r="O68">
        <v>16</v>
      </c>
    </row>
    <row r="69" spans="1:15">
      <c r="A69" t="s">
        <v>391</v>
      </c>
      <c r="B69" s="29">
        <v>45434</v>
      </c>
      <c r="C69" s="29">
        <v>45449</v>
      </c>
      <c r="D69" t="s">
        <v>206</v>
      </c>
      <c r="E69" t="s">
        <v>207</v>
      </c>
      <c r="F69" t="s">
        <v>392</v>
      </c>
      <c r="G69" t="s">
        <v>180</v>
      </c>
      <c r="H69" t="s">
        <v>216</v>
      </c>
      <c r="I69" t="s">
        <v>182</v>
      </c>
      <c r="J69" t="s">
        <v>225</v>
      </c>
      <c r="K69" t="s">
        <v>393</v>
      </c>
      <c r="L69">
        <v>673.88</v>
      </c>
      <c r="M69">
        <v>1228.01</v>
      </c>
      <c r="N69">
        <v>0.105</v>
      </c>
      <c r="O69">
        <v>13</v>
      </c>
    </row>
    <row r="70" spans="1:15">
      <c r="A70" t="s">
        <v>394</v>
      </c>
      <c r="B70" s="29">
        <v>45157</v>
      </c>
      <c r="C70" s="29">
        <v>45176</v>
      </c>
      <c r="D70" t="s">
        <v>177</v>
      </c>
      <c r="E70" t="s">
        <v>309</v>
      </c>
      <c r="F70" t="s">
        <v>310</v>
      </c>
      <c r="G70" t="s">
        <v>266</v>
      </c>
      <c r="H70" t="s">
        <v>181</v>
      </c>
      <c r="I70" t="s">
        <v>306</v>
      </c>
      <c r="J70" t="s">
        <v>225</v>
      </c>
      <c r="K70" t="s">
        <v>395</v>
      </c>
      <c r="L70">
        <v>494.61</v>
      </c>
      <c r="M70">
        <v>605.23</v>
      </c>
      <c r="N70">
        <v>0.204</v>
      </c>
      <c r="O70">
        <v>18</v>
      </c>
    </row>
    <row r="71" spans="1:15">
      <c r="A71" t="s">
        <v>396</v>
      </c>
      <c r="B71" s="29">
        <v>45037</v>
      </c>
      <c r="C71" s="29">
        <v>45056</v>
      </c>
      <c r="D71" t="s">
        <v>206</v>
      </c>
      <c r="E71" t="s">
        <v>277</v>
      </c>
      <c r="F71" t="s">
        <v>323</v>
      </c>
      <c r="G71" t="s">
        <v>180</v>
      </c>
      <c r="H71" t="s">
        <v>181</v>
      </c>
      <c r="I71" t="s">
        <v>236</v>
      </c>
      <c r="J71" t="s">
        <v>183</v>
      </c>
      <c r="K71" t="s">
        <v>397</v>
      </c>
      <c r="L71">
        <v>882.33</v>
      </c>
      <c r="M71">
        <v>1880.15</v>
      </c>
      <c r="N71">
        <v>0.05</v>
      </c>
      <c r="O71">
        <v>5</v>
      </c>
    </row>
    <row r="72" spans="1:15">
      <c r="A72" t="s">
        <v>398</v>
      </c>
      <c r="B72" s="29">
        <v>45369</v>
      </c>
      <c r="C72" s="29">
        <v>45372</v>
      </c>
      <c r="D72" t="s">
        <v>239</v>
      </c>
      <c r="E72" t="s">
        <v>240</v>
      </c>
      <c r="F72" t="s">
        <v>320</v>
      </c>
      <c r="G72" t="s">
        <v>223</v>
      </c>
      <c r="H72" t="s">
        <v>189</v>
      </c>
      <c r="I72" t="s">
        <v>271</v>
      </c>
      <c r="J72" t="s">
        <v>242</v>
      </c>
      <c r="K72" t="s">
        <v>399</v>
      </c>
      <c r="L72">
        <v>910.63</v>
      </c>
      <c r="M72">
        <v>1269.4</v>
      </c>
      <c r="N72">
        <v>0.068</v>
      </c>
      <c r="O72">
        <v>9</v>
      </c>
    </row>
    <row r="73" spans="1:15">
      <c r="A73" t="s">
        <v>400</v>
      </c>
      <c r="B73" s="29">
        <v>45756</v>
      </c>
      <c r="C73" s="29">
        <v>45783</v>
      </c>
      <c r="D73" t="s">
        <v>213</v>
      </c>
      <c r="E73" t="s">
        <v>234</v>
      </c>
      <c r="F73" t="s">
        <v>248</v>
      </c>
      <c r="G73" t="s">
        <v>266</v>
      </c>
      <c r="H73" t="s">
        <v>201</v>
      </c>
      <c r="I73" t="s">
        <v>245</v>
      </c>
      <c r="J73" t="s">
        <v>218</v>
      </c>
      <c r="K73" t="s">
        <v>401</v>
      </c>
      <c r="L73">
        <v>264.19</v>
      </c>
      <c r="M73">
        <v>620.93</v>
      </c>
      <c r="N73">
        <v>0.142</v>
      </c>
      <c r="O73">
        <v>12</v>
      </c>
    </row>
    <row r="74" spans="1:15">
      <c r="A74" t="s">
        <v>402</v>
      </c>
      <c r="B74" s="29">
        <v>45394</v>
      </c>
      <c r="C74" s="29">
        <v>45419</v>
      </c>
      <c r="D74" t="s">
        <v>177</v>
      </c>
      <c r="E74" t="s">
        <v>309</v>
      </c>
      <c r="F74" t="s">
        <v>310</v>
      </c>
      <c r="G74" t="s">
        <v>188</v>
      </c>
      <c r="H74" t="s">
        <v>216</v>
      </c>
      <c r="I74" t="s">
        <v>236</v>
      </c>
      <c r="J74" t="s">
        <v>218</v>
      </c>
      <c r="K74" t="s">
        <v>403</v>
      </c>
      <c r="L74">
        <v>1376.51</v>
      </c>
      <c r="M74">
        <v>1455.91</v>
      </c>
      <c r="N74">
        <v>0.185</v>
      </c>
      <c r="O74">
        <v>17</v>
      </c>
    </row>
    <row r="75" spans="1:15">
      <c r="A75" t="s">
        <v>404</v>
      </c>
      <c r="B75" s="29">
        <v>45641</v>
      </c>
      <c r="C75" s="29">
        <v>45646</v>
      </c>
      <c r="D75" t="s">
        <v>206</v>
      </c>
      <c r="E75" t="s">
        <v>277</v>
      </c>
      <c r="F75" t="s">
        <v>278</v>
      </c>
      <c r="G75" t="s">
        <v>223</v>
      </c>
      <c r="H75" t="s">
        <v>259</v>
      </c>
      <c r="I75" t="s">
        <v>190</v>
      </c>
      <c r="J75" t="s">
        <v>196</v>
      </c>
      <c r="K75" t="s">
        <v>405</v>
      </c>
      <c r="L75">
        <v>717.55</v>
      </c>
      <c r="M75">
        <v>546.43</v>
      </c>
      <c r="N75">
        <v>0.047</v>
      </c>
      <c r="O75">
        <v>18</v>
      </c>
    </row>
    <row r="76" spans="1:15">
      <c r="A76" t="s">
        <v>406</v>
      </c>
      <c r="B76" s="29">
        <v>45066</v>
      </c>
      <c r="C76" s="29">
        <v>45064</v>
      </c>
      <c r="D76" t="s">
        <v>177</v>
      </c>
      <c r="E76" t="s">
        <v>309</v>
      </c>
      <c r="F76" t="s">
        <v>333</v>
      </c>
      <c r="G76" t="s">
        <v>180</v>
      </c>
      <c r="H76" t="s">
        <v>216</v>
      </c>
      <c r="I76" t="s">
        <v>236</v>
      </c>
      <c r="J76" t="s">
        <v>183</v>
      </c>
      <c r="K76" t="s">
        <v>407</v>
      </c>
      <c r="L76">
        <v>917.88</v>
      </c>
      <c r="M76">
        <v>1347.92</v>
      </c>
      <c r="N76">
        <v>0.343</v>
      </c>
      <c r="O76">
        <v>5</v>
      </c>
    </row>
    <row r="77" spans="1:15">
      <c r="A77" t="s">
        <v>408</v>
      </c>
      <c r="B77" s="29">
        <v>45187</v>
      </c>
      <c r="C77" s="29">
        <v>45207</v>
      </c>
      <c r="D77" t="s">
        <v>206</v>
      </c>
      <c r="E77" t="s">
        <v>221</v>
      </c>
      <c r="F77" t="s">
        <v>302</v>
      </c>
      <c r="G77" t="s">
        <v>223</v>
      </c>
      <c r="H77" t="s">
        <v>259</v>
      </c>
      <c r="I77" t="s">
        <v>217</v>
      </c>
      <c r="J77" t="s">
        <v>183</v>
      </c>
      <c r="K77" t="s">
        <v>409</v>
      </c>
      <c r="L77">
        <v>825.64</v>
      </c>
      <c r="M77">
        <v>1108.43</v>
      </c>
      <c r="N77">
        <v>0.114</v>
      </c>
      <c r="O77">
        <v>7</v>
      </c>
    </row>
    <row r="78" spans="1:15">
      <c r="A78" t="s">
        <v>410</v>
      </c>
      <c r="B78" s="29">
        <v>45532</v>
      </c>
      <c r="C78" s="29">
        <v>45560</v>
      </c>
      <c r="D78" t="s">
        <v>213</v>
      </c>
      <c r="E78" t="s">
        <v>234</v>
      </c>
      <c r="F78" t="s">
        <v>386</v>
      </c>
      <c r="G78" t="s">
        <v>200</v>
      </c>
      <c r="H78" t="s">
        <v>189</v>
      </c>
      <c r="J78" t="s">
        <v>242</v>
      </c>
      <c r="K78" t="s">
        <v>411</v>
      </c>
      <c r="L78">
        <v>1394.65</v>
      </c>
      <c r="M78">
        <v>3144.1</v>
      </c>
      <c r="N78">
        <v>0.134</v>
      </c>
      <c r="O78">
        <v>13</v>
      </c>
    </row>
    <row r="79" spans="1:15">
      <c r="A79" t="s">
        <v>412</v>
      </c>
      <c r="B79" s="29">
        <v>45473</v>
      </c>
      <c r="C79" s="29">
        <v>45471</v>
      </c>
      <c r="D79" t="s">
        <v>213</v>
      </c>
      <c r="E79" t="s">
        <v>234</v>
      </c>
      <c r="F79" t="s">
        <v>386</v>
      </c>
      <c r="G79" t="s">
        <v>223</v>
      </c>
      <c r="H79" t="s">
        <v>259</v>
      </c>
      <c r="I79" t="s">
        <v>210</v>
      </c>
      <c r="J79" t="s">
        <v>242</v>
      </c>
      <c r="K79" t="s">
        <v>413</v>
      </c>
      <c r="L79">
        <v>1112.98</v>
      </c>
      <c r="M79">
        <v>2095.73</v>
      </c>
      <c r="N79">
        <v>0.072</v>
      </c>
      <c r="O79">
        <v>17</v>
      </c>
    </row>
    <row r="80" spans="1:15">
      <c r="A80" t="s">
        <v>414</v>
      </c>
      <c r="B80" s="29">
        <v>45091</v>
      </c>
      <c r="C80" s="29">
        <v>45093</v>
      </c>
      <c r="D80" t="s">
        <v>239</v>
      </c>
      <c r="E80" t="s">
        <v>269</v>
      </c>
      <c r="F80" t="s">
        <v>389</v>
      </c>
      <c r="G80" t="s">
        <v>200</v>
      </c>
      <c r="H80" t="s">
        <v>259</v>
      </c>
      <c r="I80" t="s">
        <v>256</v>
      </c>
      <c r="J80" t="s">
        <v>183</v>
      </c>
      <c r="K80" t="s">
        <v>415</v>
      </c>
      <c r="L80">
        <v>357.36</v>
      </c>
      <c r="M80">
        <v>703.62</v>
      </c>
      <c r="N80">
        <v>0.257</v>
      </c>
      <c r="O80">
        <v>20</v>
      </c>
    </row>
    <row r="81" spans="1:15">
      <c r="A81" t="s">
        <v>416</v>
      </c>
      <c r="B81" s="29">
        <v>45617</v>
      </c>
      <c r="C81" s="29">
        <v>45647</v>
      </c>
      <c r="D81" t="s">
        <v>239</v>
      </c>
      <c r="E81" t="s">
        <v>251</v>
      </c>
      <c r="F81" t="s">
        <v>252</v>
      </c>
      <c r="G81" t="s">
        <v>223</v>
      </c>
      <c r="H81" t="s">
        <v>259</v>
      </c>
      <c r="I81" t="s">
        <v>195</v>
      </c>
      <c r="J81" t="s">
        <v>225</v>
      </c>
      <c r="K81" t="s">
        <v>417</v>
      </c>
      <c r="L81">
        <v>1122.68</v>
      </c>
      <c r="M81">
        <v>1997.19</v>
      </c>
      <c r="N81">
        <v>0.186</v>
      </c>
      <c r="O81">
        <v>3</v>
      </c>
    </row>
    <row r="82" spans="1:15">
      <c r="A82" t="s">
        <v>418</v>
      </c>
      <c r="B82" s="29">
        <v>44965</v>
      </c>
      <c r="C82" s="29">
        <v>44968</v>
      </c>
      <c r="D82" t="s">
        <v>177</v>
      </c>
      <c r="E82" t="s">
        <v>309</v>
      </c>
      <c r="F82" t="s">
        <v>419</v>
      </c>
      <c r="G82" t="s">
        <v>180</v>
      </c>
      <c r="H82" t="s">
        <v>259</v>
      </c>
      <c r="I82" t="s">
        <v>271</v>
      </c>
      <c r="J82" t="s">
        <v>196</v>
      </c>
      <c r="K82" t="s">
        <v>420</v>
      </c>
      <c r="L82">
        <v>1410.05</v>
      </c>
      <c r="M82">
        <v>2763.95</v>
      </c>
      <c r="N82">
        <v>0.161</v>
      </c>
      <c r="O82">
        <v>26</v>
      </c>
    </row>
    <row r="83" spans="1:15">
      <c r="A83" t="s">
        <v>421</v>
      </c>
      <c r="B83" s="29">
        <v>45157</v>
      </c>
      <c r="C83" s="29">
        <v>45181</v>
      </c>
      <c r="D83" t="s">
        <v>213</v>
      </c>
      <c r="E83" t="s">
        <v>214</v>
      </c>
      <c r="F83" t="s">
        <v>340</v>
      </c>
      <c r="G83" t="s">
        <v>266</v>
      </c>
      <c r="H83" t="s">
        <v>181</v>
      </c>
      <c r="I83" t="s">
        <v>195</v>
      </c>
      <c r="J83" t="s">
        <v>191</v>
      </c>
      <c r="K83" t="s">
        <v>422</v>
      </c>
      <c r="L83">
        <v>1183.95</v>
      </c>
      <c r="M83">
        <v>1503.53</v>
      </c>
      <c r="N83">
        <v>0.241</v>
      </c>
      <c r="O83">
        <v>16</v>
      </c>
    </row>
    <row r="84" spans="1:15">
      <c r="A84" t="s">
        <v>423</v>
      </c>
      <c r="B84" s="29">
        <v>45791</v>
      </c>
      <c r="C84" s="29">
        <v>45801</v>
      </c>
      <c r="D84" t="s">
        <v>239</v>
      </c>
      <c r="E84" t="s">
        <v>251</v>
      </c>
      <c r="F84" t="s">
        <v>378</v>
      </c>
      <c r="G84" t="s">
        <v>223</v>
      </c>
      <c r="H84" t="s">
        <v>201</v>
      </c>
      <c r="I84" t="s">
        <v>256</v>
      </c>
      <c r="J84" t="s">
        <v>183</v>
      </c>
      <c r="K84" t="s">
        <v>424</v>
      </c>
      <c r="L84">
        <v>170.39</v>
      </c>
      <c r="M84">
        <v>388.04</v>
      </c>
      <c r="N84">
        <v>0.084</v>
      </c>
      <c r="O84">
        <v>15</v>
      </c>
    </row>
    <row r="85" spans="1:15">
      <c r="A85" t="s">
        <v>425</v>
      </c>
      <c r="B85" s="29">
        <v>45770</v>
      </c>
      <c r="C85" s="29">
        <v>45769</v>
      </c>
      <c r="D85" t="s">
        <v>213</v>
      </c>
      <c r="E85" t="s">
        <v>283</v>
      </c>
      <c r="F85" t="s">
        <v>328</v>
      </c>
      <c r="G85" t="s">
        <v>200</v>
      </c>
      <c r="H85" t="s">
        <v>216</v>
      </c>
      <c r="I85" t="s">
        <v>306</v>
      </c>
      <c r="J85" t="s">
        <v>225</v>
      </c>
      <c r="K85" t="s">
        <v>426</v>
      </c>
      <c r="L85">
        <v>23.24</v>
      </c>
      <c r="M85">
        <v>44.57</v>
      </c>
      <c r="N85">
        <v>0.215</v>
      </c>
      <c r="O85">
        <v>15</v>
      </c>
    </row>
    <row r="86" spans="1:15">
      <c r="A86" t="s">
        <v>427</v>
      </c>
      <c r="B86" s="29">
        <v>45741</v>
      </c>
      <c r="C86" s="29">
        <v>45764</v>
      </c>
      <c r="D86" t="s">
        <v>239</v>
      </c>
      <c r="E86" t="s">
        <v>269</v>
      </c>
      <c r="F86" t="s">
        <v>313</v>
      </c>
      <c r="G86" t="s">
        <v>209</v>
      </c>
      <c r="H86" t="s">
        <v>181</v>
      </c>
      <c r="I86" t="s">
        <v>253</v>
      </c>
      <c r="J86" t="s">
        <v>196</v>
      </c>
      <c r="K86" t="s">
        <v>428</v>
      </c>
      <c r="L86">
        <v>1421.19</v>
      </c>
      <c r="M86">
        <v>1808.26</v>
      </c>
      <c r="N86">
        <v>0.104</v>
      </c>
      <c r="O86">
        <v>13</v>
      </c>
    </row>
    <row r="87" spans="1:15">
      <c r="A87" t="s">
        <v>429</v>
      </c>
      <c r="B87" s="29">
        <v>45282</v>
      </c>
      <c r="C87" s="29">
        <v>45283</v>
      </c>
      <c r="D87" t="s">
        <v>177</v>
      </c>
      <c r="E87" t="s">
        <v>309</v>
      </c>
      <c r="F87" t="s">
        <v>419</v>
      </c>
      <c r="G87" t="s">
        <v>200</v>
      </c>
      <c r="H87" t="s">
        <v>201</v>
      </c>
      <c r="I87" t="s">
        <v>306</v>
      </c>
      <c r="J87" t="s">
        <v>183</v>
      </c>
      <c r="K87" t="s">
        <v>430</v>
      </c>
      <c r="L87">
        <v>1186.18</v>
      </c>
      <c r="M87">
        <v>1285.09</v>
      </c>
      <c r="N87">
        <v>0.07</v>
      </c>
      <c r="O87">
        <v>11</v>
      </c>
    </row>
    <row r="88" spans="1:15">
      <c r="A88" t="s">
        <v>431</v>
      </c>
      <c r="B88" s="29">
        <v>45388</v>
      </c>
      <c r="C88" s="29">
        <v>45407</v>
      </c>
      <c r="D88" t="s">
        <v>206</v>
      </c>
      <c r="E88" t="s">
        <v>277</v>
      </c>
      <c r="F88" t="s">
        <v>323</v>
      </c>
      <c r="G88" t="s">
        <v>180</v>
      </c>
      <c r="H88" t="s">
        <v>181</v>
      </c>
      <c r="I88" t="s">
        <v>256</v>
      </c>
      <c r="J88" t="s">
        <v>183</v>
      </c>
      <c r="K88" t="s">
        <v>432</v>
      </c>
      <c r="L88">
        <v>1366.48</v>
      </c>
      <c r="M88">
        <v>1678.14</v>
      </c>
      <c r="N88">
        <v>0.154</v>
      </c>
      <c r="O88">
        <v>10</v>
      </c>
    </row>
    <row r="89" spans="1:15">
      <c r="A89" t="s">
        <v>433</v>
      </c>
      <c r="B89" s="29">
        <v>45876</v>
      </c>
      <c r="C89" s="29">
        <v>45888</v>
      </c>
      <c r="D89" t="s">
        <v>177</v>
      </c>
      <c r="E89" t="s">
        <v>178</v>
      </c>
      <c r="F89" t="s">
        <v>296</v>
      </c>
      <c r="G89" t="s">
        <v>180</v>
      </c>
      <c r="I89" t="s">
        <v>271</v>
      </c>
      <c r="J89" t="s">
        <v>183</v>
      </c>
      <c r="K89" t="s">
        <v>434</v>
      </c>
      <c r="L89">
        <v>601.51</v>
      </c>
      <c r="M89">
        <v>679.35</v>
      </c>
      <c r="N89">
        <v>0.188</v>
      </c>
      <c r="O89">
        <v>3</v>
      </c>
    </row>
    <row r="90" spans="1:15">
      <c r="A90" t="s">
        <v>435</v>
      </c>
      <c r="B90" s="29">
        <v>45312</v>
      </c>
      <c r="C90" s="29">
        <v>45316</v>
      </c>
      <c r="D90" t="s">
        <v>206</v>
      </c>
      <c r="E90" t="s">
        <v>221</v>
      </c>
      <c r="F90" t="s">
        <v>302</v>
      </c>
      <c r="G90" t="s">
        <v>209</v>
      </c>
      <c r="H90" t="s">
        <v>259</v>
      </c>
      <c r="I90" t="s">
        <v>182</v>
      </c>
      <c r="J90" t="s">
        <v>225</v>
      </c>
      <c r="K90" t="s">
        <v>436</v>
      </c>
      <c r="L90">
        <v>523.7</v>
      </c>
      <c r="M90">
        <v>1109.92</v>
      </c>
      <c r="N90">
        <v>0.03</v>
      </c>
      <c r="O90">
        <v>11</v>
      </c>
    </row>
    <row r="91" spans="1:15">
      <c r="A91" t="s">
        <v>437</v>
      </c>
      <c r="B91" s="29">
        <v>45106</v>
      </c>
      <c r="C91" s="29">
        <v>45109</v>
      </c>
      <c r="D91" t="s">
        <v>206</v>
      </c>
      <c r="E91" t="s">
        <v>207</v>
      </c>
      <c r="F91" t="s">
        <v>392</v>
      </c>
      <c r="G91" t="s">
        <v>188</v>
      </c>
      <c r="H91" t="s">
        <v>201</v>
      </c>
      <c r="I91" t="s">
        <v>245</v>
      </c>
      <c r="J91" t="s">
        <v>225</v>
      </c>
      <c r="K91" t="s">
        <v>438</v>
      </c>
      <c r="L91">
        <v>55.65</v>
      </c>
      <c r="M91">
        <v>83.57</v>
      </c>
      <c r="N91">
        <v>0.066</v>
      </c>
      <c r="O91">
        <v>8</v>
      </c>
    </row>
    <row r="92" spans="1:15">
      <c r="A92" t="s">
        <v>439</v>
      </c>
      <c r="B92" s="29">
        <v>45775</v>
      </c>
      <c r="C92" s="29">
        <v>45792</v>
      </c>
      <c r="D92" t="s">
        <v>206</v>
      </c>
      <c r="E92" t="s">
        <v>207</v>
      </c>
      <c r="F92" t="s">
        <v>392</v>
      </c>
      <c r="G92" t="s">
        <v>188</v>
      </c>
      <c r="H92" t="s">
        <v>259</v>
      </c>
      <c r="I92" t="s">
        <v>287</v>
      </c>
      <c r="J92" t="s">
        <v>196</v>
      </c>
      <c r="K92" t="s">
        <v>440</v>
      </c>
      <c r="L92">
        <v>691.19</v>
      </c>
      <c r="M92">
        <v>1284.3</v>
      </c>
      <c r="N92">
        <v>0.074</v>
      </c>
      <c r="O92">
        <v>7</v>
      </c>
    </row>
    <row r="93" spans="1:15">
      <c r="A93" t="s">
        <v>441</v>
      </c>
      <c r="B93" s="29">
        <v>45817</v>
      </c>
      <c r="C93" s="29">
        <v>45833</v>
      </c>
      <c r="D93" t="s">
        <v>206</v>
      </c>
      <c r="E93" t="s">
        <v>221</v>
      </c>
      <c r="F93" t="s">
        <v>442</v>
      </c>
      <c r="G93" t="s">
        <v>266</v>
      </c>
      <c r="H93" t="s">
        <v>216</v>
      </c>
      <c r="I93" t="s">
        <v>271</v>
      </c>
      <c r="J93" t="s">
        <v>203</v>
      </c>
      <c r="K93" t="s">
        <v>443</v>
      </c>
      <c r="L93">
        <v>527.33</v>
      </c>
      <c r="M93">
        <v>911.72</v>
      </c>
      <c r="N93">
        <v>0.144</v>
      </c>
      <c r="O93">
        <v>25</v>
      </c>
    </row>
    <row r="94" spans="1:15">
      <c r="A94" t="s">
        <v>444</v>
      </c>
      <c r="B94" s="29">
        <v>45101</v>
      </c>
      <c r="C94" s="29">
        <v>45100</v>
      </c>
      <c r="D94" t="s">
        <v>213</v>
      </c>
      <c r="E94" t="s">
        <v>234</v>
      </c>
      <c r="F94" t="s">
        <v>386</v>
      </c>
      <c r="G94" t="s">
        <v>200</v>
      </c>
      <c r="H94" t="s">
        <v>181</v>
      </c>
      <c r="I94" t="s">
        <v>224</v>
      </c>
      <c r="J94" t="s">
        <v>191</v>
      </c>
      <c r="K94" t="s">
        <v>445</v>
      </c>
      <c r="L94">
        <v>804.01</v>
      </c>
      <c r="M94">
        <v>1405.07</v>
      </c>
      <c r="N94">
        <v>0.096</v>
      </c>
      <c r="O94">
        <v>8</v>
      </c>
    </row>
    <row r="95" spans="1:15">
      <c r="A95" t="s">
        <v>446</v>
      </c>
      <c r="B95" s="29">
        <v>45569</v>
      </c>
      <c r="C95" s="29">
        <v>45598</v>
      </c>
      <c r="D95" t="s">
        <v>177</v>
      </c>
      <c r="E95" t="s">
        <v>186</v>
      </c>
      <c r="F95" t="s">
        <v>228</v>
      </c>
      <c r="G95" t="s">
        <v>180</v>
      </c>
      <c r="H95" t="s">
        <v>216</v>
      </c>
      <c r="I95" t="s">
        <v>245</v>
      </c>
      <c r="J95" t="s">
        <v>242</v>
      </c>
      <c r="K95" t="s">
        <v>447</v>
      </c>
      <c r="L95">
        <v>412.09</v>
      </c>
      <c r="M95">
        <v>968.94</v>
      </c>
      <c r="N95">
        <v>0.099</v>
      </c>
      <c r="O95">
        <v>23</v>
      </c>
    </row>
    <row r="96" spans="1:15">
      <c r="A96" t="s">
        <v>448</v>
      </c>
      <c r="B96" s="29">
        <v>45910</v>
      </c>
      <c r="C96" s="29">
        <v>45930</v>
      </c>
      <c r="D96" t="s">
        <v>177</v>
      </c>
      <c r="E96" t="s">
        <v>178</v>
      </c>
      <c r="F96" t="s">
        <v>274</v>
      </c>
      <c r="G96" t="s">
        <v>180</v>
      </c>
      <c r="H96" t="s">
        <v>259</v>
      </c>
      <c r="I96" t="s">
        <v>210</v>
      </c>
      <c r="J96" t="s">
        <v>203</v>
      </c>
      <c r="K96" t="s">
        <v>449</v>
      </c>
      <c r="L96">
        <v>1009.48</v>
      </c>
      <c r="M96">
        <v>1088.81</v>
      </c>
      <c r="N96">
        <v>0.16</v>
      </c>
      <c r="O96">
        <v>6</v>
      </c>
    </row>
    <row r="97" spans="1:15">
      <c r="A97" t="s">
        <v>450</v>
      </c>
      <c r="B97" s="29">
        <v>45022</v>
      </c>
      <c r="C97" s="29">
        <v>45043</v>
      </c>
      <c r="D97" t="s">
        <v>239</v>
      </c>
      <c r="E97" t="s">
        <v>269</v>
      </c>
      <c r="F97" t="s">
        <v>389</v>
      </c>
      <c r="G97" t="s">
        <v>266</v>
      </c>
      <c r="H97" t="s">
        <v>216</v>
      </c>
      <c r="I97" t="s">
        <v>195</v>
      </c>
      <c r="J97" t="s">
        <v>191</v>
      </c>
      <c r="K97" t="s">
        <v>451</v>
      </c>
      <c r="L97">
        <v>1084.79</v>
      </c>
      <c r="M97">
        <v>2484.99</v>
      </c>
      <c r="N97">
        <v>0.034</v>
      </c>
      <c r="O97">
        <v>18</v>
      </c>
    </row>
    <row r="98" spans="1:15">
      <c r="A98" t="s">
        <v>452</v>
      </c>
      <c r="B98" s="29">
        <v>45870</v>
      </c>
      <c r="C98" s="29">
        <v>45885</v>
      </c>
      <c r="D98" t="s">
        <v>206</v>
      </c>
      <c r="E98" t="s">
        <v>221</v>
      </c>
      <c r="G98" t="s">
        <v>266</v>
      </c>
      <c r="H98" t="s">
        <v>259</v>
      </c>
      <c r="I98" t="s">
        <v>229</v>
      </c>
      <c r="J98" t="s">
        <v>225</v>
      </c>
      <c r="K98" t="s">
        <v>453</v>
      </c>
      <c r="L98">
        <v>24.44</v>
      </c>
      <c r="M98">
        <v>28.69</v>
      </c>
      <c r="N98">
        <v>0.146</v>
      </c>
      <c r="O98">
        <v>6</v>
      </c>
    </row>
    <row r="99" spans="1:15">
      <c r="A99" t="s">
        <v>454</v>
      </c>
      <c r="B99" s="29">
        <v>45440</v>
      </c>
      <c r="C99" s="29">
        <v>45438</v>
      </c>
      <c r="D99" t="s">
        <v>177</v>
      </c>
      <c r="E99" t="s">
        <v>186</v>
      </c>
      <c r="F99" t="s">
        <v>228</v>
      </c>
      <c r="G99" t="s">
        <v>266</v>
      </c>
      <c r="H99" t="s">
        <v>189</v>
      </c>
      <c r="I99" t="s">
        <v>245</v>
      </c>
      <c r="J99" t="s">
        <v>242</v>
      </c>
      <c r="K99" t="s">
        <v>455</v>
      </c>
      <c r="L99">
        <v>1227.08</v>
      </c>
      <c r="M99">
        <v>1896.62</v>
      </c>
      <c r="N99">
        <v>0</v>
      </c>
      <c r="O99">
        <v>18</v>
      </c>
    </row>
    <row r="100" spans="1:15">
      <c r="A100" t="s">
        <v>456</v>
      </c>
      <c r="B100" s="29">
        <v>45860</v>
      </c>
      <c r="C100" s="29">
        <v>45887</v>
      </c>
      <c r="D100" t="s">
        <v>206</v>
      </c>
      <c r="E100" t="s">
        <v>277</v>
      </c>
      <c r="F100" t="s">
        <v>278</v>
      </c>
      <c r="G100" t="s">
        <v>200</v>
      </c>
      <c r="H100" t="s">
        <v>201</v>
      </c>
      <c r="I100" t="s">
        <v>271</v>
      </c>
      <c r="J100" t="s">
        <v>196</v>
      </c>
      <c r="K100" t="s">
        <v>457</v>
      </c>
      <c r="L100">
        <v>547.32</v>
      </c>
      <c r="M100">
        <v>419.17</v>
      </c>
      <c r="N100">
        <v>0.092</v>
      </c>
      <c r="O100">
        <v>14</v>
      </c>
    </row>
    <row r="101" spans="1:15">
      <c r="A101" t="s">
        <v>458</v>
      </c>
      <c r="B101" s="29">
        <v>44985</v>
      </c>
      <c r="C101" s="29">
        <v>45005</v>
      </c>
      <c r="D101" t="s">
        <v>239</v>
      </c>
      <c r="E101" t="s">
        <v>240</v>
      </c>
      <c r="F101" t="s">
        <v>241</v>
      </c>
      <c r="G101" t="s">
        <v>223</v>
      </c>
      <c r="H101" t="s">
        <v>259</v>
      </c>
      <c r="I101" t="s">
        <v>253</v>
      </c>
      <c r="J101" t="s">
        <v>218</v>
      </c>
      <c r="K101" t="s">
        <v>459</v>
      </c>
      <c r="L101">
        <v>1200.78</v>
      </c>
      <c r="M101">
        <v>2001.17</v>
      </c>
      <c r="N101">
        <v>0.292</v>
      </c>
      <c r="O101">
        <v>18</v>
      </c>
    </row>
    <row r="102" spans="1:15">
      <c r="A102" t="s">
        <v>460</v>
      </c>
      <c r="B102" s="29">
        <v>45684</v>
      </c>
      <c r="C102" s="29">
        <v>45703</v>
      </c>
      <c r="D102" t="s">
        <v>206</v>
      </c>
      <c r="E102" t="s">
        <v>277</v>
      </c>
      <c r="F102" t="s">
        <v>278</v>
      </c>
      <c r="G102" t="s">
        <v>200</v>
      </c>
      <c r="H102" t="s">
        <v>259</v>
      </c>
      <c r="I102" t="s">
        <v>210</v>
      </c>
      <c r="J102" t="s">
        <v>203</v>
      </c>
      <c r="K102" t="s">
        <v>461</v>
      </c>
      <c r="L102">
        <v>1253.22</v>
      </c>
      <c r="M102">
        <v>3104.71</v>
      </c>
      <c r="N102">
        <v>0</v>
      </c>
      <c r="O102">
        <v>17</v>
      </c>
    </row>
    <row r="103" spans="1:15">
      <c r="A103" t="s">
        <v>462</v>
      </c>
      <c r="B103" s="29">
        <v>45304</v>
      </c>
      <c r="C103" s="29">
        <v>45313</v>
      </c>
      <c r="D103" t="s">
        <v>206</v>
      </c>
      <c r="E103" t="s">
        <v>221</v>
      </c>
      <c r="F103" t="s">
        <v>381</v>
      </c>
      <c r="G103" t="s">
        <v>266</v>
      </c>
      <c r="H103" t="s">
        <v>201</v>
      </c>
      <c r="I103" t="s">
        <v>190</v>
      </c>
      <c r="J103" t="s">
        <v>183</v>
      </c>
      <c r="K103" t="s">
        <v>463</v>
      </c>
      <c r="L103">
        <v>313.6</v>
      </c>
      <c r="M103">
        <v>334.28</v>
      </c>
      <c r="N103">
        <v>0.14</v>
      </c>
      <c r="O103">
        <v>22</v>
      </c>
    </row>
    <row r="104" spans="1:15">
      <c r="A104" t="s">
        <v>464</v>
      </c>
      <c r="B104" s="29">
        <v>45747</v>
      </c>
      <c r="C104" s="29">
        <v>45751</v>
      </c>
      <c r="D104" t="s">
        <v>177</v>
      </c>
      <c r="E104" t="s">
        <v>178</v>
      </c>
      <c r="F104" t="s">
        <v>296</v>
      </c>
      <c r="G104" t="s">
        <v>180</v>
      </c>
      <c r="H104" t="s">
        <v>259</v>
      </c>
      <c r="I104" t="s">
        <v>182</v>
      </c>
      <c r="J104" t="s">
        <v>218</v>
      </c>
      <c r="K104" t="s">
        <v>465</v>
      </c>
      <c r="L104">
        <v>862.08</v>
      </c>
      <c r="M104">
        <v>1952.83</v>
      </c>
      <c r="N104">
        <v>0</v>
      </c>
      <c r="O104">
        <v>7</v>
      </c>
    </row>
    <row r="105" spans="1:15">
      <c r="A105" t="s">
        <v>466</v>
      </c>
      <c r="B105" s="29">
        <v>45631</v>
      </c>
      <c r="C105" s="29">
        <v>45654</v>
      </c>
      <c r="D105" t="s">
        <v>213</v>
      </c>
      <c r="E105" t="s">
        <v>214</v>
      </c>
      <c r="F105" t="s">
        <v>340</v>
      </c>
      <c r="G105" t="s">
        <v>180</v>
      </c>
      <c r="H105" t="s">
        <v>259</v>
      </c>
      <c r="I105" t="s">
        <v>245</v>
      </c>
      <c r="J105" t="s">
        <v>242</v>
      </c>
      <c r="K105" t="s">
        <v>467</v>
      </c>
      <c r="L105">
        <v>107.03</v>
      </c>
      <c r="M105">
        <v>242.29</v>
      </c>
      <c r="N105">
        <v>0.18</v>
      </c>
      <c r="O105">
        <v>30</v>
      </c>
    </row>
    <row r="106" spans="1:15">
      <c r="A106" t="s">
        <v>468</v>
      </c>
      <c r="B106" s="29">
        <v>45549</v>
      </c>
      <c r="C106" s="29">
        <v>45570</v>
      </c>
      <c r="D106" t="s">
        <v>206</v>
      </c>
      <c r="E106" t="s">
        <v>277</v>
      </c>
      <c r="F106" t="s">
        <v>323</v>
      </c>
      <c r="G106" t="s">
        <v>223</v>
      </c>
      <c r="H106" t="s">
        <v>189</v>
      </c>
      <c r="I106" t="s">
        <v>253</v>
      </c>
      <c r="J106" t="s">
        <v>218</v>
      </c>
      <c r="K106" t="s">
        <v>469</v>
      </c>
      <c r="L106">
        <v>1405.56</v>
      </c>
      <c r="M106">
        <v>2968.87</v>
      </c>
      <c r="N106">
        <v>0.169</v>
      </c>
      <c r="O106">
        <v>5</v>
      </c>
    </row>
    <row r="107" spans="1:15">
      <c r="A107" t="s">
        <v>470</v>
      </c>
      <c r="B107" s="29">
        <v>45433</v>
      </c>
      <c r="C107" s="29">
        <v>45439</v>
      </c>
      <c r="D107" t="s">
        <v>177</v>
      </c>
      <c r="E107" t="s">
        <v>309</v>
      </c>
      <c r="F107" t="s">
        <v>310</v>
      </c>
      <c r="G107" t="s">
        <v>200</v>
      </c>
      <c r="H107" t="s">
        <v>189</v>
      </c>
      <c r="I107" t="s">
        <v>271</v>
      </c>
      <c r="J107" t="s">
        <v>183</v>
      </c>
      <c r="K107" t="s">
        <v>471</v>
      </c>
      <c r="L107">
        <v>1157.51</v>
      </c>
      <c r="M107">
        <v>1394.3</v>
      </c>
      <c r="N107">
        <v>0.278</v>
      </c>
      <c r="O107">
        <v>12</v>
      </c>
    </row>
    <row r="108" spans="1:15">
      <c r="A108" t="s">
        <v>472</v>
      </c>
      <c r="B108" s="29">
        <v>45057</v>
      </c>
      <c r="C108" s="29">
        <v>45084</v>
      </c>
      <c r="D108" t="s">
        <v>177</v>
      </c>
      <c r="E108" t="s">
        <v>178</v>
      </c>
      <c r="F108" t="s">
        <v>274</v>
      </c>
      <c r="G108" t="s">
        <v>180</v>
      </c>
      <c r="H108" t="s">
        <v>189</v>
      </c>
      <c r="I108" t="s">
        <v>190</v>
      </c>
      <c r="J108" t="s">
        <v>203</v>
      </c>
      <c r="K108" t="s">
        <v>473</v>
      </c>
      <c r="L108">
        <v>12.85</v>
      </c>
      <c r="M108">
        <v>15.41</v>
      </c>
      <c r="N108">
        <v>0.137</v>
      </c>
      <c r="O108">
        <v>39</v>
      </c>
    </row>
    <row r="109" spans="1:15">
      <c r="A109" t="s">
        <v>474</v>
      </c>
      <c r="B109" s="29">
        <v>45518</v>
      </c>
      <c r="C109" s="29">
        <v>45539</v>
      </c>
      <c r="D109" t="s">
        <v>239</v>
      </c>
      <c r="E109" t="s">
        <v>269</v>
      </c>
      <c r="F109" t="s">
        <v>389</v>
      </c>
      <c r="G109" t="s">
        <v>200</v>
      </c>
      <c r="H109" t="s">
        <v>189</v>
      </c>
      <c r="I109" t="s">
        <v>190</v>
      </c>
      <c r="J109" t="s">
        <v>203</v>
      </c>
      <c r="K109" t="s">
        <v>475</v>
      </c>
      <c r="L109">
        <v>1138.8</v>
      </c>
      <c r="M109">
        <v>2250.81</v>
      </c>
      <c r="N109">
        <v>0.123</v>
      </c>
      <c r="O109">
        <v>12</v>
      </c>
    </row>
    <row r="110" spans="1:15">
      <c r="A110" t="s">
        <v>476</v>
      </c>
      <c r="B110" s="29">
        <v>45581</v>
      </c>
      <c r="C110" s="29">
        <v>45604</v>
      </c>
      <c r="D110" t="s">
        <v>206</v>
      </c>
      <c r="E110" t="s">
        <v>207</v>
      </c>
      <c r="F110" t="s">
        <v>208</v>
      </c>
      <c r="G110" t="s">
        <v>223</v>
      </c>
      <c r="H110" t="s">
        <v>181</v>
      </c>
      <c r="I110" t="s">
        <v>190</v>
      </c>
      <c r="J110" t="s">
        <v>196</v>
      </c>
      <c r="K110" t="s">
        <v>477</v>
      </c>
      <c r="L110">
        <v>82.14</v>
      </c>
      <c r="M110">
        <v>166.04</v>
      </c>
      <c r="N110">
        <v>0</v>
      </c>
      <c r="O110">
        <v>10</v>
      </c>
    </row>
    <row r="111" spans="1:15">
      <c r="A111" t="s">
        <v>478</v>
      </c>
      <c r="B111" s="29">
        <v>45445</v>
      </c>
      <c r="C111" s="29">
        <v>45451</v>
      </c>
      <c r="D111" t="s">
        <v>177</v>
      </c>
      <c r="E111" t="s">
        <v>178</v>
      </c>
      <c r="F111" t="s">
        <v>179</v>
      </c>
      <c r="G111" t="s">
        <v>209</v>
      </c>
      <c r="H111" t="s">
        <v>201</v>
      </c>
      <c r="I111" t="s">
        <v>236</v>
      </c>
      <c r="J111" t="s">
        <v>242</v>
      </c>
      <c r="K111" t="s">
        <v>479</v>
      </c>
      <c r="L111">
        <v>292.94</v>
      </c>
      <c r="M111">
        <v>356.55</v>
      </c>
      <c r="N111">
        <v>0.229</v>
      </c>
      <c r="O111">
        <v>2</v>
      </c>
    </row>
    <row r="112" spans="1:15">
      <c r="A112" t="s">
        <v>480</v>
      </c>
      <c r="B112" s="29">
        <v>45452</v>
      </c>
      <c r="C112" s="29">
        <v>45480</v>
      </c>
      <c r="D112" t="s">
        <v>206</v>
      </c>
      <c r="E112" t="s">
        <v>277</v>
      </c>
      <c r="F112" t="s">
        <v>278</v>
      </c>
      <c r="G112" t="s">
        <v>180</v>
      </c>
      <c r="H112" t="s">
        <v>189</v>
      </c>
      <c r="I112" t="s">
        <v>190</v>
      </c>
      <c r="J112" t="s">
        <v>183</v>
      </c>
      <c r="K112" t="s">
        <v>481</v>
      </c>
      <c r="L112">
        <v>550.22</v>
      </c>
      <c r="M112">
        <v>1025.05</v>
      </c>
      <c r="N112">
        <v>0</v>
      </c>
      <c r="O112">
        <v>27</v>
      </c>
    </row>
    <row r="113" spans="1:15">
      <c r="A113" t="s">
        <v>482</v>
      </c>
      <c r="B113" s="29">
        <v>45453</v>
      </c>
      <c r="C113" s="29">
        <v>45454</v>
      </c>
      <c r="D113" t="s">
        <v>239</v>
      </c>
      <c r="E113" t="s">
        <v>269</v>
      </c>
      <c r="F113" t="s">
        <v>270</v>
      </c>
      <c r="G113" t="s">
        <v>223</v>
      </c>
      <c r="H113" t="s">
        <v>201</v>
      </c>
      <c r="I113" t="s">
        <v>271</v>
      </c>
      <c r="J113" t="s">
        <v>218</v>
      </c>
      <c r="K113" t="s">
        <v>483</v>
      </c>
      <c r="L113">
        <v>1187.13</v>
      </c>
      <c r="M113">
        <v>1795.17</v>
      </c>
      <c r="N113">
        <v>0.012</v>
      </c>
      <c r="O113">
        <v>17</v>
      </c>
    </row>
    <row r="114" spans="1:15">
      <c r="A114" t="s">
        <v>484</v>
      </c>
      <c r="B114" s="29">
        <v>45472</v>
      </c>
      <c r="C114" s="29">
        <v>45499</v>
      </c>
      <c r="D114" t="s">
        <v>177</v>
      </c>
      <c r="E114" t="s">
        <v>309</v>
      </c>
      <c r="F114" t="s">
        <v>333</v>
      </c>
      <c r="G114" t="s">
        <v>266</v>
      </c>
      <c r="H114" t="s">
        <v>216</v>
      </c>
      <c r="I114" t="s">
        <v>217</v>
      </c>
      <c r="J114" t="s">
        <v>196</v>
      </c>
      <c r="K114" t="s">
        <v>485</v>
      </c>
      <c r="L114">
        <v>5.36</v>
      </c>
      <c r="M114">
        <v>4.37</v>
      </c>
      <c r="N114">
        <v>0.118</v>
      </c>
      <c r="O114">
        <v>9</v>
      </c>
    </row>
    <row r="115" spans="1:15">
      <c r="A115" t="s">
        <v>486</v>
      </c>
      <c r="B115" s="29">
        <v>45674</v>
      </c>
      <c r="C115" s="29">
        <v>45681</v>
      </c>
      <c r="D115" t="s">
        <v>213</v>
      </c>
      <c r="E115" t="s">
        <v>283</v>
      </c>
      <c r="F115" t="s">
        <v>487</v>
      </c>
      <c r="G115" t="s">
        <v>266</v>
      </c>
      <c r="H115" t="s">
        <v>189</v>
      </c>
      <c r="I115" t="s">
        <v>202</v>
      </c>
      <c r="J115" t="s">
        <v>242</v>
      </c>
      <c r="K115" t="s">
        <v>488</v>
      </c>
      <c r="L115">
        <v>142.09</v>
      </c>
      <c r="M115">
        <v>218.5</v>
      </c>
      <c r="N115">
        <v>0.119</v>
      </c>
      <c r="O115">
        <v>11</v>
      </c>
    </row>
    <row r="116" spans="1:15">
      <c r="A116" t="s">
        <v>489</v>
      </c>
      <c r="B116" s="29">
        <v>45250</v>
      </c>
      <c r="C116" s="29">
        <v>45265</v>
      </c>
      <c r="D116" t="s">
        <v>206</v>
      </c>
      <c r="E116" t="s">
        <v>207</v>
      </c>
      <c r="F116" t="s">
        <v>375</v>
      </c>
      <c r="G116" t="s">
        <v>266</v>
      </c>
      <c r="H116" t="s">
        <v>181</v>
      </c>
      <c r="I116" t="s">
        <v>210</v>
      </c>
      <c r="J116" t="s">
        <v>196</v>
      </c>
      <c r="K116" t="s">
        <v>490</v>
      </c>
      <c r="L116">
        <v>354.24</v>
      </c>
      <c r="M116">
        <v>249.87</v>
      </c>
      <c r="N116">
        <v>0</v>
      </c>
      <c r="O116">
        <v>6</v>
      </c>
    </row>
    <row r="117" spans="1:15">
      <c r="A117" t="s">
        <v>491</v>
      </c>
      <c r="B117" s="29">
        <v>44987</v>
      </c>
      <c r="C117" s="29">
        <v>44990</v>
      </c>
      <c r="D117" t="s">
        <v>213</v>
      </c>
      <c r="E117" t="s">
        <v>234</v>
      </c>
      <c r="F117" t="s">
        <v>248</v>
      </c>
      <c r="G117" t="s">
        <v>266</v>
      </c>
      <c r="H117" t="s">
        <v>259</v>
      </c>
      <c r="I117" t="s">
        <v>202</v>
      </c>
      <c r="J117" t="s">
        <v>225</v>
      </c>
      <c r="K117" t="s">
        <v>492</v>
      </c>
      <c r="L117">
        <v>1473.58</v>
      </c>
      <c r="M117">
        <v>3436.52</v>
      </c>
      <c r="N117">
        <v>0.108</v>
      </c>
      <c r="O117">
        <v>8</v>
      </c>
    </row>
    <row r="118" spans="1:15">
      <c r="A118" t="s">
        <v>493</v>
      </c>
      <c r="B118" s="29">
        <v>45811</v>
      </c>
      <c r="C118" s="29">
        <v>45818</v>
      </c>
      <c r="D118" t="s">
        <v>213</v>
      </c>
      <c r="E118" t="s">
        <v>214</v>
      </c>
      <c r="F118" t="s">
        <v>215</v>
      </c>
      <c r="G118" t="s">
        <v>209</v>
      </c>
      <c r="H118" t="s">
        <v>216</v>
      </c>
      <c r="I118" t="s">
        <v>229</v>
      </c>
      <c r="J118" t="s">
        <v>191</v>
      </c>
      <c r="K118" t="s">
        <v>494</v>
      </c>
      <c r="L118">
        <v>75.18</v>
      </c>
      <c r="M118">
        <v>53.45</v>
      </c>
      <c r="N118">
        <v>0.157</v>
      </c>
      <c r="O118">
        <v>17</v>
      </c>
    </row>
    <row r="119" spans="1:15">
      <c r="A119" t="s">
        <v>495</v>
      </c>
      <c r="B119" s="29">
        <v>45653</v>
      </c>
      <c r="C119" s="29">
        <v>45659</v>
      </c>
      <c r="D119" t="s">
        <v>239</v>
      </c>
      <c r="E119" t="s">
        <v>240</v>
      </c>
      <c r="F119" t="s">
        <v>496</v>
      </c>
      <c r="G119" t="s">
        <v>188</v>
      </c>
      <c r="H119" t="s">
        <v>259</v>
      </c>
      <c r="I119" t="s">
        <v>245</v>
      </c>
      <c r="J119" t="s">
        <v>218</v>
      </c>
      <c r="K119" t="s">
        <v>497</v>
      </c>
      <c r="L119">
        <v>1391.99</v>
      </c>
      <c r="M119">
        <v>3469.7</v>
      </c>
      <c r="N119">
        <v>0.184</v>
      </c>
      <c r="O119">
        <v>23</v>
      </c>
    </row>
    <row r="120" spans="1:15">
      <c r="A120" t="s">
        <v>498</v>
      </c>
      <c r="B120" s="29">
        <v>45086</v>
      </c>
      <c r="C120" s="29">
        <v>45096</v>
      </c>
      <c r="D120" t="s">
        <v>206</v>
      </c>
      <c r="E120" t="s">
        <v>277</v>
      </c>
      <c r="F120" t="s">
        <v>499</v>
      </c>
      <c r="G120" t="s">
        <v>266</v>
      </c>
      <c r="H120" t="s">
        <v>181</v>
      </c>
      <c r="I120" t="s">
        <v>245</v>
      </c>
      <c r="J120" t="s">
        <v>225</v>
      </c>
      <c r="K120" t="s">
        <v>500</v>
      </c>
      <c r="L120">
        <v>339.61</v>
      </c>
      <c r="M120">
        <v>621.02</v>
      </c>
      <c r="N120">
        <v>0.071</v>
      </c>
      <c r="O120">
        <v>10</v>
      </c>
    </row>
    <row r="121" spans="1:15">
      <c r="A121" t="s">
        <v>501</v>
      </c>
      <c r="B121" s="29">
        <v>45847</v>
      </c>
      <c r="C121" s="29">
        <v>45856</v>
      </c>
      <c r="D121" t="s">
        <v>213</v>
      </c>
      <c r="E121" t="s">
        <v>214</v>
      </c>
      <c r="F121" t="s">
        <v>340</v>
      </c>
      <c r="G121" t="s">
        <v>188</v>
      </c>
      <c r="H121" t="s">
        <v>216</v>
      </c>
      <c r="I121" t="s">
        <v>195</v>
      </c>
      <c r="J121" t="s">
        <v>218</v>
      </c>
      <c r="K121" t="s">
        <v>502</v>
      </c>
      <c r="L121">
        <v>57.96</v>
      </c>
      <c r="M121">
        <v>88.51</v>
      </c>
      <c r="N121">
        <v>0.043</v>
      </c>
      <c r="O121">
        <v>7</v>
      </c>
    </row>
    <row r="122" spans="1:15">
      <c r="A122" t="s">
        <v>503</v>
      </c>
      <c r="B122" s="29">
        <v>45827</v>
      </c>
      <c r="C122" s="29">
        <v>45850</v>
      </c>
      <c r="D122" t="s">
        <v>239</v>
      </c>
      <c r="E122" t="s">
        <v>269</v>
      </c>
      <c r="G122" t="s">
        <v>200</v>
      </c>
      <c r="H122" t="s">
        <v>259</v>
      </c>
      <c r="J122" t="s">
        <v>196</v>
      </c>
      <c r="K122" t="s">
        <v>504</v>
      </c>
      <c r="L122">
        <v>801.24</v>
      </c>
      <c r="M122">
        <v>1959.09</v>
      </c>
      <c r="N122">
        <v>0.123</v>
      </c>
      <c r="O122">
        <v>23</v>
      </c>
    </row>
    <row r="123" spans="1:15">
      <c r="A123" t="s">
        <v>505</v>
      </c>
      <c r="B123" s="29">
        <v>45249</v>
      </c>
      <c r="C123" s="29">
        <v>45273</v>
      </c>
      <c r="D123" t="s">
        <v>239</v>
      </c>
      <c r="E123" t="s">
        <v>251</v>
      </c>
      <c r="F123" t="s">
        <v>299</v>
      </c>
      <c r="G123" t="s">
        <v>200</v>
      </c>
      <c r="H123" t="s">
        <v>259</v>
      </c>
      <c r="I123" t="s">
        <v>253</v>
      </c>
      <c r="J123" t="s">
        <v>225</v>
      </c>
      <c r="K123" t="s">
        <v>506</v>
      </c>
      <c r="L123">
        <v>1297.42</v>
      </c>
      <c r="M123">
        <v>2742.97</v>
      </c>
      <c r="N123">
        <v>0.069</v>
      </c>
      <c r="O123">
        <v>9</v>
      </c>
    </row>
    <row r="124" spans="1:15">
      <c r="A124" t="s">
        <v>507</v>
      </c>
      <c r="B124" s="29">
        <v>45289</v>
      </c>
      <c r="C124" s="29">
        <v>45311</v>
      </c>
      <c r="D124" t="s">
        <v>177</v>
      </c>
      <c r="E124" t="s">
        <v>178</v>
      </c>
      <c r="F124" t="s">
        <v>179</v>
      </c>
      <c r="G124" t="s">
        <v>180</v>
      </c>
      <c r="H124" t="s">
        <v>259</v>
      </c>
      <c r="I124" t="s">
        <v>210</v>
      </c>
      <c r="J124" t="s">
        <v>203</v>
      </c>
      <c r="K124" t="s">
        <v>508</v>
      </c>
      <c r="L124">
        <v>1395.49</v>
      </c>
      <c r="M124">
        <v>1679.42</v>
      </c>
      <c r="N124">
        <v>0.203</v>
      </c>
      <c r="O124">
        <v>12</v>
      </c>
    </row>
    <row r="125" spans="1:15">
      <c r="A125" t="s">
        <v>509</v>
      </c>
      <c r="B125" s="29">
        <v>45598</v>
      </c>
      <c r="C125" s="29">
        <v>45625</v>
      </c>
      <c r="D125" t="s">
        <v>213</v>
      </c>
      <c r="E125" t="s">
        <v>234</v>
      </c>
      <c r="F125" t="s">
        <v>248</v>
      </c>
      <c r="G125" t="s">
        <v>223</v>
      </c>
      <c r="H125" t="s">
        <v>259</v>
      </c>
      <c r="I125" t="s">
        <v>195</v>
      </c>
      <c r="J125" t="s">
        <v>196</v>
      </c>
      <c r="K125" t="s">
        <v>510</v>
      </c>
      <c r="L125">
        <v>1363.51</v>
      </c>
      <c r="M125">
        <v>1433.9</v>
      </c>
      <c r="N125">
        <v>0.057</v>
      </c>
      <c r="O125">
        <v>8</v>
      </c>
    </row>
    <row r="126" spans="1:15">
      <c r="A126" t="s">
        <v>511</v>
      </c>
      <c r="B126" s="29">
        <v>45159</v>
      </c>
      <c r="C126" s="29">
        <v>45173</v>
      </c>
      <c r="D126" t="s">
        <v>213</v>
      </c>
      <c r="E126" t="s">
        <v>214</v>
      </c>
      <c r="F126" t="s">
        <v>305</v>
      </c>
      <c r="G126" t="s">
        <v>188</v>
      </c>
      <c r="H126" t="s">
        <v>216</v>
      </c>
      <c r="I126" t="s">
        <v>245</v>
      </c>
      <c r="J126" t="s">
        <v>183</v>
      </c>
      <c r="K126" t="s">
        <v>512</v>
      </c>
      <c r="L126">
        <v>178.19</v>
      </c>
      <c r="M126">
        <v>284.43</v>
      </c>
      <c r="N126">
        <v>0.089</v>
      </c>
      <c r="O126">
        <v>8</v>
      </c>
    </row>
    <row r="127" spans="1:15">
      <c r="A127" t="s">
        <v>513</v>
      </c>
      <c r="B127" s="29">
        <v>45150</v>
      </c>
      <c r="C127" s="29">
        <v>45175</v>
      </c>
      <c r="D127" t="s">
        <v>206</v>
      </c>
      <c r="E127" t="s">
        <v>277</v>
      </c>
      <c r="F127" t="s">
        <v>323</v>
      </c>
      <c r="G127" t="s">
        <v>223</v>
      </c>
      <c r="H127" t="s">
        <v>181</v>
      </c>
      <c r="I127" t="s">
        <v>217</v>
      </c>
      <c r="J127" t="s">
        <v>183</v>
      </c>
      <c r="K127" t="s">
        <v>514</v>
      </c>
      <c r="L127">
        <v>950.77</v>
      </c>
      <c r="M127">
        <v>694.78</v>
      </c>
      <c r="N127">
        <v>0.084</v>
      </c>
      <c r="O127">
        <v>14</v>
      </c>
    </row>
    <row r="128" spans="1:15">
      <c r="A128" t="s">
        <v>515</v>
      </c>
      <c r="B128" s="29">
        <v>45450</v>
      </c>
      <c r="C128" s="29">
        <v>45469</v>
      </c>
      <c r="D128" t="s">
        <v>239</v>
      </c>
      <c r="E128" t="s">
        <v>240</v>
      </c>
      <c r="F128" t="s">
        <v>241</v>
      </c>
      <c r="G128" t="s">
        <v>200</v>
      </c>
      <c r="H128" t="s">
        <v>201</v>
      </c>
      <c r="I128" t="s">
        <v>271</v>
      </c>
      <c r="J128" t="s">
        <v>183</v>
      </c>
      <c r="K128" t="s">
        <v>516</v>
      </c>
      <c r="L128">
        <v>1064.32</v>
      </c>
      <c r="M128">
        <v>1848.39</v>
      </c>
      <c r="N128">
        <v>0.073</v>
      </c>
      <c r="O128">
        <v>38</v>
      </c>
    </row>
    <row r="129" spans="1:15">
      <c r="A129" t="s">
        <v>517</v>
      </c>
      <c r="B129" s="29">
        <v>45874</v>
      </c>
      <c r="C129" s="29">
        <v>45883</v>
      </c>
      <c r="D129" t="s">
        <v>239</v>
      </c>
      <c r="E129" t="s">
        <v>269</v>
      </c>
      <c r="F129" t="s">
        <v>313</v>
      </c>
      <c r="G129" t="s">
        <v>200</v>
      </c>
      <c r="H129" t="s">
        <v>259</v>
      </c>
      <c r="I129" t="s">
        <v>224</v>
      </c>
      <c r="J129" t="s">
        <v>183</v>
      </c>
      <c r="K129" t="s">
        <v>518</v>
      </c>
      <c r="L129">
        <v>41.76</v>
      </c>
      <c r="M129">
        <v>45.19</v>
      </c>
      <c r="N129">
        <v>0.179</v>
      </c>
      <c r="O129">
        <v>23</v>
      </c>
    </row>
    <row r="130" spans="1:15">
      <c r="A130" t="s">
        <v>519</v>
      </c>
      <c r="B130" s="29">
        <v>45442</v>
      </c>
      <c r="C130" s="29">
        <v>45456</v>
      </c>
      <c r="D130" t="s">
        <v>213</v>
      </c>
      <c r="E130" t="s">
        <v>283</v>
      </c>
      <c r="F130" t="s">
        <v>328</v>
      </c>
      <c r="G130" t="s">
        <v>223</v>
      </c>
      <c r="H130" t="s">
        <v>181</v>
      </c>
      <c r="I130" t="s">
        <v>245</v>
      </c>
      <c r="J130" t="s">
        <v>203</v>
      </c>
      <c r="K130" t="s">
        <v>520</v>
      </c>
      <c r="L130">
        <v>157.78</v>
      </c>
      <c r="M130">
        <v>361.1</v>
      </c>
      <c r="N130">
        <v>0.187</v>
      </c>
      <c r="O130">
        <v>9</v>
      </c>
    </row>
    <row r="131" spans="1:15">
      <c r="A131" t="s">
        <v>521</v>
      </c>
      <c r="B131" s="29">
        <v>44948</v>
      </c>
      <c r="C131" s="29">
        <v>44956</v>
      </c>
      <c r="D131" t="s">
        <v>213</v>
      </c>
      <c r="E131" t="s">
        <v>283</v>
      </c>
      <c r="F131" t="s">
        <v>328</v>
      </c>
      <c r="G131" t="s">
        <v>223</v>
      </c>
      <c r="H131" t="s">
        <v>189</v>
      </c>
      <c r="I131" t="s">
        <v>236</v>
      </c>
      <c r="J131" t="s">
        <v>196</v>
      </c>
      <c r="K131" t="s">
        <v>522</v>
      </c>
      <c r="L131">
        <v>413.52</v>
      </c>
      <c r="M131">
        <v>1004.34</v>
      </c>
      <c r="N131">
        <v>0.111</v>
      </c>
      <c r="O131">
        <v>18</v>
      </c>
    </row>
    <row r="132" spans="1:15">
      <c r="A132" t="s">
        <v>523</v>
      </c>
      <c r="B132" s="29">
        <v>45700</v>
      </c>
      <c r="C132" s="29">
        <v>45716</v>
      </c>
      <c r="D132" t="s">
        <v>213</v>
      </c>
      <c r="E132" t="s">
        <v>234</v>
      </c>
      <c r="F132" t="s">
        <v>235</v>
      </c>
      <c r="G132" t="s">
        <v>200</v>
      </c>
      <c r="H132" t="s">
        <v>259</v>
      </c>
      <c r="I132" t="s">
        <v>217</v>
      </c>
      <c r="J132" t="s">
        <v>225</v>
      </c>
      <c r="K132" t="s">
        <v>524</v>
      </c>
      <c r="L132">
        <v>414.95</v>
      </c>
      <c r="M132">
        <v>1027.73</v>
      </c>
      <c r="N132">
        <v>0.063</v>
      </c>
      <c r="O132">
        <v>8</v>
      </c>
    </row>
    <row r="133" spans="1:15">
      <c r="A133" t="s">
        <v>525</v>
      </c>
      <c r="B133" s="29">
        <v>45719</v>
      </c>
      <c r="C133" s="29">
        <v>45740</v>
      </c>
      <c r="D133" t="s">
        <v>177</v>
      </c>
      <c r="E133" t="s">
        <v>186</v>
      </c>
      <c r="F133" t="s">
        <v>228</v>
      </c>
      <c r="G133" t="s">
        <v>266</v>
      </c>
      <c r="H133" t="s">
        <v>259</v>
      </c>
      <c r="I133" t="s">
        <v>253</v>
      </c>
      <c r="J133" t="s">
        <v>242</v>
      </c>
      <c r="K133" t="s">
        <v>526</v>
      </c>
      <c r="L133">
        <v>555.95</v>
      </c>
      <c r="M133">
        <v>468.09</v>
      </c>
      <c r="N133">
        <v>0.142</v>
      </c>
      <c r="O133">
        <v>11</v>
      </c>
    </row>
    <row r="134" spans="1:15">
      <c r="A134" t="s">
        <v>527</v>
      </c>
      <c r="B134" s="29">
        <v>44953</v>
      </c>
      <c r="C134" s="29">
        <v>44957</v>
      </c>
      <c r="D134" t="s">
        <v>239</v>
      </c>
      <c r="E134" t="s">
        <v>269</v>
      </c>
      <c r="F134" t="s">
        <v>389</v>
      </c>
      <c r="G134" t="s">
        <v>266</v>
      </c>
      <c r="H134" t="s">
        <v>189</v>
      </c>
      <c r="I134" t="s">
        <v>287</v>
      </c>
      <c r="J134" t="s">
        <v>218</v>
      </c>
      <c r="K134" t="s">
        <v>528</v>
      </c>
      <c r="L134">
        <v>941.2</v>
      </c>
      <c r="M134">
        <v>668.02</v>
      </c>
      <c r="N134">
        <v>0.22</v>
      </c>
      <c r="O134">
        <v>16</v>
      </c>
    </row>
    <row r="135" spans="1:15">
      <c r="A135" t="s">
        <v>529</v>
      </c>
      <c r="B135" s="29">
        <v>45666</v>
      </c>
      <c r="C135" s="29">
        <v>45672</v>
      </c>
      <c r="D135" t="s">
        <v>206</v>
      </c>
      <c r="E135" t="s">
        <v>277</v>
      </c>
      <c r="F135" t="s">
        <v>499</v>
      </c>
      <c r="G135" t="s">
        <v>188</v>
      </c>
      <c r="H135" t="s">
        <v>189</v>
      </c>
      <c r="I135" t="s">
        <v>182</v>
      </c>
      <c r="J135" t="s">
        <v>203</v>
      </c>
      <c r="K135" t="s">
        <v>530</v>
      </c>
      <c r="L135">
        <v>304.78</v>
      </c>
      <c r="M135">
        <v>537.27</v>
      </c>
      <c r="N135">
        <v>0.187</v>
      </c>
      <c r="O135">
        <v>8</v>
      </c>
    </row>
    <row r="136" spans="1:15">
      <c r="A136" t="s">
        <v>531</v>
      </c>
      <c r="B136" s="29">
        <v>45647</v>
      </c>
      <c r="C136" s="29">
        <v>45652</v>
      </c>
      <c r="D136" t="s">
        <v>213</v>
      </c>
      <c r="E136" t="s">
        <v>283</v>
      </c>
      <c r="F136" t="s">
        <v>328</v>
      </c>
      <c r="G136" t="s">
        <v>209</v>
      </c>
      <c r="H136" t="s">
        <v>201</v>
      </c>
      <c r="I136" t="s">
        <v>271</v>
      </c>
      <c r="J136" t="s">
        <v>191</v>
      </c>
      <c r="K136" t="s">
        <v>532</v>
      </c>
      <c r="L136">
        <v>699.57</v>
      </c>
      <c r="M136">
        <v>572.71</v>
      </c>
      <c r="N136">
        <v>0.192</v>
      </c>
      <c r="O136">
        <v>26</v>
      </c>
    </row>
    <row r="137" spans="1:15">
      <c r="A137" t="s">
        <v>533</v>
      </c>
      <c r="B137" s="29">
        <v>45028</v>
      </c>
      <c r="C137" s="29">
        <v>45033</v>
      </c>
      <c r="D137" t="s">
        <v>239</v>
      </c>
      <c r="E137" t="s">
        <v>251</v>
      </c>
      <c r="F137" t="s">
        <v>299</v>
      </c>
      <c r="G137" t="s">
        <v>266</v>
      </c>
      <c r="H137" t="s">
        <v>259</v>
      </c>
      <c r="I137" t="s">
        <v>224</v>
      </c>
      <c r="J137" t="s">
        <v>225</v>
      </c>
      <c r="K137" t="s">
        <v>534</v>
      </c>
      <c r="L137">
        <v>1087.81</v>
      </c>
      <c r="M137">
        <v>2323.87</v>
      </c>
      <c r="N137">
        <v>0.094</v>
      </c>
      <c r="O137">
        <v>13</v>
      </c>
    </row>
    <row r="138" spans="1:15">
      <c r="A138" t="s">
        <v>535</v>
      </c>
      <c r="B138" s="29">
        <v>45640</v>
      </c>
      <c r="C138" s="29">
        <v>45669</v>
      </c>
      <c r="D138" t="s">
        <v>206</v>
      </c>
      <c r="E138" t="s">
        <v>277</v>
      </c>
      <c r="F138" t="s">
        <v>278</v>
      </c>
      <c r="G138" t="s">
        <v>188</v>
      </c>
      <c r="H138" t="s">
        <v>189</v>
      </c>
      <c r="I138" t="s">
        <v>190</v>
      </c>
      <c r="J138" t="s">
        <v>183</v>
      </c>
      <c r="K138" t="s">
        <v>536</v>
      </c>
      <c r="L138">
        <v>1412.15</v>
      </c>
      <c r="M138">
        <v>1631.04</v>
      </c>
      <c r="N138">
        <v>0.009</v>
      </c>
      <c r="O138">
        <v>6</v>
      </c>
    </row>
    <row r="139" spans="1:15">
      <c r="A139" t="s">
        <v>537</v>
      </c>
      <c r="B139" s="29">
        <v>45016</v>
      </c>
      <c r="C139" s="29">
        <v>45028</v>
      </c>
      <c r="D139" t="s">
        <v>177</v>
      </c>
      <c r="E139" t="s">
        <v>178</v>
      </c>
      <c r="F139" t="s">
        <v>274</v>
      </c>
      <c r="G139" t="s">
        <v>223</v>
      </c>
      <c r="H139" t="s">
        <v>189</v>
      </c>
      <c r="I139" t="s">
        <v>182</v>
      </c>
      <c r="J139" t="s">
        <v>203</v>
      </c>
      <c r="K139" t="s">
        <v>538</v>
      </c>
      <c r="L139">
        <v>304.22</v>
      </c>
      <c r="M139">
        <v>393.31</v>
      </c>
      <c r="N139">
        <v>0.265</v>
      </c>
      <c r="O139">
        <v>15</v>
      </c>
    </row>
    <row r="140" spans="1:15">
      <c r="A140" t="s">
        <v>539</v>
      </c>
      <c r="B140" s="29">
        <v>45616</v>
      </c>
      <c r="C140" s="29">
        <v>45641</v>
      </c>
      <c r="D140" t="s">
        <v>239</v>
      </c>
      <c r="E140" t="s">
        <v>251</v>
      </c>
      <c r="F140" t="s">
        <v>378</v>
      </c>
      <c r="G140" t="s">
        <v>180</v>
      </c>
      <c r="H140" t="s">
        <v>189</v>
      </c>
      <c r="I140" t="s">
        <v>202</v>
      </c>
      <c r="J140" t="s">
        <v>191</v>
      </c>
      <c r="K140" t="s">
        <v>540</v>
      </c>
      <c r="L140">
        <v>1203.58</v>
      </c>
      <c r="M140">
        <v>1856.16</v>
      </c>
      <c r="N140">
        <v>0.129</v>
      </c>
      <c r="O140">
        <v>22</v>
      </c>
    </row>
    <row r="141" spans="1:15">
      <c r="A141" t="s">
        <v>541</v>
      </c>
      <c r="B141" s="29">
        <v>45336</v>
      </c>
      <c r="C141" s="29">
        <v>45336</v>
      </c>
      <c r="D141" t="s">
        <v>206</v>
      </c>
      <c r="E141" t="s">
        <v>277</v>
      </c>
      <c r="F141" t="s">
        <v>499</v>
      </c>
      <c r="G141" t="s">
        <v>180</v>
      </c>
      <c r="H141" t="s">
        <v>216</v>
      </c>
      <c r="I141" t="s">
        <v>210</v>
      </c>
      <c r="J141" t="s">
        <v>242</v>
      </c>
      <c r="K141" t="s">
        <v>542</v>
      </c>
      <c r="L141">
        <v>65.93</v>
      </c>
      <c r="M141">
        <v>84.9</v>
      </c>
      <c r="N141">
        <v>0.259</v>
      </c>
      <c r="O141">
        <v>23</v>
      </c>
    </row>
    <row r="142" spans="1:15">
      <c r="A142" t="s">
        <v>543</v>
      </c>
      <c r="B142" s="29">
        <v>45048</v>
      </c>
      <c r="C142" s="29">
        <v>45064</v>
      </c>
      <c r="D142" t="s">
        <v>206</v>
      </c>
      <c r="E142" t="s">
        <v>221</v>
      </c>
      <c r="F142" t="s">
        <v>302</v>
      </c>
      <c r="G142" t="s">
        <v>223</v>
      </c>
      <c r="H142" t="s">
        <v>201</v>
      </c>
      <c r="I142" t="s">
        <v>256</v>
      </c>
      <c r="J142" t="s">
        <v>225</v>
      </c>
      <c r="K142" t="s">
        <v>544</v>
      </c>
      <c r="L142">
        <v>1463.92</v>
      </c>
      <c r="M142">
        <v>2252.24</v>
      </c>
      <c r="N142">
        <v>0.118</v>
      </c>
      <c r="O142">
        <v>44</v>
      </c>
    </row>
    <row r="143" spans="1:15">
      <c r="A143" t="s">
        <v>545</v>
      </c>
      <c r="B143" s="29">
        <v>45649</v>
      </c>
      <c r="C143" s="29">
        <v>45668</v>
      </c>
      <c r="D143" t="s">
        <v>239</v>
      </c>
      <c r="E143" t="s">
        <v>240</v>
      </c>
      <c r="F143" t="s">
        <v>241</v>
      </c>
      <c r="G143" t="s">
        <v>188</v>
      </c>
      <c r="H143" t="s">
        <v>181</v>
      </c>
      <c r="I143" t="s">
        <v>256</v>
      </c>
      <c r="J143" t="s">
        <v>203</v>
      </c>
      <c r="K143" t="s">
        <v>546</v>
      </c>
      <c r="L143">
        <v>501.81</v>
      </c>
      <c r="M143">
        <v>921.62</v>
      </c>
      <c r="N143">
        <v>0.01</v>
      </c>
      <c r="O143">
        <v>9</v>
      </c>
    </row>
    <row r="144" spans="1:15">
      <c r="A144" t="s">
        <v>547</v>
      </c>
      <c r="B144" s="29">
        <v>45133</v>
      </c>
      <c r="C144" s="29">
        <v>45163</v>
      </c>
      <c r="D144" t="s">
        <v>213</v>
      </c>
      <c r="E144" t="s">
        <v>283</v>
      </c>
      <c r="F144" t="s">
        <v>548</v>
      </c>
      <c r="G144" t="s">
        <v>209</v>
      </c>
      <c r="H144" t="s">
        <v>181</v>
      </c>
      <c r="I144" t="s">
        <v>271</v>
      </c>
      <c r="J144" t="s">
        <v>242</v>
      </c>
      <c r="K144" t="s">
        <v>549</v>
      </c>
      <c r="L144">
        <v>1261.48</v>
      </c>
      <c r="M144">
        <v>1643.18</v>
      </c>
      <c r="N144">
        <v>0.151</v>
      </c>
      <c r="O144">
        <v>23</v>
      </c>
    </row>
    <row r="145" spans="1:15">
      <c r="A145" t="s">
        <v>550</v>
      </c>
      <c r="B145" s="29">
        <v>45458</v>
      </c>
      <c r="C145" s="29">
        <v>45479</v>
      </c>
      <c r="D145" t="s">
        <v>213</v>
      </c>
      <c r="E145" t="s">
        <v>214</v>
      </c>
      <c r="F145" t="s">
        <v>215</v>
      </c>
      <c r="G145" t="s">
        <v>266</v>
      </c>
      <c r="H145" t="s">
        <v>216</v>
      </c>
      <c r="I145" t="s">
        <v>210</v>
      </c>
      <c r="J145" t="s">
        <v>191</v>
      </c>
      <c r="K145" t="s">
        <v>551</v>
      </c>
      <c r="L145">
        <v>817.23</v>
      </c>
      <c r="M145">
        <v>1467.17</v>
      </c>
      <c r="N145">
        <v>0.245</v>
      </c>
      <c r="O145">
        <v>9</v>
      </c>
    </row>
    <row r="146" spans="1:15">
      <c r="A146" t="s">
        <v>552</v>
      </c>
      <c r="B146" s="29">
        <v>45112</v>
      </c>
      <c r="C146" s="29">
        <v>45121</v>
      </c>
      <c r="D146" t="s">
        <v>213</v>
      </c>
      <c r="E146" t="s">
        <v>234</v>
      </c>
      <c r="F146" t="s">
        <v>248</v>
      </c>
      <c r="G146" t="s">
        <v>266</v>
      </c>
      <c r="H146" t="s">
        <v>259</v>
      </c>
      <c r="I146" t="s">
        <v>217</v>
      </c>
      <c r="J146" t="s">
        <v>196</v>
      </c>
      <c r="K146" t="s">
        <v>553</v>
      </c>
      <c r="L146">
        <v>578.85</v>
      </c>
      <c r="M146">
        <v>998.76</v>
      </c>
      <c r="N146">
        <v>0.082</v>
      </c>
      <c r="O146">
        <v>28</v>
      </c>
    </row>
    <row r="147" spans="1:15">
      <c r="A147" t="s">
        <v>554</v>
      </c>
      <c r="B147" s="29">
        <v>45260</v>
      </c>
      <c r="C147" s="29">
        <v>45259</v>
      </c>
      <c r="D147" t="s">
        <v>177</v>
      </c>
      <c r="E147" t="s">
        <v>309</v>
      </c>
      <c r="F147" t="s">
        <v>333</v>
      </c>
      <c r="G147" t="s">
        <v>223</v>
      </c>
      <c r="H147" t="s">
        <v>201</v>
      </c>
      <c r="I147" t="s">
        <v>224</v>
      </c>
      <c r="J147" t="s">
        <v>218</v>
      </c>
      <c r="K147" t="s">
        <v>555</v>
      </c>
      <c r="L147">
        <v>275.56</v>
      </c>
      <c r="M147">
        <v>630.72</v>
      </c>
      <c r="N147">
        <v>0.107</v>
      </c>
      <c r="O147">
        <v>23</v>
      </c>
    </row>
    <row r="148" spans="1:15">
      <c r="A148" t="s">
        <v>556</v>
      </c>
      <c r="B148" s="29">
        <v>45911</v>
      </c>
      <c r="C148" s="29">
        <v>45928</v>
      </c>
      <c r="D148" t="s">
        <v>177</v>
      </c>
      <c r="E148" t="s">
        <v>178</v>
      </c>
      <c r="F148" t="s">
        <v>194</v>
      </c>
      <c r="G148" t="s">
        <v>200</v>
      </c>
      <c r="H148" t="s">
        <v>216</v>
      </c>
      <c r="I148" t="s">
        <v>190</v>
      </c>
      <c r="J148" t="s">
        <v>218</v>
      </c>
      <c r="K148" t="s">
        <v>557</v>
      </c>
      <c r="L148">
        <v>891.46</v>
      </c>
      <c r="M148">
        <v>728.61</v>
      </c>
      <c r="N148">
        <v>0.185</v>
      </c>
      <c r="O148">
        <v>6</v>
      </c>
    </row>
    <row r="149" spans="1:15">
      <c r="A149" t="s">
        <v>558</v>
      </c>
      <c r="B149" s="29">
        <v>45386</v>
      </c>
      <c r="C149" s="29">
        <v>45406</v>
      </c>
      <c r="D149" t="s">
        <v>239</v>
      </c>
      <c r="E149" t="s">
        <v>240</v>
      </c>
      <c r="F149" t="s">
        <v>496</v>
      </c>
      <c r="G149" t="s">
        <v>200</v>
      </c>
      <c r="H149" t="s">
        <v>259</v>
      </c>
      <c r="I149" t="s">
        <v>229</v>
      </c>
      <c r="J149" t="s">
        <v>242</v>
      </c>
      <c r="K149" t="s">
        <v>559</v>
      </c>
      <c r="L149">
        <v>683.42</v>
      </c>
      <c r="M149">
        <v>951.51</v>
      </c>
      <c r="N149">
        <v>0</v>
      </c>
      <c r="O149">
        <v>14</v>
      </c>
    </row>
    <row r="150" spans="1:15">
      <c r="A150" t="s">
        <v>560</v>
      </c>
      <c r="B150" s="29">
        <v>45183</v>
      </c>
      <c r="C150" s="29">
        <v>45185</v>
      </c>
      <c r="D150" t="s">
        <v>239</v>
      </c>
      <c r="E150" t="s">
        <v>251</v>
      </c>
      <c r="F150" t="s">
        <v>299</v>
      </c>
      <c r="G150" t="s">
        <v>200</v>
      </c>
      <c r="H150" t="s">
        <v>259</v>
      </c>
      <c r="I150" t="s">
        <v>217</v>
      </c>
      <c r="J150" t="s">
        <v>191</v>
      </c>
      <c r="K150" t="s">
        <v>561</v>
      </c>
      <c r="L150">
        <v>376.83</v>
      </c>
      <c r="M150">
        <v>732.88</v>
      </c>
      <c r="N150">
        <v>0.188</v>
      </c>
      <c r="O150">
        <v>25</v>
      </c>
    </row>
    <row r="151" spans="1:15">
      <c r="A151" t="s">
        <v>562</v>
      </c>
      <c r="B151" s="29">
        <v>45558</v>
      </c>
      <c r="C151" s="29">
        <v>45583</v>
      </c>
      <c r="D151" t="s">
        <v>213</v>
      </c>
      <c r="E151" t="s">
        <v>214</v>
      </c>
      <c r="F151" t="s">
        <v>340</v>
      </c>
      <c r="G151" t="s">
        <v>223</v>
      </c>
      <c r="H151" t="s">
        <v>189</v>
      </c>
      <c r="I151" t="s">
        <v>287</v>
      </c>
      <c r="J151" t="s">
        <v>203</v>
      </c>
      <c r="K151" t="s">
        <v>563</v>
      </c>
      <c r="L151">
        <v>1297</v>
      </c>
      <c r="M151">
        <v>2411.52</v>
      </c>
      <c r="N151">
        <v>0.021</v>
      </c>
      <c r="O151">
        <v>18</v>
      </c>
    </row>
    <row r="152" spans="1:15">
      <c r="A152" t="s">
        <v>564</v>
      </c>
      <c r="B152" s="29">
        <v>45763</v>
      </c>
      <c r="C152" s="29">
        <v>45793</v>
      </c>
      <c r="D152" t="s">
        <v>213</v>
      </c>
      <c r="E152" t="s">
        <v>214</v>
      </c>
      <c r="F152" t="s">
        <v>305</v>
      </c>
      <c r="G152" t="s">
        <v>266</v>
      </c>
      <c r="H152" t="s">
        <v>216</v>
      </c>
      <c r="I152" t="s">
        <v>256</v>
      </c>
      <c r="J152" t="s">
        <v>191</v>
      </c>
      <c r="K152" t="s">
        <v>565</v>
      </c>
      <c r="L152">
        <v>763.32</v>
      </c>
      <c r="M152">
        <v>568.29</v>
      </c>
      <c r="N152">
        <v>0.131</v>
      </c>
      <c r="O152">
        <v>16</v>
      </c>
    </row>
    <row r="153" spans="1:15">
      <c r="A153" t="s">
        <v>566</v>
      </c>
      <c r="B153" s="29">
        <v>45110</v>
      </c>
      <c r="C153" s="29">
        <v>45130</v>
      </c>
      <c r="D153" t="s">
        <v>177</v>
      </c>
      <c r="E153" t="s">
        <v>309</v>
      </c>
      <c r="F153" t="s">
        <v>310</v>
      </c>
      <c r="G153" t="s">
        <v>223</v>
      </c>
      <c r="H153" t="s">
        <v>216</v>
      </c>
      <c r="I153" t="s">
        <v>245</v>
      </c>
      <c r="J153" t="s">
        <v>218</v>
      </c>
      <c r="K153" t="s">
        <v>567</v>
      </c>
      <c r="L153">
        <v>1001.96</v>
      </c>
      <c r="M153">
        <v>1254.95</v>
      </c>
      <c r="N153">
        <v>0.045</v>
      </c>
      <c r="O153">
        <v>18</v>
      </c>
    </row>
    <row r="154" spans="1:15">
      <c r="A154" t="s">
        <v>568</v>
      </c>
      <c r="B154" s="29">
        <v>45267</v>
      </c>
      <c r="C154" s="29">
        <v>45265</v>
      </c>
      <c r="D154" t="s">
        <v>206</v>
      </c>
      <c r="E154" t="s">
        <v>207</v>
      </c>
      <c r="F154" t="s">
        <v>375</v>
      </c>
      <c r="G154" t="s">
        <v>200</v>
      </c>
      <c r="H154" t="s">
        <v>201</v>
      </c>
      <c r="I154" t="s">
        <v>253</v>
      </c>
      <c r="J154" t="s">
        <v>191</v>
      </c>
      <c r="K154" t="s">
        <v>569</v>
      </c>
      <c r="L154">
        <v>1097.59</v>
      </c>
      <c r="M154">
        <v>845.55</v>
      </c>
      <c r="N154">
        <v>0.184</v>
      </c>
      <c r="O154">
        <v>6</v>
      </c>
    </row>
    <row r="155" spans="1:15">
      <c r="A155" t="s">
        <v>570</v>
      </c>
      <c r="B155" s="29">
        <v>45340</v>
      </c>
      <c r="C155" s="29">
        <v>45355</v>
      </c>
      <c r="D155" t="s">
        <v>177</v>
      </c>
      <c r="E155" t="s">
        <v>178</v>
      </c>
      <c r="F155" t="s">
        <v>179</v>
      </c>
      <c r="G155" t="s">
        <v>188</v>
      </c>
      <c r="H155" t="s">
        <v>259</v>
      </c>
      <c r="I155" t="s">
        <v>256</v>
      </c>
      <c r="J155" t="s">
        <v>191</v>
      </c>
      <c r="K155" t="s">
        <v>571</v>
      </c>
      <c r="L155">
        <v>928.68</v>
      </c>
      <c r="M155">
        <v>2145.17</v>
      </c>
      <c r="N155">
        <v>0.136</v>
      </c>
      <c r="O155">
        <v>16</v>
      </c>
    </row>
    <row r="156" spans="1:15">
      <c r="A156" t="s">
        <v>572</v>
      </c>
      <c r="B156" s="29">
        <v>45230</v>
      </c>
      <c r="C156" s="29">
        <v>45232</v>
      </c>
      <c r="D156" t="s">
        <v>177</v>
      </c>
      <c r="E156" t="s">
        <v>178</v>
      </c>
      <c r="F156" t="s">
        <v>179</v>
      </c>
      <c r="G156" t="s">
        <v>188</v>
      </c>
      <c r="H156" t="s">
        <v>181</v>
      </c>
      <c r="I156" t="s">
        <v>229</v>
      </c>
      <c r="J156" t="s">
        <v>242</v>
      </c>
      <c r="K156" t="s">
        <v>573</v>
      </c>
      <c r="L156">
        <v>867.89</v>
      </c>
      <c r="M156">
        <v>1349.94</v>
      </c>
      <c r="N156">
        <v>0.184</v>
      </c>
      <c r="O156">
        <v>10</v>
      </c>
    </row>
    <row r="157" spans="1:15">
      <c r="A157" t="s">
        <v>574</v>
      </c>
      <c r="B157" s="29">
        <v>45511</v>
      </c>
      <c r="C157" s="29">
        <v>45521</v>
      </c>
      <c r="D157" t="s">
        <v>206</v>
      </c>
      <c r="E157" t="s">
        <v>207</v>
      </c>
      <c r="F157" t="s">
        <v>208</v>
      </c>
      <c r="G157" t="s">
        <v>209</v>
      </c>
      <c r="H157" t="s">
        <v>189</v>
      </c>
      <c r="I157" t="s">
        <v>256</v>
      </c>
      <c r="J157" t="s">
        <v>196</v>
      </c>
      <c r="K157" t="s">
        <v>575</v>
      </c>
      <c r="L157">
        <v>436.58</v>
      </c>
      <c r="M157">
        <v>527.48</v>
      </c>
      <c r="N157">
        <v>0.111</v>
      </c>
      <c r="O157">
        <v>19</v>
      </c>
    </row>
    <row r="158" spans="1:15">
      <c r="A158" t="s">
        <v>576</v>
      </c>
      <c r="B158" s="29">
        <v>45323</v>
      </c>
      <c r="C158" s="29">
        <v>45343</v>
      </c>
      <c r="D158" t="s">
        <v>239</v>
      </c>
      <c r="E158" t="s">
        <v>251</v>
      </c>
      <c r="F158" t="s">
        <v>378</v>
      </c>
      <c r="G158" t="s">
        <v>223</v>
      </c>
      <c r="H158" t="s">
        <v>201</v>
      </c>
      <c r="I158" t="s">
        <v>236</v>
      </c>
      <c r="J158" t="s">
        <v>196</v>
      </c>
      <c r="K158" t="s">
        <v>577</v>
      </c>
      <c r="L158">
        <v>656.2</v>
      </c>
      <c r="M158">
        <v>1467.17</v>
      </c>
      <c r="N158">
        <v>0.018</v>
      </c>
      <c r="O158">
        <v>5</v>
      </c>
    </row>
    <row r="159" spans="1:15">
      <c r="A159" t="s">
        <v>578</v>
      </c>
      <c r="B159" s="29">
        <v>45531</v>
      </c>
      <c r="C159" s="29">
        <v>45553</v>
      </c>
      <c r="D159" t="s">
        <v>206</v>
      </c>
      <c r="E159" t="s">
        <v>221</v>
      </c>
      <c r="F159" t="s">
        <v>302</v>
      </c>
      <c r="G159" t="s">
        <v>209</v>
      </c>
      <c r="H159" t="s">
        <v>259</v>
      </c>
      <c r="I159" t="s">
        <v>217</v>
      </c>
      <c r="J159" t="s">
        <v>183</v>
      </c>
      <c r="K159" t="s">
        <v>579</v>
      </c>
      <c r="L159">
        <v>896.75</v>
      </c>
      <c r="M159">
        <v>1651.14</v>
      </c>
      <c r="N159">
        <v>0.025</v>
      </c>
      <c r="O159">
        <v>15</v>
      </c>
    </row>
    <row r="160" spans="1:15">
      <c r="A160" t="s">
        <v>580</v>
      </c>
      <c r="B160" s="29">
        <v>45703</v>
      </c>
      <c r="C160" s="29">
        <v>45703</v>
      </c>
      <c r="D160" t="s">
        <v>239</v>
      </c>
      <c r="E160" t="s">
        <v>240</v>
      </c>
      <c r="F160" t="s">
        <v>496</v>
      </c>
      <c r="G160" t="s">
        <v>223</v>
      </c>
      <c r="H160" t="s">
        <v>201</v>
      </c>
      <c r="I160" t="s">
        <v>210</v>
      </c>
      <c r="J160" t="s">
        <v>242</v>
      </c>
      <c r="K160" t="s">
        <v>581</v>
      </c>
      <c r="L160">
        <v>815.83</v>
      </c>
      <c r="M160">
        <v>1982.18</v>
      </c>
      <c r="N160">
        <v>0.127</v>
      </c>
      <c r="O160">
        <v>6</v>
      </c>
    </row>
    <row r="161" spans="1:15">
      <c r="A161" t="s">
        <v>582</v>
      </c>
      <c r="B161" s="29">
        <v>45870</v>
      </c>
      <c r="C161" s="29">
        <v>45890</v>
      </c>
      <c r="D161" t="s">
        <v>206</v>
      </c>
      <c r="E161" t="s">
        <v>277</v>
      </c>
      <c r="F161" t="s">
        <v>323</v>
      </c>
      <c r="G161" t="s">
        <v>180</v>
      </c>
      <c r="H161" t="s">
        <v>259</v>
      </c>
      <c r="I161" t="s">
        <v>195</v>
      </c>
      <c r="J161" t="s">
        <v>203</v>
      </c>
      <c r="K161" t="s">
        <v>583</v>
      </c>
      <c r="L161">
        <v>1220.41</v>
      </c>
      <c r="M161">
        <v>2552.22</v>
      </c>
      <c r="N161">
        <v>0.181</v>
      </c>
      <c r="O161">
        <v>14</v>
      </c>
    </row>
    <row r="162" spans="1:15">
      <c r="A162" t="s">
        <v>584</v>
      </c>
      <c r="B162" s="29">
        <v>44977</v>
      </c>
      <c r="C162" s="29">
        <v>44989</v>
      </c>
      <c r="D162" t="s">
        <v>206</v>
      </c>
      <c r="E162" t="s">
        <v>221</v>
      </c>
      <c r="F162" t="s">
        <v>302</v>
      </c>
      <c r="G162" t="s">
        <v>209</v>
      </c>
      <c r="H162" t="s">
        <v>216</v>
      </c>
      <c r="I162" t="s">
        <v>271</v>
      </c>
      <c r="J162" t="s">
        <v>225</v>
      </c>
      <c r="K162" t="s">
        <v>585</v>
      </c>
      <c r="L162">
        <v>299.75</v>
      </c>
      <c r="M162">
        <v>523.01</v>
      </c>
      <c r="N162">
        <v>0.157</v>
      </c>
      <c r="O162">
        <v>50</v>
      </c>
    </row>
    <row r="163" spans="1:15">
      <c r="A163" t="s">
        <v>586</v>
      </c>
      <c r="B163" s="29">
        <v>45595</v>
      </c>
      <c r="C163" s="29">
        <v>45620</v>
      </c>
      <c r="D163" t="s">
        <v>206</v>
      </c>
      <c r="E163" t="s">
        <v>277</v>
      </c>
      <c r="F163" t="s">
        <v>278</v>
      </c>
      <c r="G163" t="s">
        <v>223</v>
      </c>
      <c r="H163" t="s">
        <v>189</v>
      </c>
      <c r="I163" t="s">
        <v>224</v>
      </c>
      <c r="J163" t="s">
        <v>183</v>
      </c>
      <c r="K163" t="s">
        <v>587</v>
      </c>
      <c r="L163">
        <v>811.05</v>
      </c>
      <c r="M163">
        <v>1217.71</v>
      </c>
      <c r="N163">
        <v>0.072</v>
      </c>
      <c r="O163">
        <v>5</v>
      </c>
    </row>
    <row r="164" spans="1:15">
      <c r="A164" t="s">
        <v>588</v>
      </c>
      <c r="B164" s="29">
        <v>45385</v>
      </c>
      <c r="C164" s="29">
        <v>45389</v>
      </c>
      <c r="D164" t="s">
        <v>213</v>
      </c>
      <c r="E164" t="s">
        <v>234</v>
      </c>
      <c r="F164" t="s">
        <v>248</v>
      </c>
      <c r="G164" t="s">
        <v>200</v>
      </c>
      <c r="H164" t="s">
        <v>259</v>
      </c>
      <c r="I164" t="s">
        <v>287</v>
      </c>
      <c r="J164" t="s">
        <v>203</v>
      </c>
      <c r="K164" t="s">
        <v>589</v>
      </c>
      <c r="L164">
        <v>1023.27</v>
      </c>
      <c r="M164">
        <v>1343.64</v>
      </c>
      <c r="N164">
        <v>0.133</v>
      </c>
      <c r="O164">
        <v>7</v>
      </c>
    </row>
    <row r="165" spans="1:15">
      <c r="A165" t="s">
        <v>590</v>
      </c>
      <c r="B165" s="29">
        <v>45010</v>
      </c>
      <c r="C165" s="29">
        <v>45011</v>
      </c>
      <c r="D165" t="s">
        <v>206</v>
      </c>
      <c r="E165" t="s">
        <v>207</v>
      </c>
      <c r="F165" t="s">
        <v>208</v>
      </c>
      <c r="G165" t="s">
        <v>223</v>
      </c>
      <c r="H165" t="s">
        <v>216</v>
      </c>
      <c r="I165" t="s">
        <v>195</v>
      </c>
      <c r="J165" t="s">
        <v>225</v>
      </c>
      <c r="K165" t="s">
        <v>591</v>
      </c>
      <c r="L165">
        <v>135.12</v>
      </c>
      <c r="M165">
        <v>301.7</v>
      </c>
      <c r="N165">
        <v>0.14</v>
      </c>
      <c r="O165">
        <v>47</v>
      </c>
    </row>
    <row r="166" spans="1:15">
      <c r="A166" t="s">
        <v>592</v>
      </c>
      <c r="B166" s="29">
        <v>45447</v>
      </c>
      <c r="C166" s="29">
        <v>45459</v>
      </c>
      <c r="D166" t="s">
        <v>206</v>
      </c>
      <c r="E166" t="s">
        <v>277</v>
      </c>
      <c r="F166" t="s">
        <v>323</v>
      </c>
      <c r="G166" t="s">
        <v>180</v>
      </c>
      <c r="H166" t="s">
        <v>181</v>
      </c>
      <c r="I166" t="s">
        <v>190</v>
      </c>
      <c r="J166" t="s">
        <v>191</v>
      </c>
      <c r="K166" t="s">
        <v>593</v>
      </c>
      <c r="L166">
        <v>918.42</v>
      </c>
      <c r="M166">
        <v>1511.71</v>
      </c>
      <c r="N166">
        <v>0.02</v>
      </c>
      <c r="O166">
        <v>8</v>
      </c>
    </row>
    <row r="167" spans="1:15">
      <c r="A167" t="s">
        <v>594</v>
      </c>
      <c r="B167" s="29">
        <v>44976</v>
      </c>
      <c r="C167" s="29">
        <v>44997</v>
      </c>
      <c r="D167" t="s">
        <v>239</v>
      </c>
      <c r="E167" t="s">
        <v>240</v>
      </c>
      <c r="F167" t="s">
        <v>241</v>
      </c>
      <c r="G167" t="s">
        <v>223</v>
      </c>
      <c r="H167" t="s">
        <v>259</v>
      </c>
      <c r="I167" t="s">
        <v>210</v>
      </c>
      <c r="J167" t="s">
        <v>225</v>
      </c>
      <c r="K167" t="s">
        <v>595</v>
      </c>
      <c r="L167">
        <v>1234.81</v>
      </c>
      <c r="M167">
        <v>2055.24</v>
      </c>
      <c r="N167">
        <v>0.053</v>
      </c>
      <c r="O167">
        <v>44</v>
      </c>
    </row>
    <row r="168" spans="1:15">
      <c r="A168" t="s">
        <v>596</v>
      </c>
      <c r="B168" s="29">
        <v>45034</v>
      </c>
      <c r="C168" s="29">
        <v>45064</v>
      </c>
      <c r="D168" t="s">
        <v>206</v>
      </c>
      <c r="E168" t="s">
        <v>277</v>
      </c>
      <c r="F168" t="s">
        <v>278</v>
      </c>
      <c r="G168" t="s">
        <v>200</v>
      </c>
      <c r="H168" t="s">
        <v>181</v>
      </c>
      <c r="I168" t="s">
        <v>253</v>
      </c>
      <c r="J168" t="s">
        <v>218</v>
      </c>
      <c r="K168" t="s">
        <v>597</v>
      </c>
      <c r="L168">
        <v>329.03</v>
      </c>
      <c r="M168">
        <v>391.15</v>
      </c>
      <c r="N168">
        <v>0.197</v>
      </c>
      <c r="O168">
        <v>46</v>
      </c>
    </row>
    <row r="169" spans="1:15">
      <c r="A169" t="s">
        <v>598</v>
      </c>
      <c r="B169" s="29">
        <v>45435</v>
      </c>
      <c r="C169" s="29">
        <v>45457</v>
      </c>
      <c r="D169" t="s">
        <v>239</v>
      </c>
      <c r="E169" t="s">
        <v>251</v>
      </c>
      <c r="F169" t="s">
        <v>252</v>
      </c>
      <c r="G169" t="s">
        <v>223</v>
      </c>
      <c r="H169" t="s">
        <v>189</v>
      </c>
      <c r="I169" t="s">
        <v>287</v>
      </c>
      <c r="J169" t="s">
        <v>225</v>
      </c>
      <c r="K169" t="s">
        <v>599</v>
      </c>
      <c r="L169">
        <v>1481.74</v>
      </c>
      <c r="M169">
        <v>1848.97</v>
      </c>
      <c r="N169">
        <v>0.254</v>
      </c>
      <c r="O169">
        <v>9</v>
      </c>
    </row>
    <row r="170" spans="1:15">
      <c r="A170" t="s">
        <v>600</v>
      </c>
      <c r="B170" s="29">
        <v>45206</v>
      </c>
      <c r="C170" s="29">
        <v>45222</v>
      </c>
      <c r="D170" t="s">
        <v>206</v>
      </c>
      <c r="E170" t="s">
        <v>221</v>
      </c>
      <c r="F170" t="s">
        <v>442</v>
      </c>
      <c r="G170" t="s">
        <v>209</v>
      </c>
      <c r="H170" t="s">
        <v>181</v>
      </c>
      <c r="I170" t="s">
        <v>202</v>
      </c>
      <c r="J170" t="s">
        <v>225</v>
      </c>
      <c r="K170" t="s">
        <v>601</v>
      </c>
      <c r="L170">
        <v>906.81</v>
      </c>
      <c r="M170">
        <v>1395.56</v>
      </c>
      <c r="N170">
        <v>0.185</v>
      </c>
      <c r="O170">
        <v>6</v>
      </c>
    </row>
    <row r="171" spans="1:15">
      <c r="A171" t="s">
        <v>602</v>
      </c>
      <c r="B171" s="29">
        <v>45574</v>
      </c>
      <c r="C171" s="29">
        <v>45604</v>
      </c>
      <c r="D171" t="s">
        <v>239</v>
      </c>
      <c r="E171" t="s">
        <v>269</v>
      </c>
      <c r="F171" t="s">
        <v>389</v>
      </c>
      <c r="G171" t="s">
        <v>223</v>
      </c>
      <c r="H171" t="s">
        <v>216</v>
      </c>
      <c r="I171" t="s">
        <v>190</v>
      </c>
      <c r="J171" t="s">
        <v>183</v>
      </c>
      <c r="K171" t="s">
        <v>603</v>
      </c>
      <c r="L171">
        <v>343.85</v>
      </c>
      <c r="M171">
        <v>538.04</v>
      </c>
      <c r="N171">
        <v>0.139</v>
      </c>
      <c r="O171">
        <v>5</v>
      </c>
    </row>
    <row r="172" spans="1:15">
      <c r="A172" t="s">
        <v>604</v>
      </c>
      <c r="B172" s="29">
        <v>45488</v>
      </c>
      <c r="C172" s="29">
        <v>45488</v>
      </c>
      <c r="D172" t="s">
        <v>206</v>
      </c>
      <c r="E172" t="s">
        <v>207</v>
      </c>
      <c r="F172" t="s">
        <v>375</v>
      </c>
      <c r="G172" t="s">
        <v>223</v>
      </c>
      <c r="H172" t="s">
        <v>201</v>
      </c>
      <c r="I172" t="s">
        <v>202</v>
      </c>
      <c r="J172" t="s">
        <v>242</v>
      </c>
      <c r="K172" t="s">
        <v>605</v>
      </c>
      <c r="L172">
        <v>801.77</v>
      </c>
      <c r="M172">
        <v>1218.92</v>
      </c>
      <c r="N172">
        <v>0.254</v>
      </c>
      <c r="O172">
        <v>16</v>
      </c>
    </row>
    <row r="173" spans="1:15">
      <c r="A173" t="s">
        <v>606</v>
      </c>
      <c r="B173" s="29">
        <v>45190</v>
      </c>
      <c r="C173" s="29">
        <v>45209</v>
      </c>
      <c r="D173" t="s">
        <v>206</v>
      </c>
      <c r="E173" t="s">
        <v>207</v>
      </c>
      <c r="F173" t="s">
        <v>375</v>
      </c>
      <c r="G173" t="s">
        <v>188</v>
      </c>
      <c r="H173" t="s">
        <v>189</v>
      </c>
      <c r="I173" t="s">
        <v>306</v>
      </c>
      <c r="J173" t="s">
        <v>183</v>
      </c>
      <c r="K173" t="s">
        <v>607</v>
      </c>
      <c r="L173">
        <v>845.63</v>
      </c>
      <c r="M173">
        <v>2062.12</v>
      </c>
      <c r="N173">
        <v>0.134</v>
      </c>
      <c r="O173">
        <v>5</v>
      </c>
    </row>
    <row r="174" spans="1:15">
      <c r="A174" t="s">
        <v>608</v>
      </c>
      <c r="B174" s="29">
        <v>44981</v>
      </c>
      <c r="C174" s="29">
        <v>44994</v>
      </c>
      <c r="D174" t="s">
        <v>213</v>
      </c>
      <c r="E174" t="s">
        <v>283</v>
      </c>
      <c r="F174" t="s">
        <v>548</v>
      </c>
      <c r="G174" t="s">
        <v>266</v>
      </c>
      <c r="H174" t="s">
        <v>189</v>
      </c>
      <c r="I174" t="s">
        <v>271</v>
      </c>
      <c r="J174" t="s">
        <v>183</v>
      </c>
      <c r="K174" t="s">
        <v>609</v>
      </c>
      <c r="L174">
        <v>6.85</v>
      </c>
      <c r="M174">
        <v>10.18</v>
      </c>
      <c r="N174">
        <v>0.047</v>
      </c>
      <c r="O174">
        <v>10</v>
      </c>
    </row>
    <row r="175" spans="1:15">
      <c r="A175" t="s">
        <v>610</v>
      </c>
      <c r="B175" s="29">
        <v>45798</v>
      </c>
      <c r="C175" s="29">
        <v>45796</v>
      </c>
      <c r="D175" t="s">
        <v>177</v>
      </c>
      <c r="E175" t="s">
        <v>309</v>
      </c>
      <c r="F175" t="s">
        <v>310</v>
      </c>
      <c r="G175" t="s">
        <v>200</v>
      </c>
      <c r="H175" t="s">
        <v>216</v>
      </c>
      <c r="I175" t="s">
        <v>229</v>
      </c>
      <c r="J175" t="s">
        <v>218</v>
      </c>
      <c r="K175" t="s">
        <v>611</v>
      </c>
      <c r="L175">
        <v>1263.84</v>
      </c>
      <c r="M175">
        <v>2281.72</v>
      </c>
      <c r="N175">
        <v>0.078</v>
      </c>
      <c r="O175">
        <v>15</v>
      </c>
    </row>
    <row r="176" spans="1:15">
      <c r="A176" t="s">
        <v>612</v>
      </c>
      <c r="B176" s="29">
        <v>45435</v>
      </c>
      <c r="C176" s="29">
        <v>45446</v>
      </c>
      <c r="D176" t="s">
        <v>177</v>
      </c>
      <c r="E176" t="s">
        <v>309</v>
      </c>
      <c r="F176" t="s">
        <v>310</v>
      </c>
      <c r="G176" t="s">
        <v>223</v>
      </c>
      <c r="H176" t="s">
        <v>216</v>
      </c>
      <c r="I176" t="s">
        <v>245</v>
      </c>
      <c r="J176" t="s">
        <v>191</v>
      </c>
      <c r="K176" t="s">
        <v>613</v>
      </c>
      <c r="L176">
        <v>180.89</v>
      </c>
      <c r="M176">
        <v>249.57</v>
      </c>
      <c r="N176">
        <v>0.022</v>
      </c>
      <c r="O176">
        <v>8</v>
      </c>
    </row>
    <row r="177" spans="1:15">
      <c r="A177" t="s">
        <v>614</v>
      </c>
      <c r="B177" s="29">
        <v>45761</v>
      </c>
      <c r="C177" s="29">
        <v>45781</v>
      </c>
      <c r="D177" t="s">
        <v>239</v>
      </c>
      <c r="E177" t="s">
        <v>269</v>
      </c>
      <c r="F177" t="s">
        <v>270</v>
      </c>
      <c r="G177" t="s">
        <v>266</v>
      </c>
      <c r="H177" t="s">
        <v>201</v>
      </c>
      <c r="I177" t="s">
        <v>256</v>
      </c>
      <c r="J177" t="s">
        <v>225</v>
      </c>
      <c r="K177" t="s">
        <v>615</v>
      </c>
      <c r="L177">
        <v>1413.87</v>
      </c>
      <c r="M177">
        <v>3275</v>
      </c>
      <c r="N177">
        <v>0.255</v>
      </c>
      <c r="O177">
        <v>38</v>
      </c>
    </row>
    <row r="178" spans="1:15">
      <c r="A178" t="s">
        <v>616</v>
      </c>
      <c r="B178" s="29">
        <v>45165</v>
      </c>
      <c r="C178" s="29">
        <v>45180</v>
      </c>
      <c r="D178" t="s">
        <v>239</v>
      </c>
      <c r="E178" t="s">
        <v>269</v>
      </c>
      <c r="F178" t="s">
        <v>313</v>
      </c>
      <c r="G178" t="s">
        <v>209</v>
      </c>
      <c r="H178" t="s">
        <v>201</v>
      </c>
      <c r="I178" t="s">
        <v>287</v>
      </c>
      <c r="J178" t="s">
        <v>191</v>
      </c>
      <c r="K178" t="s">
        <v>617</v>
      </c>
      <c r="L178">
        <v>943.79</v>
      </c>
      <c r="M178">
        <v>1913.76</v>
      </c>
      <c r="N178">
        <v>0.091</v>
      </c>
      <c r="O178">
        <v>9</v>
      </c>
    </row>
    <row r="179" spans="1:15">
      <c r="A179" t="s">
        <v>618</v>
      </c>
      <c r="B179" s="29">
        <v>45325</v>
      </c>
      <c r="C179" s="29">
        <v>45343</v>
      </c>
      <c r="D179" t="s">
        <v>239</v>
      </c>
      <c r="E179" t="s">
        <v>240</v>
      </c>
      <c r="F179" t="s">
        <v>496</v>
      </c>
      <c r="G179" t="s">
        <v>180</v>
      </c>
      <c r="H179" t="s">
        <v>181</v>
      </c>
      <c r="I179" t="s">
        <v>253</v>
      </c>
      <c r="J179" t="s">
        <v>183</v>
      </c>
      <c r="K179" t="s">
        <v>619</v>
      </c>
      <c r="L179">
        <v>39.23</v>
      </c>
      <c r="M179">
        <v>30.09</v>
      </c>
      <c r="N179">
        <v>0.177</v>
      </c>
      <c r="O179">
        <v>13</v>
      </c>
    </row>
    <row r="180" spans="1:15">
      <c r="A180" t="s">
        <v>620</v>
      </c>
      <c r="B180" s="29">
        <v>45021</v>
      </c>
      <c r="C180" s="29">
        <v>45032</v>
      </c>
      <c r="D180" t="s">
        <v>213</v>
      </c>
      <c r="E180" t="s">
        <v>214</v>
      </c>
      <c r="F180" t="s">
        <v>340</v>
      </c>
      <c r="G180" t="s">
        <v>200</v>
      </c>
      <c r="H180" t="s">
        <v>189</v>
      </c>
      <c r="I180" t="s">
        <v>229</v>
      </c>
      <c r="J180" t="s">
        <v>225</v>
      </c>
      <c r="K180" t="s">
        <v>621</v>
      </c>
      <c r="L180">
        <v>213.1</v>
      </c>
      <c r="M180">
        <v>501.31</v>
      </c>
      <c r="N180">
        <v>0.056</v>
      </c>
      <c r="O180">
        <v>15</v>
      </c>
    </row>
    <row r="181" spans="1:15">
      <c r="A181" t="s">
        <v>622</v>
      </c>
      <c r="B181" s="29">
        <v>45890</v>
      </c>
      <c r="C181" s="29">
        <v>45912</v>
      </c>
      <c r="D181" t="s">
        <v>206</v>
      </c>
      <c r="E181" t="s">
        <v>277</v>
      </c>
      <c r="F181" t="s">
        <v>278</v>
      </c>
      <c r="G181" t="s">
        <v>188</v>
      </c>
      <c r="H181" t="s">
        <v>181</v>
      </c>
      <c r="I181" t="s">
        <v>217</v>
      </c>
      <c r="J181" t="s">
        <v>191</v>
      </c>
      <c r="K181" t="s">
        <v>623</v>
      </c>
      <c r="L181">
        <v>352.66</v>
      </c>
      <c r="M181">
        <v>411.18</v>
      </c>
      <c r="N181">
        <v>0.173</v>
      </c>
      <c r="O181">
        <v>13</v>
      </c>
    </row>
    <row r="182" spans="1:15">
      <c r="A182" t="s">
        <v>624</v>
      </c>
      <c r="B182" s="29">
        <v>45915</v>
      </c>
      <c r="C182" s="29">
        <v>45918</v>
      </c>
      <c r="D182" t="s">
        <v>213</v>
      </c>
      <c r="E182" t="s">
        <v>234</v>
      </c>
      <c r="F182" t="s">
        <v>386</v>
      </c>
      <c r="G182" t="s">
        <v>200</v>
      </c>
      <c r="H182" t="s">
        <v>259</v>
      </c>
      <c r="I182" t="s">
        <v>210</v>
      </c>
      <c r="J182" t="s">
        <v>242</v>
      </c>
      <c r="K182" t="s">
        <v>625</v>
      </c>
      <c r="L182">
        <v>5.5</v>
      </c>
      <c r="M182">
        <v>5.92</v>
      </c>
      <c r="N182">
        <v>0.212</v>
      </c>
      <c r="O182">
        <v>4</v>
      </c>
    </row>
    <row r="183" spans="1:15">
      <c r="A183" t="s">
        <v>626</v>
      </c>
      <c r="B183" s="29">
        <v>45568</v>
      </c>
      <c r="C183" s="29">
        <v>45576</v>
      </c>
      <c r="D183" t="s">
        <v>206</v>
      </c>
      <c r="E183" t="s">
        <v>277</v>
      </c>
      <c r="F183" t="s">
        <v>499</v>
      </c>
      <c r="G183" t="s">
        <v>266</v>
      </c>
      <c r="H183" t="s">
        <v>259</v>
      </c>
      <c r="I183" t="s">
        <v>217</v>
      </c>
      <c r="J183" t="s">
        <v>203</v>
      </c>
      <c r="K183" t="s">
        <v>627</v>
      </c>
      <c r="L183">
        <v>1132.61</v>
      </c>
      <c r="M183">
        <v>2206.63</v>
      </c>
      <c r="N183">
        <v>0.063</v>
      </c>
      <c r="O183">
        <v>20</v>
      </c>
    </row>
    <row r="184" spans="1:15">
      <c r="A184" t="s">
        <v>628</v>
      </c>
      <c r="B184" s="29">
        <v>45690</v>
      </c>
      <c r="C184" s="29">
        <v>45720</v>
      </c>
      <c r="D184" t="s">
        <v>206</v>
      </c>
      <c r="E184" t="s">
        <v>207</v>
      </c>
      <c r="F184" t="s">
        <v>208</v>
      </c>
      <c r="G184" t="s">
        <v>188</v>
      </c>
      <c r="H184" t="s">
        <v>216</v>
      </c>
      <c r="I184" t="s">
        <v>210</v>
      </c>
      <c r="J184" t="s">
        <v>242</v>
      </c>
      <c r="K184" t="s">
        <v>629</v>
      </c>
      <c r="L184">
        <v>766.59</v>
      </c>
      <c r="M184">
        <v>1912.8</v>
      </c>
      <c r="N184">
        <v>0.196</v>
      </c>
      <c r="O184">
        <v>5</v>
      </c>
    </row>
    <row r="185" spans="1:15">
      <c r="A185" t="s">
        <v>630</v>
      </c>
      <c r="B185" s="29">
        <v>45157</v>
      </c>
      <c r="C185" s="29">
        <v>45161</v>
      </c>
      <c r="D185" t="s">
        <v>177</v>
      </c>
      <c r="E185" t="s">
        <v>186</v>
      </c>
      <c r="F185" t="s">
        <v>228</v>
      </c>
      <c r="G185" t="s">
        <v>223</v>
      </c>
      <c r="H185" t="s">
        <v>189</v>
      </c>
      <c r="I185" t="s">
        <v>190</v>
      </c>
      <c r="J185" t="s">
        <v>225</v>
      </c>
      <c r="K185" t="s">
        <v>631</v>
      </c>
      <c r="L185">
        <v>790.63</v>
      </c>
      <c r="M185">
        <v>1382.31</v>
      </c>
      <c r="N185">
        <v>0.101</v>
      </c>
      <c r="O185">
        <v>7</v>
      </c>
    </row>
    <row r="186" spans="1:15">
      <c r="A186" t="s">
        <v>632</v>
      </c>
      <c r="B186" s="29">
        <v>45587</v>
      </c>
      <c r="C186" s="29">
        <v>45594</v>
      </c>
      <c r="D186" t="s">
        <v>177</v>
      </c>
      <c r="E186" t="s">
        <v>186</v>
      </c>
      <c r="F186" t="s">
        <v>187</v>
      </c>
      <c r="G186" t="s">
        <v>266</v>
      </c>
      <c r="H186" t="s">
        <v>216</v>
      </c>
      <c r="I186" t="s">
        <v>271</v>
      </c>
      <c r="J186" t="s">
        <v>225</v>
      </c>
      <c r="K186" t="s">
        <v>633</v>
      </c>
      <c r="L186">
        <v>1023.06</v>
      </c>
      <c r="M186">
        <v>1355.61</v>
      </c>
      <c r="N186">
        <v>0.153</v>
      </c>
      <c r="O186">
        <v>23</v>
      </c>
    </row>
    <row r="187" spans="1:15">
      <c r="A187" t="s">
        <v>634</v>
      </c>
      <c r="B187" s="29">
        <v>45099</v>
      </c>
      <c r="C187" s="29">
        <v>45128</v>
      </c>
      <c r="D187" t="s">
        <v>239</v>
      </c>
      <c r="E187" t="s">
        <v>251</v>
      </c>
      <c r="F187" t="s">
        <v>299</v>
      </c>
      <c r="G187" t="s">
        <v>180</v>
      </c>
      <c r="H187" t="s">
        <v>181</v>
      </c>
      <c r="I187" t="s">
        <v>190</v>
      </c>
      <c r="J187" t="s">
        <v>242</v>
      </c>
      <c r="K187" t="s">
        <v>635</v>
      </c>
      <c r="L187">
        <v>734.34</v>
      </c>
      <c r="M187">
        <v>887.9</v>
      </c>
      <c r="N187">
        <v>0.025</v>
      </c>
      <c r="O187">
        <v>12</v>
      </c>
    </row>
    <row r="188" spans="1:15">
      <c r="A188" t="s">
        <v>636</v>
      </c>
      <c r="B188" s="29">
        <v>45670</v>
      </c>
      <c r="C188" s="29">
        <v>45696</v>
      </c>
      <c r="D188" t="s">
        <v>239</v>
      </c>
      <c r="E188" t="s">
        <v>251</v>
      </c>
      <c r="F188" t="s">
        <v>378</v>
      </c>
      <c r="G188" t="s">
        <v>200</v>
      </c>
      <c r="I188" t="s">
        <v>224</v>
      </c>
      <c r="J188" t="s">
        <v>225</v>
      </c>
      <c r="K188" t="s">
        <v>637</v>
      </c>
      <c r="L188">
        <v>594.74</v>
      </c>
      <c r="M188">
        <v>1020.69</v>
      </c>
      <c r="N188">
        <v>0.211</v>
      </c>
      <c r="O188">
        <v>6</v>
      </c>
    </row>
    <row r="189" spans="1:15">
      <c r="A189" t="s">
        <v>521</v>
      </c>
      <c r="B189" s="29">
        <v>44955</v>
      </c>
      <c r="C189" s="29">
        <v>44985</v>
      </c>
      <c r="D189" t="s">
        <v>206</v>
      </c>
      <c r="E189" t="s">
        <v>221</v>
      </c>
      <c r="F189" t="s">
        <v>222</v>
      </c>
      <c r="G189" t="s">
        <v>200</v>
      </c>
      <c r="H189" t="s">
        <v>181</v>
      </c>
      <c r="I189" t="s">
        <v>217</v>
      </c>
      <c r="J189" t="s">
        <v>242</v>
      </c>
      <c r="K189" t="s">
        <v>638</v>
      </c>
      <c r="L189">
        <v>1262.1</v>
      </c>
      <c r="M189">
        <v>1395.53</v>
      </c>
      <c r="N189">
        <v>0.233</v>
      </c>
      <c r="O189">
        <v>25</v>
      </c>
    </row>
    <row r="190" spans="1:15">
      <c r="A190" t="s">
        <v>639</v>
      </c>
      <c r="B190" s="29">
        <v>45126</v>
      </c>
      <c r="C190" s="29">
        <v>45138</v>
      </c>
      <c r="D190" t="s">
        <v>213</v>
      </c>
      <c r="E190" t="s">
        <v>234</v>
      </c>
      <c r="F190" t="s">
        <v>386</v>
      </c>
      <c r="G190" t="s">
        <v>180</v>
      </c>
      <c r="H190" t="s">
        <v>181</v>
      </c>
      <c r="I190" t="s">
        <v>182</v>
      </c>
      <c r="J190" t="s">
        <v>225</v>
      </c>
      <c r="K190" t="s">
        <v>640</v>
      </c>
      <c r="L190">
        <v>1334.64</v>
      </c>
      <c r="M190">
        <v>2273.42</v>
      </c>
      <c r="N190">
        <v>0.118</v>
      </c>
      <c r="O190">
        <v>14</v>
      </c>
    </row>
    <row r="191" spans="1:15">
      <c r="A191" t="s">
        <v>641</v>
      </c>
      <c r="B191" s="29">
        <v>45431</v>
      </c>
      <c r="C191" s="29">
        <v>45451</v>
      </c>
      <c r="D191" t="s">
        <v>213</v>
      </c>
      <c r="E191" t="s">
        <v>234</v>
      </c>
      <c r="F191" t="s">
        <v>248</v>
      </c>
      <c r="G191" t="s">
        <v>223</v>
      </c>
      <c r="H191" t="s">
        <v>181</v>
      </c>
      <c r="I191" t="s">
        <v>224</v>
      </c>
      <c r="J191" t="s">
        <v>225</v>
      </c>
      <c r="K191" t="s">
        <v>642</v>
      </c>
      <c r="L191">
        <v>1075.9</v>
      </c>
      <c r="M191">
        <v>1242.15</v>
      </c>
      <c r="N191">
        <v>0.012</v>
      </c>
      <c r="O191">
        <v>7</v>
      </c>
    </row>
    <row r="192" spans="1:15">
      <c r="A192" t="s">
        <v>643</v>
      </c>
      <c r="B192" s="29">
        <v>45325</v>
      </c>
      <c r="C192" s="29">
        <v>45341</v>
      </c>
      <c r="D192" t="s">
        <v>206</v>
      </c>
      <c r="E192" t="s">
        <v>277</v>
      </c>
      <c r="F192" t="s">
        <v>278</v>
      </c>
      <c r="G192" t="s">
        <v>223</v>
      </c>
      <c r="H192" t="s">
        <v>189</v>
      </c>
      <c r="I192" t="s">
        <v>253</v>
      </c>
      <c r="J192" t="s">
        <v>218</v>
      </c>
      <c r="K192" t="s">
        <v>644</v>
      </c>
      <c r="L192">
        <v>993.75</v>
      </c>
      <c r="M192">
        <v>1310.29</v>
      </c>
      <c r="N192">
        <v>0.215</v>
      </c>
      <c r="O192">
        <v>19</v>
      </c>
    </row>
    <row r="193" spans="1:15">
      <c r="A193" t="s">
        <v>645</v>
      </c>
      <c r="B193" s="29">
        <v>45146</v>
      </c>
      <c r="C193" s="29">
        <v>45160</v>
      </c>
      <c r="D193" t="s">
        <v>239</v>
      </c>
      <c r="E193" t="s">
        <v>269</v>
      </c>
      <c r="F193" t="s">
        <v>270</v>
      </c>
      <c r="G193" t="s">
        <v>200</v>
      </c>
      <c r="H193" t="s">
        <v>259</v>
      </c>
      <c r="I193" t="s">
        <v>287</v>
      </c>
      <c r="J193" t="s">
        <v>225</v>
      </c>
      <c r="K193" t="s">
        <v>646</v>
      </c>
      <c r="L193">
        <v>446.69</v>
      </c>
      <c r="M193">
        <v>967.25</v>
      </c>
      <c r="N193">
        <v>0.094</v>
      </c>
      <c r="O193">
        <v>10</v>
      </c>
    </row>
    <row r="194" spans="1:15">
      <c r="A194" t="s">
        <v>647</v>
      </c>
      <c r="B194" s="29">
        <v>45516</v>
      </c>
      <c r="C194" s="29">
        <v>45538</v>
      </c>
      <c r="D194" t="s">
        <v>213</v>
      </c>
      <c r="E194" t="s">
        <v>283</v>
      </c>
      <c r="F194" t="s">
        <v>487</v>
      </c>
      <c r="G194" t="s">
        <v>209</v>
      </c>
      <c r="H194" t="s">
        <v>216</v>
      </c>
      <c r="I194" t="s">
        <v>195</v>
      </c>
      <c r="J194" t="s">
        <v>218</v>
      </c>
      <c r="K194" t="s">
        <v>648</v>
      </c>
      <c r="L194">
        <v>797.8</v>
      </c>
      <c r="M194">
        <v>886.22</v>
      </c>
      <c r="N194">
        <v>0.236</v>
      </c>
      <c r="O194">
        <v>36</v>
      </c>
    </row>
    <row r="195" spans="1:15">
      <c r="A195" t="s">
        <v>649</v>
      </c>
      <c r="B195" s="29">
        <v>45214</v>
      </c>
      <c r="C195" s="29">
        <v>45243</v>
      </c>
      <c r="D195" t="s">
        <v>206</v>
      </c>
      <c r="E195" t="s">
        <v>277</v>
      </c>
      <c r="F195" t="s">
        <v>278</v>
      </c>
      <c r="G195" t="s">
        <v>200</v>
      </c>
      <c r="H195" t="s">
        <v>216</v>
      </c>
      <c r="I195" t="s">
        <v>190</v>
      </c>
      <c r="J195" t="s">
        <v>191</v>
      </c>
      <c r="K195" t="s">
        <v>650</v>
      </c>
      <c r="L195">
        <v>986.44</v>
      </c>
      <c r="M195">
        <v>790.61</v>
      </c>
      <c r="N195">
        <v>0.072</v>
      </c>
      <c r="O195">
        <v>6</v>
      </c>
    </row>
    <row r="196" spans="1:15">
      <c r="A196" t="s">
        <v>651</v>
      </c>
      <c r="B196" s="29">
        <v>45050</v>
      </c>
      <c r="C196" s="29">
        <v>45072</v>
      </c>
      <c r="D196" t="s">
        <v>213</v>
      </c>
      <c r="E196" t="s">
        <v>283</v>
      </c>
      <c r="F196" t="s">
        <v>328</v>
      </c>
      <c r="G196" t="s">
        <v>266</v>
      </c>
      <c r="H196" t="s">
        <v>189</v>
      </c>
      <c r="I196" t="s">
        <v>190</v>
      </c>
      <c r="J196" t="s">
        <v>196</v>
      </c>
      <c r="K196" t="s">
        <v>652</v>
      </c>
      <c r="L196">
        <v>249.71</v>
      </c>
      <c r="M196">
        <v>361.33</v>
      </c>
      <c r="N196">
        <v>0.094</v>
      </c>
      <c r="O196">
        <v>12</v>
      </c>
    </row>
    <row r="197" spans="1:15">
      <c r="A197" t="s">
        <v>653</v>
      </c>
      <c r="B197" s="29">
        <v>45557</v>
      </c>
      <c r="C197" s="29">
        <v>45566</v>
      </c>
      <c r="D197" t="s">
        <v>213</v>
      </c>
      <c r="E197" t="s">
        <v>234</v>
      </c>
      <c r="F197" t="s">
        <v>235</v>
      </c>
      <c r="G197" t="s">
        <v>200</v>
      </c>
      <c r="H197" t="s">
        <v>189</v>
      </c>
      <c r="I197" t="s">
        <v>256</v>
      </c>
      <c r="J197" t="s">
        <v>225</v>
      </c>
      <c r="K197" t="s">
        <v>654</v>
      </c>
      <c r="L197">
        <v>1378.8</v>
      </c>
      <c r="M197">
        <v>1952.04</v>
      </c>
      <c r="N197">
        <v>0.159</v>
      </c>
      <c r="O197">
        <v>19</v>
      </c>
    </row>
    <row r="198" spans="1:15">
      <c r="A198" t="s">
        <v>655</v>
      </c>
      <c r="B198" s="29">
        <v>45588</v>
      </c>
      <c r="C198" s="29">
        <v>45610</v>
      </c>
      <c r="D198" t="s">
        <v>206</v>
      </c>
      <c r="E198" t="s">
        <v>207</v>
      </c>
      <c r="F198" t="s">
        <v>208</v>
      </c>
      <c r="G198" t="s">
        <v>200</v>
      </c>
      <c r="H198" t="s">
        <v>259</v>
      </c>
      <c r="I198" t="s">
        <v>217</v>
      </c>
      <c r="J198" t="s">
        <v>203</v>
      </c>
      <c r="K198" t="s">
        <v>656</v>
      </c>
      <c r="L198">
        <v>1406.4</v>
      </c>
      <c r="M198">
        <v>1564.76</v>
      </c>
      <c r="N198">
        <v>0.185</v>
      </c>
      <c r="O198">
        <v>17</v>
      </c>
    </row>
    <row r="199" spans="1:15">
      <c r="A199" t="s">
        <v>657</v>
      </c>
      <c r="B199" s="29">
        <v>45333</v>
      </c>
      <c r="C199" s="29">
        <v>45354</v>
      </c>
      <c r="D199" t="s">
        <v>177</v>
      </c>
      <c r="E199" t="s">
        <v>178</v>
      </c>
      <c r="F199" t="s">
        <v>179</v>
      </c>
      <c r="G199" t="s">
        <v>266</v>
      </c>
      <c r="H199" t="s">
        <v>189</v>
      </c>
      <c r="I199" t="s">
        <v>217</v>
      </c>
      <c r="J199" t="s">
        <v>203</v>
      </c>
      <c r="K199" t="s">
        <v>658</v>
      </c>
      <c r="L199">
        <v>516.86</v>
      </c>
      <c r="M199">
        <v>852.54</v>
      </c>
      <c r="N199">
        <v>0.051</v>
      </c>
      <c r="O199">
        <v>14</v>
      </c>
    </row>
    <row r="200" spans="1:15">
      <c r="A200" t="s">
        <v>659</v>
      </c>
      <c r="B200" s="29">
        <v>44956</v>
      </c>
      <c r="C200" s="29">
        <v>44978</v>
      </c>
      <c r="D200" t="s">
        <v>239</v>
      </c>
      <c r="E200" t="s">
        <v>240</v>
      </c>
      <c r="F200" t="s">
        <v>320</v>
      </c>
      <c r="G200" t="s">
        <v>223</v>
      </c>
      <c r="H200" t="s">
        <v>201</v>
      </c>
      <c r="I200" t="s">
        <v>202</v>
      </c>
      <c r="J200" t="s">
        <v>196</v>
      </c>
      <c r="K200" t="s">
        <v>660</v>
      </c>
      <c r="L200">
        <v>1142.88</v>
      </c>
      <c r="M200">
        <v>1465.29</v>
      </c>
      <c r="N200">
        <v>0.186</v>
      </c>
      <c r="O200">
        <v>7</v>
      </c>
    </row>
    <row r="201" spans="1:15">
      <c r="A201" t="s">
        <v>661</v>
      </c>
      <c r="B201" s="29">
        <v>45030</v>
      </c>
      <c r="C201" s="29">
        <v>45059</v>
      </c>
      <c r="D201" t="s">
        <v>239</v>
      </c>
      <c r="E201" t="s">
        <v>240</v>
      </c>
      <c r="F201" t="s">
        <v>496</v>
      </c>
      <c r="G201" t="s">
        <v>209</v>
      </c>
      <c r="H201" t="s">
        <v>259</v>
      </c>
      <c r="I201" t="s">
        <v>190</v>
      </c>
      <c r="J201" t="s">
        <v>191</v>
      </c>
      <c r="K201" t="s">
        <v>662</v>
      </c>
      <c r="L201">
        <v>1320.33</v>
      </c>
      <c r="M201">
        <v>2645.23</v>
      </c>
      <c r="N201">
        <v>0.155</v>
      </c>
      <c r="O201">
        <v>25</v>
      </c>
    </row>
    <row r="202" spans="1:15">
      <c r="A202" t="s">
        <v>663</v>
      </c>
      <c r="B202" s="29">
        <v>44939</v>
      </c>
      <c r="C202" s="29">
        <v>44945</v>
      </c>
      <c r="D202" t="s">
        <v>213</v>
      </c>
      <c r="E202" t="s">
        <v>283</v>
      </c>
      <c r="F202" t="s">
        <v>284</v>
      </c>
      <c r="G202" t="s">
        <v>180</v>
      </c>
      <c r="H202" t="s">
        <v>259</v>
      </c>
      <c r="I202" t="s">
        <v>253</v>
      </c>
      <c r="J202" t="s">
        <v>203</v>
      </c>
      <c r="K202" t="s">
        <v>664</v>
      </c>
      <c r="L202">
        <v>833.57</v>
      </c>
      <c r="M202">
        <v>881.57</v>
      </c>
      <c r="N202">
        <v>0.057</v>
      </c>
      <c r="O202">
        <v>18</v>
      </c>
    </row>
    <row r="203" spans="1:15">
      <c r="A203" t="s">
        <v>665</v>
      </c>
      <c r="B203" s="29">
        <v>45303</v>
      </c>
      <c r="C203" s="29">
        <v>45320</v>
      </c>
      <c r="D203" t="s">
        <v>213</v>
      </c>
      <c r="E203" t="s">
        <v>283</v>
      </c>
      <c r="F203" t="s">
        <v>284</v>
      </c>
      <c r="G203" t="s">
        <v>188</v>
      </c>
      <c r="H203" t="s">
        <v>216</v>
      </c>
      <c r="I203" t="s">
        <v>236</v>
      </c>
      <c r="J203" t="s">
        <v>191</v>
      </c>
      <c r="K203" t="s">
        <v>666</v>
      </c>
      <c r="L203">
        <v>493.76</v>
      </c>
      <c r="M203">
        <v>625.04</v>
      </c>
      <c r="N203">
        <v>0.258</v>
      </c>
      <c r="O203">
        <v>10</v>
      </c>
    </row>
    <row r="204" spans="1:15">
      <c r="A204" t="s">
        <v>667</v>
      </c>
      <c r="B204" s="29">
        <v>45153</v>
      </c>
      <c r="C204" s="29">
        <v>45176</v>
      </c>
      <c r="D204" t="s">
        <v>213</v>
      </c>
      <c r="E204" t="s">
        <v>283</v>
      </c>
      <c r="F204" t="s">
        <v>548</v>
      </c>
      <c r="G204" t="s">
        <v>266</v>
      </c>
      <c r="H204" t="s">
        <v>189</v>
      </c>
      <c r="I204" t="s">
        <v>256</v>
      </c>
      <c r="J204" t="s">
        <v>203</v>
      </c>
      <c r="K204" t="s">
        <v>668</v>
      </c>
      <c r="L204">
        <v>590.33</v>
      </c>
      <c r="M204">
        <v>973.04</v>
      </c>
      <c r="N204">
        <v>0</v>
      </c>
      <c r="O204">
        <v>26</v>
      </c>
    </row>
    <row r="205" spans="1:15">
      <c r="A205" t="s">
        <v>669</v>
      </c>
      <c r="B205" s="29">
        <v>44946</v>
      </c>
      <c r="C205" s="29">
        <v>44960</v>
      </c>
      <c r="D205" t="s">
        <v>177</v>
      </c>
      <c r="E205" t="s">
        <v>178</v>
      </c>
      <c r="F205" t="s">
        <v>179</v>
      </c>
      <c r="G205" t="s">
        <v>180</v>
      </c>
      <c r="H205" t="s">
        <v>181</v>
      </c>
      <c r="I205" t="s">
        <v>271</v>
      </c>
      <c r="J205" t="s">
        <v>196</v>
      </c>
      <c r="K205" t="s">
        <v>670</v>
      </c>
      <c r="L205">
        <v>884.36</v>
      </c>
      <c r="M205">
        <v>1545.34</v>
      </c>
      <c r="N205">
        <v>0.243</v>
      </c>
      <c r="O205">
        <v>41</v>
      </c>
    </row>
    <row r="206" spans="1:15">
      <c r="A206" t="s">
        <v>671</v>
      </c>
      <c r="B206" s="29">
        <v>45692</v>
      </c>
      <c r="C206" s="29">
        <v>45713</v>
      </c>
      <c r="D206" t="s">
        <v>239</v>
      </c>
      <c r="E206" t="s">
        <v>269</v>
      </c>
      <c r="F206" t="s">
        <v>270</v>
      </c>
      <c r="G206" t="s">
        <v>180</v>
      </c>
      <c r="H206" t="s">
        <v>201</v>
      </c>
      <c r="I206" t="s">
        <v>306</v>
      </c>
      <c r="J206" t="s">
        <v>225</v>
      </c>
      <c r="K206" t="s">
        <v>672</v>
      </c>
      <c r="L206">
        <v>1016.32</v>
      </c>
      <c r="M206">
        <v>2253.42</v>
      </c>
      <c r="N206">
        <v>0.055</v>
      </c>
      <c r="O206">
        <v>12</v>
      </c>
    </row>
    <row r="207" spans="1:15">
      <c r="A207" t="s">
        <v>673</v>
      </c>
      <c r="B207" s="29">
        <v>45035</v>
      </c>
      <c r="C207" s="29">
        <v>45044</v>
      </c>
      <c r="D207" t="s">
        <v>239</v>
      </c>
      <c r="E207" t="s">
        <v>240</v>
      </c>
      <c r="F207" t="s">
        <v>241</v>
      </c>
      <c r="G207" t="s">
        <v>188</v>
      </c>
      <c r="H207" t="s">
        <v>189</v>
      </c>
      <c r="I207" t="s">
        <v>224</v>
      </c>
      <c r="J207" t="s">
        <v>225</v>
      </c>
      <c r="K207" t="s">
        <v>674</v>
      </c>
      <c r="L207">
        <v>1178.42</v>
      </c>
      <c r="M207">
        <v>2446.56</v>
      </c>
      <c r="N207">
        <v>0.029</v>
      </c>
      <c r="O207">
        <v>11</v>
      </c>
    </row>
    <row r="208" spans="1:15">
      <c r="A208" t="s">
        <v>675</v>
      </c>
      <c r="B208" s="29">
        <v>45109</v>
      </c>
      <c r="C208" s="29">
        <v>45139</v>
      </c>
      <c r="D208" t="s">
        <v>239</v>
      </c>
      <c r="E208" t="s">
        <v>269</v>
      </c>
      <c r="F208" t="s">
        <v>270</v>
      </c>
      <c r="G208" t="s">
        <v>223</v>
      </c>
      <c r="H208" t="s">
        <v>181</v>
      </c>
      <c r="I208" t="s">
        <v>217</v>
      </c>
      <c r="J208" t="s">
        <v>183</v>
      </c>
      <c r="K208" t="s">
        <v>676</v>
      </c>
      <c r="L208">
        <v>137.46</v>
      </c>
      <c r="M208">
        <v>188.3</v>
      </c>
      <c r="N208">
        <v>0.038</v>
      </c>
      <c r="O208">
        <v>37</v>
      </c>
    </row>
    <row r="209" spans="1:15">
      <c r="A209" t="s">
        <v>677</v>
      </c>
      <c r="B209" s="29">
        <v>45678</v>
      </c>
      <c r="C209" s="29">
        <v>45702</v>
      </c>
      <c r="D209" t="s">
        <v>177</v>
      </c>
      <c r="E209" t="s">
        <v>178</v>
      </c>
      <c r="F209" t="s">
        <v>194</v>
      </c>
      <c r="G209" t="s">
        <v>223</v>
      </c>
      <c r="H209" t="s">
        <v>181</v>
      </c>
      <c r="I209" t="s">
        <v>190</v>
      </c>
      <c r="J209" t="s">
        <v>242</v>
      </c>
      <c r="K209" t="s">
        <v>678</v>
      </c>
      <c r="L209">
        <v>1030.44</v>
      </c>
      <c r="M209">
        <v>2562.84</v>
      </c>
      <c r="N209">
        <v>0.148</v>
      </c>
      <c r="O209">
        <v>13</v>
      </c>
    </row>
    <row r="210" spans="1:15">
      <c r="A210" t="s">
        <v>679</v>
      </c>
      <c r="B210" s="29">
        <v>45545</v>
      </c>
      <c r="C210" s="29">
        <v>45572</v>
      </c>
      <c r="D210" t="s">
        <v>177</v>
      </c>
      <c r="E210" t="s">
        <v>178</v>
      </c>
      <c r="F210" t="s">
        <v>179</v>
      </c>
      <c r="G210" t="s">
        <v>209</v>
      </c>
      <c r="H210" t="s">
        <v>181</v>
      </c>
      <c r="I210" t="s">
        <v>210</v>
      </c>
      <c r="J210" t="s">
        <v>191</v>
      </c>
      <c r="K210" t="s">
        <v>680</v>
      </c>
      <c r="L210">
        <v>1248.39</v>
      </c>
      <c r="M210">
        <v>1805.11</v>
      </c>
      <c r="N210">
        <v>0.203</v>
      </c>
      <c r="O210">
        <v>11</v>
      </c>
    </row>
    <row r="211" spans="1:15">
      <c r="A211" t="s">
        <v>681</v>
      </c>
      <c r="B211" s="29">
        <v>45859</v>
      </c>
      <c r="C211" s="29">
        <v>45876</v>
      </c>
      <c r="D211" t="s">
        <v>177</v>
      </c>
      <c r="E211" t="s">
        <v>186</v>
      </c>
      <c r="F211" t="s">
        <v>199</v>
      </c>
      <c r="G211" t="s">
        <v>266</v>
      </c>
      <c r="H211" t="s">
        <v>259</v>
      </c>
      <c r="I211" t="s">
        <v>271</v>
      </c>
      <c r="J211" t="s">
        <v>242</v>
      </c>
      <c r="K211" t="s">
        <v>682</v>
      </c>
      <c r="L211">
        <v>1204.95</v>
      </c>
      <c r="M211">
        <v>2065.73</v>
      </c>
      <c r="N211">
        <v>0.136</v>
      </c>
      <c r="O211">
        <v>10</v>
      </c>
    </row>
    <row r="212" spans="1:15">
      <c r="A212" t="s">
        <v>683</v>
      </c>
      <c r="B212" s="29">
        <v>45567</v>
      </c>
      <c r="C212" s="29">
        <v>45588</v>
      </c>
      <c r="D212" t="s">
        <v>177</v>
      </c>
      <c r="E212" t="s">
        <v>309</v>
      </c>
      <c r="F212" t="s">
        <v>333</v>
      </c>
      <c r="G212" t="s">
        <v>180</v>
      </c>
      <c r="H212" t="s">
        <v>201</v>
      </c>
      <c r="I212" t="s">
        <v>236</v>
      </c>
      <c r="J212" t="s">
        <v>183</v>
      </c>
      <c r="K212" t="s">
        <v>684</v>
      </c>
      <c r="L212">
        <v>1095.61</v>
      </c>
      <c r="M212">
        <v>2366.51</v>
      </c>
      <c r="N212">
        <v>0.152</v>
      </c>
      <c r="O212">
        <v>9</v>
      </c>
    </row>
    <row r="213" spans="1:15">
      <c r="A213" t="s">
        <v>685</v>
      </c>
      <c r="B213" s="29">
        <v>45852</v>
      </c>
      <c r="C213" s="29">
        <v>45873</v>
      </c>
      <c r="D213" t="s">
        <v>213</v>
      </c>
      <c r="E213" t="s">
        <v>214</v>
      </c>
      <c r="F213" t="s">
        <v>305</v>
      </c>
      <c r="G213" t="s">
        <v>209</v>
      </c>
      <c r="H213" t="s">
        <v>189</v>
      </c>
      <c r="I213" t="s">
        <v>253</v>
      </c>
      <c r="J213" t="s">
        <v>225</v>
      </c>
      <c r="K213" t="s">
        <v>686</v>
      </c>
      <c r="L213">
        <v>90.3</v>
      </c>
      <c r="M213">
        <v>131.76</v>
      </c>
      <c r="N213">
        <v>0.102</v>
      </c>
      <c r="O213">
        <v>15</v>
      </c>
    </row>
    <row r="214" spans="1:15">
      <c r="A214" t="s">
        <v>687</v>
      </c>
      <c r="B214" s="29">
        <v>45544</v>
      </c>
      <c r="C214" s="29">
        <v>45566</v>
      </c>
      <c r="D214" t="s">
        <v>206</v>
      </c>
      <c r="E214" t="s">
        <v>277</v>
      </c>
      <c r="F214" t="s">
        <v>278</v>
      </c>
      <c r="G214" t="s">
        <v>209</v>
      </c>
      <c r="H214" t="s">
        <v>259</v>
      </c>
      <c r="I214" t="s">
        <v>210</v>
      </c>
      <c r="J214" t="s">
        <v>191</v>
      </c>
      <c r="K214" t="s">
        <v>688</v>
      </c>
      <c r="L214">
        <v>1166.18</v>
      </c>
      <c r="M214">
        <v>1335.02</v>
      </c>
      <c r="N214">
        <v>0.128</v>
      </c>
      <c r="O214">
        <v>6</v>
      </c>
    </row>
    <row r="215" spans="1:15">
      <c r="A215" t="s">
        <v>689</v>
      </c>
      <c r="B215" s="29">
        <v>45686</v>
      </c>
      <c r="C215" s="29">
        <v>45694</v>
      </c>
      <c r="D215" t="s">
        <v>177</v>
      </c>
      <c r="E215" t="s">
        <v>178</v>
      </c>
      <c r="F215" t="s">
        <v>179</v>
      </c>
      <c r="G215" t="s">
        <v>188</v>
      </c>
      <c r="H215" t="s">
        <v>181</v>
      </c>
      <c r="I215" t="s">
        <v>217</v>
      </c>
      <c r="J215" t="s">
        <v>203</v>
      </c>
      <c r="K215" t="s">
        <v>690</v>
      </c>
      <c r="L215">
        <v>1445.27</v>
      </c>
      <c r="M215">
        <v>2691.45</v>
      </c>
      <c r="N215">
        <v>0</v>
      </c>
      <c r="O215">
        <v>9</v>
      </c>
    </row>
    <row r="216" spans="1:15">
      <c r="A216" t="s">
        <v>691</v>
      </c>
      <c r="B216" s="29">
        <v>45240</v>
      </c>
      <c r="C216" s="29">
        <v>45258</v>
      </c>
      <c r="D216" t="s">
        <v>213</v>
      </c>
      <c r="E216" t="s">
        <v>234</v>
      </c>
      <c r="F216" t="s">
        <v>248</v>
      </c>
      <c r="G216" t="s">
        <v>188</v>
      </c>
      <c r="H216" t="s">
        <v>201</v>
      </c>
      <c r="I216" t="s">
        <v>210</v>
      </c>
      <c r="J216" t="s">
        <v>242</v>
      </c>
      <c r="K216" t="s">
        <v>692</v>
      </c>
      <c r="L216">
        <v>388.51</v>
      </c>
      <c r="M216">
        <v>776.46</v>
      </c>
      <c r="N216">
        <v>0.157</v>
      </c>
      <c r="O216">
        <v>12</v>
      </c>
    </row>
    <row r="217" spans="1:15">
      <c r="A217" t="s">
        <v>693</v>
      </c>
      <c r="B217" s="29">
        <v>45351</v>
      </c>
      <c r="C217" s="29">
        <v>45381</v>
      </c>
      <c r="D217" t="s">
        <v>206</v>
      </c>
      <c r="E217" t="s">
        <v>207</v>
      </c>
      <c r="F217" t="s">
        <v>392</v>
      </c>
      <c r="G217" t="s">
        <v>223</v>
      </c>
      <c r="H217" t="s">
        <v>259</v>
      </c>
      <c r="I217" t="s">
        <v>195</v>
      </c>
      <c r="J217" t="s">
        <v>196</v>
      </c>
      <c r="K217" t="s">
        <v>694</v>
      </c>
      <c r="L217">
        <v>231.11</v>
      </c>
      <c r="M217">
        <v>318.17</v>
      </c>
      <c r="N217">
        <v>0.201</v>
      </c>
      <c r="O217">
        <v>60</v>
      </c>
    </row>
    <row r="218" spans="1:15">
      <c r="A218" t="s">
        <v>695</v>
      </c>
      <c r="B218" s="29">
        <v>45280</v>
      </c>
      <c r="C218" s="29">
        <v>45305</v>
      </c>
      <c r="D218" t="s">
        <v>206</v>
      </c>
      <c r="E218" t="s">
        <v>221</v>
      </c>
      <c r="F218" t="s">
        <v>381</v>
      </c>
      <c r="G218" t="s">
        <v>200</v>
      </c>
      <c r="H218" t="s">
        <v>201</v>
      </c>
      <c r="I218" t="s">
        <v>210</v>
      </c>
      <c r="J218" t="s">
        <v>225</v>
      </c>
      <c r="K218" t="s">
        <v>696</v>
      </c>
      <c r="L218">
        <v>1085.61</v>
      </c>
      <c r="M218">
        <v>1246.41</v>
      </c>
      <c r="N218">
        <v>0.113</v>
      </c>
      <c r="O218">
        <v>7</v>
      </c>
    </row>
    <row r="219" spans="1:15">
      <c r="A219" t="s">
        <v>697</v>
      </c>
      <c r="B219" s="29">
        <v>44948</v>
      </c>
      <c r="C219" s="29">
        <v>44947</v>
      </c>
      <c r="D219" t="s">
        <v>239</v>
      </c>
      <c r="E219" t="s">
        <v>240</v>
      </c>
      <c r="F219" t="s">
        <v>320</v>
      </c>
      <c r="G219" t="s">
        <v>180</v>
      </c>
      <c r="H219" t="s">
        <v>259</v>
      </c>
      <c r="I219" t="s">
        <v>245</v>
      </c>
      <c r="J219" t="s">
        <v>225</v>
      </c>
      <c r="K219" t="s">
        <v>698</v>
      </c>
      <c r="L219">
        <v>150.86</v>
      </c>
      <c r="M219">
        <v>346.96</v>
      </c>
      <c r="N219">
        <v>0.196</v>
      </c>
      <c r="O219">
        <v>8</v>
      </c>
    </row>
    <row r="220" spans="1:15">
      <c r="A220" t="s">
        <v>699</v>
      </c>
      <c r="B220" s="29">
        <v>45576</v>
      </c>
      <c r="C220" s="29">
        <v>45605</v>
      </c>
      <c r="D220" t="s">
        <v>206</v>
      </c>
      <c r="E220" t="s">
        <v>277</v>
      </c>
      <c r="F220" t="s">
        <v>323</v>
      </c>
      <c r="G220" t="s">
        <v>200</v>
      </c>
      <c r="H220" t="s">
        <v>189</v>
      </c>
      <c r="I220" t="s">
        <v>245</v>
      </c>
      <c r="J220" t="s">
        <v>191</v>
      </c>
      <c r="K220" t="s">
        <v>700</v>
      </c>
      <c r="L220">
        <v>391.64</v>
      </c>
      <c r="M220">
        <v>504.76</v>
      </c>
      <c r="N220">
        <v>0.004</v>
      </c>
      <c r="O220">
        <v>13</v>
      </c>
    </row>
    <row r="221" spans="1:15">
      <c r="A221" t="s">
        <v>701</v>
      </c>
      <c r="B221" s="29">
        <v>45554</v>
      </c>
      <c r="C221" s="29">
        <v>45579</v>
      </c>
      <c r="D221" t="s">
        <v>213</v>
      </c>
      <c r="E221" t="s">
        <v>234</v>
      </c>
      <c r="F221" t="s">
        <v>386</v>
      </c>
      <c r="G221" t="s">
        <v>223</v>
      </c>
      <c r="H221" t="s">
        <v>181</v>
      </c>
      <c r="I221" t="s">
        <v>256</v>
      </c>
      <c r="J221" t="s">
        <v>191</v>
      </c>
      <c r="K221" t="s">
        <v>702</v>
      </c>
      <c r="L221">
        <v>386.96</v>
      </c>
      <c r="M221">
        <v>937.46</v>
      </c>
      <c r="N221">
        <v>0.266</v>
      </c>
      <c r="O221">
        <v>41</v>
      </c>
    </row>
    <row r="222" spans="1:15">
      <c r="A222" t="s">
        <v>703</v>
      </c>
      <c r="B222" s="29">
        <v>45894</v>
      </c>
      <c r="C222" s="29">
        <v>45924</v>
      </c>
      <c r="D222" t="s">
        <v>177</v>
      </c>
      <c r="E222" t="s">
        <v>178</v>
      </c>
      <c r="F222" t="s">
        <v>194</v>
      </c>
      <c r="G222" t="s">
        <v>209</v>
      </c>
      <c r="H222" t="s">
        <v>259</v>
      </c>
      <c r="I222" t="s">
        <v>217</v>
      </c>
      <c r="J222" t="s">
        <v>183</v>
      </c>
      <c r="K222" t="s">
        <v>704</v>
      </c>
      <c r="L222">
        <v>589.14</v>
      </c>
      <c r="M222">
        <v>1300.58</v>
      </c>
      <c r="N222">
        <v>0.055</v>
      </c>
      <c r="O222">
        <v>11</v>
      </c>
    </row>
    <row r="223" spans="1:15">
      <c r="A223" t="s">
        <v>705</v>
      </c>
      <c r="B223" s="29">
        <v>45194</v>
      </c>
      <c r="C223" s="29">
        <v>45201</v>
      </c>
      <c r="D223" t="s">
        <v>213</v>
      </c>
      <c r="E223" t="s">
        <v>283</v>
      </c>
      <c r="F223" t="s">
        <v>548</v>
      </c>
      <c r="G223" t="s">
        <v>188</v>
      </c>
      <c r="H223" t="s">
        <v>201</v>
      </c>
      <c r="I223" t="s">
        <v>195</v>
      </c>
      <c r="J223" t="s">
        <v>242</v>
      </c>
      <c r="K223" t="s">
        <v>706</v>
      </c>
      <c r="L223">
        <v>145.58</v>
      </c>
      <c r="M223">
        <v>228.15</v>
      </c>
      <c r="N223">
        <v>0.204</v>
      </c>
      <c r="O223">
        <v>5</v>
      </c>
    </row>
    <row r="224" spans="1:15">
      <c r="A224" t="s">
        <v>707</v>
      </c>
      <c r="B224" s="29">
        <v>45164</v>
      </c>
      <c r="C224" s="29">
        <v>45179</v>
      </c>
      <c r="D224" t="s">
        <v>177</v>
      </c>
      <c r="E224" t="s">
        <v>309</v>
      </c>
      <c r="F224" t="s">
        <v>419</v>
      </c>
      <c r="G224" t="s">
        <v>200</v>
      </c>
      <c r="H224" t="s">
        <v>259</v>
      </c>
      <c r="I224" t="s">
        <v>287</v>
      </c>
      <c r="J224" t="s">
        <v>183</v>
      </c>
      <c r="K224" t="s">
        <v>708</v>
      </c>
      <c r="L224">
        <v>241.14</v>
      </c>
      <c r="M224">
        <v>496.52</v>
      </c>
      <c r="N224">
        <v>0.093</v>
      </c>
      <c r="O224">
        <v>10</v>
      </c>
    </row>
    <row r="225" spans="1:15">
      <c r="A225" t="s">
        <v>709</v>
      </c>
      <c r="B225" s="29">
        <v>45854</v>
      </c>
      <c r="C225" s="29">
        <v>45855</v>
      </c>
      <c r="D225" t="s">
        <v>177</v>
      </c>
      <c r="E225" t="s">
        <v>309</v>
      </c>
      <c r="F225" t="s">
        <v>333</v>
      </c>
      <c r="G225" t="s">
        <v>223</v>
      </c>
      <c r="H225" t="s">
        <v>216</v>
      </c>
      <c r="I225" t="s">
        <v>217</v>
      </c>
      <c r="J225" t="s">
        <v>196</v>
      </c>
      <c r="K225" t="s">
        <v>710</v>
      </c>
      <c r="L225">
        <v>1198.9</v>
      </c>
      <c r="M225">
        <v>2941.2</v>
      </c>
      <c r="N225">
        <v>0.051</v>
      </c>
      <c r="O225">
        <v>24</v>
      </c>
    </row>
    <row r="226" spans="1:15">
      <c r="A226" t="s">
        <v>711</v>
      </c>
      <c r="B226" s="29">
        <v>45035</v>
      </c>
      <c r="C226" s="29">
        <v>45053</v>
      </c>
      <c r="D226" t="s">
        <v>239</v>
      </c>
      <c r="E226" t="s">
        <v>269</v>
      </c>
      <c r="F226" t="s">
        <v>270</v>
      </c>
      <c r="G226" t="s">
        <v>266</v>
      </c>
      <c r="H226" t="s">
        <v>181</v>
      </c>
      <c r="I226" t="s">
        <v>287</v>
      </c>
      <c r="J226" t="s">
        <v>218</v>
      </c>
      <c r="K226" t="s">
        <v>712</v>
      </c>
      <c r="L226">
        <v>1089.15</v>
      </c>
      <c r="M226">
        <v>1088.2</v>
      </c>
      <c r="N226">
        <v>0.051</v>
      </c>
      <c r="O226">
        <v>15</v>
      </c>
    </row>
    <row r="227" spans="1:15">
      <c r="A227" t="s">
        <v>713</v>
      </c>
      <c r="B227" s="29">
        <v>45279</v>
      </c>
      <c r="C227" s="29">
        <v>45280</v>
      </c>
      <c r="D227" t="s">
        <v>213</v>
      </c>
      <c r="E227" t="s">
        <v>234</v>
      </c>
      <c r="F227" t="s">
        <v>386</v>
      </c>
      <c r="G227" t="s">
        <v>209</v>
      </c>
      <c r="H227" t="s">
        <v>216</v>
      </c>
      <c r="I227" t="s">
        <v>190</v>
      </c>
      <c r="J227" t="s">
        <v>203</v>
      </c>
      <c r="K227" t="s">
        <v>714</v>
      </c>
      <c r="L227">
        <v>1080.43</v>
      </c>
      <c r="M227">
        <v>2529.15</v>
      </c>
      <c r="N227">
        <v>0.147</v>
      </c>
      <c r="O227">
        <v>10</v>
      </c>
    </row>
    <row r="228" spans="1:15">
      <c r="A228" t="s">
        <v>715</v>
      </c>
      <c r="B228" s="29">
        <v>45137</v>
      </c>
      <c r="C228" s="29">
        <v>45145</v>
      </c>
      <c r="D228" t="s">
        <v>206</v>
      </c>
      <c r="E228" t="s">
        <v>207</v>
      </c>
      <c r="F228" t="s">
        <v>392</v>
      </c>
      <c r="G228" t="s">
        <v>188</v>
      </c>
      <c r="H228" t="s">
        <v>201</v>
      </c>
      <c r="I228" t="s">
        <v>236</v>
      </c>
      <c r="J228" t="s">
        <v>196</v>
      </c>
      <c r="K228" t="s">
        <v>716</v>
      </c>
      <c r="L228">
        <v>1352.44</v>
      </c>
      <c r="M228">
        <v>2698.01</v>
      </c>
      <c r="N228">
        <v>0.131</v>
      </c>
      <c r="O228">
        <v>13</v>
      </c>
    </row>
    <row r="229" spans="1:15">
      <c r="A229" t="s">
        <v>717</v>
      </c>
      <c r="B229" s="29">
        <v>45203</v>
      </c>
      <c r="C229" s="29">
        <v>45228</v>
      </c>
      <c r="D229" t="s">
        <v>213</v>
      </c>
      <c r="E229" t="s">
        <v>283</v>
      </c>
      <c r="F229" t="s">
        <v>328</v>
      </c>
      <c r="G229" t="s">
        <v>223</v>
      </c>
      <c r="H229" t="s">
        <v>216</v>
      </c>
      <c r="I229" t="s">
        <v>229</v>
      </c>
      <c r="J229" t="s">
        <v>242</v>
      </c>
      <c r="K229" t="s">
        <v>718</v>
      </c>
      <c r="L229">
        <v>1239.84</v>
      </c>
      <c r="M229">
        <v>1482.75</v>
      </c>
      <c r="N229">
        <v>0.067</v>
      </c>
      <c r="O229">
        <v>4</v>
      </c>
    </row>
    <row r="230" spans="1:15">
      <c r="A230" t="s">
        <v>719</v>
      </c>
      <c r="B230" s="29">
        <v>45879</v>
      </c>
      <c r="C230" s="29">
        <v>45899</v>
      </c>
      <c r="D230" t="s">
        <v>213</v>
      </c>
      <c r="E230" t="s">
        <v>283</v>
      </c>
      <c r="F230" t="s">
        <v>328</v>
      </c>
      <c r="G230" t="s">
        <v>180</v>
      </c>
      <c r="H230" t="s">
        <v>201</v>
      </c>
      <c r="I230" t="s">
        <v>256</v>
      </c>
      <c r="J230" t="s">
        <v>191</v>
      </c>
      <c r="K230" t="s">
        <v>720</v>
      </c>
      <c r="L230">
        <v>933.29</v>
      </c>
      <c r="M230">
        <v>1456.81</v>
      </c>
      <c r="N230">
        <v>0.123</v>
      </c>
      <c r="O230">
        <v>13</v>
      </c>
    </row>
    <row r="231" spans="1:15">
      <c r="A231" t="s">
        <v>721</v>
      </c>
      <c r="B231" s="29">
        <v>44992</v>
      </c>
      <c r="C231" s="29">
        <v>45017</v>
      </c>
      <c r="D231" t="s">
        <v>177</v>
      </c>
      <c r="E231" t="s">
        <v>178</v>
      </c>
      <c r="F231" t="s">
        <v>194</v>
      </c>
      <c r="G231" t="s">
        <v>209</v>
      </c>
      <c r="H231" t="s">
        <v>201</v>
      </c>
      <c r="I231" t="s">
        <v>306</v>
      </c>
      <c r="J231" t="s">
        <v>191</v>
      </c>
      <c r="K231" t="s">
        <v>722</v>
      </c>
      <c r="L231">
        <v>1024.1</v>
      </c>
      <c r="M231">
        <v>918.19</v>
      </c>
      <c r="N231">
        <v>0.189</v>
      </c>
      <c r="O231">
        <v>10</v>
      </c>
    </row>
    <row r="232" spans="1:15">
      <c r="A232" t="s">
        <v>723</v>
      </c>
      <c r="B232" s="29">
        <v>45069</v>
      </c>
      <c r="C232" s="29">
        <v>45087</v>
      </c>
      <c r="D232" t="s">
        <v>206</v>
      </c>
      <c r="E232" t="s">
        <v>277</v>
      </c>
      <c r="F232" t="s">
        <v>323</v>
      </c>
      <c r="G232" t="s">
        <v>180</v>
      </c>
      <c r="H232" t="s">
        <v>216</v>
      </c>
      <c r="I232" t="s">
        <v>224</v>
      </c>
      <c r="J232" t="s">
        <v>183</v>
      </c>
      <c r="K232" t="s">
        <v>724</v>
      </c>
      <c r="L232">
        <v>54.62</v>
      </c>
      <c r="M232">
        <v>48.94</v>
      </c>
      <c r="N232">
        <v>0.148</v>
      </c>
      <c r="O232">
        <v>16</v>
      </c>
    </row>
    <row r="233" spans="1:15">
      <c r="A233" t="s">
        <v>725</v>
      </c>
      <c r="B233" s="29">
        <v>45771</v>
      </c>
      <c r="C233" s="29">
        <v>45783</v>
      </c>
      <c r="D233" t="s">
        <v>213</v>
      </c>
      <c r="E233" t="s">
        <v>234</v>
      </c>
      <c r="F233" t="s">
        <v>248</v>
      </c>
      <c r="G233" t="s">
        <v>209</v>
      </c>
      <c r="H233" t="s">
        <v>189</v>
      </c>
      <c r="I233" t="s">
        <v>182</v>
      </c>
      <c r="J233" t="s">
        <v>203</v>
      </c>
      <c r="K233" t="s">
        <v>726</v>
      </c>
      <c r="L233">
        <v>394.13</v>
      </c>
      <c r="M233">
        <v>932.29</v>
      </c>
      <c r="N233">
        <v>0.109</v>
      </c>
      <c r="O233">
        <v>7</v>
      </c>
    </row>
    <row r="234" spans="1:15">
      <c r="A234" t="s">
        <v>727</v>
      </c>
      <c r="B234" s="29">
        <v>45538</v>
      </c>
      <c r="C234" s="29">
        <v>45543</v>
      </c>
      <c r="D234" t="s">
        <v>177</v>
      </c>
      <c r="E234" t="s">
        <v>186</v>
      </c>
      <c r="F234" t="s">
        <v>199</v>
      </c>
      <c r="G234" t="s">
        <v>223</v>
      </c>
      <c r="H234" t="s">
        <v>259</v>
      </c>
      <c r="I234" t="s">
        <v>256</v>
      </c>
      <c r="J234" t="s">
        <v>191</v>
      </c>
      <c r="K234" t="s">
        <v>728</v>
      </c>
      <c r="L234">
        <v>197.63</v>
      </c>
      <c r="M234">
        <v>325.79</v>
      </c>
      <c r="N234">
        <v>0.116</v>
      </c>
      <c r="O234">
        <v>10</v>
      </c>
    </row>
    <row r="235" spans="1:15">
      <c r="A235" t="s">
        <v>729</v>
      </c>
      <c r="B235" s="29">
        <v>45540</v>
      </c>
      <c r="C235" s="29">
        <v>45560</v>
      </c>
      <c r="D235" t="s">
        <v>206</v>
      </c>
      <c r="E235" t="s">
        <v>207</v>
      </c>
      <c r="F235" t="s">
        <v>208</v>
      </c>
      <c r="G235" t="s">
        <v>266</v>
      </c>
      <c r="H235" t="s">
        <v>216</v>
      </c>
      <c r="I235" t="s">
        <v>306</v>
      </c>
      <c r="J235" t="s">
        <v>225</v>
      </c>
      <c r="K235" t="s">
        <v>730</v>
      </c>
      <c r="L235">
        <v>195.54</v>
      </c>
      <c r="M235">
        <v>405.97</v>
      </c>
      <c r="N235">
        <v>0.187</v>
      </c>
      <c r="O235">
        <v>16</v>
      </c>
    </row>
    <row r="236" spans="1:15">
      <c r="A236" t="s">
        <v>731</v>
      </c>
      <c r="B236" s="29">
        <v>44999</v>
      </c>
      <c r="C236" s="29">
        <v>45015</v>
      </c>
      <c r="D236" t="s">
        <v>177</v>
      </c>
      <c r="E236" t="s">
        <v>309</v>
      </c>
      <c r="F236" t="s">
        <v>419</v>
      </c>
      <c r="G236" t="s">
        <v>209</v>
      </c>
      <c r="H236" t="s">
        <v>216</v>
      </c>
      <c r="I236" t="s">
        <v>256</v>
      </c>
      <c r="J236" t="s">
        <v>183</v>
      </c>
      <c r="K236" t="s">
        <v>732</v>
      </c>
      <c r="L236">
        <v>1309.77</v>
      </c>
      <c r="M236">
        <v>1589.07</v>
      </c>
      <c r="N236">
        <v>0.102</v>
      </c>
      <c r="O236">
        <v>10</v>
      </c>
    </row>
    <row r="237" spans="1:15">
      <c r="A237" t="s">
        <v>733</v>
      </c>
      <c r="B237" s="29">
        <v>45302</v>
      </c>
      <c r="C237" s="29">
        <v>45324</v>
      </c>
      <c r="D237" t="s">
        <v>206</v>
      </c>
      <c r="E237" t="s">
        <v>207</v>
      </c>
      <c r="F237" t="s">
        <v>392</v>
      </c>
      <c r="G237" t="s">
        <v>223</v>
      </c>
      <c r="H237" t="s">
        <v>189</v>
      </c>
      <c r="J237" t="s">
        <v>191</v>
      </c>
      <c r="K237" t="s">
        <v>734</v>
      </c>
      <c r="L237">
        <v>1237.68</v>
      </c>
      <c r="M237">
        <v>1432.8</v>
      </c>
      <c r="N237">
        <v>0.068</v>
      </c>
      <c r="O237">
        <v>13</v>
      </c>
    </row>
    <row r="238" spans="1:15">
      <c r="A238" t="s">
        <v>735</v>
      </c>
      <c r="B238" s="29">
        <v>45548</v>
      </c>
      <c r="C238" s="29">
        <v>45567</v>
      </c>
      <c r="D238" t="s">
        <v>177</v>
      </c>
      <c r="E238" t="s">
        <v>178</v>
      </c>
      <c r="F238" t="s">
        <v>274</v>
      </c>
      <c r="G238" t="s">
        <v>223</v>
      </c>
      <c r="H238" t="s">
        <v>181</v>
      </c>
      <c r="I238" t="s">
        <v>271</v>
      </c>
      <c r="J238" t="s">
        <v>203</v>
      </c>
      <c r="K238" t="s">
        <v>736</v>
      </c>
      <c r="L238">
        <v>1338.99</v>
      </c>
      <c r="M238">
        <v>1765.76</v>
      </c>
      <c r="N238">
        <v>0.126</v>
      </c>
      <c r="O238">
        <v>24</v>
      </c>
    </row>
    <row r="239" spans="1:15">
      <c r="A239" t="s">
        <v>737</v>
      </c>
      <c r="B239" s="29">
        <v>45855</v>
      </c>
      <c r="C239" s="29">
        <v>45861</v>
      </c>
      <c r="D239" t="s">
        <v>213</v>
      </c>
      <c r="E239" t="s">
        <v>214</v>
      </c>
      <c r="F239" t="s">
        <v>340</v>
      </c>
      <c r="G239" t="s">
        <v>209</v>
      </c>
      <c r="H239" t="s">
        <v>189</v>
      </c>
      <c r="I239" t="s">
        <v>253</v>
      </c>
      <c r="J239" t="s">
        <v>183</v>
      </c>
      <c r="K239" t="s">
        <v>738</v>
      </c>
      <c r="L239">
        <v>1364.89</v>
      </c>
      <c r="M239">
        <v>2757.54</v>
      </c>
      <c r="N239">
        <v>0.172</v>
      </c>
      <c r="O239">
        <v>61</v>
      </c>
    </row>
    <row r="240" spans="1:15">
      <c r="A240" t="s">
        <v>739</v>
      </c>
      <c r="B240" s="29">
        <v>45258</v>
      </c>
      <c r="C240" s="29">
        <v>45267</v>
      </c>
      <c r="D240" t="s">
        <v>206</v>
      </c>
      <c r="E240" t="s">
        <v>221</v>
      </c>
      <c r="F240" t="s">
        <v>302</v>
      </c>
      <c r="G240" t="s">
        <v>266</v>
      </c>
      <c r="H240" t="s">
        <v>201</v>
      </c>
      <c r="I240" t="s">
        <v>210</v>
      </c>
      <c r="J240" t="s">
        <v>203</v>
      </c>
      <c r="K240" t="s">
        <v>740</v>
      </c>
      <c r="L240">
        <v>699.33</v>
      </c>
      <c r="M240">
        <v>873.75</v>
      </c>
      <c r="N240">
        <v>0.235</v>
      </c>
      <c r="O240">
        <v>10</v>
      </c>
    </row>
    <row r="241" spans="1:15">
      <c r="A241" t="s">
        <v>741</v>
      </c>
      <c r="B241" s="29">
        <v>45381</v>
      </c>
      <c r="C241" s="29">
        <v>45406</v>
      </c>
      <c r="D241" t="s">
        <v>213</v>
      </c>
      <c r="E241" t="s">
        <v>283</v>
      </c>
      <c r="F241" t="s">
        <v>487</v>
      </c>
      <c r="G241" t="s">
        <v>200</v>
      </c>
      <c r="H241" t="s">
        <v>189</v>
      </c>
      <c r="I241" t="s">
        <v>202</v>
      </c>
      <c r="J241" t="s">
        <v>218</v>
      </c>
      <c r="K241" t="s">
        <v>742</v>
      </c>
      <c r="L241">
        <v>160.82</v>
      </c>
      <c r="M241">
        <v>258.52</v>
      </c>
      <c r="N241">
        <v>0.13</v>
      </c>
      <c r="O241">
        <v>17</v>
      </c>
    </row>
    <row r="242" spans="1:15">
      <c r="A242" t="s">
        <v>743</v>
      </c>
      <c r="B242" s="29">
        <v>45188</v>
      </c>
      <c r="C242" s="29">
        <v>45207</v>
      </c>
      <c r="D242" t="s">
        <v>206</v>
      </c>
      <c r="E242" t="s">
        <v>221</v>
      </c>
      <c r="F242" t="s">
        <v>222</v>
      </c>
      <c r="G242" t="s">
        <v>188</v>
      </c>
      <c r="H242" t="s">
        <v>259</v>
      </c>
      <c r="I242" t="s">
        <v>190</v>
      </c>
      <c r="J242" t="s">
        <v>191</v>
      </c>
      <c r="K242" t="s">
        <v>744</v>
      </c>
      <c r="L242">
        <v>385.32</v>
      </c>
      <c r="M242">
        <v>606.76</v>
      </c>
      <c r="N242">
        <v>0.086</v>
      </c>
      <c r="O242">
        <v>8</v>
      </c>
    </row>
    <row r="243" spans="1:15">
      <c r="A243" t="s">
        <v>745</v>
      </c>
      <c r="B243" s="29">
        <v>45793</v>
      </c>
      <c r="C243" s="29">
        <v>45804</v>
      </c>
      <c r="D243" t="s">
        <v>206</v>
      </c>
      <c r="E243" t="s">
        <v>277</v>
      </c>
      <c r="F243" t="s">
        <v>499</v>
      </c>
      <c r="G243" t="s">
        <v>266</v>
      </c>
      <c r="H243" t="s">
        <v>189</v>
      </c>
      <c r="I243" t="s">
        <v>245</v>
      </c>
      <c r="J243" t="s">
        <v>203</v>
      </c>
      <c r="K243" t="s">
        <v>746</v>
      </c>
      <c r="L243">
        <v>918.12</v>
      </c>
      <c r="M243">
        <v>1337.69</v>
      </c>
      <c r="N243">
        <v>0.095</v>
      </c>
      <c r="O243">
        <v>8</v>
      </c>
    </row>
    <row r="244" spans="1:15">
      <c r="A244" t="s">
        <v>747</v>
      </c>
      <c r="B244" s="29">
        <v>45871</v>
      </c>
      <c r="C244" s="29">
        <v>45877</v>
      </c>
      <c r="D244" t="s">
        <v>206</v>
      </c>
      <c r="E244" t="s">
        <v>207</v>
      </c>
      <c r="F244" t="s">
        <v>208</v>
      </c>
      <c r="G244" t="s">
        <v>209</v>
      </c>
      <c r="H244" t="s">
        <v>259</v>
      </c>
      <c r="I244" t="s">
        <v>287</v>
      </c>
      <c r="J244" t="s">
        <v>218</v>
      </c>
      <c r="K244" t="s">
        <v>748</v>
      </c>
      <c r="L244">
        <v>1225.94</v>
      </c>
      <c r="M244">
        <v>1793.08</v>
      </c>
      <c r="N244">
        <v>0.136</v>
      </c>
      <c r="O244">
        <v>22</v>
      </c>
    </row>
    <row r="245" spans="1:15">
      <c r="A245" t="s">
        <v>749</v>
      </c>
      <c r="B245" s="29">
        <v>45630</v>
      </c>
      <c r="C245" s="29">
        <v>45638</v>
      </c>
      <c r="D245" t="s">
        <v>239</v>
      </c>
      <c r="E245" t="s">
        <v>240</v>
      </c>
      <c r="F245" t="s">
        <v>496</v>
      </c>
      <c r="G245" t="s">
        <v>266</v>
      </c>
      <c r="H245" t="s">
        <v>201</v>
      </c>
      <c r="I245" t="s">
        <v>217</v>
      </c>
      <c r="J245" t="s">
        <v>191</v>
      </c>
      <c r="K245" t="s">
        <v>750</v>
      </c>
      <c r="L245">
        <v>72.06</v>
      </c>
      <c r="M245">
        <v>122.74</v>
      </c>
      <c r="N245">
        <v>0.238</v>
      </c>
      <c r="O245">
        <v>8</v>
      </c>
    </row>
    <row r="246" spans="1:15">
      <c r="A246" t="s">
        <v>751</v>
      </c>
      <c r="B246" s="29">
        <v>45035</v>
      </c>
      <c r="C246" s="29">
        <v>45044</v>
      </c>
      <c r="D246" t="s">
        <v>213</v>
      </c>
      <c r="E246" t="s">
        <v>234</v>
      </c>
      <c r="F246" t="s">
        <v>386</v>
      </c>
      <c r="G246" t="s">
        <v>180</v>
      </c>
      <c r="H246" t="s">
        <v>216</v>
      </c>
      <c r="I246" t="s">
        <v>271</v>
      </c>
      <c r="J246" t="s">
        <v>203</v>
      </c>
      <c r="K246" t="s">
        <v>752</v>
      </c>
      <c r="L246">
        <v>1013.54</v>
      </c>
      <c r="M246">
        <v>927.93</v>
      </c>
      <c r="N246">
        <v>0.175</v>
      </c>
      <c r="O246">
        <v>16</v>
      </c>
    </row>
    <row r="247" spans="1:15">
      <c r="A247" t="s">
        <v>753</v>
      </c>
      <c r="B247" s="29">
        <v>45357</v>
      </c>
      <c r="C247" s="29">
        <v>45377</v>
      </c>
      <c r="D247" t="s">
        <v>177</v>
      </c>
      <c r="E247" t="s">
        <v>186</v>
      </c>
      <c r="F247" t="s">
        <v>187</v>
      </c>
      <c r="G247" t="s">
        <v>209</v>
      </c>
      <c r="H247" t="s">
        <v>201</v>
      </c>
      <c r="I247" t="s">
        <v>195</v>
      </c>
      <c r="J247" t="s">
        <v>203</v>
      </c>
      <c r="K247" t="s">
        <v>754</v>
      </c>
      <c r="L247">
        <v>65.64</v>
      </c>
      <c r="M247">
        <v>151.88</v>
      </c>
      <c r="N247">
        <v>0.167</v>
      </c>
      <c r="O247">
        <v>23</v>
      </c>
    </row>
    <row r="248" spans="1:15">
      <c r="A248" t="s">
        <v>755</v>
      </c>
      <c r="B248" s="29">
        <v>45338</v>
      </c>
      <c r="C248" s="29">
        <v>45355</v>
      </c>
      <c r="D248" t="s">
        <v>213</v>
      </c>
      <c r="E248" t="s">
        <v>214</v>
      </c>
      <c r="F248" t="s">
        <v>305</v>
      </c>
      <c r="G248" t="s">
        <v>200</v>
      </c>
      <c r="H248" t="s">
        <v>181</v>
      </c>
      <c r="I248" t="s">
        <v>306</v>
      </c>
      <c r="J248" t="s">
        <v>218</v>
      </c>
      <c r="K248" t="s">
        <v>756</v>
      </c>
      <c r="L248">
        <v>1350.98</v>
      </c>
      <c r="M248">
        <v>2210.4</v>
      </c>
      <c r="N248">
        <v>0.263</v>
      </c>
      <c r="O248">
        <v>6</v>
      </c>
    </row>
    <row r="249" spans="1:15">
      <c r="A249" t="s">
        <v>757</v>
      </c>
      <c r="B249" s="29">
        <v>45769</v>
      </c>
      <c r="C249" s="29">
        <v>45779</v>
      </c>
      <c r="D249" t="s">
        <v>239</v>
      </c>
      <c r="E249" t="s">
        <v>240</v>
      </c>
      <c r="F249" t="s">
        <v>241</v>
      </c>
      <c r="G249" t="s">
        <v>180</v>
      </c>
      <c r="H249" t="s">
        <v>201</v>
      </c>
      <c r="I249" t="s">
        <v>182</v>
      </c>
      <c r="J249" t="s">
        <v>225</v>
      </c>
      <c r="K249" t="s">
        <v>758</v>
      </c>
      <c r="L249">
        <v>20.15</v>
      </c>
      <c r="M249">
        <v>39.74</v>
      </c>
      <c r="N249">
        <v>0.151</v>
      </c>
      <c r="O249">
        <v>18</v>
      </c>
    </row>
    <row r="250" spans="1:15">
      <c r="A250" t="s">
        <v>759</v>
      </c>
      <c r="B250" s="29">
        <v>45604</v>
      </c>
      <c r="C250" s="29">
        <v>45604</v>
      </c>
      <c r="D250" t="s">
        <v>177</v>
      </c>
      <c r="E250" t="s">
        <v>178</v>
      </c>
      <c r="F250" t="s">
        <v>296</v>
      </c>
      <c r="G250" t="s">
        <v>266</v>
      </c>
      <c r="H250" t="s">
        <v>201</v>
      </c>
      <c r="I250" t="s">
        <v>271</v>
      </c>
      <c r="J250" t="s">
        <v>196</v>
      </c>
      <c r="K250" t="s">
        <v>760</v>
      </c>
      <c r="L250">
        <v>803.28</v>
      </c>
      <c r="M250">
        <v>1009</v>
      </c>
      <c r="N250">
        <v>0.11</v>
      </c>
      <c r="O250">
        <v>4</v>
      </c>
    </row>
    <row r="251" spans="1:15">
      <c r="A251" t="s">
        <v>761</v>
      </c>
      <c r="B251" s="29">
        <v>45912</v>
      </c>
      <c r="C251" s="29">
        <v>45930</v>
      </c>
      <c r="D251" t="s">
        <v>206</v>
      </c>
      <c r="E251" t="s">
        <v>207</v>
      </c>
      <c r="F251" t="s">
        <v>392</v>
      </c>
      <c r="G251" t="s">
        <v>200</v>
      </c>
      <c r="H251" t="s">
        <v>201</v>
      </c>
      <c r="I251" t="s">
        <v>245</v>
      </c>
      <c r="J251" t="s">
        <v>225</v>
      </c>
      <c r="K251" t="s">
        <v>762</v>
      </c>
      <c r="L251">
        <v>1212.99</v>
      </c>
      <c r="M251">
        <v>1653.64</v>
      </c>
      <c r="N251">
        <v>0.107</v>
      </c>
      <c r="O251">
        <v>8</v>
      </c>
    </row>
    <row r="252" spans="1:15">
      <c r="A252" t="s">
        <v>763</v>
      </c>
      <c r="B252" s="29">
        <v>45537</v>
      </c>
      <c r="C252" s="29">
        <v>45543</v>
      </c>
      <c r="D252" t="s">
        <v>213</v>
      </c>
      <c r="E252" t="s">
        <v>283</v>
      </c>
      <c r="F252" t="s">
        <v>487</v>
      </c>
      <c r="G252" t="s">
        <v>209</v>
      </c>
      <c r="H252" t="s">
        <v>259</v>
      </c>
      <c r="I252" t="s">
        <v>253</v>
      </c>
      <c r="J252" t="s">
        <v>183</v>
      </c>
      <c r="K252" t="s">
        <v>764</v>
      </c>
      <c r="L252">
        <v>462.94</v>
      </c>
      <c r="M252">
        <v>1015.7</v>
      </c>
      <c r="N252">
        <v>0.143</v>
      </c>
      <c r="O252">
        <v>14</v>
      </c>
    </row>
    <row r="253" spans="1:15">
      <c r="A253" t="s">
        <v>765</v>
      </c>
      <c r="B253" s="29">
        <v>44989</v>
      </c>
      <c r="C253" s="29">
        <v>45009</v>
      </c>
      <c r="D253" t="s">
        <v>213</v>
      </c>
      <c r="E253" t="s">
        <v>214</v>
      </c>
      <c r="F253" t="s">
        <v>305</v>
      </c>
      <c r="G253" t="s">
        <v>209</v>
      </c>
      <c r="H253" t="s">
        <v>216</v>
      </c>
      <c r="I253" t="s">
        <v>195</v>
      </c>
      <c r="J253" t="s">
        <v>218</v>
      </c>
      <c r="K253" t="s">
        <v>766</v>
      </c>
      <c r="L253">
        <v>481.71</v>
      </c>
      <c r="M253">
        <v>912.45</v>
      </c>
      <c r="N253">
        <v>0.203</v>
      </c>
      <c r="O253">
        <v>24</v>
      </c>
    </row>
    <row r="254" spans="1:15">
      <c r="A254" t="s">
        <v>767</v>
      </c>
      <c r="B254" s="29">
        <v>45366</v>
      </c>
      <c r="C254" s="29">
        <v>45391</v>
      </c>
      <c r="D254" t="s">
        <v>213</v>
      </c>
      <c r="E254" t="s">
        <v>214</v>
      </c>
      <c r="F254" t="s">
        <v>340</v>
      </c>
      <c r="G254" t="s">
        <v>209</v>
      </c>
      <c r="H254" t="s">
        <v>189</v>
      </c>
      <c r="I254" t="s">
        <v>245</v>
      </c>
      <c r="J254" t="s">
        <v>225</v>
      </c>
      <c r="K254" t="s">
        <v>768</v>
      </c>
      <c r="L254">
        <v>648.64</v>
      </c>
      <c r="M254">
        <v>815.19</v>
      </c>
      <c r="N254">
        <v>0.225</v>
      </c>
      <c r="O254">
        <v>28</v>
      </c>
    </row>
    <row r="255" spans="1:15">
      <c r="A255" t="s">
        <v>769</v>
      </c>
      <c r="B255" s="29">
        <v>45502</v>
      </c>
      <c r="C255" s="29">
        <v>45504</v>
      </c>
      <c r="D255" t="s">
        <v>213</v>
      </c>
      <c r="E255" t="s">
        <v>283</v>
      </c>
      <c r="F255" t="s">
        <v>548</v>
      </c>
      <c r="G255" t="s">
        <v>188</v>
      </c>
      <c r="H255" t="s">
        <v>201</v>
      </c>
      <c r="I255" t="s">
        <v>195</v>
      </c>
      <c r="J255" t="s">
        <v>191</v>
      </c>
      <c r="K255" t="s">
        <v>770</v>
      </c>
      <c r="L255">
        <v>798.97</v>
      </c>
      <c r="M255">
        <v>1814.06</v>
      </c>
      <c r="N255">
        <v>0.122</v>
      </c>
      <c r="O255">
        <v>16</v>
      </c>
    </row>
    <row r="256" spans="1:15">
      <c r="A256" t="s">
        <v>771</v>
      </c>
      <c r="B256" s="29">
        <v>45592</v>
      </c>
      <c r="C256" s="29">
        <v>45616</v>
      </c>
      <c r="D256" t="s">
        <v>206</v>
      </c>
      <c r="E256" t="s">
        <v>207</v>
      </c>
      <c r="F256" t="s">
        <v>392</v>
      </c>
      <c r="G256" t="s">
        <v>200</v>
      </c>
      <c r="H256" t="s">
        <v>189</v>
      </c>
      <c r="I256" t="s">
        <v>253</v>
      </c>
      <c r="J256" t="s">
        <v>225</v>
      </c>
      <c r="K256" t="s">
        <v>772</v>
      </c>
      <c r="L256">
        <v>317.25</v>
      </c>
      <c r="M256">
        <v>758.92</v>
      </c>
      <c r="N256">
        <v>0.053</v>
      </c>
      <c r="O256">
        <v>9</v>
      </c>
    </row>
    <row r="257" spans="1:15">
      <c r="A257" t="s">
        <v>773</v>
      </c>
      <c r="B257" s="29">
        <v>45411</v>
      </c>
      <c r="C257" s="29">
        <v>45431</v>
      </c>
      <c r="D257" t="s">
        <v>239</v>
      </c>
      <c r="E257" t="s">
        <v>240</v>
      </c>
      <c r="F257" t="s">
        <v>496</v>
      </c>
      <c r="G257" t="s">
        <v>266</v>
      </c>
      <c r="H257" t="s">
        <v>201</v>
      </c>
      <c r="I257" t="s">
        <v>182</v>
      </c>
      <c r="J257" t="s">
        <v>218</v>
      </c>
      <c r="K257" t="s">
        <v>774</v>
      </c>
      <c r="L257">
        <v>668.97</v>
      </c>
      <c r="M257">
        <v>1667.44</v>
      </c>
      <c r="N257">
        <v>0.034</v>
      </c>
      <c r="O257">
        <v>15</v>
      </c>
    </row>
    <row r="258" spans="1:15">
      <c r="A258" t="s">
        <v>775</v>
      </c>
      <c r="B258" s="29">
        <v>45204</v>
      </c>
      <c r="C258" s="29">
        <v>45205</v>
      </c>
      <c r="D258" t="s">
        <v>206</v>
      </c>
      <c r="E258" t="s">
        <v>221</v>
      </c>
      <c r="F258" t="s">
        <v>222</v>
      </c>
      <c r="G258" t="s">
        <v>200</v>
      </c>
      <c r="H258" t="s">
        <v>189</v>
      </c>
      <c r="I258" t="s">
        <v>195</v>
      </c>
      <c r="J258" t="s">
        <v>183</v>
      </c>
      <c r="K258" t="s">
        <v>776</v>
      </c>
      <c r="L258">
        <v>1470.26</v>
      </c>
      <c r="M258">
        <v>2562.55</v>
      </c>
      <c r="N258">
        <v>0.173</v>
      </c>
      <c r="O258">
        <v>9</v>
      </c>
    </row>
    <row r="259" spans="1:15">
      <c r="A259" t="s">
        <v>777</v>
      </c>
      <c r="B259" s="29">
        <v>45035</v>
      </c>
      <c r="C259" s="29">
        <v>45053</v>
      </c>
      <c r="D259" t="s">
        <v>239</v>
      </c>
      <c r="E259" t="s">
        <v>269</v>
      </c>
      <c r="F259" t="s">
        <v>313</v>
      </c>
      <c r="G259" t="s">
        <v>200</v>
      </c>
      <c r="H259" t="s">
        <v>259</v>
      </c>
      <c r="I259" t="s">
        <v>253</v>
      </c>
      <c r="J259" t="s">
        <v>196</v>
      </c>
      <c r="K259" t="s">
        <v>778</v>
      </c>
      <c r="L259">
        <v>516.96</v>
      </c>
      <c r="M259">
        <v>745.38</v>
      </c>
      <c r="N259">
        <v>0.197</v>
      </c>
      <c r="O259">
        <v>4</v>
      </c>
    </row>
    <row r="260" spans="1:15">
      <c r="A260" t="s">
        <v>779</v>
      </c>
      <c r="B260" s="29">
        <v>45835</v>
      </c>
      <c r="C260" s="29">
        <v>45843</v>
      </c>
      <c r="D260" t="s">
        <v>239</v>
      </c>
      <c r="E260" t="s">
        <v>240</v>
      </c>
      <c r="F260" t="s">
        <v>320</v>
      </c>
      <c r="G260" t="s">
        <v>223</v>
      </c>
      <c r="H260" t="s">
        <v>259</v>
      </c>
      <c r="I260" t="s">
        <v>202</v>
      </c>
      <c r="J260" t="s">
        <v>225</v>
      </c>
      <c r="K260" t="s">
        <v>780</v>
      </c>
      <c r="L260">
        <v>314.93</v>
      </c>
      <c r="M260">
        <v>687.95</v>
      </c>
      <c r="N260">
        <v>0.205</v>
      </c>
      <c r="O260">
        <v>8</v>
      </c>
    </row>
    <row r="261" spans="1:15">
      <c r="A261" t="s">
        <v>781</v>
      </c>
      <c r="B261" s="29">
        <v>45210</v>
      </c>
      <c r="C261" s="29">
        <v>45212</v>
      </c>
      <c r="D261" t="s">
        <v>213</v>
      </c>
      <c r="E261" t="s">
        <v>234</v>
      </c>
      <c r="F261" t="s">
        <v>248</v>
      </c>
      <c r="G261" t="s">
        <v>209</v>
      </c>
      <c r="H261" t="s">
        <v>216</v>
      </c>
      <c r="J261" t="s">
        <v>242</v>
      </c>
      <c r="K261" t="s">
        <v>782</v>
      </c>
      <c r="L261">
        <v>715.94</v>
      </c>
      <c r="M261">
        <v>550.07</v>
      </c>
      <c r="N261">
        <v>0.14</v>
      </c>
      <c r="O261">
        <v>16</v>
      </c>
    </row>
    <row r="262" spans="1:15">
      <c r="A262" t="s">
        <v>783</v>
      </c>
      <c r="B262" s="29">
        <v>45066</v>
      </c>
      <c r="C262" s="29">
        <v>45084</v>
      </c>
      <c r="D262" t="s">
        <v>177</v>
      </c>
      <c r="E262" t="s">
        <v>186</v>
      </c>
      <c r="F262" t="s">
        <v>187</v>
      </c>
      <c r="G262" t="s">
        <v>266</v>
      </c>
      <c r="H262" t="s">
        <v>216</v>
      </c>
      <c r="I262" t="s">
        <v>224</v>
      </c>
      <c r="J262" t="s">
        <v>183</v>
      </c>
      <c r="K262" t="s">
        <v>784</v>
      </c>
      <c r="L262">
        <v>1120.06</v>
      </c>
      <c r="M262">
        <v>2068.21</v>
      </c>
      <c r="N262">
        <v>0.078</v>
      </c>
      <c r="O262">
        <v>12</v>
      </c>
    </row>
    <row r="263" spans="1:15">
      <c r="A263" t="s">
        <v>785</v>
      </c>
      <c r="B263" s="29">
        <v>45073</v>
      </c>
      <c r="C263" s="29">
        <v>45096</v>
      </c>
      <c r="D263" t="s">
        <v>239</v>
      </c>
      <c r="E263" t="s">
        <v>240</v>
      </c>
      <c r="F263" t="s">
        <v>241</v>
      </c>
      <c r="G263" t="s">
        <v>188</v>
      </c>
      <c r="H263" t="s">
        <v>181</v>
      </c>
      <c r="I263" t="s">
        <v>229</v>
      </c>
      <c r="J263" t="s">
        <v>242</v>
      </c>
      <c r="K263" t="s">
        <v>786</v>
      </c>
      <c r="L263">
        <v>1471.58</v>
      </c>
      <c r="M263">
        <v>2576.65</v>
      </c>
      <c r="N263">
        <v>0.004</v>
      </c>
      <c r="O263">
        <v>7</v>
      </c>
    </row>
    <row r="264" spans="1:15">
      <c r="A264" t="s">
        <v>787</v>
      </c>
      <c r="B264" s="29">
        <v>45142</v>
      </c>
      <c r="C264" s="29">
        <v>45162</v>
      </c>
      <c r="D264" t="s">
        <v>213</v>
      </c>
      <c r="E264" t="s">
        <v>234</v>
      </c>
      <c r="F264" t="s">
        <v>248</v>
      </c>
      <c r="G264" t="s">
        <v>200</v>
      </c>
      <c r="H264" t="s">
        <v>259</v>
      </c>
      <c r="J264" t="s">
        <v>196</v>
      </c>
      <c r="K264" t="s">
        <v>788</v>
      </c>
      <c r="L264">
        <v>582.88</v>
      </c>
      <c r="M264">
        <v>1044.14</v>
      </c>
      <c r="N264">
        <v>0.216</v>
      </c>
      <c r="O264">
        <v>10</v>
      </c>
    </row>
    <row r="265" spans="1:15">
      <c r="A265" t="s">
        <v>789</v>
      </c>
      <c r="B265" s="29">
        <v>45829</v>
      </c>
      <c r="C265" s="29">
        <v>45835</v>
      </c>
      <c r="D265" t="s">
        <v>177</v>
      </c>
      <c r="E265" t="s">
        <v>309</v>
      </c>
      <c r="F265" t="s">
        <v>333</v>
      </c>
      <c r="G265" t="s">
        <v>266</v>
      </c>
      <c r="H265" t="s">
        <v>216</v>
      </c>
      <c r="I265" t="s">
        <v>287</v>
      </c>
      <c r="J265" t="s">
        <v>203</v>
      </c>
      <c r="K265" t="s">
        <v>790</v>
      </c>
      <c r="L265">
        <v>93.91</v>
      </c>
      <c r="M265">
        <v>99.04</v>
      </c>
      <c r="N265">
        <v>0.057</v>
      </c>
      <c r="O265">
        <v>6</v>
      </c>
    </row>
    <row r="266" spans="1:15">
      <c r="A266" t="s">
        <v>791</v>
      </c>
      <c r="B266" s="29">
        <v>45763</v>
      </c>
      <c r="C266" s="29">
        <v>45773</v>
      </c>
      <c r="D266" t="s">
        <v>177</v>
      </c>
      <c r="E266" t="s">
        <v>186</v>
      </c>
      <c r="F266" t="s">
        <v>187</v>
      </c>
      <c r="G266" t="s">
        <v>266</v>
      </c>
      <c r="H266" t="s">
        <v>201</v>
      </c>
      <c r="I266" t="s">
        <v>245</v>
      </c>
      <c r="J266" t="s">
        <v>218</v>
      </c>
      <c r="K266" t="s">
        <v>792</v>
      </c>
      <c r="L266">
        <v>1457.44</v>
      </c>
      <c r="M266">
        <v>1996.81</v>
      </c>
      <c r="N266">
        <v>0.126</v>
      </c>
      <c r="O266">
        <v>23</v>
      </c>
    </row>
    <row r="267" spans="1:15">
      <c r="A267" t="s">
        <v>793</v>
      </c>
      <c r="B267" s="29">
        <v>45902</v>
      </c>
      <c r="C267" s="29">
        <v>45911</v>
      </c>
      <c r="D267" t="s">
        <v>213</v>
      </c>
      <c r="E267" t="s">
        <v>214</v>
      </c>
      <c r="F267" t="s">
        <v>215</v>
      </c>
      <c r="G267" t="s">
        <v>180</v>
      </c>
      <c r="H267" t="s">
        <v>216</v>
      </c>
      <c r="I267" t="s">
        <v>271</v>
      </c>
      <c r="J267" t="s">
        <v>191</v>
      </c>
      <c r="K267" t="s">
        <v>794</v>
      </c>
      <c r="L267">
        <v>1207.63</v>
      </c>
      <c r="M267">
        <v>921.68</v>
      </c>
      <c r="N267">
        <v>0.196</v>
      </c>
      <c r="O267">
        <v>17</v>
      </c>
    </row>
    <row r="268" spans="1:15">
      <c r="A268" t="s">
        <v>795</v>
      </c>
      <c r="B268" s="29">
        <v>45573</v>
      </c>
      <c r="C268" s="29">
        <v>45573</v>
      </c>
      <c r="D268" t="s">
        <v>239</v>
      </c>
      <c r="E268" t="s">
        <v>269</v>
      </c>
      <c r="F268" t="s">
        <v>313</v>
      </c>
      <c r="G268" t="s">
        <v>180</v>
      </c>
      <c r="H268" t="s">
        <v>189</v>
      </c>
      <c r="I268" t="s">
        <v>224</v>
      </c>
      <c r="J268" t="s">
        <v>225</v>
      </c>
      <c r="K268" t="s">
        <v>796</v>
      </c>
      <c r="L268">
        <v>1108.11</v>
      </c>
      <c r="M268">
        <v>2503.79</v>
      </c>
      <c r="N268">
        <v>0.184</v>
      </c>
      <c r="O268">
        <v>19</v>
      </c>
    </row>
    <row r="269" spans="1:15">
      <c r="A269" t="s">
        <v>797</v>
      </c>
      <c r="B269" s="29">
        <v>45053</v>
      </c>
      <c r="C269" s="29">
        <v>45051</v>
      </c>
      <c r="D269" t="s">
        <v>177</v>
      </c>
      <c r="E269" t="s">
        <v>186</v>
      </c>
      <c r="F269" t="s">
        <v>187</v>
      </c>
      <c r="G269" t="s">
        <v>200</v>
      </c>
      <c r="H269" t="s">
        <v>201</v>
      </c>
      <c r="I269" t="s">
        <v>236</v>
      </c>
      <c r="J269" t="s">
        <v>183</v>
      </c>
      <c r="K269" t="s">
        <v>798</v>
      </c>
      <c r="L269">
        <v>1269.65</v>
      </c>
      <c r="M269">
        <v>2462.77</v>
      </c>
      <c r="N269">
        <v>0.107</v>
      </c>
      <c r="O269">
        <v>8</v>
      </c>
    </row>
    <row r="270" spans="1:15">
      <c r="A270" t="s">
        <v>799</v>
      </c>
      <c r="B270" s="29">
        <v>45284</v>
      </c>
      <c r="C270" s="29">
        <v>45292</v>
      </c>
      <c r="D270" t="s">
        <v>213</v>
      </c>
      <c r="E270" t="s">
        <v>234</v>
      </c>
      <c r="F270" t="s">
        <v>235</v>
      </c>
      <c r="G270" t="s">
        <v>188</v>
      </c>
      <c r="H270" t="s">
        <v>259</v>
      </c>
      <c r="I270" t="s">
        <v>182</v>
      </c>
      <c r="J270" t="s">
        <v>203</v>
      </c>
      <c r="K270" t="s">
        <v>800</v>
      </c>
      <c r="L270">
        <v>526.49</v>
      </c>
      <c r="M270">
        <v>496.2</v>
      </c>
      <c r="N270">
        <v>0</v>
      </c>
      <c r="O270">
        <v>14</v>
      </c>
    </row>
    <row r="271" spans="1:15">
      <c r="A271" t="s">
        <v>801</v>
      </c>
      <c r="B271" s="29">
        <v>45301</v>
      </c>
      <c r="C271" s="29">
        <v>45314</v>
      </c>
      <c r="D271" t="s">
        <v>239</v>
      </c>
      <c r="E271" t="s">
        <v>251</v>
      </c>
      <c r="F271" t="s">
        <v>252</v>
      </c>
      <c r="G271" t="s">
        <v>180</v>
      </c>
      <c r="H271" t="s">
        <v>259</v>
      </c>
      <c r="I271" t="s">
        <v>236</v>
      </c>
      <c r="J271" t="s">
        <v>191</v>
      </c>
      <c r="K271" t="s">
        <v>802</v>
      </c>
      <c r="L271">
        <v>720</v>
      </c>
      <c r="M271">
        <v>907.59</v>
      </c>
      <c r="N271">
        <v>0.154</v>
      </c>
      <c r="O271">
        <v>10</v>
      </c>
    </row>
    <row r="272" spans="1:15">
      <c r="A272" t="s">
        <v>803</v>
      </c>
      <c r="B272" s="29">
        <v>45141</v>
      </c>
      <c r="C272" s="29">
        <v>45152</v>
      </c>
      <c r="D272" t="s">
        <v>213</v>
      </c>
      <c r="E272" t="s">
        <v>234</v>
      </c>
      <c r="F272" t="s">
        <v>248</v>
      </c>
      <c r="G272" t="s">
        <v>180</v>
      </c>
      <c r="H272" t="s">
        <v>259</v>
      </c>
      <c r="I272" t="s">
        <v>190</v>
      </c>
      <c r="J272" t="s">
        <v>242</v>
      </c>
      <c r="K272" t="s">
        <v>804</v>
      </c>
      <c r="L272">
        <v>232.73</v>
      </c>
      <c r="M272">
        <v>334.19</v>
      </c>
      <c r="N272">
        <v>0.134</v>
      </c>
      <c r="O272">
        <v>25</v>
      </c>
    </row>
    <row r="273" spans="1:15">
      <c r="A273" t="s">
        <v>805</v>
      </c>
      <c r="B273" s="29">
        <v>45707</v>
      </c>
      <c r="C273" s="29">
        <v>45725</v>
      </c>
      <c r="D273" t="s">
        <v>206</v>
      </c>
      <c r="E273" t="s">
        <v>221</v>
      </c>
      <c r="F273" t="s">
        <v>302</v>
      </c>
      <c r="G273" t="s">
        <v>223</v>
      </c>
      <c r="H273" t="s">
        <v>259</v>
      </c>
      <c r="I273" t="s">
        <v>229</v>
      </c>
      <c r="J273" t="s">
        <v>225</v>
      </c>
      <c r="K273" t="s">
        <v>806</v>
      </c>
      <c r="L273">
        <v>325.87</v>
      </c>
      <c r="M273">
        <v>538.79</v>
      </c>
      <c r="N273">
        <v>0.174</v>
      </c>
      <c r="O273">
        <v>16</v>
      </c>
    </row>
    <row r="274" spans="1:15">
      <c r="A274" t="s">
        <v>807</v>
      </c>
      <c r="B274" s="29">
        <v>45382</v>
      </c>
      <c r="C274" s="29">
        <v>45399</v>
      </c>
      <c r="D274" t="s">
        <v>239</v>
      </c>
      <c r="E274" t="s">
        <v>240</v>
      </c>
      <c r="F274" t="s">
        <v>496</v>
      </c>
      <c r="G274" t="s">
        <v>188</v>
      </c>
      <c r="H274" t="s">
        <v>259</v>
      </c>
      <c r="I274" t="s">
        <v>253</v>
      </c>
      <c r="J274" t="s">
        <v>225</v>
      </c>
      <c r="K274" t="s">
        <v>808</v>
      </c>
      <c r="L274">
        <v>1025.51</v>
      </c>
      <c r="M274">
        <v>1436.54</v>
      </c>
      <c r="N274">
        <v>0.139</v>
      </c>
      <c r="O274">
        <v>28</v>
      </c>
    </row>
    <row r="275" spans="1:15">
      <c r="A275" t="s">
        <v>809</v>
      </c>
      <c r="B275" s="29">
        <v>45131</v>
      </c>
      <c r="C275" s="29">
        <v>45151</v>
      </c>
      <c r="D275" t="s">
        <v>213</v>
      </c>
      <c r="E275" t="s">
        <v>214</v>
      </c>
      <c r="F275" t="s">
        <v>305</v>
      </c>
      <c r="G275" t="s">
        <v>188</v>
      </c>
      <c r="H275" t="s">
        <v>259</v>
      </c>
      <c r="I275" t="s">
        <v>182</v>
      </c>
      <c r="J275" t="s">
        <v>225</v>
      </c>
      <c r="K275" t="s">
        <v>810</v>
      </c>
      <c r="L275">
        <v>1082.38</v>
      </c>
      <c r="M275">
        <v>1766.55</v>
      </c>
      <c r="N275">
        <v>0.164</v>
      </c>
      <c r="O275">
        <v>20</v>
      </c>
    </row>
    <row r="276" spans="1:15">
      <c r="A276" t="s">
        <v>811</v>
      </c>
      <c r="B276" s="29">
        <v>45367</v>
      </c>
      <c r="C276" s="29">
        <v>45395</v>
      </c>
      <c r="D276" t="s">
        <v>239</v>
      </c>
      <c r="E276" t="s">
        <v>251</v>
      </c>
      <c r="F276" t="s">
        <v>378</v>
      </c>
      <c r="G276" t="s">
        <v>223</v>
      </c>
      <c r="H276" t="s">
        <v>189</v>
      </c>
      <c r="I276" t="s">
        <v>256</v>
      </c>
      <c r="J276" t="s">
        <v>191</v>
      </c>
      <c r="K276" t="s">
        <v>812</v>
      </c>
      <c r="L276">
        <v>287.61</v>
      </c>
      <c r="M276">
        <v>628.54</v>
      </c>
      <c r="N276">
        <v>0.135</v>
      </c>
      <c r="O276">
        <v>21</v>
      </c>
    </row>
    <row r="277" spans="1:15">
      <c r="A277" t="s">
        <v>813</v>
      </c>
      <c r="B277" s="29">
        <v>45316</v>
      </c>
      <c r="C277" s="29">
        <v>45318</v>
      </c>
      <c r="D277" t="s">
        <v>213</v>
      </c>
      <c r="E277" t="s">
        <v>234</v>
      </c>
      <c r="F277" t="s">
        <v>235</v>
      </c>
      <c r="G277" t="s">
        <v>200</v>
      </c>
      <c r="H277" t="s">
        <v>201</v>
      </c>
      <c r="I277" t="s">
        <v>287</v>
      </c>
      <c r="J277" t="s">
        <v>218</v>
      </c>
      <c r="K277" t="s">
        <v>814</v>
      </c>
      <c r="L277">
        <v>1410.97</v>
      </c>
      <c r="M277">
        <v>1650.75</v>
      </c>
      <c r="N277">
        <v>0.135</v>
      </c>
      <c r="O277">
        <v>6</v>
      </c>
    </row>
    <row r="278" spans="1:15">
      <c r="A278" t="s">
        <v>815</v>
      </c>
      <c r="B278" s="29">
        <v>45378</v>
      </c>
      <c r="C278" s="29">
        <v>45393</v>
      </c>
      <c r="D278" t="s">
        <v>213</v>
      </c>
      <c r="E278" t="s">
        <v>283</v>
      </c>
      <c r="F278" t="s">
        <v>328</v>
      </c>
      <c r="G278" t="s">
        <v>223</v>
      </c>
      <c r="H278" t="s">
        <v>259</v>
      </c>
      <c r="I278" t="s">
        <v>229</v>
      </c>
      <c r="J278" t="s">
        <v>196</v>
      </c>
      <c r="K278" t="s">
        <v>816</v>
      </c>
      <c r="L278">
        <v>1338.35</v>
      </c>
      <c r="M278">
        <v>2247.14</v>
      </c>
      <c r="N278">
        <v>0.115</v>
      </c>
      <c r="O278">
        <v>40</v>
      </c>
    </row>
    <row r="279" spans="1:15">
      <c r="A279" t="s">
        <v>817</v>
      </c>
      <c r="B279" s="29">
        <v>45832</v>
      </c>
      <c r="C279" s="29">
        <v>45852</v>
      </c>
      <c r="D279" t="s">
        <v>239</v>
      </c>
      <c r="E279" t="s">
        <v>240</v>
      </c>
      <c r="F279" t="s">
        <v>241</v>
      </c>
      <c r="G279" t="s">
        <v>180</v>
      </c>
      <c r="H279" t="s">
        <v>259</v>
      </c>
      <c r="I279" t="s">
        <v>229</v>
      </c>
      <c r="J279" t="s">
        <v>242</v>
      </c>
      <c r="K279" t="s">
        <v>818</v>
      </c>
      <c r="L279">
        <v>385.08</v>
      </c>
      <c r="M279">
        <v>893.19</v>
      </c>
      <c r="N279">
        <v>0.151</v>
      </c>
      <c r="O279">
        <v>8</v>
      </c>
    </row>
    <row r="280" spans="1:15">
      <c r="A280" t="s">
        <v>819</v>
      </c>
      <c r="B280" s="29">
        <v>45459</v>
      </c>
      <c r="C280" s="29">
        <v>45476</v>
      </c>
      <c r="D280" t="s">
        <v>177</v>
      </c>
      <c r="E280" t="s">
        <v>309</v>
      </c>
      <c r="F280" t="s">
        <v>310</v>
      </c>
      <c r="G280" t="s">
        <v>266</v>
      </c>
      <c r="H280" t="s">
        <v>201</v>
      </c>
      <c r="I280" t="s">
        <v>245</v>
      </c>
      <c r="J280" t="s">
        <v>203</v>
      </c>
      <c r="K280" t="s">
        <v>820</v>
      </c>
      <c r="L280">
        <v>1173.83</v>
      </c>
      <c r="M280">
        <v>2328.9</v>
      </c>
      <c r="N280">
        <v>0.12</v>
      </c>
      <c r="O280">
        <v>17</v>
      </c>
    </row>
    <row r="281" spans="1:15">
      <c r="A281" t="s">
        <v>821</v>
      </c>
      <c r="B281" s="29">
        <v>45229</v>
      </c>
      <c r="C281" s="29">
        <v>45244</v>
      </c>
      <c r="D281" t="s">
        <v>206</v>
      </c>
      <c r="E281" t="s">
        <v>221</v>
      </c>
      <c r="F281" t="s">
        <v>222</v>
      </c>
      <c r="G281" t="s">
        <v>180</v>
      </c>
      <c r="H281" t="s">
        <v>189</v>
      </c>
      <c r="I281" t="s">
        <v>245</v>
      </c>
      <c r="J281" t="s">
        <v>218</v>
      </c>
      <c r="K281" t="s">
        <v>822</v>
      </c>
      <c r="L281">
        <v>953.46</v>
      </c>
      <c r="M281">
        <v>2066.75</v>
      </c>
      <c r="N281">
        <v>0.138</v>
      </c>
      <c r="O281">
        <v>5</v>
      </c>
    </row>
    <row r="282" spans="1:15">
      <c r="A282" t="s">
        <v>823</v>
      </c>
      <c r="B282" s="29">
        <v>45092</v>
      </c>
      <c r="C282" s="29">
        <v>45100</v>
      </c>
      <c r="D282" t="s">
        <v>213</v>
      </c>
      <c r="E282" t="s">
        <v>283</v>
      </c>
      <c r="F282" t="s">
        <v>328</v>
      </c>
      <c r="G282" t="s">
        <v>209</v>
      </c>
      <c r="H282" t="s">
        <v>216</v>
      </c>
      <c r="I282" t="s">
        <v>229</v>
      </c>
      <c r="J282" t="s">
        <v>225</v>
      </c>
      <c r="K282" t="s">
        <v>824</v>
      </c>
      <c r="L282">
        <v>1097.09</v>
      </c>
      <c r="M282">
        <v>2182.31</v>
      </c>
      <c r="N282">
        <v>0.112</v>
      </c>
      <c r="O282">
        <v>9</v>
      </c>
    </row>
    <row r="283" spans="1:15">
      <c r="A283" t="s">
        <v>825</v>
      </c>
      <c r="B283" s="29">
        <v>45730</v>
      </c>
      <c r="C283" s="29">
        <v>45745</v>
      </c>
      <c r="D283" t="s">
        <v>206</v>
      </c>
      <c r="E283" t="s">
        <v>207</v>
      </c>
      <c r="F283" t="s">
        <v>375</v>
      </c>
      <c r="G283" t="s">
        <v>200</v>
      </c>
      <c r="H283" t="s">
        <v>259</v>
      </c>
      <c r="I283" t="s">
        <v>253</v>
      </c>
      <c r="J283" t="s">
        <v>196</v>
      </c>
      <c r="K283" t="s">
        <v>826</v>
      </c>
      <c r="L283">
        <v>1106.96</v>
      </c>
      <c r="M283">
        <v>2726.62</v>
      </c>
      <c r="N283">
        <v>0.317</v>
      </c>
      <c r="O283">
        <v>7</v>
      </c>
    </row>
    <row r="284" spans="1:15">
      <c r="A284" t="s">
        <v>827</v>
      </c>
      <c r="B284" s="29">
        <v>45153</v>
      </c>
      <c r="C284" s="29">
        <v>45163</v>
      </c>
      <c r="D284" t="s">
        <v>177</v>
      </c>
      <c r="E284" t="s">
        <v>178</v>
      </c>
      <c r="F284" t="s">
        <v>194</v>
      </c>
      <c r="G284" t="s">
        <v>223</v>
      </c>
      <c r="H284" t="s">
        <v>181</v>
      </c>
      <c r="I284" t="s">
        <v>287</v>
      </c>
      <c r="J284" t="s">
        <v>203</v>
      </c>
      <c r="K284" t="s">
        <v>828</v>
      </c>
      <c r="L284">
        <v>91.85</v>
      </c>
      <c r="M284">
        <v>111.29</v>
      </c>
      <c r="N284">
        <v>0</v>
      </c>
      <c r="O284">
        <v>6</v>
      </c>
    </row>
    <row r="285" spans="1:15">
      <c r="A285" t="s">
        <v>829</v>
      </c>
      <c r="B285" s="29">
        <v>45794</v>
      </c>
      <c r="C285" s="29">
        <v>45805</v>
      </c>
      <c r="D285" t="s">
        <v>206</v>
      </c>
      <c r="E285" t="s">
        <v>221</v>
      </c>
      <c r="F285" t="s">
        <v>222</v>
      </c>
      <c r="G285" t="s">
        <v>180</v>
      </c>
      <c r="H285" t="s">
        <v>216</v>
      </c>
      <c r="I285" t="s">
        <v>217</v>
      </c>
      <c r="J285" t="s">
        <v>218</v>
      </c>
      <c r="K285" t="s">
        <v>830</v>
      </c>
      <c r="L285">
        <v>623.4</v>
      </c>
      <c r="M285">
        <v>1100.09</v>
      </c>
      <c r="N285">
        <v>0.114</v>
      </c>
      <c r="O285">
        <v>12</v>
      </c>
    </row>
    <row r="286" spans="1:15">
      <c r="A286" t="s">
        <v>831</v>
      </c>
      <c r="B286" s="29">
        <v>45304</v>
      </c>
      <c r="C286" s="29">
        <v>45327</v>
      </c>
      <c r="D286" t="s">
        <v>239</v>
      </c>
      <c r="E286" t="s">
        <v>240</v>
      </c>
      <c r="F286" t="s">
        <v>496</v>
      </c>
      <c r="G286" t="s">
        <v>188</v>
      </c>
      <c r="H286" t="s">
        <v>259</v>
      </c>
      <c r="I286" t="s">
        <v>217</v>
      </c>
      <c r="J286" t="s">
        <v>218</v>
      </c>
      <c r="K286" t="s">
        <v>832</v>
      </c>
      <c r="L286">
        <v>1017.93</v>
      </c>
      <c r="M286">
        <v>1529.14</v>
      </c>
      <c r="N286">
        <v>0.155</v>
      </c>
      <c r="O286">
        <v>12</v>
      </c>
    </row>
    <row r="287" spans="1:15">
      <c r="A287" t="s">
        <v>833</v>
      </c>
      <c r="B287" s="29">
        <v>45101</v>
      </c>
      <c r="C287" s="29">
        <v>45128</v>
      </c>
      <c r="D287" t="s">
        <v>206</v>
      </c>
      <c r="E287" t="s">
        <v>207</v>
      </c>
      <c r="F287" t="s">
        <v>392</v>
      </c>
      <c r="G287" t="s">
        <v>209</v>
      </c>
      <c r="H287" t="s">
        <v>201</v>
      </c>
      <c r="I287" t="s">
        <v>190</v>
      </c>
      <c r="J287" t="s">
        <v>203</v>
      </c>
      <c r="K287" t="s">
        <v>834</v>
      </c>
      <c r="L287">
        <v>554.76</v>
      </c>
      <c r="M287">
        <v>728.69</v>
      </c>
      <c r="N287">
        <v>0.22</v>
      </c>
      <c r="O287">
        <v>7</v>
      </c>
    </row>
    <row r="288" spans="1:15">
      <c r="A288" t="s">
        <v>835</v>
      </c>
      <c r="B288" s="29">
        <v>45751</v>
      </c>
      <c r="C288" s="29">
        <v>45760</v>
      </c>
      <c r="D288" t="s">
        <v>239</v>
      </c>
      <c r="E288" t="s">
        <v>240</v>
      </c>
      <c r="F288" t="s">
        <v>320</v>
      </c>
      <c r="G288" t="s">
        <v>209</v>
      </c>
      <c r="H288" t="s">
        <v>201</v>
      </c>
      <c r="I288" t="s">
        <v>245</v>
      </c>
      <c r="J288" t="s">
        <v>203</v>
      </c>
      <c r="K288" t="s">
        <v>836</v>
      </c>
      <c r="L288">
        <v>7.02</v>
      </c>
      <c r="M288">
        <v>6.28</v>
      </c>
      <c r="N288">
        <v>0.134</v>
      </c>
      <c r="O288">
        <v>14</v>
      </c>
    </row>
    <row r="289" spans="1:15">
      <c r="A289" t="s">
        <v>837</v>
      </c>
      <c r="B289" s="29">
        <v>45542</v>
      </c>
      <c r="C289" s="29">
        <v>45542</v>
      </c>
      <c r="D289" t="s">
        <v>206</v>
      </c>
      <c r="E289" t="s">
        <v>221</v>
      </c>
      <c r="F289" t="s">
        <v>381</v>
      </c>
      <c r="G289" t="s">
        <v>188</v>
      </c>
      <c r="H289" t="s">
        <v>216</v>
      </c>
      <c r="I289" t="s">
        <v>217</v>
      </c>
      <c r="J289" t="s">
        <v>196</v>
      </c>
      <c r="K289" t="s">
        <v>838</v>
      </c>
      <c r="L289">
        <v>1066.65</v>
      </c>
      <c r="M289">
        <v>2569.77</v>
      </c>
      <c r="N289">
        <v>0.134</v>
      </c>
      <c r="O289">
        <v>9</v>
      </c>
    </row>
    <row r="290" spans="1:15">
      <c r="A290" t="s">
        <v>839</v>
      </c>
      <c r="B290" s="29">
        <v>45319</v>
      </c>
      <c r="C290" s="29">
        <v>45321</v>
      </c>
      <c r="D290" t="s">
        <v>177</v>
      </c>
      <c r="E290" t="s">
        <v>309</v>
      </c>
      <c r="F290" t="s">
        <v>419</v>
      </c>
      <c r="G290" t="s">
        <v>209</v>
      </c>
      <c r="H290" t="s">
        <v>259</v>
      </c>
      <c r="I290" t="s">
        <v>245</v>
      </c>
      <c r="J290" t="s">
        <v>242</v>
      </c>
      <c r="K290" t="s">
        <v>840</v>
      </c>
      <c r="L290">
        <v>798.45</v>
      </c>
      <c r="M290">
        <v>1592.02</v>
      </c>
      <c r="N290">
        <v>0.066</v>
      </c>
      <c r="O290">
        <v>18</v>
      </c>
    </row>
    <row r="291" spans="1:15">
      <c r="A291" t="s">
        <v>841</v>
      </c>
      <c r="B291" s="29">
        <v>45125</v>
      </c>
      <c r="C291" s="29">
        <v>45148</v>
      </c>
      <c r="D291" t="s">
        <v>177</v>
      </c>
      <c r="E291" t="s">
        <v>309</v>
      </c>
      <c r="F291" t="s">
        <v>310</v>
      </c>
      <c r="G291" t="s">
        <v>223</v>
      </c>
      <c r="H291" t="s">
        <v>181</v>
      </c>
      <c r="I291" t="s">
        <v>210</v>
      </c>
      <c r="J291" t="s">
        <v>183</v>
      </c>
      <c r="K291" t="s">
        <v>842</v>
      </c>
      <c r="L291">
        <v>1271.56</v>
      </c>
      <c r="M291">
        <v>995.47</v>
      </c>
      <c r="N291">
        <v>0.192</v>
      </c>
      <c r="O291">
        <v>13</v>
      </c>
    </row>
    <row r="292" spans="1:15">
      <c r="A292" t="s">
        <v>843</v>
      </c>
      <c r="B292" s="29">
        <v>45897</v>
      </c>
      <c r="C292" s="29">
        <v>45895</v>
      </c>
      <c r="D292" t="s">
        <v>177</v>
      </c>
      <c r="E292" t="s">
        <v>186</v>
      </c>
      <c r="F292" t="s">
        <v>187</v>
      </c>
      <c r="G292" t="s">
        <v>223</v>
      </c>
      <c r="H292" t="s">
        <v>181</v>
      </c>
      <c r="I292" t="s">
        <v>236</v>
      </c>
      <c r="J292" t="s">
        <v>242</v>
      </c>
      <c r="K292" t="s">
        <v>844</v>
      </c>
      <c r="L292">
        <v>521.06</v>
      </c>
      <c r="M292">
        <v>1240.31</v>
      </c>
      <c r="N292">
        <v>0.146</v>
      </c>
      <c r="O292">
        <v>18</v>
      </c>
    </row>
    <row r="293" spans="1:15">
      <c r="A293" t="s">
        <v>845</v>
      </c>
      <c r="B293" s="29">
        <v>45746</v>
      </c>
      <c r="C293" s="29">
        <v>45754</v>
      </c>
      <c r="D293" t="s">
        <v>213</v>
      </c>
      <c r="E293" t="s">
        <v>234</v>
      </c>
      <c r="F293" t="s">
        <v>235</v>
      </c>
      <c r="G293" t="s">
        <v>200</v>
      </c>
      <c r="H293" t="s">
        <v>259</v>
      </c>
      <c r="I293" t="s">
        <v>210</v>
      </c>
      <c r="J293" t="s">
        <v>191</v>
      </c>
      <c r="K293" t="s">
        <v>846</v>
      </c>
      <c r="L293">
        <v>71.62</v>
      </c>
      <c r="M293">
        <v>118.37</v>
      </c>
      <c r="N293">
        <v>0.156</v>
      </c>
      <c r="O293">
        <v>11</v>
      </c>
    </row>
    <row r="294" spans="1:15">
      <c r="A294" t="s">
        <v>847</v>
      </c>
      <c r="B294" s="29">
        <v>45220</v>
      </c>
      <c r="C294" s="29">
        <v>45239</v>
      </c>
      <c r="D294" t="s">
        <v>239</v>
      </c>
      <c r="E294" t="s">
        <v>269</v>
      </c>
      <c r="F294" t="s">
        <v>313</v>
      </c>
      <c r="G294" t="s">
        <v>200</v>
      </c>
      <c r="H294" t="s">
        <v>259</v>
      </c>
      <c r="I294" t="s">
        <v>236</v>
      </c>
      <c r="J294" t="s">
        <v>242</v>
      </c>
      <c r="K294" t="s">
        <v>848</v>
      </c>
      <c r="L294">
        <v>1142.48</v>
      </c>
      <c r="M294">
        <v>2105.53</v>
      </c>
      <c r="N294">
        <v>0.207</v>
      </c>
      <c r="O294">
        <v>14</v>
      </c>
    </row>
    <row r="295" spans="1:15">
      <c r="A295" t="s">
        <v>849</v>
      </c>
      <c r="B295" s="29">
        <v>45161</v>
      </c>
      <c r="C295" s="29">
        <v>45191</v>
      </c>
      <c r="D295" t="s">
        <v>239</v>
      </c>
      <c r="E295" t="s">
        <v>269</v>
      </c>
      <c r="F295" t="s">
        <v>313</v>
      </c>
      <c r="G295" t="s">
        <v>209</v>
      </c>
      <c r="H295" t="s">
        <v>216</v>
      </c>
      <c r="I295" t="s">
        <v>229</v>
      </c>
      <c r="J295" t="s">
        <v>242</v>
      </c>
      <c r="K295" t="s">
        <v>850</v>
      </c>
      <c r="L295">
        <v>209.81</v>
      </c>
      <c r="M295">
        <v>523</v>
      </c>
      <c r="N295">
        <v>0.059</v>
      </c>
      <c r="O295">
        <v>15</v>
      </c>
    </row>
    <row r="296" spans="1:15">
      <c r="A296" t="s">
        <v>851</v>
      </c>
      <c r="B296" s="29">
        <v>45758</v>
      </c>
      <c r="C296" s="29">
        <v>45781</v>
      </c>
      <c r="D296" t="s">
        <v>206</v>
      </c>
      <c r="E296" t="s">
        <v>207</v>
      </c>
      <c r="F296" t="s">
        <v>208</v>
      </c>
      <c r="G296" t="s">
        <v>223</v>
      </c>
      <c r="H296" t="s">
        <v>189</v>
      </c>
      <c r="I296" t="s">
        <v>271</v>
      </c>
      <c r="J296" t="s">
        <v>183</v>
      </c>
      <c r="K296" t="s">
        <v>852</v>
      </c>
      <c r="L296">
        <v>786.2</v>
      </c>
      <c r="M296">
        <v>1075.3</v>
      </c>
      <c r="N296">
        <v>0.08</v>
      </c>
      <c r="O296">
        <v>9</v>
      </c>
    </row>
    <row r="297" spans="1:15">
      <c r="A297" t="s">
        <v>853</v>
      </c>
      <c r="B297" s="29">
        <v>45809</v>
      </c>
      <c r="C297" s="29">
        <v>45835</v>
      </c>
      <c r="D297" t="s">
        <v>239</v>
      </c>
      <c r="E297" t="s">
        <v>240</v>
      </c>
      <c r="F297" t="s">
        <v>320</v>
      </c>
      <c r="G297" t="s">
        <v>209</v>
      </c>
      <c r="H297" t="s">
        <v>216</v>
      </c>
      <c r="I297" t="s">
        <v>224</v>
      </c>
      <c r="J297" t="s">
        <v>218</v>
      </c>
      <c r="K297" t="s">
        <v>854</v>
      </c>
      <c r="L297">
        <v>1362.31</v>
      </c>
      <c r="M297">
        <v>3294.57</v>
      </c>
      <c r="N297">
        <v>0.113</v>
      </c>
      <c r="O297">
        <v>7</v>
      </c>
    </row>
    <row r="298" spans="1:15">
      <c r="A298" t="s">
        <v>855</v>
      </c>
      <c r="B298" s="29">
        <v>45353</v>
      </c>
      <c r="C298" s="29">
        <v>45367</v>
      </c>
      <c r="D298" t="s">
        <v>213</v>
      </c>
      <c r="E298" t="s">
        <v>214</v>
      </c>
      <c r="F298" t="s">
        <v>340</v>
      </c>
      <c r="G298" t="s">
        <v>200</v>
      </c>
      <c r="H298" t="s">
        <v>259</v>
      </c>
      <c r="I298" t="s">
        <v>229</v>
      </c>
      <c r="J298" t="s">
        <v>191</v>
      </c>
      <c r="K298" t="s">
        <v>856</v>
      </c>
      <c r="L298">
        <v>248.24</v>
      </c>
      <c r="M298">
        <v>464.05</v>
      </c>
      <c r="N298">
        <v>0.169</v>
      </c>
      <c r="O298">
        <v>11</v>
      </c>
    </row>
    <row r="299" spans="1:15">
      <c r="A299" t="s">
        <v>857</v>
      </c>
      <c r="B299" s="29">
        <v>45097</v>
      </c>
      <c r="C299" s="29">
        <v>45115</v>
      </c>
      <c r="D299" t="s">
        <v>213</v>
      </c>
      <c r="E299" t="s">
        <v>283</v>
      </c>
      <c r="F299" t="s">
        <v>487</v>
      </c>
      <c r="G299" t="s">
        <v>200</v>
      </c>
      <c r="H299" t="s">
        <v>259</v>
      </c>
      <c r="I299" t="s">
        <v>245</v>
      </c>
      <c r="J299" t="s">
        <v>225</v>
      </c>
      <c r="K299" t="s">
        <v>858</v>
      </c>
      <c r="L299">
        <v>337</v>
      </c>
      <c r="M299">
        <v>511.03</v>
      </c>
      <c r="N299">
        <v>0.108</v>
      </c>
      <c r="O299">
        <v>7</v>
      </c>
    </row>
    <row r="300" spans="1:15">
      <c r="A300" t="s">
        <v>859</v>
      </c>
      <c r="B300" s="29">
        <v>45377</v>
      </c>
      <c r="C300" s="29">
        <v>45387</v>
      </c>
      <c r="D300" t="s">
        <v>213</v>
      </c>
      <c r="E300" t="s">
        <v>283</v>
      </c>
      <c r="F300" t="s">
        <v>487</v>
      </c>
      <c r="G300" t="s">
        <v>209</v>
      </c>
      <c r="H300" t="s">
        <v>259</v>
      </c>
      <c r="I300" t="s">
        <v>190</v>
      </c>
      <c r="J300" t="s">
        <v>225</v>
      </c>
      <c r="K300" t="s">
        <v>860</v>
      </c>
      <c r="L300">
        <v>5.66</v>
      </c>
      <c r="M300">
        <v>4.22</v>
      </c>
      <c r="N300">
        <v>0.119</v>
      </c>
      <c r="O300">
        <v>18</v>
      </c>
    </row>
    <row r="301" spans="1:15">
      <c r="A301" t="s">
        <v>861</v>
      </c>
      <c r="B301" s="29">
        <v>45679</v>
      </c>
      <c r="C301" s="29">
        <v>45679</v>
      </c>
      <c r="D301" t="s">
        <v>239</v>
      </c>
      <c r="E301" t="s">
        <v>251</v>
      </c>
      <c r="F301" t="s">
        <v>299</v>
      </c>
      <c r="G301" t="s">
        <v>223</v>
      </c>
      <c r="H301" t="s">
        <v>189</v>
      </c>
      <c r="I301" t="s">
        <v>217</v>
      </c>
      <c r="J301" t="s">
        <v>242</v>
      </c>
      <c r="K301" t="s">
        <v>862</v>
      </c>
      <c r="L301">
        <v>591.72</v>
      </c>
      <c r="M301">
        <v>577.24</v>
      </c>
      <c r="N301">
        <v>0</v>
      </c>
      <c r="O301">
        <v>22</v>
      </c>
    </row>
    <row r="302" spans="1:15">
      <c r="A302" t="s">
        <v>863</v>
      </c>
      <c r="B302" s="29">
        <v>45787</v>
      </c>
      <c r="C302" s="29">
        <v>45804</v>
      </c>
      <c r="D302" t="s">
        <v>213</v>
      </c>
      <c r="E302" t="s">
        <v>214</v>
      </c>
      <c r="F302" t="s">
        <v>340</v>
      </c>
      <c r="G302" t="s">
        <v>188</v>
      </c>
      <c r="H302" t="s">
        <v>259</v>
      </c>
      <c r="I302" t="s">
        <v>182</v>
      </c>
      <c r="J302" t="s">
        <v>183</v>
      </c>
      <c r="K302" t="s">
        <v>864</v>
      </c>
      <c r="L302">
        <v>862.89</v>
      </c>
      <c r="M302">
        <v>1426.03</v>
      </c>
      <c r="N302">
        <v>0.056</v>
      </c>
      <c r="O302">
        <v>19</v>
      </c>
    </row>
    <row r="303" spans="1:15">
      <c r="A303" t="s">
        <v>865</v>
      </c>
      <c r="B303" s="29">
        <v>45204</v>
      </c>
      <c r="C303" s="29">
        <v>45230</v>
      </c>
      <c r="D303" t="s">
        <v>206</v>
      </c>
      <c r="E303" t="s">
        <v>277</v>
      </c>
      <c r="F303" t="s">
        <v>323</v>
      </c>
      <c r="G303" t="s">
        <v>209</v>
      </c>
      <c r="I303" t="s">
        <v>190</v>
      </c>
      <c r="J303" t="s">
        <v>191</v>
      </c>
      <c r="K303" t="s">
        <v>866</v>
      </c>
      <c r="L303">
        <v>649.91</v>
      </c>
      <c r="M303">
        <v>1360.12</v>
      </c>
      <c r="N303">
        <v>0.194</v>
      </c>
      <c r="O303">
        <v>9</v>
      </c>
    </row>
    <row r="304" spans="1:15">
      <c r="A304" t="s">
        <v>867</v>
      </c>
      <c r="B304" s="29">
        <v>45125</v>
      </c>
      <c r="C304" s="29">
        <v>45129</v>
      </c>
      <c r="D304" t="s">
        <v>213</v>
      </c>
      <c r="E304" t="s">
        <v>234</v>
      </c>
      <c r="F304" t="s">
        <v>235</v>
      </c>
      <c r="G304" t="s">
        <v>209</v>
      </c>
      <c r="H304" t="s">
        <v>259</v>
      </c>
      <c r="I304" t="s">
        <v>245</v>
      </c>
      <c r="J304" t="s">
        <v>196</v>
      </c>
      <c r="K304" t="s">
        <v>868</v>
      </c>
      <c r="L304">
        <v>1269.55</v>
      </c>
      <c r="M304">
        <v>2071.1</v>
      </c>
      <c r="N304">
        <v>0.129</v>
      </c>
      <c r="O304">
        <v>22</v>
      </c>
    </row>
    <row r="305" spans="1:15">
      <c r="A305" t="s">
        <v>869</v>
      </c>
      <c r="B305" s="29">
        <v>45830</v>
      </c>
      <c r="C305" s="29">
        <v>45846</v>
      </c>
      <c r="D305" t="s">
        <v>239</v>
      </c>
      <c r="E305" t="s">
        <v>269</v>
      </c>
      <c r="F305" t="s">
        <v>313</v>
      </c>
      <c r="G305" t="s">
        <v>188</v>
      </c>
      <c r="H305" t="s">
        <v>259</v>
      </c>
      <c r="I305" t="s">
        <v>236</v>
      </c>
      <c r="J305" t="s">
        <v>203</v>
      </c>
      <c r="K305" t="s">
        <v>870</v>
      </c>
      <c r="L305">
        <v>892.73</v>
      </c>
      <c r="M305">
        <v>979.84</v>
      </c>
      <c r="N305">
        <v>0.174</v>
      </c>
      <c r="O305">
        <v>10</v>
      </c>
    </row>
    <row r="306" spans="1:15">
      <c r="A306" t="s">
        <v>871</v>
      </c>
      <c r="B306" s="29">
        <v>45462</v>
      </c>
      <c r="C306" s="29">
        <v>45463</v>
      </c>
      <c r="D306" t="s">
        <v>177</v>
      </c>
      <c r="E306" t="s">
        <v>178</v>
      </c>
      <c r="F306" t="s">
        <v>179</v>
      </c>
      <c r="G306" t="s">
        <v>223</v>
      </c>
      <c r="H306" t="s">
        <v>259</v>
      </c>
      <c r="I306" t="s">
        <v>190</v>
      </c>
      <c r="J306" t="s">
        <v>218</v>
      </c>
      <c r="K306" t="s">
        <v>872</v>
      </c>
      <c r="L306">
        <v>231.63</v>
      </c>
      <c r="M306">
        <v>537.39</v>
      </c>
      <c r="N306">
        <v>0.08</v>
      </c>
      <c r="O306">
        <v>12</v>
      </c>
    </row>
    <row r="307" spans="1:15">
      <c r="A307" t="s">
        <v>873</v>
      </c>
      <c r="B307" s="29">
        <v>45756</v>
      </c>
      <c r="C307" s="29">
        <v>45759</v>
      </c>
      <c r="D307" t="s">
        <v>239</v>
      </c>
      <c r="E307" t="s">
        <v>251</v>
      </c>
      <c r="F307" t="s">
        <v>299</v>
      </c>
      <c r="G307" t="s">
        <v>223</v>
      </c>
      <c r="H307" t="s">
        <v>216</v>
      </c>
      <c r="I307" t="s">
        <v>253</v>
      </c>
      <c r="J307" t="s">
        <v>225</v>
      </c>
      <c r="K307" t="s">
        <v>874</v>
      </c>
      <c r="L307">
        <v>86.68</v>
      </c>
      <c r="M307">
        <v>213.32</v>
      </c>
      <c r="N307">
        <v>0.038</v>
      </c>
      <c r="O307">
        <v>8</v>
      </c>
    </row>
    <row r="308" spans="1:15">
      <c r="A308" t="s">
        <v>875</v>
      </c>
      <c r="B308" s="29">
        <v>45741</v>
      </c>
      <c r="C308" s="29">
        <v>45742</v>
      </c>
      <c r="D308" t="s">
        <v>177</v>
      </c>
      <c r="E308" t="s">
        <v>186</v>
      </c>
      <c r="F308" t="s">
        <v>199</v>
      </c>
      <c r="G308" t="s">
        <v>188</v>
      </c>
      <c r="H308" t="s">
        <v>216</v>
      </c>
      <c r="I308" t="s">
        <v>202</v>
      </c>
      <c r="J308" t="s">
        <v>242</v>
      </c>
      <c r="K308" t="s">
        <v>876</v>
      </c>
      <c r="L308">
        <v>1450.43</v>
      </c>
      <c r="M308">
        <v>1994.67</v>
      </c>
      <c r="N308">
        <v>0.1</v>
      </c>
      <c r="O308">
        <v>24</v>
      </c>
    </row>
    <row r="309" spans="1:15">
      <c r="A309" t="s">
        <v>877</v>
      </c>
      <c r="B309" s="29">
        <v>45795</v>
      </c>
      <c r="C309" s="29">
        <v>45817</v>
      </c>
      <c r="D309" t="s">
        <v>213</v>
      </c>
      <c r="E309" t="s">
        <v>283</v>
      </c>
      <c r="F309" t="s">
        <v>548</v>
      </c>
      <c r="G309" t="s">
        <v>209</v>
      </c>
      <c r="H309" t="s">
        <v>181</v>
      </c>
      <c r="I309" t="s">
        <v>253</v>
      </c>
      <c r="J309" t="s">
        <v>196</v>
      </c>
      <c r="K309" t="s">
        <v>878</v>
      </c>
      <c r="L309">
        <v>382.96</v>
      </c>
      <c r="M309">
        <v>552.84</v>
      </c>
      <c r="N309">
        <v>0.176</v>
      </c>
      <c r="O309">
        <v>8</v>
      </c>
    </row>
    <row r="310" spans="1:15">
      <c r="A310" t="s">
        <v>879</v>
      </c>
      <c r="B310" s="29">
        <v>45679</v>
      </c>
      <c r="C310" s="29">
        <v>45692</v>
      </c>
      <c r="D310" t="s">
        <v>206</v>
      </c>
      <c r="E310" t="s">
        <v>207</v>
      </c>
      <c r="F310" t="s">
        <v>375</v>
      </c>
      <c r="G310" t="s">
        <v>223</v>
      </c>
      <c r="H310" t="s">
        <v>216</v>
      </c>
      <c r="I310" t="s">
        <v>210</v>
      </c>
      <c r="J310" t="s">
        <v>191</v>
      </c>
      <c r="K310" t="s">
        <v>880</v>
      </c>
      <c r="L310">
        <v>122.29</v>
      </c>
      <c r="M310">
        <v>224.95</v>
      </c>
      <c r="N310">
        <v>0.153</v>
      </c>
      <c r="O310">
        <v>28</v>
      </c>
    </row>
    <row r="311" spans="1:15">
      <c r="A311" t="s">
        <v>881</v>
      </c>
      <c r="B311" s="29">
        <v>44936</v>
      </c>
      <c r="C311" s="29">
        <v>44955</v>
      </c>
      <c r="D311" t="s">
        <v>239</v>
      </c>
      <c r="E311" t="s">
        <v>251</v>
      </c>
      <c r="F311" t="s">
        <v>299</v>
      </c>
      <c r="G311" t="s">
        <v>200</v>
      </c>
      <c r="H311" t="s">
        <v>259</v>
      </c>
      <c r="I311" t="s">
        <v>306</v>
      </c>
      <c r="J311" t="s">
        <v>218</v>
      </c>
      <c r="K311" t="s">
        <v>882</v>
      </c>
      <c r="L311">
        <v>401.66</v>
      </c>
      <c r="M311">
        <v>772.09</v>
      </c>
      <c r="N311">
        <v>0.089</v>
      </c>
      <c r="O311">
        <v>14</v>
      </c>
    </row>
    <row r="312" spans="1:15">
      <c r="A312" t="s">
        <v>883</v>
      </c>
      <c r="B312" s="29">
        <v>45655</v>
      </c>
      <c r="C312" s="29">
        <v>45669</v>
      </c>
      <c r="D312" t="s">
        <v>239</v>
      </c>
      <c r="E312" t="s">
        <v>269</v>
      </c>
      <c r="F312" t="s">
        <v>389</v>
      </c>
      <c r="G312" t="s">
        <v>180</v>
      </c>
      <c r="H312" t="s">
        <v>259</v>
      </c>
      <c r="I312" t="s">
        <v>217</v>
      </c>
      <c r="J312" t="s">
        <v>225</v>
      </c>
      <c r="K312" t="s">
        <v>884</v>
      </c>
      <c r="L312">
        <v>1399.72</v>
      </c>
      <c r="M312">
        <v>3149.21</v>
      </c>
      <c r="N312">
        <v>0.185</v>
      </c>
      <c r="O312">
        <v>12</v>
      </c>
    </row>
    <row r="313" spans="1:15">
      <c r="A313" t="s">
        <v>885</v>
      </c>
      <c r="B313" s="29">
        <v>45435</v>
      </c>
      <c r="C313" s="29">
        <v>45449</v>
      </c>
      <c r="D313" t="s">
        <v>213</v>
      </c>
      <c r="E313" t="s">
        <v>234</v>
      </c>
      <c r="F313" t="s">
        <v>386</v>
      </c>
      <c r="G313" t="s">
        <v>200</v>
      </c>
      <c r="H313" t="s">
        <v>189</v>
      </c>
      <c r="I313" t="s">
        <v>195</v>
      </c>
      <c r="J313" t="s">
        <v>196</v>
      </c>
      <c r="K313" t="s">
        <v>886</v>
      </c>
      <c r="L313">
        <v>51.13</v>
      </c>
      <c r="M313">
        <v>57.53</v>
      </c>
      <c r="N313">
        <v>0.045</v>
      </c>
      <c r="O313">
        <v>16</v>
      </c>
    </row>
    <row r="314" spans="1:15">
      <c r="A314" t="s">
        <v>887</v>
      </c>
      <c r="B314" s="29">
        <v>45101</v>
      </c>
      <c r="C314" s="29">
        <v>45099</v>
      </c>
      <c r="D314" t="s">
        <v>213</v>
      </c>
      <c r="E314" t="s">
        <v>214</v>
      </c>
      <c r="F314" t="s">
        <v>215</v>
      </c>
      <c r="G314" t="s">
        <v>200</v>
      </c>
      <c r="H314" t="s">
        <v>181</v>
      </c>
      <c r="I314" t="s">
        <v>271</v>
      </c>
      <c r="J314" t="s">
        <v>242</v>
      </c>
      <c r="K314" t="s">
        <v>888</v>
      </c>
      <c r="L314">
        <v>471.42</v>
      </c>
      <c r="M314">
        <v>824.81</v>
      </c>
      <c r="N314">
        <v>0.088</v>
      </c>
      <c r="O314">
        <v>15</v>
      </c>
    </row>
    <row r="315" spans="1:15">
      <c r="A315" t="s">
        <v>889</v>
      </c>
      <c r="B315" s="29">
        <v>45600</v>
      </c>
      <c r="C315" s="29">
        <v>45601</v>
      </c>
      <c r="D315" t="s">
        <v>239</v>
      </c>
      <c r="E315" t="s">
        <v>269</v>
      </c>
      <c r="F315" t="s">
        <v>313</v>
      </c>
      <c r="G315" t="s">
        <v>180</v>
      </c>
      <c r="H315" t="s">
        <v>181</v>
      </c>
      <c r="I315" t="s">
        <v>271</v>
      </c>
      <c r="J315" t="s">
        <v>191</v>
      </c>
      <c r="K315" t="s">
        <v>890</v>
      </c>
      <c r="L315">
        <v>840.68</v>
      </c>
      <c r="M315">
        <v>1493.53</v>
      </c>
      <c r="N315">
        <v>0</v>
      </c>
      <c r="O315">
        <v>27</v>
      </c>
    </row>
    <row r="316" spans="1:15">
      <c r="A316" t="s">
        <v>891</v>
      </c>
      <c r="B316" s="29">
        <v>45451</v>
      </c>
      <c r="C316" s="29">
        <v>45467</v>
      </c>
      <c r="D316" t="s">
        <v>177</v>
      </c>
      <c r="E316" t="s">
        <v>309</v>
      </c>
      <c r="F316" t="s">
        <v>333</v>
      </c>
      <c r="G316" t="s">
        <v>188</v>
      </c>
      <c r="H316" t="s">
        <v>216</v>
      </c>
      <c r="I316" t="s">
        <v>253</v>
      </c>
      <c r="J316" t="s">
        <v>225</v>
      </c>
      <c r="K316" t="s">
        <v>892</v>
      </c>
      <c r="L316">
        <v>597.85</v>
      </c>
      <c r="M316">
        <v>741.92</v>
      </c>
      <c r="N316">
        <v>0.031</v>
      </c>
      <c r="O316">
        <v>7</v>
      </c>
    </row>
    <row r="317" spans="1:15">
      <c r="A317" t="s">
        <v>893</v>
      </c>
      <c r="B317" s="29">
        <v>45809</v>
      </c>
      <c r="C317" s="29">
        <v>45814</v>
      </c>
      <c r="D317" t="s">
        <v>239</v>
      </c>
      <c r="E317" t="s">
        <v>251</v>
      </c>
      <c r="F317" t="s">
        <v>378</v>
      </c>
      <c r="G317" t="s">
        <v>209</v>
      </c>
      <c r="H317" t="s">
        <v>216</v>
      </c>
      <c r="I317" t="s">
        <v>202</v>
      </c>
      <c r="J317" t="s">
        <v>183</v>
      </c>
      <c r="K317" t="s">
        <v>894</v>
      </c>
      <c r="L317">
        <v>379.45</v>
      </c>
      <c r="M317">
        <v>742.23</v>
      </c>
      <c r="N317">
        <v>0.09</v>
      </c>
      <c r="O317">
        <v>13</v>
      </c>
    </row>
    <row r="318" spans="1:15">
      <c r="A318" t="s">
        <v>895</v>
      </c>
      <c r="B318" s="29">
        <v>45052</v>
      </c>
      <c r="C318" s="29">
        <v>45060</v>
      </c>
      <c r="D318" t="s">
        <v>206</v>
      </c>
      <c r="E318" t="s">
        <v>207</v>
      </c>
      <c r="F318" t="s">
        <v>208</v>
      </c>
      <c r="G318" t="s">
        <v>266</v>
      </c>
      <c r="H318" t="s">
        <v>201</v>
      </c>
      <c r="I318" t="s">
        <v>217</v>
      </c>
      <c r="J318" t="s">
        <v>203</v>
      </c>
      <c r="K318" t="s">
        <v>896</v>
      </c>
      <c r="L318">
        <v>291.18</v>
      </c>
      <c r="M318">
        <v>479.54</v>
      </c>
      <c r="N318">
        <v>0.141</v>
      </c>
      <c r="O318">
        <v>22</v>
      </c>
    </row>
    <row r="319" spans="1:15">
      <c r="A319" t="s">
        <v>897</v>
      </c>
      <c r="B319" s="29">
        <v>45244</v>
      </c>
      <c r="C319" s="29">
        <v>45260</v>
      </c>
      <c r="D319" t="s">
        <v>213</v>
      </c>
      <c r="E319" t="s">
        <v>234</v>
      </c>
      <c r="F319" t="s">
        <v>235</v>
      </c>
      <c r="G319" t="s">
        <v>266</v>
      </c>
      <c r="H319" t="s">
        <v>259</v>
      </c>
      <c r="I319" t="s">
        <v>256</v>
      </c>
      <c r="J319" t="s">
        <v>196</v>
      </c>
      <c r="K319" t="s">
        <v>898</v>
      </c>
      <c r="L319">
        <v>1017.92</v>
      </c>
      <c r="M319">
        <v>1175.25</v>
      </c>
      <c r="N319">
        <v>0.075</v>
      </c>
      <c r="O319">
        <v>15</v>
      </c>
    </row>
    <row r="320" spans="1:15">
      <c r="A320" t="s">
        <v>899</v>
      </c>
      <c r="B320" s="29">
        <v>45748</v>
      </c>
      <c r="C320" s="29">
        <v>45774</v>
      </c>
      <c r="D320" t="s">
        <v>213</v>
      </c>
      <c r="E320" t="s">
        <v>283</v>
      </c>
      <c r="F320" t="s">
        <v>328</v>
      </c>
      <c r="G320" t="s">
        <v>180</v>
      </c>
      <c r="H320" t="s">
        <v>259</v>
      </c>
      <c r="I320" t="s">
        <v>195</v>
      </c>
      <c r="J320" t="s">
        <v>225</v>
      </c>
      <c r="K320" t="s">
        <v>900</v>
      </c>
      <c r="L320">
        <v>156.55</v>
      </c>
      <c r="M320">
        <v>227.45</v>
      </c>
      <c r="N320">
        <v>0.014</v>
      </c>
      <c r="O320">
        <v>13</v>
      </c>
    </row>
    <row r="321" spans="1:15">
      <c r="A321" t="s">
        <v>901</v>
      </c>
      <c r="B321" s="29">
        <v>45008</v>
      </c>
      <c r="C321" s="29">
        <v>45031</v>
      </c>
      <c r="D321" t="s">
        <v>177</v>
      </c>
      <c r="E321" t="s">
        <v>178</v>
      </c>
      <c r="F321" t="s">
        <v>274</v>
      </c>
      <c r="G321" t="s">
        <v>223</v>
      </c>
      <c r="H321" t="s">
        <v>181</v>
      </c>
      <c r="I321" t="s">
        <v>182</v>
      </c>
      <c r="J321" t="s">
        <v>242</v>
      </c>
      <c r="K321" t="s">
        <v>902</v>
      </c>
      <c r="L321">
        <v>875.36</v>
      </c>
      <c r="M321">
        <v>1178.62</v>
      </c>
      <c r="N321">
        <v>0.151</v>
      </c>
      <c r="O321">
        <v>53</v>
      </c>
    </row>
    <row r="322" spans="1:15">
      <c r="A322" t="s">
        <v>903</v>
      </c>
      <c r="B322" s="29">
        <v>45440</v>
      </c>
      <c r="C322" s="29">
        <v>45461</v>
      </c>
      <c r="D322" t="s">
        <v>239</v>
      </c>
      <c r="E322" t="s">
        <v>240</v>
      </c>
      <c r="F322" t="s">
        <v>496</v>
      </c>
      <c r="G322" t="s">
        <v>223</v>
      </c>
      <c r="H322" t="s">
        <v>189</v>
      </c>
      <c r="I322" t="s">
        <v>224</v>
      </c>
      <c r="J322" t="s">
        <v>203</v>
      </c>
      <c r="K322" t="s">
        <v>904</v>
      </c>
      <c r="L322">
        <v>986.85</v>
      </c>
      <c r="M322">
        <v>2422.1</v>
      </c>
      <c r="N322">
        <v>0.076</v>
      </c>
      <c r="O322">
        <v>10</v>
      </c>
    </row>
    <row r="323" spans="1:15">
      <c r="A323" t="s">
        <v>905</v>
      </c>
      <c r="B323" s="29">
        <v>45293</v>
      </c>
      <c r="C323" s="29">
        <v>45292</v>
      </c>
      <c r="D323" t="s">
        <v>213</v>
      </c>
      <c r="E323" t="s">
        <v>283</v>
      </c>
      <c r="F323" t="s">
        <v>284</v>
      </c>
      <c r="G323" t="s">
        <v>188</v>
      </c>
      <c r="H323" t="s">
        <v>201</v>
      </c>
      <c r="I323" t="s">
        <v>217</v>
      </c>
      <c r="J323" t="s">
        <v>196</v>
      </c>
      <c r="K323" t="s">
        <v>906</v>
      </c>
      <c r="L323">
        <v>404.77</v>
      </c>
      <c r="M323">
        <v>433.88</v>
      </c>
      <c r="N323">
        <v>0.215</v>
      </c>
      <c r="O323">
        <v>22</v>
      </c>
    </row>
    <row r="324" spans="1:15">
      <c r="A324" t="s">
        <v>907</v>
      </c>
      <c r="B324" s="29">
        <v>44985</v>
      </c>
      <c r="C324" s="29">
        <v>44984</v>
      </c>
      <c r="D324" t="s">
        <v>239</v>
      </c>
      <c r="E324" t="s">
        <v>251</v>
      </c>
      <c r="F324" t="s">
        <v>252</v>
      </c>
      <c r="G324" t="s">
        <v>180</v>
      </c>
      <c r="H324" t="s">
        <v>181</v>
      </c>
      <c r="I324" t="s">
        <v>256</v>
      </c>
      <c r="J324" t="s">
        <v>196</v>
      </c>
      <c r="K324" t="s">
        <v>908</v>
      </c>
      <c r="L324">
        <v>1299.81</v>
      </c>
      <c r="M324">
        <v>3149.13</v>
      </c>
      <c r="N324">
        <v>0.103</v>
      </c>
      <c r="O324">
        <v>14</v>
      </c>
    </row>
    <row r="325" spans="1:15">
      <c r="A325" t="s">
        <v>909</v>
      </c>
      <c r="B325" s="29">
        <v>45340</v>
      </c>
      <c r="C325" s="29">
        <v>45362</v>
      </c>
      <c r="D325" t="s">
        <v>213</v>
      </c>
      <c r="E325" t="s">
        <v>234</v>
      </c>
      <c r="F325" t="s">
        <v>235</v>
      </c>
      <c r="G325" t="s">
        <v>209</v>
      </c>
      <c r="H325" t="s">
        <v>189</v>
      </c>
      <c r="I325" t="s">
        <v>236</v>
      </c>
      <c r="J325" t="s">
        <v>183</v>
      </c>
      <c r="K325" t="s">
        <v>910</v>
      </c>
      <c r="L325">
        <v>80.48</v>
      </c>
      <c r="M325">
        <v>65.65</v>
      </c>
      <c r="N325">
        <v>0.176</v>
      </c>
      <c r="O325">
        <v>13</v>
      </c>
    </row>
    <row r="326" spans="1:15">
      <c r="A326" t="s">
        <v>911</v>
      </c>
      <c r="B326" s="29">
        <v>45544</v>
      </c>
      <c r="C326" s="29">
        <v>45573</v>
      </c>
      <c r="D326" t="s">
        <v>213</v>
      </c>
      <c r="E326" t="s">
        <v>234</v>
      </c>
      <c r="F326" t="s">
        <v>235</v>
      </c>
      <c r="G326" t="s">
        <v>188</v>
      </c>
      <c r="H326" t="s">
        <v>259</v>
      </c>
      <c r="I326" t="s">
        <v>190</v>
      </c>
      <c r="J326" t="s">
        <v>183</v>
      </c>
      <c r="K326" t="s">
        <v>912</v>
      </c>
      <c r="L326">
        <v>1010.33</v>
      </c>
      <c r="M326">
        <v>2492.14</v>
      </c>
      <c r="N326">
        <v>0.051</v>
      </c>
      <c r="O326">
        <v>11</v>
      </c>
    </row>
    <row r="327" spans="1:15">
      <c r="A327" t="s">
        <v>913</v>
      </c>
      <c r="B327" s="29">
        <v>45053</v>
      </c>
      <c r="C327" s="29">
        <v>45075</v>
      </c>
      <c r="D327" t="s">
        <v>177</v>
      </c>
      <c r="E327" t="s">
        <v>309</v>
      </c>
      <c r="F327" t="s">
        <v>333</v>
      </c>
      <c r="G327" t="s">
        <v>188</v>
      </c>
      <c r="H327" t="s">
        <v>216</v>
      </c>
      <c r="I327" t="s">
        <v>256</v>
      </c>
      <c r="J327" t="s">
        <v>242</v>
      </c>
      <c r="K327" t="s">
        <v>914</v>
      </c>
      <c r="L327">
        <v>653.86</v>
      </c>
      <c r="M327">
        <v>931.84</v>
      </c>
      <c r="N327">
        <v>0.121</v>
      </c>
      <c r="O327">
        <v>12</v>
      </c>
    </row>
    <row r="328" spans="1:15">
      <c r="A328" t="s">
        <v>915</v>
      </c>
      <c r="B328" s="29">
        <v>45303</v>
      </c>
      <c r="C328" s="29">
        <v>45320</v>
      </c>
      <c r="D328" t="s">
        <v>206</v>
      </c>
      <c r="E328" t="s">
        <v>221</v>
      </c>
      <c r="F328" t="s">
        <v>442</v>
      </c>
      <c r="G328" t="s">
        <v>223</v>
      </c>
      <c r="H328" t="s">
        <v>259</v>
      </c>
      <c r="I328" t="s">
        <v>217</v>
      </c>
      <c r="J328" t="s">
        <v>183</v>
      </c>
      <c r="K328" t="s">
        <v>916</v>
      </c>
      <c r="L328">
        <v>310.02</v>
      </c>
      <c r="M328">
        <v>619.51</v>
      </c>
      <c r="N328">
        <v>0.042</v>
      </c>
      <c r="O328">
        <v>4</v>
      </c>
    </row>
    <row r="329" spans="1:15">
      <c r="A329" t="s">
        <v>917</v>
      </c>
      <c r="B329" s="29">
        <v>45087</v>
      </c>
      <c r="C329" s="29">
        <v>45095</v>
      </c>
      <c r="D329" t="s">
        <v>177</v>
      </c>
      <c r="E329" t="s">
        <v>178</v>
      </c>
      <c r="F329" t="s">
        <v>296</v>
      </c>
      <c r="G329" t="s">
        <v>266</v>
      </c>
      <c r="H329" t="s">
        <v>259</v>
      </c>
      <c r="I329" t="s">
        <v>253</v>
      </c>
      <c r="J329" t="s">
        <v>203</v>
      </c>
      <c r="K329" t="s">
        <v>918</v>
      </c>
      <c r="L329">
        <v>894.23</v>
      </c>
      <c r="M329">
        <v>1421.55</v>
      </c>
      <c r="N329">
        <v>0.109</v>
      </c>
      <c r="O329">
        <v>3</v>
      </c>
    </row>
    <row r="330" spans="1:15">
      <c r="A330" t="s">
        <v>919</v>
      </c>
      <c r="B330" s="29">
        <v>45796</v>
      </c>
      <c r="C330" s="29">
        <v>45794</v>
      </c>
      <c r="D330" t="s">
        <v>213</v>
      </c>
      <c r="E330" t="s">
        <v>234</v>
      </c>
      <c r="F330" t="s">
        <v>235</v>
      </c>
      <c r="G330" t="s">
        <v>223</v>
      </c>
      <c r="H330" t="s">
        <v>216</v>
      </c>
      <c r="I330" t="s">
        <v>210</v>
      </c>
      <c r="J330" t="s">
        <v>225</v>
      </c>
      <c r="K330" t="s">
        <v>920</v>
      </c>
      <c r="L330">
        <v>383.77</v>
      </c>
      <c r="M330">
        <v>952.56</v>
      </c>
      <c r="N330">
        <v>0.346</v>
      </c>
      <c r="O330">
        <v>10</v>
      </c>
    </row>
    <row r="331" spans="1:15">
      <c r="A331" t="s">
        <v>921</v>
      </c>
      <c r="B331" s="29">
        <v>45221</v>
      </c>
      <c r="C331" s="29">
        <v>45246</v>
      </c>
      <c r="D331" t="s">
        <v>213</v>
      </c>
      <c r="E331" t="s">
        <v>214</v>
      </c>
      <c r="F331" t="s">
        <v>215</v>
      </c>
      <c r="G331" t="s">
        <v>223</v>
      </c>
      <c r="H331" t="s">
        <v>201</v>
      </c>
      <c r="I331" t="s">
        <v>195</v>
      </c>
      <c r="J331" t="s">
        <v>218</v>
      </c>
      <c r="K331" t="s">
        <v>922</v>
      </c>
      <c r="L331">
        <v>1373.31</v>
      </c>
      <c r="M331">
        <v>3154.14</v>
      </c>
      <c r="N331">
        <v>0.2</v>
      </c>
      <c r="O331">
        <v>11</v>
      </c>
    </row>
    <row r="332" spans="1:15">
      <c r="A332" t="s">
        <v>923</v>
      </c>
      <c r="B332" s="29">
        <v>45668</v>
      </c>
      <c r="C332" s="29">
        <v>45680</v>
      </c>
      <c r="D332" t="s">
        <v>213</v>
      </c>
      <c r="E332" t="s">
        <v>283</v>
      </c>
      <c r="F332" t="s">
        <v>487</v>
      </c>
      <c r="G332" t="s">
        <v>209</v>
      </c>
      <c r="H332" t="s">
        <v>216</v>
      </c>
      <c r="I332" t="s">
        <v>253</v>
      </c>
      <c r="J332" t="s">
        <v>203</v>
      </c>
      <c r="K332" t="s">
        <v>924</v>
      </c>
      <c r="L332">
        <v>100.69</v>
      </c>
      <c r="M332">
        <v>226.14</v>
      </c>
      <c r="N332">
        <v>0.065</v>
      </c>
      <c r="O332">
        <v>12</v>
      </c>
    </row>
    <row r="333" spans="1:15">
      <c r="A333" t="s">
        <v>925</v>
      </c>
      <c r="B333" s="29">
        <v>45914</v>
      </c>
      <c r="C333" s="29">
        <v>45926</v>
      </c>
      <c r="D333" t="s">
        <v>239</v>
      </c>
      <c r="E333" t="s">
        <v>269</v>
      </c>
      <c r="F333" t="s">
        <v>313</v>
      </c>
      <c r="G333" t="s">
        <v>223</v>
      </c>
      <c r="H333" t="s">
        <v>259</v>
      </c>
      <c r="I333" t="s">
        <v>287</v>
      </c>
      <c r="J333" t="s">
        <v>196</v>
      </c>
      <c r="K333" t="s">
        <v>926</v>
      </c>
      <c r="L333">
        <v>425.15</v>
      </c>
      <c r="M333">
        <v>885.92</v>
      </c>
      <c r="N333">
        <v>0.239</v>
      </c>
      <c r="O333">
        <v>13</v>
      </c>
    </row>
    <row r="334" spans="1:15">
      <c r="A334" t="s">
        <v>927</v>
      </c>
      <c r="B334" s="29">
        <v>45168</v>
      </c>
      <c r="C334" s="29">
        <v>45172</v>
      </c>
      <c r="D334" t="s">
        <v>206</v>
      </c>
      <c r="E334" t="s">
        <v>221</v>
      </c>
      <c r="F334" t="s">
        <v>302</v>
      </c>
      <c r="G334" t="s">
        <v>223</v>
      </c>
      <c r="H334" t="s">
        <v>201</v>
      </c>
      <c r="I334" t="s">
        <v>210</v>
      </c>
      <c r="J334" t="s">
        <v>242</v>
      </c>
      <c r="K334" t="s">
        <v>928</v>
      </c>
      <c r="L334">
        <v>1082.25</v>
      </c>
      <c r="M334">
        <v>2433.34</v>
      </c>
      <c r="N334">
        <v>0.27</v>
      </c>
      <c r="O334">
        <v>4</v>
      </c>
    </row>
    <row r="335" spans="1:15">
      <c r="A335" t="s">
        <v>929</v>
      </c>
      <c r="B335" s="29">
        <v>45245</v>
      </c>
      <c r="C335" s="29">
        <v>45266</v>
      </c>
      <c r="D335" t="s">
        <v>239</v>
      </c>
      <c r="E335" t="s">
        <v>269</v>
      </c>
      <c r="F335" t="s">
        <v>389</v>
      </c>
      <c r="G335" t="s">
        <v>188</v>
      </c>
      <c r="H335" t="s">
        <v>259</v>
      </c>
      <c r="I335" t="s">
        <v>253</v>
      </c>
      <c r="J335" t="s">
        <v>242</v>
      </c>
      <c r="K335" t="s">
        <v>930</v>
      </c>
      <c r="L335">
        <v>1184.99</v>
      </c>
      <c r="M335">
        <v>1154.34</v>
      </c>
      <c r="N335">
        <v>0.028</v>
      </c>
      <c r="O335">
        <v>5</v>
      </c>
    </row>
    <row r="336" spans="1:15">
      <c r="A336" t="s">
        <v>931</v>
      </c>
      <c r="B336" s="29">
        <v>45774</v>
      </c>
      <c r="C336" s="29">
        <v>45804</v>
      </c>
      <c r="D336" t="s">
        <v>206</v>
      </c>
      <c r="E336" t="s">
        <v>221</v>
      </c>
      <c r="G336" t="s">
        <v>266</v>
      </c>
      <c r="H336" t="s">
        <v>201</v>
      </c>
      <c r="I336" t="s">
        <v>253</v>
      </c>
      <c r="J336" t="s">
        <v>203</v>
      </c>
      <c r="K336" t="s">
        <v>932</v>
      </c>
      <c r="L336">
        <v>481.32</v>
      </c>
      <c r="M336">
        <v>1135.99</v>
      </c>
      <c r="N336">
        <v>0.145</v>
      </c>
      <c r="O336">
        <v>5</v>
      </c>
    </row>
    <row r="337" spans="1:15">
      <c r="A337" t="s">
        <v>933</v>
      </c>
      <c r="B337" s="29">
        <v>45391</v>
      </c>
      <c r="C337" s="29">
        <v>45400</v>
      </c>
      <c r="D337" t="s">
        <v>239</v>
      </c>
      <c r="E337" t="s">
        <v>251</v>
      </c>
      <c r="F337" t="s">
        <v>299</v>
      </c>
      <c r="G337" t="s">
        <v>209</v>
      </c>
      <c r="H337" t="s">
        <v>189</v>
      </c>
      <c r="I337" t="s">
        <v>224</v>
      </c>
      <c r="J337" t="s">
        <v>191</v>
      </c>
      <c r="K337" t="s">
        <v>934</v>
      </c>
      <c r="L337">
        <v>1288.85</v>
      </c>
      <c r="M337">
        <v>2751.84</v>
      </c>
      <c r="N337">
        <v>0.158</v>
      </c>
      <c r="O337">
        <v>7</v>
      </c>
    </row>
    <row r="338" spans="1:15">
      <c r="A338" t="s">
        <v>935</v>
      </c>
      <c r="B338" s="29">
        <v>45484</v>
      </c>
      <c r="C338" s="29">
        <v>45504</v>
      </c>
      <c r="D338" t="s">
        <v>206</v>
      </c>
      <c r="E338" t="s">
        <v>277</v>
      </c>
      <c r="F338" t="s">
        <v>278</v>
      </c>
      <c r="G338" t="s">
        <v>209</v>
      </c>
      <c r="H338" t="s">
        <v>189</v>
      </c>
      <c r="I338" t="s">
        <v>202</v>
      </c>
      <c r="J338" t="s">
        <v>203</v>
      </c>
      <c r="K338" t="s">
        <v>936</v>
      </c>
      <c r="L338">
        <v>647.26</v>
      </c>
      <c r="M338">
        <v>1374.72</v>
      </c>
      <c r="N338">
        <v>0.066</v>
      </c>
      <c r="O338">
        <v>22</v>
      </c>
    </row>
    <row r="339" spans="1:15">
      <c r="A339" t="s">
        <v>937</v>
      </c>
      <c r="B339" s="29">
        <v>45340</v>
      </c>
      <c r="C339" s="29">
        <v>45354</v>
      </c>
      <c r="D339" t="s">
        <v>213</v>
      </c>
      <c r="E339" t="s">
        <v>234</v>
      </c>
      <c r="G339" t="s">
        <v>266</v>
      </c>
      <c r="H339" t="s">
        <v>216</v>
      </c>
      <c r="I339" t="s">
        <v>236</v>
      </c>
      <c r="J339" t="s">
        <v>191</v>
      </c>
      <c r="K339" t="s">
        <v>938</v>
      </c>
      <c r="L339">
        <v>624.23</v>
      </c>
      <c r="M339">
        <v>1318.37</v>
      </c>
      <c r="N339">
        <v>0.21</v>
      </c>
      <c r="O339">
        <v>37</v>
      </c>
    </row>
    <row r="340" spans="1:15">
      <c r="A340" t="s">
        <v>939</v>
      </c>
      <c r="B340" s="29">
        <v>45132</v>
      </c>
      <c r="C340" s="29">
        <v>45148</v>
      </c>
      <c r="D340" t="s">
        <v>177</v>
      </c>
      <c r="E340" t="s">
        <v>186</v>
      </c>
      <c r="F340" t="s">
        <v>187</v>
      </c>
      <c r="G340" t="s">
        <v>180</v>
      </c>
      <c r="H340" t="s">
        <v>216</v>
      </c>
      <c r="I340" t="s">
        <v>195</v>
      </c>
      <c r="J340" t="s">
        <v>242</v>
      </c>
      <c r="K340" t="s">
        <v>940</v>
      </c>
      <c r="L340">
        <v>506.83</v>
      </c>
      <c r="M340">
        <v>441.74</v>
      </c>
      <c r="N340">
        <v>0.24</v>
      </c>
      <c r="O340">
        <v>9</v>
      </c>
    </row>
    <row r="341" spans="1:15">
      <c r="A341" t="s">
        <v>941</v>
      </c>
      <c r="B341" s="29">
        <v>45121</v>
      </c>
      <c r="C341" s="29">
        <v>45128</v>
      </c>
      <c r="D341" t="s">
        <v>177</v>
      </c>
      <c r="E341" t="s">
        <v>309</v>
      </c>
      <c r="F341" t="s">
        <v>333</v>
      </c>
      <c r="G341" t="s">
        <v>266</v>
      </c>
      <c r="H341" t="s">
        <v>201</v>
      </c>
      <c r="J341" t="s">
        <v>225</v>
      </c>
      <c r="K341" t="s">
        <v>942</v>
      </c>
      <c r="L341">
        <v>620.74</v>
      </c>
      <c r="M341">
        <v>1330.07</v>
      </c>
      <c r="N341">
        <v>0.299</v>
      </c>
      <c r="O341">
        <v>28</v>
      </c>
    </row>
    <row r="342" spans="1:15">
      <c r="A342" t="s">
        <v>943</v>
      </c>
      <c r="B342" s="29">
        <v>45131</v>
      </c>
      <c r="C342" s="29">
        <v>45157</v>
      </c>
      <c r="D342" t="s">
        <v>177</v>
      </c>
      <c r="E342" t="s">
        <v>178</v>
      </c>
      <c r="F342" t="s">
        <v>194</v>
      </c>
      <c r="G342" t="s">
        <v>266</v>
      </c>
      <c r="H342" t="s">
        <v>216</v>
      </c>
      <c r="I342" t="s">
        <v>271</v>
      </c>
      <c r="J342" t="s">
        <v>242</v>
      </c>
      <c r="K342" t="s">
        <v>944</v>
      </c>
      <c r="L342">
        <v>661.45</v>
      </c>
      <c r="M342">
        <v>1634.86</v>
      </c>
      <c r="N342">
        <v>0.565</v>
      </c>
      <c r="O342">
        <v>24</v>
      </c>
    </row>
    <row r="343" spans="1:15">
      <c r="A343" t="s">
        <v>945</v>
      </c>
      <c r="B343" s="29">
        <v>45029</v>
      </c>
      <c r="C343" s="29">
        <v>45027</v>
      </c>
      <c r="D343" t="s">
        <v>213</v>
      </c>
      <c r="E343" t="s">
        <v>283</v>
      </c>
      <c r="F343" t="s">
        <v>328</v>
      </c>
      <c r="G343" t="s">
        <v>188</v>
      </c>
      <c r="H343" t="s">
        <v>201</v>
      </c>
      <c r="I343" t="s">
        <v>202</v>
      </c>
      <c r="J343" t="s">
        <v>196</v>
      </c>
      <c r="K343" t="s">
        <v>946</v>
      </c>
      <c r="L343">
        <v>32.1</v>
      </c>
      <c r="M343">
        <v>70.6</v>
      </c>
      <c r="N343">
        <v>0.282</v>
      </c>
      <c r="O343">
        <v>22</v>
      </c>
    </row>
    <row r="344" spans="1:15">
      <c r="A344" t="s">
        <v>947</v>
      </c>
      <c r="B344" s="29">
        <v>45594</v>
      </c>
      <c r="C344" s="29">
        <v>45600</v>
      </c>
      <c r="D344" t="s">
        <v>177</v>
      </c>
      <c r="E344" t="s">
        <v>178</v>
      </c>
      <c r="F344" t="s">
        <v>194</v>
      </c>
      <c r="G344" t="s">
        <v>180</v>
      </c>
      <c r="H344" t="s">
        <v>216</v>
      </c>
      <c r="I344" t="s">
        <v>271</v>
      </c>
      <c r="J344" t="s">
        <v>191</v>
      </c>
      <c r="K344" t="s">
        <v>948</v>
      </c>
      <c r="L344">
        <v>805.81</v>
      </c>
      <c r="M344">
        <v>1823.04</v>
      </c>
      <c r="N344">
        <v>0</v>
      </c>
      <c r="O344">
        <v>11</v>
      </c>
    </row>
    <row r="345" spans="1:15">
      <c r="A345" t="s">
        <v>949</v>
      </c>
      <c r="B345" s="29">
        <v>45339</v>
      </c>
      <c r="C345" s="29">
        <v>45355</v>
      </c>
      <c r="D345" t="s">
        <v>206</v>
      </c>
      <c r="E345" t="s">
        <v>221</v>
      </c>
      <c r="F345" t="s">
        <v>302</v>
      </c>
      <c r="G345" t="s">
        <v>223</v>
      </c>
      <c r="H345" t="s">
        <v>201</v>
      </c>
      <c r="I345" t="s">
        <v>245</v>
      </c>
      <c r="J345" t="s">
        <v>203</v>
      </c>
      <c r="K345" t="s">
        <v>950</v>
      </c>
      <c r="L345">
        <v>1231.8</v>
      </c>
      <c r="M345">
        <v>2015.99</v>
      </c>
      <c r="N345">
        <v>0.261</v>
      </c>
      <c r="O345">
        <v>6</v>
      </c>
    </row>
    <row r="346" spans="1:15">
      <c r="A346" t="s">
        <v>951</v>
      </c>
      <c r="B346" s="29">
        <v>45486</v>
      </c>
      <c r="C346" s="29">
        <v>45485</v>
      </c>
      <c r="D346" t="s">
        <v>206</v>
      </c>
      <c r="E346" t="s">
        <v>207</v>
      </c>
      <c r="F346" t="s">
        <v>392</v>
      </c>
      <c r="G346" t="s">
        <v>223</v>
      </c>
      <c r="H346" t="s">
        <v>201</v>
      </c>
      <c r="I346" t="s">
        <v>245</v>
      </c>
      <c r="J346" t="s">
        <v>196</v>
      </c>
      <c r="K346" t="s">
        <v>952</v>
      </c>
      <c r="L346">
        <v>105.13</v>
      </c>
      <c r="M346">
        <v>244.13</v>
      </c>
      <c r="N346">
        <v>0.071</v>
      </c>
      <c r="O346">
        <v>14</v>
      </c>
    </row>
    <row r="347" spans="1:15">
      <c r="A347" t="s">
        <v>953</v>
      </c>
      <c r="B347" s="29">
        <v>45261</v>
      </c>
      <c r="C347" s="29">
        <v>45278</v>
      </c>
      <c r="D347" t="s">
        <v>206</v>
      </c>
      <c r="E347" t="s">
        <v>207</v>
      </c>
      <c r="F347" t="s">
        <v>392</v>
      </c>
      <c r="G347" t="s">
        <v>223</v>
      </c>
      <c r="H347" t="s">
        <v>259</v>
      </c>
      <c r="I347" t="s">
        <v>287</v>
      </c>
      <c r="J347" t="s">
        <v>218</v>
      </c>
      <c r="K347" t="s">
        <v>954</v>
      </c>
      <c r="L347">
        <v>1495.79</v>
      </c>
      <c r="M347">
        <v>2783.12</v>
      </c>
      <c r="N347">
        <v>0.02</v>
      </c>
      <c r="O347">
        <v>5</v>
      </c>
    </row>
    <row r="348" spans="1:15">
      <c r="A348" t="s">
        <v>955</v>
      </c>
      <c r="B348" s="29">
        <v>45498</v>
      </c>
      <c r="C348" s="29">
        <v>45506</v>
      </c>
      <c r="D348" t="s">
        <v>213</v>
      </c>
      <c r="E348" t="s">
        <v>214</v>
      </c>
      <c r="F348" t="s">
        <v>305</v>
      </c>
      <c r="G348" t="s">
        <v>209</v>
      </c>
      <c r="H348" t="s">
        <v>259</v>
      </c>
      <c r="I348" t="s">
        <v>190</v>
      </c>
      <c r="J348" t="s">
        <v>242</v>
      </c>
      <c r="K348" t="s">
        <v>956</v>
      </c>
      <c r="L348">
        <v>986.81</v>
      </c>
      <c r="M348">
        <v>2050.31</v>
      </c>
      <c r="N348">
        <v>0.103</v>
      </c>
      <c r="O348">
        <v>43</v>
      </c>
    </row>
    <row r="349" spans="1:15">
      <c r="A349" t="s">
        <v>957</v>
      </c>
      <c r="B349" s="29">
        <v>45050</v>
      </c>
      <c r="C349" s="29">
        <v>45062</v>
      </c>
      <c r="D349" t="s">
        <v>177</v>
      </c>
      <c r="E349" t="s">
        <v>186</v>
      </c>
      <c r="F349" t="s">
        <v>228</v>
      </c>
      <c r="G349" t="s">
        <v>223</v>
      </c>
      <c r="H349" t="s">
        <v>201</v>
      </c>
      <c r="I349" t="s">
        <v>190</v>
      </c>
      <c r="J349" t="s">
        <v>203</v>
      </c>
      <c r="K349" t="s">
        <v>958</v>
      </c>
      <c r="L349">
        <v>77.74</v>
      </c>
      <c r="M349">
        <v>147.12</v>
      </c>
      <c r="N349">
        <v>0</v>
      </c>
      <c r="O349">
        <v>15</v>
      </c>
    </row>
    <row r="350" spans="1:15">
      <c r="A350" t="s">
        <v>959</v>
      </c>
      <c r="B350" s="29">
        <v>45281</v>
      </c>
      <c r="C350" s="29">
        <v>45297</v>
      </c>
      <c r="D350" t="s">
        <v>177</v>
      </c>
      <c r="E350" t="s">
        <v>186</v>
      </c>
      <c r="G350" t="s">
        <v>180</v>
      </c>
      <c r="H350" t="s">
        <v>201</v>
      </c>
      <c r="I350" t="s">
        <v>256</v>
      </c>
      <c r="J350" t="s">
        <v>183</v>
      </c>
      <c r="K350" t="s">
        <v>960</v>
      </c>
      <c r="L350">
        <v>932.61</v>
      </c>
      <c r="M350">
        <v>1982.98</v>
      </c>
      <c r="N350">
        <v>0.144</v>
      </c>
      <c r="O350">
        <v>16</v>
      </c>
    </row>
    <row r="351" spans="1:15">
      <c r="A351" t="s">
        <v>961</v>
      </c>
      <c r="B351" s="29">
        <v>45825</v>
      </c>
      <c r="C351" s="29">
        <v>45843</v>
      </c>
      <c r="D351" t="s">
        <v>206</v>
      </c>
      <c r="E351" t="s">
        <v>221</v>
      </c>
      <c r="F351" t="s">
        <v>302</v>
      </c>
      <c r="G351" t="s">
        <v>209</v>
      </c>
      <c r="H351" t="s">
        <v>201</v>
      </c>
      <c r="I351" t="s">
        <v>210</v>
      </c>
      <c r="J351" t="s">
        <v>218</v>
      </c>
      <c r="K351" t="s">
        <v>962</v>
      </c>
      <c r="L351">
        <v>982.93</v>
      </c>
      <c r="M351">
        <v>2299.3</v>
      </c>
      <c r="N351">
        <v>0.113</v>
      </c>
      <c r="O351">
        <v>6</v>
      </c>
    </row>
    <row r="352" spans="1:15">
      <c r="A352" t="s">
        <v>963</v>
      </c>
      <c r="B352" s="29">
        <v>44980</v>
      </c>
      <c r="C352" s="29">
        <v>44993</v>
      </c>
      <c r="D352" t="s">
        <v>239</v>
      </c>
      <c r="E352" t="s">
        <v>269</v>
      </c>
      <c r="F352" t="s">
        <v>389</v>
      </c>
      <c r="G352" t="s">
        <v>223</v>
      </c>
      <c r="H352" t="s">
        <v>259</v>
      </c>
      <c r="I352" t="s">
        <v>182</v>
      </c>
      <c r="J352" t="s">
        <v>191</v>
      </c>
      <c r="K352" t="s">
        <v>964</v>
      </c>
      <c r="L352">
        <v>307.37</v>
      </c>
      <c r="M352">
        <v>462.61</v>
      </c>
      <c r="N352">
        <v>0.188</v>
      </c>
      <c r="O352">
        <v>11</v>
      </c>
    </row>
    <row r="353" spans="1:15">
      <c r="A353" t="s">
        <v>965</v>
      </c>
      <c r="B353" s="29">
        <v>45262</v>
      </c>
      <c r="C353" s="29">
        <v>45276</v>
      </c>
      <c r="D353" t="s">
        <v>239</v>
      </c>
      <c r="E353" t="s">
        <v>240</v>
      </c>
      <c r="F353" t="s">
        <v>496</v>
      </c>
      <c r="G353" t="s">
        <v>188</v>
      </c>
      <c r="H353" t="s">
        <v>259</v>
      </c>
      <c r="I353" t="s">
        <v>287</v>
      </c>
      <c r="J353" t="s">
        <v>225</v>
      </c>
      <c r="K353" t="s">
        <v>966</v>
      </c>
      <c r="L353">
        <v>879.08</v>
      </c>
      <c r="M353">
        <v>1093.39</v>
      </c>
      <c r="N353">
        <v>0.113</v>
      </c>
      <c r="O353">
        <v>17</v>
      </c>
    </row>
    <row r="354" spans="1:15">
      <c r="A354" t="s">
        <v>967</v>
      </c>
      <c r="B354" s="29">
        <v>45121</v>
      </c>
      <c r="C354" s="29">
        <v>45121</v>
      </c>
      <c r="D354" t="s">
        <v>177</v>
      </c>
      <c r="E354" t="s">
        <v>186</v>
      </c>
      <c r="F354" t="s">
        <v>199</v>
      </c>
      <c r="G354" t="s">
        <v>188</v>
      </c>
      <c r="H354" t="s">
        <v>181</v>
      </c>
      <c r="I354" t="s">
        <v>195</v>
      </c>
      <c r="J354" t="s">
        <v>242</v>
      </c>
      <c r="K354" t="s">
        <v>968</v>
      </c>
      <c r="L354">
        <v>956.38</v>
      </c>
      <c r="M354">
        <v>1454.22</v>
      </c>
      <c r="N354">
        <v>0.039</v>
      </c>
      <c r="O354">
        <v>19</v>
      </c>
    </row>
    <row r="355" spans="1:15">
      <c r="A355" t="s">
        <v>969</v>
      </c>
      <c r="B355" s="29">
        <v>45512</v>
      </c>
      <c r="C355" s="29">
        <v>45524</v>
      </c>
      <c r="D355" t="s">
        <v>206</v>
      </c>
      <c r="E355" t="s">
        <v>207</v>
      </c>
      <c r="F355" t="s">
        <v>208</v>
      </c>
      <c r="G355" t="s">
        <v>223</v>
      </c>
      <c r="H355" t="s">
        <v>181</v>
      </c>
      <c r="I355" t="s">
        <v>253</v>
      </c>
      <c r="J355" t="s">
        <v>196</v>
      </c>
      <c r="K355" t="s">
        <v>970</v>
      </c>
      <c r="L355">
        <v>1233.36</v>
      </c>
      <c r="M355">
        <v>2120.4</v>
      </c>
      <c r="N355">
        <v>0.179</v>
      </c>
      <c r="O355">
        <v>20</v>
      </c>
    </row>
    <row r="356" spans="1:15">
      <c r="A356" t="s">
        <v>971</v>
      </c>
      <c r="B356" s="29">
        <v>45603</v>
      </c>
      <c r="C356" s="29">
        <v>45622</v>
      </c>
      <c r="D356" t="s">
        <v>213</v>
      </c>
      <c r="E356" t="s">
        <v>234</v>
      </c>
      <c r="F356" t="s">
        <v>386</v>
      </c>
      <c r="G356" t="s">
        <v>200</v>
      </c>
      <c r="H356" t="s">
        <v>216</v>
      </c>
      <c r="I356" t="s">
        <v>190</v>
      </c>
      <c r="J356" t="s">
        <v>191</v>
      </c>
      <c r="K356" t="s">
        <v>972</v>
      </c>
      <c r="L356">
        <v>55.35</v>
      </c>
      <c r="M356">
        <v>128.68</v>
      </c>
      <c r="N356">
        <v>0.128</v>
      </c>
      <c r="O356">
        <v>10</v>
      </c>
    </row>
    <row r="357" spans="1:15">
      <c r="A357" t="s">
        <v>973</v>
      </c>
      <c r="B357" s="29">
        <v>45292</v>
      </c>
      <c r="C357" s="29">
        <v>45318</v>
      </c>
      <c r="D357" t="s">
        <v>239</v>
      </c>
      <c r="E357" t="s">
        <v>269</v>
      </c>
      <c r="F357" t="s">
        <v>389</v>
      </c>
      <c r="G357" t="s">
        <v>188</v>
      </c>
      <c r="H357" t="s">
        <v>216</v>
      </c>
      <c r="I357" t="s">
        <v>306</v>
      </c>
      <c r="J357" t="s">
        <v>242</v>
      </c>
      <c r="K357" t="s">
        <v>974</v>
      </c>
      <c r="L357">
        <v>657.45</v>
      </c>
      <c r="M357">
        <v>1325.96</v>
      </c>
      <c r="N357">
        <v>0.167</v>
      </c>
      <c r="O357">
        <v>21</v>
      </c>
    </row>
    <row r="358" spans="1:15">
      <c r="A358" t="s">
        <v>975</v>
      </c>
      <c r="B358" s="29">
        <v>45883</v>
      </c>
      <c r="C358" s="29">
        <v>45911</v>
      </c>
      <c r="D358" t="s">
        <v>213</v>
      </c>
      <c r="E358" t="s">
        <v>234</v>
      </c>
      <c r="F358" t="s">
        <v>235</v>
      </c>
      <c r="G358" t="s">
        <v>200</v>
      </c>
      <c r="H358" t="s">
        <v>259</v>
      </c>
      <c r="I358" t="s">
        <v>245</v>
      </c>
      <c r="J358" t="s">
        <v>191</v>
      </c>
      <c r="K358" t="s">
        <v>976</v>
      </c>
      <c r="L358">
        <v>1203.02</v>
      </c>
      <c r="M358">
        <v>2439.33</v>
      </c>
      <c r="N358">
        <v>0</v>
      </c>
      <c r="O358">
        <v>18</v>
      </c>
    </row>
    <row r="359" spans="1:15">
      <c r="A359" t="s">
        <v>977</v>
      </c>
      <c r="B359" s="29">
        <v>45385</v>
      </c>
      <c r="C359" s="29">
        <v>45403</v>
      </c>
      <c r="D359" t="s">
        <v>213</v>
      </c>
      <c r="E359" t="s">
        <v>234</v>
      </c>
      <c r="F359" t="s">
        <v>248</v>
      </c>
      <c r="G359" t="s">
        <v>223</v>
      </c>
      <c r="H359" t="s">
        <v>216</v>
      </c>
      <c r="I359" t="s">
        <v>217</v>
      </c>
      <c r="J359" t="s">
        <v>196</v>
      </c>
      <c r="K359" t="s">
        <v>978</v>
      </c>
      <c r="L359">
        <v>1176.69</v>
      </c>
      <c r="M359">
        <v>2201.54</v>
      </c>
      <c r="N359">
        <v>0.17</v>
      </c>
      <c r="O359">
        <v>27</v>
      </c>
    </row>
    <row r="360" spans="1:15">
      <c r="A360" t="s">
        <v>979</v>
      </c>
      <c r="B360" s="29">
        <v>45621</v>
      </c>
      <c r="C360" s="29">
        <v>45633</v>
      </c>
      <c r="D360" t="s">
        <v>206</v>
      </c>
      <c r="E360" t="s">
        <v>277</v>
      </c>
      <c r="F360" t="s">
        <v>323</v>
      </c>
      <c r="G360" t="s">
        <v>180</v>
      </c>
      <c r="H360" t="s">
        <v>216</v>
      </c>
      <c r="I360" t="s">
        <v>236</v>
      </c>
      <c r="J360" t="s">
        <v>242</v>
      </c>
      <c r="K360" t="s">
        <v>980</v>
      </c>
      <c r="L360">
        <v>769.9</v>
      </c>
      <c r="M360">
        <v>814.36</v>
      </c>
      <c r="N360">
        <v>0</v>
      </c>
      <c r="O360">
        <v>5</v>
      </c>
    </row>
    <row r="361" spans="1:15">
      <c r="A361" t="s">
        <v>981</v>
      </c>
      <c r="B361" s="29">
        <v>45309</v>
      </c>
      <c r="C361" s="29">
        <v>45325</v>
      </c>
      <c r="D361" t="s">
        <v>177</v>
      </c>
      <c r="E361" t="s">
        <v>309</v>
      </c>
      <c r="F361" t="s">
        <v>419</v>
      </c>
      <c r="G361" t="s">
        <v>200</v>
      </c>
      <c r="H361" t="s">
        <v>216</v>
      </c>
      <c r="I361" t="s">
        <v>210</v>
      </c>
      <c r="J361" t="s">
        <v>191</v>
      </c>
      <c r="K361" t="s">
        <v>982</v>
      </c>
      <c r="L361">
        <v>666.23</v>
      </c>
      <c r="M361">
        <v>1382.91</v>
      </c>
      <c r="N361">
        <v>0.176</v>
      </c>
      <c r="O361">
        <v>13</v>
      </c>
    </row>
    <row r="362" spans="1:15">
      <c r="A362" t="s">
        <v>983</v>
      </c>
      <c r="B362" s="29">
        <v>45466</v>
      </c>
      <c r="C362" s="29">
        <v>45468</v>
      </c>
      <c r="D362" t="s">
        <v>239</v>
      </c>
      <c r="E362" t="s">
        <v>269</v>
      </c>
      <c r="F362" t="s">
        <v>270</v>
      </c>
      <c r="G362" t="s">
        <v>223</v>
      </c>
      <c r="H362" t="s">
        <v>201</v>
      </c>
      <c r="I362" t="s">
        <v>210</v>
      </c>
      <c r="J362" t="s">
        <v>242</v>
      </c>
      <c r="K362" t="s">
        <v>984</v>
      </c>
      <c r="L362">
        <v>951.44</v>
      </c>
      <c r="M362">
        <v>1646.43</v>
      </c>
      <c r="N362">
        <v>0.11</v>
      </c>
      <c r="O362">
        <v>24</v>
      </c>
    </row>
    <row r="363" spans="1:15">
      <c r="A363" t="s">
        <v>985</v>
      </c>
      <c r="B363" s="29">
        <v>45833</v>
      </c>
      <c r="C363" s="29">
        <v>45848</v>
      </c>
      <c r="D363" t="s">
        <v>239</v>
      </c>
      <c r="E363" t="s">
        <v>269</v>
      </c>
      <c r="F363" t="s">
        <v>270</v>
      </c>
      <c r="G363" t="s">
        <v>200</v>
      </c>
      <c r="H363" t="s">
        <v>201</v>
      </c>
      <c r="I363" t="s">
        <v>306</v>
      </c>
      <c r="J363" t="s">
        <v>203</v>
      </c>
      <c r="K363" t="s">
        <v>986</v>
      </c>
      <c r="L363">
        <v>546.83</v>
      </c>
      <c r="M363">
        <v>400.84</v>
      </c>
      <c r="N363">
        <v>0.078</v>
      </c>
      <c r="O363">
        <v>13</v>
      </c>
    </row>
    <row r="364" spans="1:15">
      <c r="A364" t="s">
        <v>987</v>
      </c>
      <c r="B364" s="29">
        <v>45108</v>
      </c>
      <c r="C364" s="29">
        <v>45115</v>
      </c>
      <c r="D364" t="s">
        <v>177</v>
      </c>
      <c r="E364" t="s">
        <v>186</v>
      </c>
      <c r="F364" t="s">
        <v>187</v>
      </c>
      <c r="G364" t="s">
        <v>180</v>
      </c>
      <c r="H364" t="s">
        <v>181</v>
      </c>
      <c r="I364" t="s">
        <v>236</v>
      </c>
      <c r="J364" t="s">
        <v>218</v>
      </c>
      <c r="K364" t="s">
        <v>988</v>
      </c>
      <c r="L364">
        <v>834.26</v>
      </c>
      <c r="M364">
        <v>1780.56</v>
      </c>
      <c r="N364">
        <v>0.014</v>
      </c>
      <c r="O364">
        <v>47</v>
      </c>
    </row>
    <row r="365" spans="1:15">
      <c r="A365" t="s">
        <v>989</v>
      </c>
      <c r="B365" s="29">
        <v>45360</v>
      </c>
      <c r="C365" s="29">
        <v>45377</v>
      </c>
      <c r="D365" t="s">
        <v>206</v>
      </c>
      <c r="E365" t="s">
        <v>277</v>
      </c>
      <c r="F365" t="s">
        <v>278</v>
      </c>
      <c r="G365" t="s">
        <v>266</v>
      </c>
      <c r="H365" t="s">
        <v>189</v>
      </c>
      <c r="I365" t="s">
        <v>256</v>
      </c>
      <c r="J365" t="s">
        <v>225</v>
      </c>
      <c r="K365" t="s">
        <v>990</v>
      </c>
      <c r="L365">
        <v>1029.67</v>
      </c>
      <c r="M365">
        <v>1118.43</v>
      </c>
      <c r="N365">
        <v>0.272</v>
      </c>
      <c r="O365">
        <v>9</v>
      </c>
    </row>
    <row r="366" spans="1:15">
      <c r="A366" t="s">
        <v>991</v>
      </c>
      <c r="B366" s="29">
        <v>45082</v>
      </c>
      <c r="C366" s="29">
        <v>45105</v>
      </c>
      <c r="D366" t="s">
        <v>239</v>
      </c>
      <c r="E366" t="s">
        <v>269</v>
      </c>
      <c r="F366" t="s">
        <v>270</v>
      </c>
      <c r="G366" t="s">
        <v>180</v>
      </c>
      <c r="H366" t="s">
        <v>259</v>
      </c>
      <c r="I366" t="s">
        <v>256</v>
      </c>
      <c r="J366" t="s">
        <v>191</v>
      </c>
      <c r="K366" t="s">
        <v>992</v>
      </c>
      <c r="L366">
        <v>605.82</v>
      </c>
      <c r="M366">
        <v>771.12</v>
      </c>
      <c r="N366">
        <v>0.132</v>
      </c>
      <c r="O366">
        <v>19</v>
      </c>
    </row>
    <row r="367" spans="1:15">
      <c r="A367" t="s">
        <v>993</v>
      </c>
      <c r="B367" s="29">
        <v>45737</v>
      </c>
      <c r="C367" s="29">
        <v>45756</v>
      </c>
      <c r="D367" t="s">
        <v>206</v>
      </c>
      <c r="E367" t="s">
        <v>207</v>
      </c>
      <c r="F367" t="s">
        <v>375</v>
      </c>
      <c r="G367" t="s">
        <v>223</v>
      </c>
      <c r="H367" t="s">
        <v>216</v>
      </c>
      <c r="I367" t="s">
        <v>224</v>
      </c>
      <c r="J367" t="s">
        <v>183</v>
      </c>
      <c r="K367" t="s">
        <v>994</v>
      </c>
      <c r="L367">
        <v>1055.45</v>
      </c>
      <c r="M367">
        <v>1210.04</v>
      </c>
      <c r="N367">
        <v>0.009</v>
      </c>
      <c r="O367">
        <v>18</v>
      </c>
    </row>
    <row r="368" spans="1:15">
      <c r="A368" t="s">
        <v>995</v>
      </c>
      <c r="B368" s="29">
        <v>45445</v>
      </c>
      <c r="C368" s="29">
        <v>45458</v>
      </c>
      <c r="D368" t="s">
        <v>177</v>
      </c>
      <c r="E368" t="s">
        <v>178</v>
      </c>
      <c r="F368" t="s">
        <v>274</v>
      </c>
      <c r="G368" t="s">
        <v>188</v>
      </c>
      <c r="H368" t="s">
        <v>189</v>
      </c>
      <c r="I368" t="s">
        <v>229</v>
      </c>
      <c r="J368" t="s">
        <v>203</v>
      </c>
      <c r="K368" t="s">
        <v>996</v>
      </c>
      <c r="L368">
        <v>1295.18</v>
      </c>
      <c r="M368">
        <v>3024.03</v>
      </c>
      <c r="N368">
        <v>0.192</v>
      </c>
      <c r="O368">
        <v>8</v>
      </c>
    </row>
    <row r="369" spans="1:15">
      <c r="A369" t="s">
        <v>997</v>
      </c>
      <c r="B369" s="29">
        <v>45731</v>
      </c>
      <c r="C369" s="29">
        <v>45745</v>
      </c>
      <c r="D369" t="s">
        <v>206</v>
      </c>
      <c r="E369" t="s">
        <v>221</v>
      </c>
      <c r="F369" t="s">
        <v>381</v>
      </c>
      <c r="G369" t="s">
        <v>266</v>
      </c>
      <c r="H369" t="s">
        <v>259</v>
      </c>
      <c r="I369" t="s">
        <v>182</v>
      </c>
      <c r="J369" t="s">
        <v>183</v>
      </c>
      <c r="K369" t="s">
        <v>998</v>
      </c>
      <c r="L369">
        <v>935.83</v>
      </c>
      <c r="M369">
        <v>2303.46</v>
      </c>
      <c r="N369">
        <v>0.105</v>
      </c>
      <c r="O369">
        <v>9</v>
      </c>
    </row>
    <row r="370" spans="1:15">
      <c r="A370" t="s">
        <v>999</v>
      </c>
      <c r="B370" s="29">
        <v>45194</v>
      </c>
      <c r="C370" s="29">
        <v>45208</v>
      </c>
      <c r="D370" t="s">
        <v>213</v>
      </c>
      <c r="E370" t="s">
        <v>283</v>
      </c>
      <c r="F370" t="s">
        <v>548</v>
      </c>
      <c r="G370" t="s">
        <v>223</v>
      </c>
      <c r="H370" t="s">
        <v>201</v>
      </c>
      <c r="I370" t="s">
        <v>190</v>
      </c>
      <c r="J370" t="s">
        <v>218</v>
      </c>
      <c r="K370" t="s">
        <v>1000</v>
      </c>
      <c r="L370">
        <v>1279.56</v>
      </c>
      <c r="M370">
        <v>3083.8</v>
      </c>
      <c r="N370">
        <v>0.106</v>
      </c>
      <c r="O370">
        <v>5</v>
      </c>
    </row>
    <row r="371" spans="1:15">
      <c r="A371" t="s">
        <v>1001</v>
      </c>
      <c r="B371" s="29">
        <v>45832</v>
      </c>
      <c r="C371" s="29">
        <v>45861</v>
      </c>
      <c r="D371" t="s">
        <v>213</v>
      </c>
      <c r="E371" t="s">
        <v>214</v>
      </c>
      <c r="F371" t="s">
        <v>340</v>
      </c>
      <c r="G371" t="s">
        <v>200</v>
      </c>
      <c r="H371" t="s">
        <v>201</v>
      </c>
      <c r="I371" t="s">
        <v>195</v>
      </c>
      <c r="J371" t="s">
        <v>191</v>
      </c>
      <c r="K371" t="s">
        <v>1002</v>
      </c>
      <c r="L371">
        <v>255.4</v>
      </c>
      <c r="M371">
        <v>322.71</v>
      </c>
      <c r="N371">
        <v>0.115</v>
      </c>
      <c r="O371">
        <v>16</v>
      </c>
    </row>
    <row r="372" spans="1:15">
      <c r="A372" t="s">
        <v>1003</v>
      </c>
      <c r="B372" s="29">
        <v>45286</v>
      </c>
      <c r="C372" s="29">
        <v>45294</v>
      </c>
      <c r="D372" t="s">
        <v>239</v>
      </c>
      <c r="E372" t="s">
        <v>251</v>
      </c>
      <c r="F372" t="s">
        <v>299</v>
      </c>
      <c r="G372" t="s">
        <v>223</v>
      </c>
      <c r="H372" t="s">
        <v>181</v>
      </c>
      <c r="I372" t="s">
        <v>271</v>
      </c>
      <c r="J372" t="s">
        <v>218</v>
      </c>
      <c r="K372" t="s">
        <v>1004</v>
      </c>
      <c r="L372">
        <v>492.75</v>
      </c>
      <c r="M372">
        <v>731.29</v>
      </c>
      <c r="N372">
        <v>0.058</v>
      </c>
      <c r="O372">
        <v>6</v>
      </c>
    </row>
    <row r="373" spans="1:15">
      <c r="A373" t="s">
        <v>1005</v>
      </c>
      <c r="B373" s="29">
        <v>44962</v>
      </c>
      <c r="C373" s="29">
        <v>44985</v>
      </c>
      <c r="D373" t="s">
        <v>213</v>
      </c>
      <c r="E373" t="s">
        <v>283</v>
      </c>
      <c r="F373" t="s">
        <v>487</v>
      </c>
      <c r="G373" t="s">
        <v>200</v>
      </c>
      <c r="H373" t="s">
        <v>216</v>
      </c>
      <c r="I373" t="s">
        <v>210</v>
      </c>
      <c r="J373" t="s">
        <v>203</v>
      </c>
      <c r="K373" t="s">
        <v>1006</v>
      </c>
      <c r="L373">
        <v>1214.49</v>
      </c>
      <c r="M373">
        <v>1533.95</v>
      </c>
      <c r="N373">
        <v>0</v>
      </c>
      <c r="O373">
        <v>11</v>
      </c>
    </row>
    <row r="374" spans="1:15">
      <c r="A374" t="s">
        <v>1007</v>
      </c>
      <c r="B374" s="29">
        <v>45022</v>
      </c>
      <c r="C374" s="29">
        <v>45024</v>
      </c>
      <c r="D374" t="s">
        <v>177</v>
      </c>
      <c r="E374" t="s">
        <v>186</v>
      </c>
      <c r="F374" t="s">
        <v>228</v>
      </c>
      <c r="G374" t="s">
        <v>223</v>
      </c>
      <c r="H374" t="s">
        <v>201</v>
      </c>
      <c r="I374" t="s">
        <v>256</v>
      </c>
      <c r="J374" t="s">
        <v>225</v>
      </c>
      <c r="K374" t="s">
        <v>1008</v>
      </c>
      <c r="L374">
        <v>720.35</v>
      </c>
      <c r="M374">
        <v>1571.66</v>
      </c>
      <c r="N374">
        <v>0.107</v>
      </c>
      <c r="O374">
        <v>23</v>
      </c>
    </row>
    <row r="375" spans="1:15">
      <c r="A375" t="s">
        <v>1009</v>
      </c>
      <c r="B375" s="29">
        <v>45751</v>
      </c>
      <c r="C375" s="29">
        <v>45757</v>
      </c>
      <c r="D375" t="s">
        <v>239</v>
      </c>
      <c r="E375" t="s">
        <v>269</v>
      </c>
      <c r="F375" t="s">
        <v>270</v>
      </c>
      <c r="G375" t="s">
        <v>200</v>
      </c>
      <c r="H375" t="s">
        <v>259</v>
      </c>
      <c r="I375" t="s">
        <v>287</v>
      </c>
      <c r="J375" t="s">
        <v>191</v>
      </c>
      <c r="K375" t="s">
        <v>1010</v>
      </c>
      <c r="L375">
        <v>290.14</v>
      </c>
      <c r="M375">
        <v>250.73</v>
      </c>
      <c r="N375">
        <v>0.034</v>
      </c>
      <c r="O375">
        <v>17</v>
      </c>
    </row>
    <row r="376" spans="1:15">
      <c r="A376" t="s">
        <v>1011</v>
      </c>
      <c r="B376" s="29">
        <v>45429</v>
      </c>
      <c r="C376" s="29">
        <v>45439</v>
      </c>
      <c r="D376" t="s">
        <v>213</v>
      </c>
      <c r="E376" t="s">
        <v>283</v>
      </c>
      <c r="F376" t="s">
        <v>487</v>
      </c>
      <c r="G376" t="s">
        <v>200</v>
      </c>
      <c r="H376" t="s">
        <v>189</v>
      </c>
      <c r="I376" t="s">
        <v>182</v>
      </c>
      <c r="J376" t="s">
        <v>203</v>
      </c>
      <c r="K376" t="s">
        <v>1012</v>
      </c>
      <c r="L376">
        <v>1484.23</v>
      </c>
      <c r="M376">
        <v>3472.81</v>
      </c>
      <c r="N376">
        <v>0.256</v>
      </c>
      <c r="O376">
        <v>12</v>
      </c>
    </row>
    <row r="377" spans="1:15">
      <c r="A377" t="s">
        <v>1013</v>
      </c>
      <c r="B377" s="29">
        <v>45354</v>
      </c>
      <c r="C377" s="29">
        <v>45370</v>
      </c>
      <c r="D377" t="s">
        <v>206</v>
      </c>
      <c r="E377" t="s">
        <v>277</v>
      </c>
      <c r="F377" t="s">
        <v>499</v>
      </c>
      <c r="G377" t="s">
        <v>209</v>
      </c>
      <c r="H377" t="s">
        <v>216</v>
      </c>
      <c r="I377" t="s">
        <v>202</v>
      </c>
      <c r="J377" t="s">
        <v>203</v>
      </c>
      <c r="K377" t="s">
        <v>1014</v>
      </c>
      <c r="L377">
        <v>988.83</v>
      </c>
      <c r="M377">
        <v>1206.04</v>
      </c>
      <c r="N377">
        <v>0.063</v>
      </c>
      <c r="O377">
        <v>34</v>
      </c>
    </row>
    <row r="378" spans="1:15">
      <c r="A378" t="s">
        <v>1015</v>
      </c>
      <c r="B378" s="29">
        <v>45835</v>
      </c>
      <c r="C378" s="29">
        <v>45849</v>
      </c>
      <c r="D378" t="s">
        <v>206</v>
      </c>
      <c r="E378" t="s">
        <v>277</v>
      </c>
      <c r="F378" t="s">
        <v>323</v>
      </c>
      <c r="G378" t="s">
        <v>223</v>
      </c>
      <c r="H378" t="s">
        <v>201</v>
      </c>
      <c r="I378" t="s">
        <v>210</v>
      </c>
      <c r="J378" t="s">
        <v>196</v>
      </c>
      <c r="K378" t="s">
        <v>1016</v>
      </c>
      <c r="L378">
        <v>1227.7</v>
      </c>
      <c r="M378">
        <v>2197.23</v>
      </c>
      <c r="N378">
        <v>0.099</v>
      </c>
      <c r="O378">
        <v>22</v>
      </c>
    </row>
    <row r="379" spans="1:15">
      <c r="A379" t="s">
        <v>1017</v>
      </c>
      <c r="B379" s="29">
        <v>44998</v>
      </c>
      <c r="C379" s="29">
        <v>45020</v>
      </c>
      <c r="D379" t="s">
        <v>177</v>
      </c>
      <c r="E379" t="s">
        <v>309</v>
      </c>
      <c r="F379" t="s">
        <v>333</v>
      </c>
      <c r="G379" t="s">
        <v>223</v>
      </c>
      <c r="H379" t="s">
        <v>181</v>
      </c>
      <c r="I379" t="s">
        <v>236</v>
      </c>
      <c r="J379" t="s">
        <v>183</v>
      </c>
      <c r="K379" t="s">
        <v>1018</v>
      </c>
      <c r="L379">
        <v>1113.7</v>
      </c>
      <c r="M379">
        <v>1620.6</v>
      </c>
      <c r="N379">
        <v>0.139</v>
      </c>
      <c r="O379">
        <v>11</v>
      </c>
    </row>
    <row r="380" spans="1:15">
      <c r="A380" t="s">
        <v>1019</v>
      </c>
      <c r="B380" s="29">
        <v>45664</v>
      </c>
      <c r="C380" s="29">
        <v>45677</v>
      </c>
      <c r="D380" t="s">
        <v>177</v>
      </c>
      <c r="E380" t="s">
        <v>309</v>
      </c>
      <c r="F380" t="s">
        <v>419</v>
      </c>
      <c r="G380" t="s">
        <v>180</v>
      </c>
      <c r="H380" t="s">
        <v>259</v>
      </c>
      <c r="I380" t="s">
        <v>256</v>
      </c>
      <c r="J380" t="s">
        <v>196</v>
      </c>
      <c r="K380" t="s">
        <v>1020</v>
      </c>
      <c r="L380">
        <v>432.13</v>
      </c>
      <c r="M380">
        <v>1034.66</v>
      </c>
      <c r="N380">
        <v>0.092</v>
      </c>
      <c r="O380">
        <v>7</v>
      </c>
    </row>
    <row r="381" spans="1:15">
      <c r="A381" t="s">
        <v>1021</v>
      </c>
      <c r="B381" s="29">
        <v>45694</v>
      </c>
      <c r="C381" s="29">
        <v>45703</v>
      </c>
      <c r="D381" t="s">
        <v>213</v>
      </c>
      <c r="E381" t="s">
        <v>234</v>
      </c>
      <c r="F381" t="s">
        <v>235</v>
      </c>
      <c r="G381" t="s">
        <v>200</v>
      </c>
      <c r="H381" t="s">
        <v>216</v>
      </c>
      <c r="I381" t="s">
        <v>245</v>
      </c>
      <c r="J381" t="s">
        <v>196</v>
      </c>
      <c r="K381" t="s">
        <v>1022</v>
      </c>
      <c r="L381">
        <v>837.39</v>
      </c>
      <c r="M381">
        <v>1905.42</v>
      </c>
      <c r="N381">
        <v>0.032</v>
      </c>
      <c r="O381">
        <v>18</v>
      </c>
    </row>
    <row r="382" spans="1:15">
      <c r="A382" t="s">
        <v>1023</v>
      </c>
      <c r="B382" s="29">
        <v>45688</v>
      </c>
      <c r="C382" s="29">
        <v>45705</v>
      </c>
      <c r="D382" t="s">
        <v>239</v>
      </c>
      <c r="E382" t="s">
        <v>269</v>
      </c>
      <c r="F382" t="s">
        <v>313</v>
      </c>
      <c r="G382" t="s">
        <v>266</v>
      </c>
      <c r="H382" t="s">
        <v>181</v>
      </c>
      <c r="I382" t="s">
        <v>253</v>
      </c>
      <c r="J382" t="s">
        <v>183</v>
      </c>
      <c r="K382" t="s">
        <v>415</v>
      </c>
      <c r="L382">
        <v>378.26</v>
      </c>
      <c r="M382">
        <v>541.56</v>
      </c>
      <c r="N382">
        <v>0.163</v>
      </c>
      <c r="O382">
        <v>25</v>
      </c>
    </row>
    <row r="383" spans="1:15">
      <c r="A383" t="s">
        <v>1024</v>
      </c>
      <c r="B383" s="29">
        <v>45876</v>
      </c>
      <c r="C383" s="29">
        <v>45906</v>
      </c>
      <c r="D383" t="s">
        <v>213</v>
      </c>
      <c r="E383" t="s">
        <v>214</v>
      </c>
      <c r="F383" t="s">
        <v>305</v>
      </c>
      <c r="G383" t="s">
        <v>188</v>
      </c>
      <c r="H383" t="s">
        <v>259</v>
      </c>
      <c r="I383" t="s">
        <v>271</v>
      </c>
      <c r="J383" t="s">
        <v>196</v>
      </c>
      <c r="K383" t="s">
        <v>1025</v>
      </c>
      <c r="L383">
        <v>833.73</v>
      </c>
      <c r="M383">
        <v>1116.6</v>
      </c>
      <c r="N383">
        <v>0.176</v>
      </c>
      <c r="O383">
        <v>14</v>
      </c>
    </row>
    <row r="384" spans="1:15">
      <c r="A384" t="s">
        <v>1026</v>
      </c>
      <c r="B384" s="29">
        <v>45861</v>
      </c>
      <c r="C384" s="29">
        <v>45886</v>
      </c>
      <c r="D384" t="s">
        <v>239</v>
      </c>
      <c r="E384" t="s">
        <v>269</v>
      </c>
      <c r="F384" t="s">
        <v>270</v>
      </c>
      <c r="G384" t="s">
        <v>188</v>
      </c>
      <c r="H384" t="s">
        <v>189</v>
      </c>
      <c r="I384" t="s">
        <v>195</v>
      </c>
      <c r="J384" t="s">
        <v>191</v>
      </c>
      <c r="K384" t="s">
        <v>1027</v>
      </c>
      <c r="L384">
        <v>1142.06</v>
      </c>
      <c r="M384">
        <v>1455</v>
      </c>
      <c r="N384">
        <v>0.078</v>
      </c>
      <c r="O384">
        <v>28</v>
      </c>
    </row>
    <row r="385" spans="1:15">
      <c r="A385" t="s">
        <v>1028</v>
      </c>
      <c r="B385" s="29">
        <v>45097</v>
      </c>
      <c r="C385" s="29">
        <v>45115</v>
      </c>
      <c r="D385" t="s">
        <v>213</v>
      </c>
      <c r="E385" t="s">
        <v>283</v>
      </c>
      <c r="F385" t="s">
        <v>548</v>
      </c>
      <c r="G385" t="s">
        <v>209</v>
      </c>
      <c r="H385" t="s">
        <v>201</v>
      </c>
      <c r="I385" t="s">
        <v>229</v>
      </c>
      <c r="J385" t="s">
        <v>196</v>
      </c>
      <c r="K385" t="s">
        <v>1029</v>
      </c>
      <c r="L385">
        <v>1145.53</v>
      </c>
      <c r="M385">
        <v>1278.3</v>
      </c>
      <c r="N385">
        <v>0.09</v>
      </c>
      <c r="O385">
        <v>41</v>
      </c>
    </row>
    <row r="386" spans="1:15">
      <c r="A386" t="s">
        <v>1030</v>
      </c>
      <c r="B386" s="29">
        <v>45491</v>
      </c>
      <c r="C386" s="29">
        <v>45511</v>
      </c>
      <c r="D386" t="s">
        <v>239</v>
      </c>
      <c r="E386" t="s">
        <v>251</v>
      </c>
      <c r="F386" t="s">
        <v>252</v>
      </c>
      <c r="G386" t="s">
        <v>180</v>
      </c>
      <c r="H386" t="s">
        <v>181</v>
      </c>
      <c r="I386" t="s">
        <v>245</v>
      </c>
      <c r="J386" t="s">
        <v>225</v>
      </c>
      <c r="K386" t="s">
        <v>1031</v>
      </c>
      <c r="L386">
        <v>941.35</v>
      </c>
      <c r="M386">
        <v>899.83</v>
      </c>
      <c r="N386">
        <v>0.058</v>
      </c>
      <c r="O386">
        <v>18</v>
      </c>
    </row>
    <row r="387" spans="1:15">
      <c r="A387" t="s">
        <v>1032</v>
      </c>
      <c r="B387" s="29">
        <v>45066</v>
      </c>
      <c r="C387" s="29">
        <v>45096</v>
      </c>
      <c r="D387" t="s">
        <v>206</v>
      </c>
      <c r="E387" t="s">
        <v>221</v>
      </c>
      <c r="F387" t="s">
        <v>302</v>
      </c>
      <c r="G387" t="s">
        <v>200</v>
      </c>
      <c r="H387" t="s">
        <v>201</v>
      </c>
      <c r="I387" t="s">
        <v>253</v>
      </c>
      <c r="J387" t="s">
        <v>218</v>
      </c>
      <c r="K387" t="s">
        <v>1033</v>
      </c>
      <c r="L387">
        <v>1161.2</v>
      </c>
      <c r="M387">
        <v>878.73</v>
      </c>
      <c r="N387">
        <v>0.19</v>
      </c>
      <c r="O387">
        <v>31</v>
      </c>
    </row>
    <row r="388" spans="1:15">
      <c r="A388" t="s">
        <v>1034</v>
      </c>
      <c r="B388" s="29">
        <v>45789</v>
      </c>
      <c r="C388" s="29">
        <v>45803</v>
      </c>
      <c r="D388" t="s">
        <v>206</v>
      </c>
      <c r="E388" t="s">
        <v>221</v>
      </c>
      <c r="F388" t="s">
        <v>442</v>
      </c>
      <c r="G388" t="s">
        <v>180</v>
      </c>
      <c r="H388" t="s">
        <v>201</v>
      </c>
      <c r="I388" t="s">
        <v>202</v>
      </c>
      <c r="J388" t="s">
        <v>191</v>
      </c>
      <c r="K388" t="s">
        <v>1035</v>
      </c>
      <c r="L388">
        <v>320.12</v>
      </c>
      <c r="M388">
        <v>594.42</v>
      </c>
      <c r="N388">
        <v>0.104</v>
      </c>
      <c r="O388">
        <v>18</v>
      </c>
    </row>
    <row r="389" spans="1:15">
      <c r="A389" t="s">
        <v>1036</v>
      </c>
      <c r="B389" s="29">
        <v>45419</v>
      </c>
      <c r="C389" s="29">
        <v>45424</v>
      </c>
      <c r="D389" t="s">
        <v>177</v>
      </c>
      <c r="E389" t="s">
        <v>186</v>
      </c>
      <c r="F389" t="s">
        <v>228</v>
      </c>
      <c r="G389" t="s">
        <v>200</v>
      </c>
      <c r="H389" t="s">
        <v>216</v>
      </c>
      <c r="I389" t="s">
        <v>210</v>
      </c>
      <c r="J389" t="s">
        <v>218</v>
      </c>
      <c r="K389" t="s">
        <v>1037</v>
      </c>
      <c r="L389">
        <v>1163.99</v>
      </c>
      <c r="M389">
        <v>1617.85</v>
      </c>
      <c r="N389">
        <v>0.127</v>
      </c>
      <c r="O389">
        <v>14</v>
      </c>
    </row>
    <row r="390" spans="1:15">
      <c r="A390" t="s">
        <v>1038</v>
      </c>
      <c r="B390" s="29">
        <v>45199</v>
      </c>
      <c r="C390" s="29">
        <v>45202</v>
      </c>
      <c r="D390" t="s">
        <v>206</v>
      </c>
      <c r="E390" t="s">
        <v>277</v>
      </c>
      <c r="F390" t="s">
        <v>499</v>
      </c>
      <c r="G390" t="s">
        <v>200</v>
      </c>
      <c r="H390" t="s">
        <v>181</v>
      </c>
      <c r="I390" t="s">
        <v>190</v>
      </c>
      <c r="J390" t="s">
        <v>218</v>
      </c>
      <c r="K390" t="s">
        <v>1039</v>
      </c>
      <c r="L390">
        <v>1019.36</v>
      </c>
      <c r="M390">
        <v>972.91</v>
      </c>
      <c r="N390">
        <v>0.147</v>
      </c>
      <c r="O390">
        <v>17</v>
      </c>
    </row>
    <row r="391" spans="1:15">
      <c r="A391" t="s">
        <v>1040</v>
      </c>
      <c r="B391" s="29">
        <v>45225</v>
      </c>
      <c r="C391" s="29">
        <v>45235</v>
      </c>
      <c r="D391" t="s">
        <v>177</v>
      </c>
      <c r="E391" t="s">
        <v>309</v>
      </c>
      <c r="F391" t="s">
        <v>419</v>
      </c>
      <c r="G391" t="s">
        <v>200</v>
      </c>
      <c r="H391" t="s">
        <v>189</v>
      </c>
      <c r="I391" t="s">
        <v>195</v>
      </c>
      <c r="J391" t="s">
        <v>218</v>
      </c>
      <c r="K391" t="s">
        <v>1041</v>
      </c>
      <c r="L391">
        <v>20.38</v>
      </c>
      <c r="M391">
        <v>42.56</v>
      </c>
      <c r="N391">
        <v>0.072</v>
      </c>
      <c r="O391">
        <v>11</v>
      </c>
    </row>
    <row r="392" spans="1:15">
      <c r="A392" t="s">
        <v>1042</v>
      </c>
      <c r="B392" s="29">
        <v>45823</v>
      </c>
      <c r="C392" s="29">
        <v>45838</v>
      </c>
      <c r="D392" t="s">
        <v>177</v>
      </c>
      <c r="E392" t="s">
        <v>309</v>
      </c>
      <c r="F392" t="s">
        <v>310</v>
      </c>
      <c r="G392" t="s">
        <v>223</v>
      </c>
      <c r="H392" t="s">
        <v>259</v>
      </c>
      <c r="I392" t="s">
        <v>182</v>
      </c>
      <c r="J392" t="s">
        <v>225</v>
      </c>
      <c r="K392" t="s">
        <v>1043</v>
      </c>
      <c r="L392">
        <v>1487.59</v>
      </c>
      <c r="M392">
        <v>1480.83</v>
      </c>
      <c r="N392">
        <v>0.009</v>
      </c>
      <c r="O392">
        <v>11</v>
      </c>
    </row>
    <row r="393" spans="1:15">
      <c r="A393" t="s">
        <v>1044</v>
      </c>
      <c r="B393" s="29">
        <v>45514</v>
      </c>
      <c r="C393" s="29">
        <v>45542</v>
      </c>
      <c r="D393" t="s">
        <v>239</v>
      </c>
      <c r="E393" t="s">
        <v>251</v>
      </c>
      <c r="F393" t="s">
        <v>252</v>
      </c>
      <c r="G393" t="s">
        <v>200</v>
      </c>
      <c r="H393" t="s">
        <v>259</v>
      </c>
      <c r="I393" t="s">
        <v>245</v>
      </c>
      <c r="J393" t="s">
        <v>191</v>
      </c>
      <c r="K393" t="s">
        <v>1045</v>
      </c>
      <c r="L393">
        <v>229.96</v>
      </c>
      <c r="M393">
        <v>564.26</v>
      </c>
      <c r="N393">
        <v>0.105</v>
      </c>
      <c r="O393">
        <v>5</v>
      </c>
    </row>
    <row r="394" spans="1:15">
      <c r="A394" t="s">
        <v>1046</v>
      </c>
      <c r="B394" s="29">
        <v>45208</v>
      </c>
      <c r="C394" s="29">
        <v>45225</v>
      </c>
      <c r="D394" t="s">
        <v>206</v>
      </c>
      <c r="E394" t="s">
        <v>277</v>
      </c>
      <c r="F394" t="s">
        <v>323</v>
      </c>
      <c r="G394" t="s">
        <v>209</v>
      </c>
      <c r="H394" t="s">
        <v>201</v>
      </c>
      <c r="I394" t="s">
        <v>182</v>
      </c>
      <c r="J394" t="s">
        <v>183</v>
      </c>
      <c r="K394" t="s">
        <v>1047</v>
      </c>
      <c r="L394">
        <v>1132.03</v>
      </c>
      <c r="M394">
        <v>2137.21</v>
      </c>
      <c r="N394">
        <v>0.357</v>
      </c>
      <c r="O394">
        <v>35</v>
      </c>
    </row>
    <row r="395" spans="1:15">
      <c r="A395" t="s">
        <v>1048</v>
      </c>
      <c r="B395" s="29">
        <v>45360</v>
      </c>
      <c r="C395" s="29">
        <v>45377</v>
      </c>
      <c r="D395" t="s">
        <v>213</v>
      </c>
      <c r="E395" t="s">
        <v>283</v>
      </c>
      <c r="F395" t="s">
        <v>328</v>
      </c>
      <c r="G395" t="s">
        <v>188</v>
      </c>
      <c r="H395" t="s">
        <v>259</v>
      </c>
      <c r="I395" t="s">
        <v>195</v>
      </c>
      <c r="J395" t="s">
        <v>203</v>
      </c>
      <c r="K395" t="s">
        <v>1049</v>
      </c>
      <c r="L395">
        <v>1137.41</v>
      </c>
      <c r="M395">
        <v>1680.93</v>
      </c>
      <c r="N395">
        <v>0.254</v>
      </c>
      <c r="O395">
        <v>9</v>
      </c>
    </row>
    <row r="396" spans="1:15">
      <c r="A396" t="s">
        <v>1050</v>
      </c>
      <c r="B396" s="29">
        <v>45075</v>
      </c>
      <c r="C396" s="29">
        <v>45097</v>
      </c>
      <c r="D396" t="s">
        <v>239</v>
      </c>
      <c r="E396" t="s">
        <v>269</v>
      </c>
      <c r="F396" t="s">
        <v>313</v>
      </c>
      <c r="G396" t="s">
        <v>223</v>
      </c>
      <c r="H396" t="s">
        <v>259</v>
      </c>
      <c r="I396" t="s">
        <v>256</v>
      </c>
      <c r="J396" t="s">
        <v>183</v>
      </c>
      <c r="K396" t="s">
        <v>1051</v>
      </c>
      <c r="L396">
        <v>1295.39</v>
      </c>
      <c r="M396">
        <v>2905.06</v>
      </c>
      <c r="N396">
        <v>0.148</v>
      </c>
      <c r="O396">
        <v>8</v>
      </c>
    </row>
    <row r="397" spans="1:15">
      <c r="A397" t="s">
        <v>1052</v>
      </c>
      <c r="B397" s="29">
        <v>45804</v>
      </c>
      <c r="C397" s="29">
        <v>45816</v>
      </c>
      <c r="D397" t="s">
        <v>206</v>
      </c>
      <c r="E397" t="s">
        <v>207</v>
      </c>
      <c r="F397" t="s">
        <v>208</v>
      </c>
      <c r="G397" t="s">
        <v>180</v>
      </c>
      <c r="H397" t="s">
        <v>181</v>
      </c>
      <c r="I397" t="s">
        <v>253</v>
      </c>
      <c r="J397" t="s">
        <v>242</v>
      </c>
      <c r="K397" t="s">
        <v>1053</v>
      </c>
      <c r="L397">
        <v>653.6</v>
      </c>
      <c r="M397">
        <v>842.09</v>
      </c>
      <c r="N397">
        <v>0.098</v>
      </c>
      <c r="O397">
        <v>19</v>
      </c>
    </row>
    <row r="398" spans="1:15">
      <c r="A398" t="s">
        <v>1054</v>
      </c>
      <c r="B398" s="29">
        <v>45890</v>
      </c>
      <c r="C398" s="29">
        <v>45914</v>
      </c>
      <c r="D398" t="s">
        <v>239</v>
      </c>
      <c r="E398" t="s">
        <v>240</v>
      </c>
      <c r="F398" t="s">
        <v>241</v>
      </c>
      <c r="G398" t="s">
        <v>200</v>
      </c>
      <c r="H398" t="s">
        <v>189</v>
      </c>
      <c r="I398" t="s">
        <v>236</v>
      </c>
      <c r="J398" t="s">
        <v>225</v>
      </c>
      <c r="K398" t="s">
        <v>1055</v>
      </c>
      <c r="L398">
        <v>1397.67</v>
      </c>
      <c r="M398">
        <v>3131.37</v>
      </c>
      <c r="N398">
        <v>0.103</v>
      </c>
      <c r="O398">
        <v>20</v>
      </c>
    </row>
    <row r="399" spans="1:15">
      <c r="A399" t="s">
        <v>1056</v>
      </c>
      <c r="B399" s="29">
        <v>45638</v>
      </c>
      <c r="C399" s="29">
        <v>45646</v>
      </c>
      <c r="D399" t="s">
        <v>206</v>
      </c>
      <c r="E399" t="s">
        <v>207</v>
      </c>
      <c r="F399" t="s">
        <v>375</v>
      </c>
      <c r="G399" t="s">
        <v>180</v>
      </c>
      <c r="H399" t="s">
        <v>181</v>
      </c>
      <c r="I399" t="s">
        <v>217</v>
      </c>
      <c r="J399" t="s">
        <v>218</v>
      </c>
      <c r="K399" t="s">
        <v>1057</v>
      </c>
      <c r="L399">
        <v>1202.47</v>
      </c>
      <c r="M399">
        <v>1444.72</v>
      </c>
      <c r="N399">
        <v>0.241</v>
      </c>
      <c r="O399">
        <v>17</v>
      </c>
    </row>
    <row r="400" spans="1:15">
      <c r="A400" t="s">
        <v>1058</v>
      </c>
      <c r="B400" s="29">
        <v>45914</v>
      </c>
      <c r="C400" s="29">
        <v>45923</v>
      </c>
      <c r="D400" t="s">
        <v>177</v>
      </c>
      <c r="E400" t="s">
        <v>309</v>
      </c>
      <c r="F400" t="s">
        <v>333</v>
      </c>
      <c r="G400" t="s">
        <v>200</v>
      </c>
      <c r="H400" t="s">
        <v>189</v>
      </c>
      <c r="I400" t="s">
        <v>306</v>
      </c>
      <c r="J400" t="s">
        <v>183</v>
      </c>
      <c r="K400" t="s">
        <v>1059</v>
      </c>
      <c r="L400">
        <v>1310.3</v>
      </c>
      <c r="M400">
        <v>2875.8</v>
      </c>
      <c r="N400">
        <v>0.083</v>
      </c>
      <c r="O400">
        <v>5</v>
      </c>
    </row>
    <row r="401" spans="1:15">
      <c r="A401" t="s">
        <v>1060</v>
      </c>
      <c r="B401" s="29">
        <v>45541</v>
      </c>
      <c r="C401" s="29">
        <v>45569</v>
      </c>
      <c r="D401" t="s">
        <v>177</v>
      </c>
      <c r="E401" t="s">
        <v>309</v>
      </c>
      <c r="F401" t="s">
        <v>419</v>
      </c>
      <c r="G401" t="s">
        <v>180</v>
      </c>
      <c r="H401" t="s">
        <v>201</v>
      </c>
      <c r="I401" t="s">
        <v>306</v>
      </c>
      <c r="J401" t="s">
        <v>225</v>
      </c>
      <c r="K401" t="s">
        <v>1061</v>
      </c>
      <c r="L401">
        <v>1174.17</v>
      </c>
      <c r="M401">
        <v>1641.61</v>
      </c>
      <c r="N401">
        <v>0.122</v>
      </c>
      <c r="O401">
        <v>9</v>
      </c>
    </row>
    <row r="402" spans="1:15">
      <c r="A402" t="s">
        <v>1062</v>
      </c>
      <c r="B402" s="29">
        <v>45759</v>
      </c>
      <c r="C402" s="29">
        <v>45777</v>
      </c>
      <c r="D402" t="s">
        <v>177</v>
      </c>
      <c r="E402" t="s">
        <v>178</v>
      </c>
      <c r="F402" t="s">
        <v>179</v>
      </c>
      <c r="G402" t="s">
        <v>180</v>
      </c>
      <c r="H402" t="s">
        <v>201</v>
      </c>
      <c r="I402" t="s">
        <v>245</v>
      </c>
      <c r="J402" t="s">
        <v>196</v>
      </c>
      <c r="K402" t="s">
        <v>1063</v>
      </c>
      <c r="L402">
        <v>1119.04</v>
      </c>
      <c r="M402">
        <v>1299.02</v>
      </c>
      <c r="N402">
        <v>0.025</v>
      </c>
      <c r="O402">
        <v>14</v>
      </c>
    </row>
    <row r="403" spans="1:15">
      <c r="A403" t="s">
        <v>1064</v>
      </c>
      <c r="B403" s="29">
        <v>45516</v>
      </c>
      <c r="C403" s="29">
        <v>45519</v>
      </c>
      <c r="D403" t="s">
        <v>213</v>
      </c>
      <c r="E403" t="s">
        <v>283</v>
      </c>
      <c r="F403" t="s">
        <v>284</v>
      </c>
      <c r="G403" t="s">
        <v>180</v>
      </c>
      <c r="H403" t="s">
        <v>201</v>
      </c>
      <c r="I403" t="s">
        <v>306</v>
      </c>
      <c r="J403" t="s">
        <v>191</v>
      </c>
      <c r="K403" t="s">
        <v>1065</v>
      </c>
      <c r="L403">
        <v>850.7</v>
      </c>
      <c r="M403">
        <v>1118.56</v>
      </c>
      <c r="N403">
        <v>0.18</v>
      </c>
      <c r="O403">
        <v>19</v>
      </c>
    </row>
    <row r="404" spans="1:15">
      <c r="A404" t="s">
        <v>1066</v>
      </c>
      <c r="B404" s="29">
        <v>45601</v>
      </c>
      <c r="C404" s="29">
        <v>45604</v>
      </c>
      <c r="D404" t="s">
        <v>213</v>
      </c>
      <c r="E404" t="s">
        <v>214</v>
      </c>
      <c r="F404" t="s">
        <v>215</v>
      </c>
      <c r="G404" t="s">
        <v>188</v>
      </c>
      <c r="H404" t="s">
        <v>201</v>
      </c>
      <c r="I404" t="s">
        <v>229</v>
      </c>
      <c r="J404" t="s">
        <v>183</v>
      </c>
      <c r="K404" t="s">
        <v>1067</v>
      </c>
      <c r="L404">
        <v>1020.4</v>
      </c>
      <c r="M404">
        <v>1184.71</v>
      </c>
      <c r="N404">
        <v>0.106</v>
      </c>
      <c r="O404">
        <v>16</v>
      </c>
    </row>
    <row r="405" spans="1:15">
      <c r="A405" t="s">
        <v>1068</v>
      </c>
      <c r="B405" s="29">
        <v>45497</v>
      </c>
      <c r="C405" s="29">
        <v>45512</v>
      </c>
      <c r="D405" t="s">
        <v>239</v>
      </c>
      <c r="E405" t="s">
        <v>251</v>
      </c>
      <c r="F405" t="s">
        <v>252</v>
      </c>
      <c r="G405" t="s">
        <v>266</v>
      </c>
      <c r="H405" t="s">
        <v>201</v>
      </c>
      <c r="I405" t="s">
        <v>253</v>
      </c>
      <c r="J405" t="s">
        <v>218</v>
      </c>
      <c r="K405" t="s">
        <v>1069</v>
      </c>
      <c r="L405">
        <v>501.5</v>
      </c>
      <c r="M405">
        <v>1201.47</v>
      </c>
      <c r="N405">
        <v>0.126</v>
      </c>
      <c r="O405">
        <v>5</v>
      </c>
    </row>
    <row r="406" spans="1:15">
      <c r="A406" t="s">
        <v>1070</v>
      </c>
      <c r="B406" s="29">
        <v>45677</v>
      </c>
      <c r="C406" s="29">
        <v>45691</v>
      </c>
      <c r="D406" t="s">
        <v>213</v>
      </c>
      <c r="E406" t="s">
        <v>234</v>
      </c>
      <c r="F406" t="s">
        <v>248</v>
      </c>
      <c r="G406" t="s">
        <v>266</v>
      </c>
      <c r="H406" t="s">
        <v>201</v>
      </c>
      <c r="I406" t="s">
        <v>245</v>
      </c>
      <c r="J406" t="s">
        <v>183</v>
      </c>
      <c r="K406" t="s">
        <v>1071</v>
      </c>
      <c r="L406">
        <v>974.11</v>
      </c>
      <c r="M406">
        <v>880.99</v>
      </c>
      <c r="N406">
        <v>0.111</v>
      </c>
      <c r="O406">
        <v>10</v>
      </c>
    </row>
    <row r="407" spans="1:15">
      <c r="A407" t="s">
        <v>1072</v>
      </c>
      <c r="B407" s="29">
        <v>44991</v>
      </c>
      <c r="C407" s="29">
        <v>45020</v>
      </c>
      <c r="D407" t="s">
        <v>206</v>
      </c>
      <c r="E407" t="s">
        <v>277</v>
      </c>
      <c r="F407" t="s">
        <v>499</v>
      </c>
      <c r="G407" t="s">
        <v>223</v>
      </c>
      <c r="H407" t="s">
        <v>259</v>
      </c>
      <c r="I407" t="s">
        <v>182</v>
      </c>
      <c r="J407" t="s">
        <v>225</v>
      </c>
      <c r="K407" t="s">
        <v>1073</v>
      </c>
      <c r="L407">
        <v>1126.29</v>
      </c>
      <c r="M407">
        <v>2050.87</v>
      </c>
      <c r="N407">
        <v>0.064</v>
      </c>
      <c r="O407">
        <v>7</v>
      </c>
    </row>
    <row r="408" spans="1:15">
      <c r="A408" t="s">
        <v>1074</v>
      </c>
      <c r="B408" s="29">
        <v>45646</v>
      </c>
      <c r="C408" s="29">
        <v>45671</v>
      </c>
      <c r="D408" t="s">
        <v>206</v>
      </c>
      <c r="E408" t="s">
        <v>221</v>
      </c>
      <c r="F408" t="s">
        <v>302</v>
      </c>
      <c r="G408" t="s">
        <v>223</v>
      </c>
      <c r="H408" t="s">
        <v>181</v>
      </c>
      <c r="I408" t="s">
        <v>271</v>
      </c>
      <c r="J408" t="s">
        <v>191</v>
      </c>
      <c r="K408" t="s">
        <v>1075</v>
      </c>
      <c r="L408">
        <v>1361.34</v>
      </c>
      <c r="M408">
        <v>1737.9</v>
      </c>
      <c r="N408">
        <v>0.077</v>
      </c>
      <c r="O408">
        <v>14</v>
      </c>
    </row>
    <row r="409" spans="1:15">
      <c r="A409" t="s">
        <v>1076</v>
      </c>
      <c r="B409" s="29">
        <v>45709</v>
      </c>
      <c r="C409" s="29">
        <v>45737</v>
      </c>
      <c r="D409" t="s">
        <v>177</v>
      </c>
      <c r="E409" t="s">
        <v>186</v>
      </c>
      <c r="F409" t="s">
        <v>228</v>
      </c>
      <c r="G409" t="s">
        <v>266</v>
      </c>
      <c r="H409" t="s">
        <v>201</v>
      </c>
      <c r="I409" t="s">
        <v>195</v>
      </c>
      <c r="J409" t="s">
        <v>203</v>
      </c>
      <c r="K409" t="s">
        <v>1077</v>
      </c>
      <c r="L409">
        <v>1437.39</v>
      </c>
      <c r="M409">
        <v>1388.31</v>
      </c>
      <c r="N409">
        <v>0.138</v>
      </c>
      <c r="O409">
        <v>18</v>
      </c>
    </row>
    <row r="410" spans="1:15">
      <c r="A410" t="s">
        <v>1078</v>
      </c>
      <c r="B410" s="29">
        <v>45724</v>
      </c>
      <c r="C410" s="29">
        <v>45731</v>
      </c>
      <c r="D410" t="s">
        <v>206</v>
      </c>
      <c r="E410" t="s">
        <v>221</v>
      </c>
      <c r="F410" t="s">
        <v>222</v>
      </c>
      <c r="G410" t="s">
        <v>180</v>
      </c>
      <c r="H410" t="s">
        <v>216</v>
      </c>
      <c r="I410" t="s">
        <v>256</v>
      </c>
      <c r="J410" t="s">
        <v>218</v>
      </c>
      <c r="K410" t="s">
        <v>1079</v>
      </c>
      <c r="L410">
        <v>475.66</v>
      </c>
      <c r="M410">
        <v>529.14</v>
      </c>
      <c r="N410">
        <v>0.196</v>
      </c>
      <c r="O410">
        <v>11</v>
      </c>
    </row>
    <row r="411" spans="1:15">
      <c r="A411" t="s">
        <v>1080</v>
      </c>
      <c r="B411" s="29">
        <v>45276</v>
      </c>
      <c r="C411" s="29">
        <v>45279</v>
      </c>
      <c r="D411" t="s">
        <v>206</v>
      </c>
      <c r="E411" t="s">
        <v>277</v>
      </c>
      <c r="F411" t="s">
        <v>499</v>
      </c>
      <c r="G411" t="s">
        <v>188</v>
      </c>
      <c r="H411" t="s">
        <v>181</v>
      </c>
      <c r="I411" t="s">
        <v>236</v>
      </c>
      <c r="J411" t="s">
        <v>242</v>
      </c>
      <c r="K411" t="s">
        <v>1081</v>
      </c>
      <c r="L411">
        <v>1415.05</v>
      </c>
      <c r="M411">
        <v>1972.38</v>
      </c>
      <c r="N411">
        <v>0</v>
      </c>
      <c r="O411">
        <v>12</v>
      </c>
    </row>
    <row r="412" spans="1:15">
      <c r="A412" t="s">
        <v>1082</v>
      </c>
      <c r="B412" s="29">
        <v>45534</v>
      </c>
      <c r="C412" s="29">
        <v>45540</v>
      </c>
      <c r="D412" t="s">
        <v>206</v>
      </c>
      <c r="E412" t="s">
        <v>207</v>
      </c>
      <c r="F412" t="s">
        <v>392</v>
      </c>
      <c r="G412" t="s">
        <v>188</v>
      </c>
      <c r="H412" t="s">
        <v>189</v>
      </c>
      <c r="I412" t="s">
        <v>287</v>
      </c>
      <c r="J412" t="s">
        <v>218</v>
      </c>
      <c r="K412" t="s">
        <v>1083</v>
      </c>
      <c r="L412">
        <v>466.16</v>
      </c>
      <c r="M412">
        <v>876.81</v>
      </c>
      <c r="N412">
        <v>0.241</v>
      </c>
      <c r="O412">
        <v>8</v>
      </c>
    </row>
    <row r="413" spans="1:15">
      <c r="A413" t="s">
        <v>1084</v>
      </c>
      <c r="B413" s="29">
        <v>45430</v>
      </c>
      <c r="C413" s="29">
        <v>45433</v>
      </c>
      <c r="D413" t="s">
        <v>239</v>
      </c>
      <c r="E413" t="s">
        <v>251</v>
      </c>
      <c r="F413" t="s">
        <v>252</v>
      </c>
      <c r="G413" t="s">
        <v>200</v>
      </c>
      <c r="H413" t="s">
        <v>201</v>
      </c>
      <c r="I413" t="s">
        <v>306</v>
      </c>
      <c r="J413" t="s">
        <v>191</v>
      </c>
      <c r="K413" t="s">
        <v>1085</v>
      </c>
      <c r="L413">
        <v>663.66</v>
      </c>
      <c r="M413">
        <v>824.26</v>
      </c>
      <c r="N413">
        <v>0.239</v>
      </c>
      <c r="O413">
        <v>11</v>
      </c>
    </row>
    <row r="414" spans="1:15">
      <c r="A414" t="s">
        <v>1086</v>
      </c>
      <c r="B414" s="29">
        <v>45002</v>
      </c>
      <c r="C414" s="29">
        <v>45022</v>
      </c>
      <c r="D414" t="s">
        <v>239</v>
      </c>
      <c r="E414" t="s">
        <v>240</v>
      </c>
      <c r="F414" t="s">
        <v>320</v>
      </c>
      <c r="G414" t="s">
        <v>209</v>
      </c>
      <c r="H414" t="s">
        <v>181</v>
      </c>
      <c r="I414" t="s">
        <v>229</v>
      </c>
      <c r="J414" t="s">
        <v>203</v>
      </c>
      <c r="K414" t="s">
        <v>1087</v>
      </c>
      <c r="L414">
        <v>692.18</v>
      </c>
      <c r="M414">
        <v>1159.35</v>
      </c>
      <c r="N414">
        <v>0.112</v>
      </c>
      <c r="O414">
        <v>2</v>
      </c>
    </row>
    <row r="415" spans="1:15">
      <c r="A415" t="s">
        <v>1088</v>
      </c>
      <c r="B415" s="29">
        <v>45163</v>
      </c>
      <c r="C415" s="29">
        <v>45185</v>
      </c>
      <c r="D415" t="s">
        <v>177</v>
      </c>
      <c r="E415" t="s">
        <v>186</v>
      </c>
      <c r="F415" t="s">
        <v>228</v>
      </c>
      <c r="G415" t="s">
        <v>180</v>
      </c>
      <c r="H415" t="s">
        <v>201</v>
      </c>
      <c r="I415" t="s">
        <v>210</v>
      </c>
      <c r="J415" t="s">
        <v>203</v>
      </c>
      <c r="K415" t="s">
        <v>1089</v>
      </c>
      <c r="L415">
        <v>1196.83</v>
      </c>
      <c r="M415">
        <v>2513.51</v>
      </c>
      <c r="N415">
        <v>0.083</v>
      </c>
      <c r="O415">
        <v>7</v>
      </c>
    </row>
    <row r="416" spans="1:15">
      <c r="A416" t="s">
        <v>1090</v>
      </c>
      <c r="B416" s="29">
        <v>45449</v>
      </c>
      <c r="C416" s="29">
        <v>45467</v>
      </c>
      <c r="D416" t="s">
        <v>206</v>
      </c>
      <c r="E416" t="s">
        <v>221</v>
      </c>
      <c r="F416" t="s">
        <v>222</v>
      </c>
      <c r="G416" t="s">
        <v>223</v>
      </c>
      <c r="H416" t="s">
        <v>259</v>
      </c>
      <c r="I416" t="s">
        <v>253</v>
      </c>
      <c r="J416" t="s">
        <v>196</v>
      </c>
      <c r="K416" t="s">
        <v>1091</v>
      </c>
      <c r="L416">
        <v>1253.25</v>
      </c>
      <c r="M416">
        <v>3087.13</v>
      </c>
      <c r="N416">
        <v>0.072</v>
      </c>
      <c r="O416">
        <v>11</v>
      </c>
    </row>
    <row r="417" spans="1:15">
      <c r="A417" t="s">
        <v>1092</v>
      </c>
      <c r="B417" s="29">
        <v>45167</v>
      </c>
      <c r="C417" s="29">
        <v>45182</v>
      </c>
      <c r="D417" t="s">
        <v>213</v>
      </c>
      <c r="E417" t="s">
        <v>214</v>
      </c>
      <c r="F417" t="s">
        <v>340</v>
      </c>
      <c r="G417" t="s">
        <v>223</v>
      </c>
      <c r="H417" t="s">
        <v>201</v>
      </c>
      <c r="I417" t="s">
        <v>229</v>
      </c>
      <c r="J417" t="s">
        <v>191</v>
      </c>
      <c r="K417" t="s">
        <v>1093</v>
      </c>
      <c r="L417">
        <v>1287.64</v>
      </c>
      <c r="M417">
        <v>2717.15</v>
      </c>
      <c r="N417">
        <v>0.032</v>
      </c>
      <c r="O417">
        <v>7</v>
      </c>
    </row>
    <row r="418" spans="1:15">
      <c r="A418" t="s">
        <v>1094</v>
      </c>
      <c r="B418" s="29">
        <v>45626</v>
      </c>
      <c r="C418" s="29">
        <v>45636</v>
      </c>
      <c r="D418" t="s">
        <v>206</v>
      </c>
      <c r="E418" t="s">
        <v>221</v>
      </c>
      <c r="F418" t="s">
        <v>442</v>
      </c>
      <c r="G418" t="s">
        <v>223</v>
      </c>
      <c r="H418" t="s">
        <v>181</v>
      </c>
      <c r="I418" t="s">
        <v>245</v>
      </c>
      <c r="J418" t="s">
        <v>242</v>
      </c>
      <c r="K418" t="s">
        <v>1095</v>
      </c>
      <c r="L418">
        <v>851.49</v>
      </c>
      <c r="M418">
        <v>901.79</v>
      </c>
      <c r="N418">
        <v>0.245</v>
      </c>
      <c r="O418">
        <v>16</v>
      </c>
    </row>
    <row r="419" spans="1:15">
      <c r="A419" t="s">
        <v>1096</v>
      </c>
      <c r="B419" s="29">
        <v>45813</v>
      </c>
      <c r="C419" s="29">
        <v>45822</v>
      </c>
      <c r="D419" t="s">
        <v>206</v>
      </c>
      <c r="E419" t="s">
        <v>221</v>
      </c>
      <c r="F419" t="s">
        <v>302</v>
      </c>
      <c r="G419" t="s">
        <v>200</v>
      </c>
      <c r="H419" t="s">
        <v>181</v>
      </c>
      <c r="I419" t="s">
        <v>236</v>
      </c>
      <c r="J419" t="s">
        <v>242</v>
      </c>
      <c r="K419" t="s">
        <v>1097</v>
      </c>
      <c r="L419">
        <v>618.69</v>
      </c>
      <c r="M419">
        <v>796.15</v>
      </c>
      <c r="N419">
        <v>0.09</v>
      </c>
      <c r="O419">
        <v>11</v>
      </c>
    </row>
    <row r="420" spans="1:15">
      <c r="A420" t="s">
        <v>1098</v>
      </c>
      <c r="B420" s="29">
        <v>45730</v>
      </c>
      <c r="C420" s="29">
        <v>45755</v>
      </c>
      <c r="D420" t="s">
        <v>206</v>
      </c>
      <c r="E420" t="s">
        <v>277</v>
      </c>
      <c r="G420" t="s">
        <v>180</v>
      </c>
      <c r="H420" t="s">
        <v>216</v>
      </c>
      <c r="I420" t="s">
        <v>306</v>
      </c>
      <c r="J420" t="s">
        <v>191</v>
      </c>
      <c r="K420" t="s">
        <v>1099</v>
      </c>
      <c r="L420">
        <v>80.59</v>
      </c>
      <c r="M420">
        <v>157.82</v>
      </c>
      <c r="N420">
        <v>0.217</v>
      </c>
      <c r="O420">
        <v>6</v>
      </c>
    </row>
    <row r="421" spans="1:15">
      <c r="A421" t="s">
        <v>1100</v>
      </c>
      <c r="B421" s="29">
        <v>45307</v>
      </c>
      <c r="C421" s="29">
        <v>45333</v>
      </c>
      <c r="D421" t="s">
        <v>239</v>
      </c>
      <c r="E421" t="s">
        <v>240</v>
      </c>
      <c r="F421" t="s">
        <v>496</v>
      </c>
      <c r="G421" t="s">
        <v>200</v>
      </c>
      <c r="H421" t="s">
        <v>216</v>
      </c>
      <c r="I421" t="s">
        <v>224</v>
      </c>
      <c r="J421" t="s">
        <v>225</v>
      </c>
      <c r="K421" t="s">
        <v>1101</v>
      </c>
      <c r="L421">
        <v>504.93</v>
      </c>
      <c r="M421">
        <v>819.06</v>
      </c>
      <c r="N421">
        <v>0.226</v>
      </c>
      <c r="O421">
        <v>15</v>
      </c>
    </row>
    <row r="422" spans="1:15">
      <c r="A422" t="s">
        <v>1102</v>
      </c>
      <c r="B422" s="29">
        <v>45211</v>
      </c>
      <c r="C422" s="29">
        <v>45228</v>
      </c>
      <c r="D422" t="s">
        <v>206</v>
      </c>
      <c r="E422" t="s">
        <v>207</v>
      </c>
      <c r="F422" t="s">
        <v>392</v>
      </c>
      <c r="G422" t="s">
        <v>200</v>
      </c>
      <c r="H422" t="s">
        <v>259</v>
      </c>
      <c r="I422" t="s">
        <v>253</v>
      </c>
      <c r="J422" t="s">
        <v>203</v>
      </c>
      <c r="K422" t="s">
        <v>1103</v>
      </c>
      <c r="L422">
        <v>1102.19</v>
      </c>
      <c r="M422">
        <v>1711.16</v>
      </c>
      <c r="N422">
        <v>0.151</v>
      </c>
      <c r="O422">
        <v>10</v>
      </c>
    </row>
    <row r="423" spans="1:15">
      <c r="A423" t="s">
        <v>1104</v>
      </c>
      <c r="B423" s="29">
        <v>45713</v>
      </c>
      <c r="C423" s="29">
        <v>45733</v>
      </c>
      <c r="D423" t="s">
        <v>213</v>
      </c>
      <c r="E423" t="s">
        <v>283</v>
      </c>
      <c r="F423" t="s">
        <v>328</v>
      </c>
      <c r="G423" t="s">
        <v>200</v>
      </c>
      <c r="H423" t="s">
        <v>201</v>
      </c>
      <c r="I423" t="s">
        <v>253</v>
      </c>
      <c r="J423" t="s">
        <v>203</v>
      </c>
      <c r="K423" t="s">
        <v>1105</v>
      </c>
      <c r="L423">
        <v>1205.26</v>
      </c>
      <c r="M423">
        <v>1696.35</v>
      </c>
      <c r="N423">
        <v>0.019</v>
      </c>
      <c r="O423">
        <v>6</v>
      </c>
    </row>
    <row r="424" spans="1:15">
      <c r="A424" t="s">
        <v>1106</v>
      </c>
      <c r="B424" s="29">
        <v>45841</v>
      </c>
      <c r="C424" s="29">
        <v>45844</v>
      </c>
      <c r="D424" t="s">
        <v>177</v>
      </c>
      <c r="E424" t="s">
        <v>186</v>
      </c>
      <c r="F424" t="s">
        <v>199</v>
      </c>
      <c r="G424" t="s">
        <v>209</v>
      </c>
      <c r="H424" t="s">
        <v>189</v>
      </c>
      <c r="J424" t="s">
        <v>218</v>
      </c>
      <c r="K424" t="s">
        <v>1107</v>
      </c>
      <c r="L424">
        <v>1313.3</v>
      </c>
      <c r="M424">
        <v>2884.34</v>
      </c>
      <c r="N424">
        <v>0.157</v>
      </c>
      <c r="O424">
        <v>42</v>
      </c>
    </row>
    <row r="425" spans="1:15">
      <c r="A425" t="s">
        <v>1108</v>
      </c>
      <c r="B425" s="29">
        <v>45915</v>
      </c>
      <c r="C425" s="29">
        <v>45925</v>
      </c>
      <c r="D425" t="s">
        <v>206</v>
      </c>
      <c r="E425" t="s">
        <v>221</v>
      </c>
      <c r="F425" t="s">
        <v>302</v>
      </c>
      <c r="G425" t="s">
        <v>209</v>
      </c>
      <c r="H425" t="s">
        <v>181</v>
      </c>
      <c r="I425" t="s">
        <v>236</v>
      </c>
      <c r="J425" t="s">
        <v>203</v>
      </c>
      <c r="K425" t="s">
        <v>1109</v>
      </c>
      <c r="L425">
        <v>1488.91</v>
      </c>
      <c r="M425">
        <v>1483.74</v>
      </c>
      <c r="N425">
        <v>0.168</v>
      </c>
      <c r="O425">
        <v>24</v>
      </c>
    </row>
    <row r="426" spans="1:15">
      <c r="A426" t="s">
        <v>1110</v>
      </c>
      <c r="B426" s="29">
        <v>45341</v>
      </c>
      <c r="C426" s="29">
        <v>45357</v>
      </c>
      <c r="D426" t="s">
        <v>206</v>
      </c>
      <c r="E426" t="s">
        <v>277</v>
      </c>
      <c r="F426" t="s">
        <v>499</v>
      </c>
      <c r="G426" t="s">
        <v>188</v>
      </c>
      <c r="H426" t="s">
        <v>201</v>
      </c>
      <c r="I426" t="s">
        <v>229</v>
      </c>
      <c r="J426" t="s">
        <v>191</v>
      </c>
      <c r="K426" t="s">
        <v>1111</v>
      </c>
      <c r="L426">
        <v>1477.84</v>
      </c>
      <c r="M426">
        <v>3197.47</v>
      </c>
      <c r="N426">
        <v>0.243</v>
      </c>
      <c r="O426">
        <v>24</v>
      </c>
    </row>
    <row r="427" spans="1:15">
      <c r="A427" t="s">
        <v>1112</v>
      </c>
      <c r="B427" s="29">
        <v>45349</v>
      </c>
      <c r="C427" s="29">
        <v>45377</v>
      </c>
      <c r="D427" t="s">
        <v>206</v>
      </c>
      <c r="E427" t="s">
        <v>221</v>
      </c>
      <c r="F427" t="s">
        <v>381</v>
      </c>
      <c r="G427" t="s">
        <v>188</v>
      </c>
      <c r="H427" t="s">
        <v>201</v>
      </c>
      <c r="I427" t="s">
        <v>202</v>
      </c>
      <c r="J427" t="s">
        <v>218</v>
      </c>
      <c r="K427" t="s">
        <v>1113</v>
      </c>
      <c r="L427">
        <v>1035.19</v>
      </c>
      <c r="M427">
        <v>2322.7</v>
      </c>
      <c r="N427">
        <v>0.173</v>
      </c>
      <c r="O427">
        <v>8</v>
      </c>
    </row>
    <row r="428" spans="1:15">
      <c r="A428" t="s">
        <v>1114</v>
      </c>
      <c r="B428" s="29">
        <v>45897</v>
      </c>
      <c r="C428" s="29">
        <v>45905</v>
      </c>
      <c r="D428" t="s">
        <v>177</v>
      </c>
      <c r="E428" t="s">
        <v>186</v>
      </c>
      <c r="F428" t="s">
        <v>187</v>
      </c>
      <c r="G428" t="s">
        <v>223</v>
      </c>
      <c r="H428" t="s">
        <v>201</v>
      </c>
      <c r="I428" t="s">
        <v>224</v>
      </c>
      <c r="J428" t="s">
        <v>218</v>
      </c>
      <c r="K428" t="s">
        <v>1115</v>
      </c>
      <c r="L428">
        <v>1271.1</v>
      </c>
      <c r="M428">
        <v>1932.42</v>
      </c>
      <c r="N428">
        <v>0.25</v>
      </c>
      <c r="O428">
        <v>21</v>
      </c>
    </row>
    <row r="429" spans="1:15">
      <c r="A429" t="s">
        <v>1116</v>
      </c>
      <c r="B429" s="29">
        <v>45522</v>
      </c>
      <c r="C429" s="29">
        <v>45547</v>
      </c>
      <c r="D429" t="s">
        <v>206</v>
      </c>
      <c r="E429" t="s">
        <v>221</v>
      </c>
      <c r="F429" t="s">
        <v>381</v>
      </c>
      <c r="G429" t="s">
        <v>209</v>
      </c>
      <c r="H429" t="s">
        <v>201</v>
      </c>
      <c r="I429" t="s">
        <v>182</v>
      </c>
      <c r="J429" t="s">
        <v>203</v>
      </c>
      <c r="K429" t="s">
        <v>1117</v>
      </c>
      <c r="L429">
        <v>1154.03</v>
      </c>
      <c r="M429">
        <v>1590.36</v>
      </c>
      <c r="N429">
        <v>0.314</v>
      </c>
      <c r="O429">
        <v>18</v>
      </c>
    </row>
    <row r="430" spans="1:15">
      <c r="A430" t="s">
        <v>1118</v>
      </c>
      <c r="B430" s="29">
        <v>45347</v>
      </c>
      <c r="C430" s="29">
        <v>45360</v>
      </c>
      <c r="D430" t="s">
        <v>239</v>
      </c>
      <c r="E430" t="s">
        <v>251</v>
      </c>
      <c r="F430" t="s">
        <v>252</v>
      </c>
      <c r="G430" t="s">
        <v>223</v>
      </c>
      <c r="H430" t="s">
        <v>216</v>
      </c>
      <c r="I430" t="s">
        <v>224</v>
      </c>
      <c r="J430" t="s">
        <v>225</v>
      </c>
      <c r="K430" t="s">
        <v>1119</v>
      </c>
      <c r="L430">
        <v>322.44</v>
      </c>
      <c r="M430">
        <v>395.61</v>
      </c>
      <c r="N430">
        <v>0</v>
      </c>
      <c r="O430">
        <v>34</v>
      </c>
    </row>
    <row r="431" spans="1:15">
      <c r="A431" t="s">
        <v>1120</v>
      </c>
      <c r="B431" s="29">
        <v>45784</v>
      </c>
      <c r="C431" s="29">
        <v>45790</v>
      </c>
      <c r="D431" t="s">
        <v>206</v>
      </c>
      <c r="E431" t="s">
        <v>221</v>
      </c>
      <c r="F431" t="s">
        <v>222</v>
      </c>
      <c r="G431" t="s">
        <v>266</v>
      </c>
      <c r="H431" t="s">
        <v>259</v>
      </c>
      <c r="I431" t="s">
        <v>190</v>
      </c>
      <c r="J431" t="s">
        <v>203</v>
      </c>
      <c r="K431" t="s">
        <v>1121</v>
      </c>
      <c r="L431">
        <v>935.98</v>
      </c>
      <c r="M431">
        <v>2077.69</v>
      </c>
      <c r="N431">
        <v>0.175</v>
      </c>
      <c r="O431">
        <v>24</v>
      </c>
    </row>
    <row r="432" spans="1:15">
      <c r="A432" t="s">
        <v>1122</v>
      </c>
      <c r="B432" s="29">
        <v>45597</v>
      </c>
      <c r="C432" s="29">
        <v>45608</v>
      </c>
      <c r="D432" t="s">
        <v>239</v>
      </c>
      <c r="E432" t="s">
        <v>240</v>
      </c>
      <c r="F432" t="s">
        <v>496</v>
      </c>
      <c r="G432" t="s">
        <v>209</v>
      </c>
      <c r="H432" t="s">
        <v>189</v>
      </c>
      <c r="I432" t="s">
        <v>217</v>
      </c>
      <c r="J432" t="s">
        <v>191</v>
      </c>
      <c r="K432" t="s">
        <v>1123</v>
      </c>
      <c r="L432">
        <v>599.84</v>
      </c>
      <c r="M432">
        <v>1330.85</v>
      </c>
      <c r="N432">
        <v>0.115</v>
      </c>
      <c r="O432">
        <v>11</v>
      </c>
    </row>
    <row r="433" spans="1:15">
      <c r="A433" t="s">
        <v>1124</v>
      </c>
      <c r="B433" s="29">
        <v>45654</v>
      </c>
      <c r="C433" s="29">
        <v>45665</v>
      </c>
      <c r="D433" t="s">
        <v>206</v>
      </c>
      <c r="E433" t="s">
        <v>277</v>
      </c>
      <c r="F433" t="s">
        <v>278</v>
      </c>
      <c r="G433" t="s">
        <v>266</v>
      </c>
      <c r="H433" t="s">
        <v>189</v>
      </c>
      <c r="I433" t="s">
        <v>256</v>
      </c>
      <c r="J433" t="s">
        <v>218</v>
      </c>
      <c r="K433" t="s">
        <v>1125</v>
      </c>
      <c r="L433">
        <v>1201.31</v>
      </c>
      <c r="M433">
        <v>2764.65</v>
      </c>
      <c r="N433">
        <v>0</v>
      </c>
      <c r="O433">
        <v>21</v>
      </c>
    </row>
    <row r="434" spans="1:15">
      <c r="A434" t="s">
        <v>1126</v>
      </c>
      <c r="B434" s="29">
        <v>45220</v>
      </c>
      <c r="C434" s="29">
        <v>45220</v>
      </c>
      <c r="D434" t="s">
        <v>239</v>
      </c>
      <c r="E434" t="s">
        <v>269</v>
      </c>
      <c r="F434" t="s">
        <v>389</v>
      </c>
      <c r="G434" t="s">
        <v>266</v>
      </c>
      <c r="H434" t="s">
        <v>216</v>
      </c>
      <c r="I434" t="s">
        <v>190</v>
      </c>
      <c r="J434" t="s">
        <v>225</v>
      </c>
      <c r="K434" t="s">
        <v>1127</v>
      </c>
      <c r="L434">
        <v>384.19</v>
      </c>
      <c r="M434">
        <v>278.35</v>
      </c>
      <c r="N434">
        <v>0.056</v>
      </c>
      <c r="O434">
        <v>10</v>
      </c>
    </row>
    <row r="435" spans="1:15">
      <c r="A435" t="s">
        <v>1128</v>
      </c>
      <c r="B435" s="29">
        <v>45636</v>
      </c>
      <c r="C435" s="29">
        <v>45645</v>
      </c>
      <c r="D435" t="s">
        <v>177</v>
      </c>
      <c r="E435" t="s">
        <v>186</v>
      </c>
      <c r="F435" t="s">
        <v>199</v>
      </c>
      <c r="G435" t="s">
        <v>180</v>
      </c>
      <c r="H435" t="s">
        <v>181</v>
      </c>
      <c r="I435" t="s">
        <v>229</v>
      </c>
      <c r="J435" t="s">
        <v>225</v>
      </c>
      <c r="K435" t="s">
        <v>1129</v>
      </c>
      <c r="L435">
        <v>488.68</v>
      </c>
      <c r="M435">
        <v>984.36</v>
      </c>
      <c r="N435">
        <v>0.059</v>
      </c>
      <c r="O435">
        <v>14</v>
      </c>
    </row>
    <row r="436" spans="1:15">
      <c r="A436" t="s">
        <v>1130</v>
      </c>
      <c r="B436" s="29">
        <v>45542</v>
      </c>
      <c r="C436" s="29">
        <v>45553</v>
      </c>
      <c r="D436" t="s">
        <v>206</v>
      </c>
      <c r="E436" t="s">
        <v>277</v>
      </c>
      <c r="F436" t="s">
        <v>499</v>
      </c>
      <c r="G436" t="s">
        <v>209</v>
      </c>
      <c r="H436" t="s">
        <v>216</v>
      </c>
      <c r="I436" t="s">
        <v>229</v>
      </c>
      <c r="J436" t="s">
        <v>196</v>
      </c>
      <c r="K436" t="s">
        <v>1131</v>
      </c>
      <c r="L436">
        <v>181.74</v>
      </c>
      <c r="M436">
        <v>190.84</v>
      </c>
      <c r="N436">
        <v>0.214</v>
      </c>
      <c r="O436">
        <v>13</v>
      </c>
    </row>
    <row r="437" spans="1:15">
      <c r="A437" t="s">
        <v>1132</v>
      </c>
      <c r="B437" s="29">
        <v>45217</v>
      </c>
      <c r="C437" s="29">
        <v>45219</v>
      </c>
      <c r="D437" t="s">
        <v>177</v>
      </c>
      <c r="E437" t="s">
        <v>178</v>
      </c>
      <c r="F437" t="s">
        <v>179</v>
      </c>
      <c r="G437" t="s">
        <v>209</v>
      </c>
      <c r="H437" t="s">
        <v>181</v>
      </c>
      <c r="I437" t="s">
        <v>190</v>
      </c>
      <c r="J437" t="s">
        <v>203</v>
      </c>
      <c r="K437" t="s">
        <v>1133</v>
      </c>
      <c r="L437">
        <v>774.12</v>
      </c>
      <c r="M437">
        <v>908.3</v>
      </c>
      <c r="N437">
        <v>0</v>
      </c>
      <c r="O437">
        <v>30</v>
      </c>
    </row>
    <row r="438" spans="1:15">
      <c r="A438" t="s">
        <v>1134</v>
      </c>
      <c r="B438" s="29">
        <v>45650</v>
      </c>
      <c r="C438" s="29">
        <v>45670</v>
      </c>
      <c r="D438" t="s">
        <v>206</v>
      </c>
      <c r="E438" t="s">
        <v>221</v>
      </c>
      <c r="F438" t="s">
        <v>222</v>
      </c>
      <c r="G438" t="s">
        <v>180</v>
      </c>
      <c r="H438" t="s">
        <v>201</v>
      </c>
      <c r="I438" t="s">
        <v>306</v>
      </c>
      <c r="J438" t="s">
        <v>196</v>
      </c>
      <c r="K438" t="s">
        <v>1135</v>
      </c>
      <c r="L438">
        <v>126.15</v>
      </c>
      <c r="M438">
        <v>284.23</v>
      </c>
      <c r="N438">
        <v>0.113</v>
      </c>
      <c r="O438">
        <v>22</v>
      </c>
    </row>
    <row r="439" spans="1:15">
      <c r="A439" t="s">
        <v>1136</v>
      </c>
      <c r="B439" s="29">
        <v>45037</v>
      </c>
      <c r="C439" s="29">
        <v>45035</v>
      </c>
      <c r="D439" t="s">
        <v>206</v>
      </c>
      <c r="E439" t="s">
        <v>207</v>
      </c>
      <c r="F439" t="s">
        <v>392</v>
      </c>
      <c r="G439" t="s">
        <v>223</v>
      </c>
      <c r="H439" t="s">
        <v>259</v>
      </c>
      <c r="I439" t="s">
        <v>271</v>
      </c>
      <c r="J439" t="s">
        <v>183</v>
      </c>
      <c r="K439" t="s">
        <v>1137</v>
      </c>
      <c r="L439">
        <v>607.04</v>
      </c>
      <c r="M439">
        <v>1229.34</v>
      </c>
      <c r="N439">
        <v>0.147</v>
      </c>
      <c r="O439">
        <v>7</v>
      </c>
    </row>
    <row r="440" spans="1:15">
      <c r="A440" t="s">
        <v>1138</v>
      </c>
      <c r="B440" s="29">
        <v>45290</v>
      </c>
      <c r="C440" s="29">
        <v>45299</v>
      </c>
      <c r="D440" t="s">
        <v>239</v>
      </c>
      <c r="E440" t="s">
        <v>251</v>
      </c>
      <c r="F440" t="s">
        <v>252</v>
      </c>
      <c r="G440" t="s">
        <v>209</v>
      </c>
      <c r="H440" t="s">
        <v>201</v>
      </c>
      <c r="I440" t="s">
        <v>210</v>
      </c>
      <c r="J440" t="s">
        <v>242</v>
      </c>
      <c r="K440" t="s">
        <v>1139</v>
      </c>
      <c r="L440">
        <v>861.1</v>
      </c>
      <c r="M440">
        <v>1224.72</v>
      </c>
      <c r="N440">
        <v>0.174</v>
      </c>
      <c r="O440">
        <v>24</v>
      </c>
    </row>
    <row r="441" spans="1:15">
      <c r="A441" t="s">
        <v>1140</v>
      </c>
      <c r="B441" s="29">
        <v>44978</v>
      </c>
      <c r="C441" s="29">
        <v>44997</v>
      </c>
      <c r="D441" t="s">
        <v>177</v>
      </c>
      <c r="E441" t="s">
        <v>178</v>
      </c>
      <c r="F441" t="s">
        <v>296</v>
      </c>
      <c r="G441" t="s">
        <v>180</v>
      </c>
      <c r="H441" t="s">
        <v>189</v>
      </c>
      <c r="I441" t="s">
        <v>245</v>
      </c>
      <c r="J441" t="s">
        <v>196</v>
      </c>
      <c r="K441" t="s">
        <v>1141</v>
      </c>
      <c r="L441">
        <v>352.65</v>
      </c>
      <c r="M441">
        <v>485.86</v>
      </c>
      <c r="N441">
        <v>0.041</v>
      </c>
      <c r="O441">
        <v>6</v>
      </c>
    </row>
    <row r="442" spans="1:15">
      <c r="A442" t="s">
        <v>1142</v>
      </c>
      <c r="B442" s="29">
        <v>45063</v>
      </c>
      <c r="C442" s="29">
        <v>45080</v>
      </c>
      <c r="D442" t="s">
        <v>206</v>
      </c>
      <c r="E442" t="s">
        <v>277</v>
      </c>
      <c r="F442" t="s">
        <v>499</v>
      </c>
      <c r="G442" t="s">
        <v>200</v>
      </c>
      <c r="H442" t="s">
        <v>216</v>
      </c>
      <c r="I442" t="s">
        <v>271</v>
      </c>
      <c r="J442" t="s">
        <v>191</v>
      </c>
      <c r="K442" t="s">
        <v>1143</v>
      </c>
      <c r="L442">
        <v>979.59</v>
      </c>
      <c r="M442">
        <v>2210.94</v>
      </c>
      <c r="N442">
        <v>0.15</v>
      </c>
      <c r="O442">
        <v>11</v>
      </c>
    </row>
    <row r="443" spans="1:15">
      <c r="A443" t="s">
        <v>1144</v>
      </c>
      <c r="B443" s="29">
        <v>45374</v>
      </c>
      <c r="C443" s="29">
        <v>45377</v>
      </c>
      <c r="D443" t="s">
        <v>206</v>
      </c>
      <c r="E443" t="s">
        <v>221</v>
      </c>
      <c r="F443" t="s">
        <v>222</v>
      </c>
      <c r="G443" t="s">
        <v>188</v>
      </c>
      <c r="H443" t="s">
        <v>259</v>
      </c>
      <c r="I443" t="s">
        <v>202</v>
      </c>
      <c r="J443" t="s">
        <v>203</v>
      </c>
      <c r="K443" t="s">
        <v>1145</v>
      </c>
      <c r="L443">
        <v>382.21</v>
      </c>
      <c r="M443">
        <v>571.89</v>
      </c>
      <c r="N443">
        <v>0.148</v>
      </c>
      <c r="O443">
        <v>26</v>
      </c>
    </row>
    <row r="444" spans="1:15">
      <c r="A444" t="s">
        <v>1146</v>
      </c>
      <c r="B444" s="29">
        <v>45189</v>
      </c>
      <c r="C444" s="29">
        <v>45197</v>
      </c>
      <c r="D444" t="s">
        <v>206</v>
      </c>
      <c r="E444" t="s">
        <v>221</v>
      </c>
      <c r="G444" t="s">
        <v>180</v>
      </c>
      <c r="I444" t="s">
        <v>217</v>
      </c>
      <c r="J444" t="s">
        <v>242</v>
      </c>
      <c r="K444" t="s">
        <v>1147</v>
      </c>
      <c r="L444">
        <v>1362.06</v>
      </c>
      <c r="M444">
        <v>3398.37</v>
      </c>
      <c r="N444">
        <v>0.157</v>
      </c>
      <c r="O444">
        <v>11</v>
      </c>
    </row>
    <row r="445" spans="1:15">
      <c r="A445" t="s">
        <v>1148</v>
      </c>
      <c r="B445" s="29">
        <v>45526</v>
      </c>
      <c r="C445" s="29">
        <v>45539</v>
      </c>
      <c r="D445" t="s">
        <v>239</v>
      </c>
      <c r="E445" t="s">
        <v>240</v>
      </c>
      <c r="F445" t="s">
        <v>496</v>
      </c>
      <c r="G445" t="s">
        <v>200</v>
      </c>
      <c r="H445" t="s">
        <v>181</v>
      </c>
      <c r="I445" t="s">
        <v>210</v>
      </c>
      <c r="J445" t="s">
        <v>191</v>
      </c>
      <c r="K445" t="s">
        <v>1149</v>
      </c>
      <c r="L445">
        <v>90.04</v>
      </c>
      <c r="M445">
        <v>194.62</v>
      </c>
      <c r="N445">
        <v>0.043</v>
      </c>
      <c r="O445">
        <v>32</v>
      </c>
    </row>
    <row r="446" spans="1:15">
      <c r="A446" t="s">
        <v>1150</v>
      </c>
      <c r="B446" s="29">
        <v>45560</v>
      </c>
      <c r="C446" s="29">
        <v>45568</v>
      </c>
      <c r="D446" t="s">
        <v>213</v>
      </c>
      <c r="E446" t="s">
        <v>214</v>
      </c>
      <c r="F446" t="s">
        <v>215</v>
      </c>
      <c r="G446" t="s">
        <v>209</v>
      </c>
      <c r="H446" t="s">
        <v>189</v>
      </c>
      <c r="I446" t="s">
        <v>224</v>
      </c>
      <c r="J446" t="s">
        <v>191</v>
      </c>
      <c r="K446" t="s">
        <v>1151</v>
      </c>
      <c r="L446">
        <v>558.19</v>
      </c>
      <c r="M446">
        <v>1031.64</v>
      </c>
      <c r="N446">
        <v>0</v>
      </c>
      <c r="O446">
        <v>21</v>
      </c>
    </row>
    <row r="447" spans="1:15">
      <c r="A447" t="s">
        <v>1152</v>
      </c>
      <c r="B447" s="29">
        <v>45090</v>
      </c>
      <c r="C447" s="29">
        <v>45101</v>
      </c>
      <c r="D447" t="s">
        <v>213</v>
      </c>
      <c r="E447" t="s">
        <v>214</v>
      </c>
      <c r="F447" t="s">
        <v>215</v>
      </c>
      <c r="G447" t="s">
        <v>180</v>
      </c>
      <c r="H447" t="s">
        <v>189</v>
      </c>
      <c r="I447" t="s">
        <v>182</v>
      </c>
      <c r="J447" t="s">
        <v>191</v>
      </c>
      <c r="K447" t="s">
        <v>1153</v>
      </c>
      <c r="L447">
        <v>247.07</v>
      </c>
      <c r="M447">
        <v>495.19</v>
      </c>
      <c r="N447">
        <v>0.028</v>
      </c>
      <c r="O447">
        <v>4</v>
      </c>
    </row>
    <row r="448" spans="1:15">
      <c r="A448" t="s">
        <v>1154</v>
      </c>
      <c r="B448" s="29">
        <v>45284</v>
      </c>
      <c r="C448" s="29">
        <v>45304</v>
      </c>
      <c r="D448" t="s">
        <v>206</v>
      </c>
      <c r="E448" t="s">
        <v>207</v>
      </c>
      <c r="F448" t="s">
        <v>392</v>
      </c>
      <c r="G448" t="s">
        <v>188</v>
      </c>
      <c r="H448" t="s">
        <v>259</v>
      </c>
      <c r="I448" t="s">
        <v>217</v>
      </c>
      <c r="J448" t="s">
        <v>218</v>
      </c>
      <c r="K448" t="s">
        <v>1155</v>
      </c>
      <c r="L448">
        <v>625.37</v>
      </c>
      <c r="M448">
        <v>1319.04</v>
      </c>
      <c r="N448">
        <v>0.074</v>
      </c>
      <c r="O448">
        <v>8</v>
      </c>
    </row>
    <row r="449" spans="1:15">
      <c r="A449" t="s">
        <v>1156</v>
      </c>
      <c r="B449" s="29">
        <v>45746</v>
      </c>
      <c r="C449" s="29">
        <v>45776</v>
      </c>
      <c r="D449" t="s">
        <v>177</v>
      </c>
      <c r="E449" t="s">
        <v>309</v>
      </c>
      <c r="F449" t="s">
        <v>333</v>
      </c>
      <c r="G449" t="s">
        <v>209</v>
      </c>
      <c r="H449" t="s">
        <v>201</v>
      </c>
      <c r="I449" t="s">
        <v>190</v>
      </c>
      <c r="J449" t="s">
        <v>225</v>
      </c>
      <c r="K449" t="s">
        <v>1157</v>
      </c>
      <c r="L449">
        <v>194.6</v>
      </c>
      <c r="M449">
        <v>314.87</v>
      </c>
      <c r="N449">
        <v>0.293</v>
      </c>
      <c r="O449">
        <v>25</v>
      </c>
    </row>
    <row r="450" spans="1:15">
      <c r="A450" t="s">
        <v>1158</v>
      </c>
      <c r="B450" s="29">
        <v>45446</v>
      </c>
      <c r="C450" s="29">
        <v>45467</v>
      </c>
      <c r="D450" t="s">
        <v>213</v>
      </c>
      <c r="E450" t="s">
        <v>214</v>
      </c>
      <c r="F450" t="s">
        <v>215</v>
      </c>
      <c r="G450" t="s">
        <v>223</v>
      </c>
      <c r="H450" t="s">
        <v>259</v>
      </c>
      <c r="I450" t="s">
        <v>202</v>
      </c>
      <c r="J450" t="s">
        <v>225</v>
      </c>
      <c r="K450" t="s">
        <v>1159</v>
      </c>
      <c r="L450">
        <v>1205.5</v>
      </c>
      <c r="M450">
        <v>2210.17</v>
      </c>
      <c r="N450">
        <v>0.104</v>
      </c>
      <c r="O450">
        <v>23</v>
      </c>
    </row>
    <row r="451" spans="1:15">
      <c r="A451" t="s">
        <v>1160</v>
      </c>
      <c r="B451" s="29">
        <v>45454</v>
      </c>
      <c r="C451" s="29">
        <v>45482</v>
      </c>
      <c r="D451" t="s">
        <v>177</v>
      </c>
      <c r="E451" t="s">
        <v>186</v>
      </c>
      <c r="F451" t="s">
        <v>187</v>
      </c>
      <c r="G451" t="s">
        <v>180</v>
      </c>
      <c r="H451" t="s">
        <v>201</v>
      </c>
      <c r="I451" t="s">
        <v>195</v>
      </c>
      <c r="J451" t="s">
        <v>203</v>
      </c>
      <c r="K451" t="s">
        <v>1161</v>
      </c>
      <c r="L451">
        <v>895.54</v>
      </c>
      <c r="M451">
        <v>1045</v>
      </c>
      <c r="N451">
        <v>0.216</v>
      </c>
      <c r="O451">
        <v>15</v>
      </c>
    </row>
    <row r="452" spans="1:15">
      <c r="A452" t="s">
        <v>1162</v>
      </c>
      <c r="B452" s="29">
        <v>45129</v>
      </c>
      <c r="C452" s="29">
        <v>45128</v>
      </c>
      <c r="D452" t="s">
        <v>206</v>
      </c>
      <c r="E452" t="s">
        <v>221</v>
      </c>
      <c r="F452" t="s">
        <v>302</v>
      </c>
      <c r="G452" t="s">
        <v>223</v>
      </c>
      <c r="H452" t="s">
        <v>216</v>
      </c>
      <c r="I452" t="s">
        <v>224</v>
      </c>
      <c r="J452" t="s">
        <v>191</v>
      </c>
      <c r="K452" t="s">
        <v>1163</v>
      </c>
      <c r="L452">
        <v>946.99</v>
      </c>
      <c r="M452">
        <v>2132.19</v>
      </c>
      <c r="N452">
        <v>0.165</v>
      </c>
      <c r="O452">
        <v>7</v>
      </c>
    </row>
    <row r="453" spans="1:15">
      <c r="A453" t="s">
        <v>1164</v>
      </c>
      <c r="B453" s="29">
        <v>44945</v>
      </c>
      <c r="C453" s="29">
        <v>44960</v>
      </c>
      <c r="D453" t="s">
        <v>239</v>
      </c>
      <c r="E453" t="s">
        <v>269</v>
      </c>
      <c r="F453" t="s">
        <v>313</v>
      </c>
      <c r="G453" t="s">
        <v>266</v>
      </c>
      <c r="H453" t="s">
        <v>216</v>
      </c>
      <c r="I453" t="s">
        <v>202</v>
      </c>
      <c r="J453" t="s">
        <v>242</v>
      </c>
      <c r="K453" t="s">
        <v>1165</v>
      </c>
      <c r="L453">
        <v>873.06</v>
      </c>
      <c r="M453">
        <v>2101.55</v>
      </c>
      <c r="N453">
        <v>0.066</v>
      </c>
      <c r="O453">
        <v>10</v>
      </c>
    </row>
    <row r="454" spans="1:15">
      <c r="A454" t="s">
        <v>1166</v>
      </c>
      <c r="B454" s="29">
        <v>45413</v>
      </c>
      <c r="C454" s="29">
        <v>45428</v>
      </c>
      <c r="D454" t="s">
        <v>206</v>
      </c>
      <c r="E454" t="s">
        <v>221</v>
      </c>
      <c r="F454" t="s">
        <v>222</v>
      </c>
      <c r="G454" t="s">
        <v>223</v>
      </c>
      <c r="H454" t="s">
        <v>181</v>
      </c>
      <c r="I454" t="s">
        <v>210</v>
      </c>
      <c r="J454" t="s">
        <v>183</v>
      </c>
      <c r="K454" t="s">
        <v>1167</v>
      </c>
      <c r="L454">
        <v>901.19</v>
      </c>
      <c r="M454">
        <v>2125.44</v>
      </c>
      <c r="N454">
        <v>0.071</v>
      </c>
      <c r="O454">
        <v>12</v>
      </c>
    </row>
    <row r="455" spans="1:15">
      <c r="A455" t="s">
        <v>1168</v>
      </c>
      <c r="B455" s="29">
        <v>45817</v>
      </c>
      <c r="C455" s="29">
        <v>45832</v>
      </c>
      <c r="D455" t="s">
        <v>206</v>
      </c>
      <c r="E455" t="s">
        <v>207</v>
      </c>
      <c r="F455" t="s">
        <v>392</v>
      </c>
      <c r="G455" t="s">
        <v>180</v>
      </c>
      <c r="H455" t="s">
        <v>259</v>
      </c>
      <c r="I455" t="s">
        <v>217</v>
      </c>
      <c r="J455" t="s">
        <v>203</v>
      </c>
      <c r="K455" t="s">
        <v>1169</v>
      </c>
      <c r="L455">
        <v>400.39</v>
      </c>
      <c r="M455">
        <v>712.75</v>
      </c>
      <c r="N455">
        <v>0.115</v>
      </c>
      <c r="O455">
        <v>19</v>
      </c>
    </row>
    <row r="456" spans="1:15">
      <c r="A456" t="s">
        <v>1170</v>
      </c>
      <c r="B456" s="29">
        <v>45070</v>
      </c>
      <c r="C456" s="29">
        <v>45098</v>
      </c>
      <c r="D456" t="s">
        <v>213</v>
      </c>
      <c r="E456" t="s">
        <v>283</v>
      </c>
      <c r="F456" t="s">
        <v>487</v>
      </c>
      <c r="G456" t="s">
        <v>223</v>
      </c>
      <c r="H456" t="s">
        <v>201</v>
      </c>
      <c r="I456" t="s">
        <v>202</v>
      </c>
      <c r="J456" t="s">
        <v>225</v>
      </c>
      <c r="K456" t="s">
        <v>1171</v>
      </c>
      <c r="L456">
        <v>813.97</v>
      </c>
      <c r="M456">
        <v>1568.83</v>
      </c>
      <c r="N456">
        <v>0.017</v>
      </c>
      <c r="O456">
        <v>15</v>
      </c>
    </row>
    <row r="457" spans="1:15">
      <c r="A457" t="s">
        <v>1172</v>
      </c>
      <c r="B457" s="29">
        <v>45653</v>
      </c>
      <c r="C457" s="29">
        <v>45655</v>
      </c>
      <c r="D457" t="s">
        <v>213</v>
      </c>
      <c r="E457" t="s">
        <v>214</v>
      </c>
      <c r="F457" t="s">
        <v>340</v>
      </c>
      <c r="G457" t="s">
        <v>266</v>
      </c>
      <c r="H457" t="s">
        <v>201</v>
      </c>
      <c r="I457" t="s">
        <v>182</v>
      </c>
      <c r="J457" t="s">
        <v>242</v>
      </c>
      <c r="K457" t="s">
        <v>1173</v>
      </c>
      <c r="L457">
        <v>1146.72</v>
      </c>
      <c r="M457">
        <v>2074.34</v>
      </c>
      <c r="N457">
        <v>0.111</v>
      </c>
      <c r="O457">
        <v>8</v>
      </c>
    </row>
    <row r="458" spans="1:15">
      <c r="A458" t="s">
        <v>1174</v>
      </c>
      <c r="B458" s="29">
        <v>45265</v>
      </c>
      <c r="C458" s="29">
        <v>45272</v>
      </c>
      <c r="D458" t="s">
        <v>213</v>
      </c>
      <c r="E458" t="s">
        <v>234</v>
      </c>
      <c r="F458" t="s">
        <v>248</v>
      </c>
      <c r="G458" t="s">
        <v>180</v>
      </c>
      <c r="H458" t="s">
        <v>259</v>
      </c>
      <c r="I458" t="s">
        <v>245</v>
      </c>
      <c r="J458" t="s">
        <v>203</v>
      </c>
      <c r="K458" t="s">
        <v>1175</v>
      </c>
      <c r="L458">
        <v>307.43</v>
      </c>
      <c r="M458">
        <v>495.19</v>
      </c>
      <c r="N458">
        <v>0</v>
      </c>
      <c r="O458">
        <v>42</v>
      </c>
    </row>
    <row r="459" spans="1:15">
      <c r="A459" t="s">
        <v>1176</v>
      </c>
      <c r="B459" s="29">
        <v>45048</v>
      </c>
      <c r="C459" s="29">
        <v>45065</v>
      </c>
      <c r="D459" t="s">
        <v>206</v>
      </c>
      <c r="E459" t="s">
        <v>277</v>
      </c>
      <c r="F459" t="s">
        <v>323</v>
      </c>
      <c r="G459" t="s">
        <v>200</v>
      </c>
      <c r="H459" t="s">
        <v>259</v>
      </c>
      <c r="I459" t="s">
        <v>190</v>
      </c>
      <c r="J459" t="s">
        <v>225</v>
      </c>
      <c r="K459" t="s">
        <v>1177</v>
      </c>
      <c r="L459">
        <v>714.28</v>
      </c>
      <c r="M459">
        <v>757.59</v>
      </c>
      <c r="N459">
        <v>0.136</v>
      </c>
      <c r="O459">
        <v>12</v>
      </c>
    </row>
    <row r="460" spans="1:15">
      <c r="A460" t="s">
        <v>1178</v>
      </c>
      <c r="B460" s="29">
        <v>45260</v>
      </c>
      <c r="C460" s="29">
        <v>45270</v>
      </c>
      <c r="D460" t="s">
        <v>239</v>
      </c>
      <c r="E460" t="s">
        <v>240</v>
      </c>
      <c r="F460" t="s">
        <v>320</v>
      </c>
      <c r="G460" t="s">
        <v>223</v>
      </c>
      <c r="H460" t="s">
        <v>259</v>
      </c>
      <c r="I460" t="s">
        <v>245</v>
      </c>
      <c r="J460" t="s">
        <v>218</v>
      </c>
      <c r="K460" t="s">
        <v>1179</v>
      </c>
      <c r="L460">
        <v>174.74</v>
      </c>
      <c r="M460">
        <v>415.96</v>
      </c>
      <c r="N460">
        <v>0.125</v>
      </c>
      <c r="O460">
        <v>21</v>
      </c>
    </row>
    <row r="461" spans="1:15">
      <c r="A461" t="s">
        <v>1180</v>
      </c>
      <c r="B461" s="29">
        <v>45417</v>
      </c>
      <c r="C461" s="29">
        <v>45430</v>
      </c>
      <c r="D461" t="s">
        <v>239</v>
      </c>
      <c r="E461" t="s">
        <v>251</v>
      </c>
      <c r="F461" t="s">
        <v>252</v>
      </c>
      <c r="G461" t="s">
        <v>180</v>
      </c>
      <c r="H461" t="s">
        <v>201</v>
      </c>
      <c r="I461" t="s">
        <v>236</v>
      </c>
      <c r="J461" t="s">
        <v>183</v>
      </c>
      <c r="K461" t="s">
        <v>1181</v>
      </c>
      <c r="L461">
        <v>1264.04</v>
      </c>
      <c r="M461">
        <v>1870.89</v>
      </c>
      <c r="N461">
        <v>0</v>
      </c>
      <c r="O461">
        <v>13</v>
      </c>
    </row>
    <row r="462" spans="1:15">
      <c r="A462" t="s">
        <v>1182</v>
      </c>
      <c r="B462" s="29">
        <v>45116</v>
      </c>
      <c r="C462" s="29">
        <v>45126</v>
      </c>
      <c r="D462" t="s">
        <v>206</v>
      </c>
      <c r="E462" t="s">
        <v>207</v>
      </c>
      <c r="F462" t="s">
        <v>375</v>
      </c>
      <c r="G462" t="s">
        <v>266</v>
      </c>
      <c r="H462" t="s">
        <v>216</v>
      </c>
      <c r="I462" t="s">
        <v>287</v>
      </c>
      <c r="J462" t="s">
        <v>183</v>
      </c>
      <c r="K462" t="s">
        <v>1183</v>
      </c>
      <c r="L462">
        <v>141.26</v>
      </c>
      <c r="M462">
        <v>206.88</v>
      </c>
      <c r="N462">
        <v>0.107</v>
      </c>
      <c r="O462">
        <v>9</v>
      </c>
    </row>
    <row r="463" spans="1:15">
      <c r="A463" t="s">
        <v>1184</v>
      </c>
      <c r="B463" s="29">
        <v>45063</v>
      </c>
      <c r="C463" s="29">
        <v>45092</v>
      </c>
      <c r="D463" t="s">
        <v>177</v>
      </c>
      <c r="E463" t="s">
        <v>309</v>
      </c>
      <c r="F463" t="s">
        <v>333</v>
      </c>
      <c r="G463" t="s">
        <v>266</v>
      </c>
      <c r="H463" t="s">
        <v>181</v>
      </c>
      <c r="I463" t="s">
        <v>256</v>
      </c>
      <c r="J463" t="s">
        <v>242</v>
      </c>
      <c r="K463" t="s">
        <v>1185</v>
      </c>
      <c r="L463">
        <v>40.89</v>
      </c>
      <c r="M463">
        <v>62.82</v>
      </c>
      <c r="N463">
        <v>0.129</v>
      </c>
      <c r="O463">
        <v>17</v>
      </c>
    </row>
    <row r="464" spans="1:15">
      <c r="A464" t="s">
        <v>1186</v>
      </c>
      <c r="B464" s="29">
        <v>45358</v>
      </c>
      <c r="C464" s="29">
        <v>45385</v>
      </c>
      <c r="D464" t="s">
        <v>239</v>
      </c>
      <c r="E464" t="s">
        <v>240</v>
      </c>
      <c r="F464" t="s">
        <v>496</v>
      </c>
      <c r="G464" t="s">
        <v>180</v>
      </c>
      <c r="H464" t="s">
        <v>259</v>
      </c>
      <c r="I464" t="s">
        <v>271</v>
      </c>
      <c r="J464" t="s">
        <v>191</v>
      </c>
      <c r="K464" t="s">
        <v>1187</v>
      </c>
      <c r="L464">
        <v>738.16</v>
      </c>
      <c r="M464">
        <v>956.49</v>
      </c>
      <c r="N464">
        <v>0.152</v>
      </c>
      <c r="O464">
        <v>5</v>
      </c>
    </row>
    <row r="465" spans="1:15">
      <c r="A465" t="s">
        <v>1188</v>
      </c>
      <c r="B465" s="29">
        <v>45757</v>
      </c>
      <c r="C465" s="29">
        <v>45766</v>
      </c>
      <c r="D465" t="s">
        <v>177</v>
      </c>
      <c r="E465" t="s">
        <v>309</v>
      </c>
      <c r="F465" t="s">
        <v>333</v>
      </c>
      <c r="G465" t="s">
        <v>266</v>
      </c>
      <c r="I465" t="s">
        <v>202</v>
      </c>
      <c r="J465" t="s">
        <v>196</v>
      </c>
      <c r="K465" t="s">
        <v>1189</v>
      </c>
      <c r="L465">
        <v>113.74</v>
      </c>
      <c r="M465">
        <v>165.7</v>
      </c>
      <c r="N465">
        <v>0.124</v>
      </c>
      <c r="O465">
        <v>13</v>
      </c>
    </row>
    <row r="466" spans="1:15">
      <c r="A466" t="s">
        <v>1190</v>
      </c>
      <c r="B466" s="29">
        <v>45865</v>
      </c>
      <c r="C466" s="29">
        <v>45884</v>
      </c>
      <c r="D466" t="s">
        <v>206</v>
      </c>
      <c r="E466" t="s">
        <v>207</v>
      </c>
      <c r="F466" t="s">
        <v>375</v>
      </c>
      <c r="G466" t="s">
        <v>223</v>
      </c>
      <c r="H466" t="s">
        <v>201</v>
      </c>
      <c r="I466" t="s">
        <v>190</v>
      </c>
      <c r="J466" t="s">
        <v>183</v>
      </c>
      <c r="K466" t="s">
        <v>1191</v>
      </c>
      <c r="L466">
        <v>275.43</v>
      </c>
      <c r="M466">
        <v>608.36</v>
      </c>
      <c r="N466">
        <v>0.257</v>
      </c>
      <c r="O466">
        <v>4</v>
      </c>
    </row>
    <row r="467" spans="1:15">
      <c r="A467" t="s">
        <v>1192</v>
      </c>
      <c r="B467" s="29">
        <v>45618</v>
      </c>
      <c r="C467" s="29">
        <v>45641</v>
      </c>
      <c r="D467" t="s">
        <v>177</v>
      </c>
      <c r="E467" t="s">
        <v>178</v>
      </c>
      <c r="F467" t="s">
        <v>274</v>
      </c>
      <c r="G467" t="s">
        <v>200</v>
      </c>
      <c r="H467" t="s">
        <v>216</v>
      </c>
      <c r="I467" t="s">
        <v>182</v>
      </c>
      <c r="J467" t="s">
        <v>183</v>
      </c>
      <c r="K467" t="s">
        <v>1193</v>
      </c>
      <c r="L467">
        <v>1335.76</v>
      </c>
      <c r="M467">
        <v>2665.91</v>
      </c>
      <c r="N467">
        <v>0.211</v>
      </c>
      <c r="O467">
        <v>40</v>
      </c>
    </row>
    <row r="468" spans="1:15">
      <c r="A468" t="s">
        <v>1194</v>
      </c>
      <c r="B468" s="29">
        <v>45466</v>
      </c>
      <c r="C468" s="29">
        <v>45471</v>
      </c>
      <c r="D468" t="s">
        <v>177</v>
      </c>
      <c r="E468" t="s">
        <v>186</v>
      </c>
      <c r="F468" t="s">
        <v>187</v>
      </c>
      <c r="G468" t="s">
        <v>200</v>
      </c>
      <c r="H468" t="s">
        <v>259</v>
      </c>
      <c r="I468" t="s">
        <v>271</v>
      </c>
      <c r="J468" t="s">
        <v>242</v>
      </c>
      <c r="K468" t="s">
        <v>1195</v>
      </c>
      <c r="L468">
        <v>242.31</v>
      </c>
      <c r="M468">
        <v>587.95</v>
      </c>
      <c r="N468">
        <v>0.229</v>
      </c>
      <c r="O468">
        <v>6</v>
      </c>
    </row>
    <row r="469" spans="1:15">
      <c r="A469" t="s">
        <v>1196</v>
      </c>
      <c r="B469" s="29">
        <v>45278</v>
      </c>
      <c r="C469" s="29">
        <v>45305</v>
      </c>
      <c r="D469" t="s">
        <v>206</v>
      </c>
      <c r="E469" t="s">
        <v>221</v>
      </c>
      <c r="F469" t="s">
        <v>381</v>
      </c>
      <c r="G469" t="s">
        <v>209</v>
      </c>
      <c r="H469" t="s">
        <v>216</v>
      </c>
      <c r="I469" t="s">
        <v>306</v>
      </c>
      <c r="J469" t="s">
        <v>196</v>
      </c>
      <c r="K469" t="s">
        <v>1197</v>
      </c>
      <c r="L469">
        <v>1408.3</v>
      </c>
      <c r="M469">
        <v>2193.13</v>
      </c>
      <c r="N469">
        <v>0.071</v>
      </c>
      <c r="O469">
        <v>7</v>
      </c>
    </row>
    <row r="470" spans="1:15">
      <c r="A470" t="s">
        <v>1198</v>
      </c>
      <c r="B470" s="29">
        <v>45809</v>
      </c>
      <c r="C470" s="29">
        <v>45813</v>
      </c>
      <c r="D470" t="s">
        <v>239</v>
      </c>
      <c r="E470" t="s">
        <v>240</v>
      </c>
      <c r="F470" t="s">
        <v>320</v>
      </c>
      <c r="G470" t="s">
        <v>266</v>
      </c>
      <c r="H470" t="s">
        <v>259</v>
      </c>
      <c r="I470" t="s">
        <v>271</v>
      </c>
      <c r="J470" t="s">
        <v>183</v>
      </c>
      <c r="K470" t="s">
        <v>1199</v>
      </c>
      <c r="L470">
        <v>1171.42</v>
      </c>
      <c r="M470">
        <v>2187.8</v>
      </c>
      <c r="N470">
        <v>0.23</v>
      </c>
      <c r="O470">
        <v>15</v>
      </c>
    </row>
    <row r="471" spans="1:15">
      <c r="A471" t="s">
        <v>1200</v>
      </c>
      <c r="B471" s="29">
        <v>45739</v>
      </c>
      <c r="C471" s="29">
        <v>45749</v>
      </c>
      <c r="D471" t="s">
        <v>239</v>
      </c>
      <c r="E471" t="s">
        <v>240</v>
      </c>
      <c r="F471" t="s">
        <v>241</v>
      </c>
      <c r="G471" t="s">
        <v>266</v>
      </c>
      <c r="H471" t="s">
        <v>189</v>
      </c>
      <c r="I471" t="s">
        <v>224</v>
      </c>
      <c r="J471" t="s">
        <v>191</v>
      </c>
      <c r="K471" t="s">
        <v>1201</v>
      </c>
      <c r="L471">
        <v>663.61</v>
      </c>
      <c r="M471">
        <v>1002.11</v>
      </c>
      <c r="N471">
        <v>0.046</v>
      </c>
      <c r="O471">
        <v>17</v>
      </c>
    </row>
    <row r="472" spans="1:15">
      <c r="A472" t="s">
        <v>1202</v>
      </c>
      <c r="B472" s="29">
        <v>45060</v>
      </c>
      <c r="C472" s="29">
        <v>45068</v>
      </c>
      <c r="D472" t="s">
        <v>177</v>
      </c>
      <c r="E472" t="s">
        <v>178</v>
      </c>
      <c r="F472" t="s">
        <v>274</v>
      </c>
      <c r="G472" t="s">
        <v>223</v>
      </c>
      <c r="H472" t="s">
        <v>216</v>
      </c>
      <c r="I472" t="s">
        <v>245</v>
      </c>
      <c r="J472" t="s">
        <v>191</v>
      </c>
      <c r="K472" t="s">
        <v>1203</v>
      </c>
      <c r="L472">
        <v>432.01</v>
      </c>
      <c r="M472">
        <v>913.78</v>
      </c>
      <c r="N472">
        <v>0.049</v>
      </c>
      <c r="O472">
        <v>12</v>
      </c>
    </row>
    <row r="473" spans="1:15">
      <c r="A473" t="s">
        <v>1204</v>
      </c>
      <c r="B473" s="29">
        <v>45167</v>
      </c>
      <c r="C473" s="29">
        <v>45188</v>
      </c>
      <c r="D473" t="s">
        <v>239</v>
      </c>
      <c r="E473" t="s">
        <v>251</v>
      </c>
      <c r="F473" t="s">
        <v>299</v>
      </c>
      <c r="G473" t="s">
        <v>223</v>
      </c>
      <c r="H473" t="s">
        <v>259</v>
      </c>
      <c r="I473" t="s">
        <v>217</v>
      </c>
      <c r="J473" t="s">
        <v>191</v>
      </c>
      <c r="K473" t="s">
        <v>1205</v>
      </c>
      <c r="L473">
        <v>784.46</v>
      </c>
      <c r="M473">
        <v>1843.51</v>
      </c>
      <c r="N473">
        <v>0.138</v>
      </c>
      <c r="O473">
        <v>23</v>
      </c>
    </row>
    <row r="474" spans="1:15">
      <c r="A474" t="s">
        <v>1206</v>
      </c>
      <c r="B474" s="29">
        <v>45841</v>
      </c>
      <c r="C474" s="29">
        <v>45861</v>
      </c>
      <c r="D474" t="s">
        <v>206</v>
      </c>
      <c r="E474" t="s">
        <v>277</v>
      </c>
      <c r="F474" t="s">
        <v>499</v>
      </c>
      <c r="G474" t="s">
        <v>223</v>
      </c>
      <c r="H474" t="s">
        <v>189</v>
      </c>
      <c r="I474" t="s">
        <v>271</v>
      </c>
      <c r="J474" t="s">
        <v>183</v>
      </c>
      <c r="K474" t="s">
        <v>1207</v>
      </c>
      <c r="L474">
        <v>647.36</v>
      </c>
      <c r="M474">
        <v>1383.6</v>
      </c>
      <c r="N474">
        <v>0.074</v>
      </c>
      <c r="O474">
        <v>12</v>
      </c>
    </row>
    <row r="475" spans="1:15">
      <c r="A475" t="s">
        <v>1208</v>
      </c>
      <c r="B475" s="29">
        <v>45328</v>
      </c>
      <c r="C475" s="29">
        <v>45350</v>
      </c>
      <c r="D475" t="s">
        <v>177</v>
      </c>
      <c r="E475" t="s">
        <v>178</v>
      </c>
      <c r="F475" t="s">
        <v>179</v>
      </c>
      <c r="G475" t="s">
        <v>200</v>
      </c>
      <c r="H475" t="s">
        <v>189</v>
      </c>
      <c r="I475" t="s">
        <v>256</v>
      </c>
      <c r="J475" t="s">
        <v>225</v>
      </c>
      <c r="K475" t="s">
        <v>1209</v>
      </c>
      <c r="L475">
        <v>834.93</v>
      </c>
      <c r="M475">
        <v>1588.53</v>
      </c>
      <c r="N475">
        <v>0.126</v>
      </c>
      <c r="O475">
        <v>6</v>
      </c>
    </row>
    <row r="476" spans="1:15">
      <c r="A476" t="s">
        <v>1210</v>
      </c>
      <c r="B476" s="29">
        <v>45882</v>
      </c>
      <c r="C476" s="29">
        <v>45903</v>
      </c>
      <c r="D476" t="s">
        <v>239</v>
      </c>
      <c r="E476" t="s">
        <v>251</v>
      </c>
      <c r="F476" t="s">
        <v>378</v>
      </c>
      <c r="G476" t="s">
        <v>188</v>
      </c>
      <c r="H476" t="s">
        <v>181</v>
      </c>
      <c r="I476" t="s">
        <v>195</v>
      </c>
      <c r="J476" t="s">
        <v>203</v>
      </c>
      <c r="K476" t="s">
        <v>1211</v>
      </c>
      <c r="L476">
        <v>603.47</v>
      </c>
      <c r="M476">
        <v>1344.05</v>
      </c>
      <c r="N476">
        <v>0.205</v>
      </c>
      <c r="O476">
        <v>18</v>
      </c>
    </row>
    <row r="477" spans="1:15">
      <c r="A477" t="s">
        <v>1212</v>
      </c>
      <c r="B477" s="29">
        <v>45069</v>
      </c>
      <c r="C477" s="29">
        <v>45071</v>
      </c>
      <c r="D477" t="s">
        <v>213</v>
      </c>
      <c r="E477" t="s">
        <v>234</v>
      </c>
      <c r="F477" t="s">
        <v>386</v>
      </c>
      <c r="G477" t="s">
        <v>266</v>
      </c>
      <c r="H477" t="s">
        <v>181</v>
      </c>
      <c r="I477" t="s">
        <v>271</v>
      </c>
      <c r="J477" t="s">
        <v>191</v>
      </c>
      <c r="K477" t="s">
        <v>1213</v>
      </c>
      <c r="L477">
        <v>690.49</v>
      </c>
      <c r="M477">
        <v>1290.29</v>
      </c>
      <c r="N477">
        <v>0.042</v>
      </c>
      <c r="O477">
        <v>22</v>
      </c>
    </row>
    <row r="478" spans="1:15">
      <c r="A478" t="s">
        <v>1214</v>
      </c>
      <c r="B478" s="29">
        <v>45422</v>
      </c>
      <c r="C478" s="29">
        <v>45428</v>
      </c>
      <c r="D478" t="s">
        <v>239</v>
      </c>
      <c r="E478" t="s">
        <v>269</v>
      </c>
      <c r="F478" t="s">
        <v>270</v>
      </c>
      <c r="G478" t="s">
        <v>200</v>
      </c>
      <c r="H478" t="s">
        <v>259</v>
      </c>
      <c r="I478" t="s">
        <v>202</v>
      </c>
      <c r="J478" t="s">
        <v>218</v>
      </c>
      <c r="K478" t="s">
        <v>1215</v>
      </c>
      <c r="L478">
        <v>210.76</v>
      </c>
      <c r="M478">
        <v>221.58</v>
      </c>
      <c r="N478">
        <v>0.089</v>
      </c>
      <c r="O478">
        <v>5</v>
      </c>
    </row>
    <row r="479" spans="1:15">
      <c r="A479" t="s">
        <v>1216</v>
      </c>
      <c r="B479" s="29">
        <v>44999</v>
      </c>
      <c r="C479" s="29">
        <v>45003</v>
      </c>
      <c r="D479" t="s">
        <v>239</v>
      </c>
      <c r="E479" t="s">
        <v>240</v>
      </c>
      <c r="F479" t="s">
        <v>496</v>
      </c>
      <c r="G479" t="s">
        <v>266</v>
      </c>
      <c r="H479" t="s">
        <v>259</v>
      </c>
      <c r="I479" t="s">
        <v>236</v>
      </c>
      <c r="J479" t="s">
        <v>183</v>
      </c>
      <c r="K479" t="s">
        <v>1217</v>
      </c>
      <c r="L479">
        <v>472.33</v>
      </c>
      <c r="M479">
        <v>360.34</v>
      </c>
      <c r="N479">
        <v>0.165</v>
      </c>
      <c r="O479">
        <v>14</v>
      </c>
    </row>
    <row r="480" spans="1:15">
      <c r="A480" t="s">
        <v>1218</v>
      </c>
      <c r="B480" s="29">
        <v>45123</v>
      </c>
      <c r="C480" s="29">
        <v>45151</v>
      </c>
      <c r="D480" t="s">
        <v>239</v>
      </c>
      <c r="E480" t="s">
        <v>269</v>
      </c>
      <c r="F480" t="s">
        <v>389</v>
      </c>
      <c r="G480" t="s">
        <v>200</v>
      </c>
      <c r="H480" t="s">
        <v>189</v>
      </c>
      <c r="I480" t="s">
        <v>190</v>
      </c>
      <c r="J480" t="s">
        <v>218</v>
      </c>
      <c r="K480" t="s">
        <v>1219</v>
      </c>
      <c r="L480">
        <v>1039.03</v>
      </c>
      <c r="M480">
        <v>2545.81</v>
      </c>
      <c r="N480">
        <v>0.216</v>
      </c>
      <c r="O480">
        <v>21</v>
      </c>
    </row>
    <row r="481" spans="1:15">
      <c r="A481" t="s">
        <v>1220</v>
      </c>
      <c r="B481" s="29">
        <v>45032</v>
      </c>
      <c r="C481" s="29">
        <v>45035</v>
      </c>
      <c r="D481" t="s">
        <v>239</v>
      </c>
      <c r="E481" t="s">
        <v>240</v>
      </c>
      <c r="F481" t="s">
        <v>320</v>
      </c>
      <c r="G481" t="s">
        <v>180</v>
      </c>
      <c r="H481" t="s">
        <v>259</v>
      </c>
      <c r="I481" t="s">
        <v>217</v>
      </c>
      <c r="J481" t="s">
        <v>242</v>
      </c>
      <c r="K481" t="s">
        <v>1221</v>
      </c>
      <c r="L481">
        <v>553.61</v>
      </c>
      <c r="M481">
        <v>699.47</v>
      </c>
      <c r="N481">
        <v>0.02</v>
      </c>
      <c r="O481">
        <v>33</v>
      </c>
    </row>
    <row r="482" spans="1:15">
      <c r="A482" t="s">
        <v>1222</v>
      </c>
      <c r="B482" s="29">
        <v>45293</v>
      </c>
      <c r="C482" s="29">
        <v>45306</v>
      </c>
      <c r="D482" t="s">
        <v>206</v>
      </c>
      <c r="E482" t="s">
        <v>207</v>
      </c>
      <c r="F482" t="s">
        <v>392</v>
      </c>
      <c r="G482" t="s">
        <v>223</v>
      </c>
      <c r="H482" t="s">
        <v>201</v>
      </c>
      <c r="I482" t="s">
        <v>202</v>
      </c>
      <c r="J482" t="s">
        <v>196</v>
      </c>
      <c r="K482" t="s">
        <v>1223</v>
      </c>
      <c r="L482">
        <v>1219.06</v>
      </c>
      <c r="M482">
        <v>2738.69</v>
      </c>
      <c r="N482">
        <v>0.076</v>
      </c>
      <c r="O482">
        <v>16</v>
      </c>
    </row>
    <row r="483" spans="1:15">
      <c r="A483" t="s">
        <v>1224</v>
      </c>
      <c r="B483" s="29">
        <v>45538</v>
      </c>
      <c r="C483" s="29">
        <v>45542</v>
      </c>
      <c r="D483" t="s">
        <v>206</v>
      </c>
      <c r="E483" t="s">
        <v>207</v>
      </c>
      <c r="F483" t="s">
        <v>375</v>
      </c>
      <c r="G483" t="s">
        <v>223</v>
      </c>
      <c r="H483" t="s">
        <v>216</v>
      </c>
      <c r="I483" t="s">
        <v>287</v>
      </c>
      <c r="J483" t="s">
        <v>191</v>
      </c>
      <c r="K483" t="s">
        <v>1225</v>
      </c>
      <c r="L483">
        <v>43.23</v>
      </c>
      <c r="M483">
        <v>94.78</v>
      </c>
      <c r="N483">
        <v>0.091</v>
      </c>
      <c r="O483">
        <v>55</v>
      </c>
    </row>
    <row r="484" spans="1:15">
      <c r="A484" t="s">
        <v>1226</v>
      </c>
      <c r="B484" s="29">
        <v>45899</v>
      </c>
      <c r="C484" s="29">
        <v>45903</v>
      </c>
      <c r="D484" t="s">
        <v>239</v>
      </c>
      <c r="E484" t="s">
        <v>251</v>
      </c>
      <c r="F484" t="s">
        <v>252</v>
      </c>
      <c r="G484" t="s">
        <v>223</v>
      </c>
      <c r="H484" t="s">
        <v>201</v>
      </c>
      <c r="I484" t="s">
        <v>190</v>
      </c>
      <c r="J484" t="s">
        <v>218</v>
      </c>
      <c r="K484" t="s">
        <v>1227</v>
      </c>
      <c r="L484">
        <v>1286.56</v>
      </c>
      <c r="M484">
        <v>2777.35</v>
      </c>
      <c r="N484">
        <v>0.132</v>
      </c>
      <c r="O484">
        <v>15</v>
      </c>
    </row>
    <row r="485" spans="1:15">
      <c r="A485" t="s">
        <v>1228</v>
      </c>
      <c r="B485" s="29">
        <v>45775</v>
      </c>
      <c r="C485" s="29">
        <v>45796</v>
      </c>
      <c r="D485" t="s">
        <v>239</v>
      </c>
      <c r="E485" t="s">
        <v>240</v>
      </c>
      <c r="F485" t="s">
        <v>241</v>
      </c>
      <c r="G485" t="s">
        <v>180</v>
      </c>
      <c r="H485" t="s">
        <v>216</v>
      </c>
      <c r="I485" t="s">
        <v>217</v>
      </c>
      <c r="J485" t="s">
        <v>203</v>
      </c>
      <c r="K485" t="s">
        <v>1229</v>
      </c>
      <c r="L485">
        <v>350.76</v>
      </c>
      <c r="M485">
        <v>492.18</v>
      </c>
      <c r="N485">
        <v>0.053</v>
      </c>
      <c r="O485">
        <v>11</v>
      </c>
    </row>
    <row r="486" spans="1:15">
      <c r="A486" t="s">
        <v>1230</v>
      </c>
      <c r="B486" s="29">
        <v>45148</v>
      </c>
      <c r="C486" s="29">
        <v>45153</v>
      </c>
      <c r="D486" t="s">
        <v>213</v>
      </c>
      <c r="E486" t="s">
        <v>234</v>
      </c>
      <c r="F486" t="s">
        <v>235</v>
      </c>
      <c r="G486" t="s">
        <v>188</v>
      </c>
      <c r="H486" t="s">
        <v>259</v>
      </c>
      <c r="I486" t="s">
        <v>202</v>
      </c>
      <c r="J486" t="s">
        <v>196</v>
      </c>
      <c r="K486" t="s">
        <v>1231</v>
      </c>
      <c r="L486">
        <v>1307.52</v>
      </c>
      <c r="M486">
        <v>1921.65</v>
      </c>
      <c r="N486">
        <v>0.123</v>
      </c>
      <c r="O486">
        <v>13</v>
      </c>
    </row>
    <row r="487" spans="1:15">
      <c r="A487" t="s">
        <v>1232</v>
      </c>
      <c r="B487" s="29">
        <v>45634</v>
      </c>
      <c r="C487" s="29">
        <v>45634</v>
      </c>
      <c r="D487" t="s">
        <v>239</v>
      </c>
      <c r="E487" t="s">
        <v>251</v>
      </c>
      <c r="F487" t="s">
        <v>299</v>
      </c>
      <c r="G487" t="s">
        <v>266</v>
      </c>
      <c r="H487" t="s">
        <v>181</v>
      </c>
      <c r="I487" t="s">
        <v>253</v>
      </c>
      <c r="J487" t="s">
        <v>183</v>
      </c>
      <c r="K487" t="s">
        <v>1233</v>
      </c>
      <c r="L487">
        <v>257.44</v>
      </c>
      <c r="M487">
        <v>290.33</v>
      </c>
      <c r="N487">
        <v>0.092</v>
      </c>
      <c r="O487">
        <v>23</v>
      </c>
    </row>
    <row r="488" spans="1:15">
      <c r="A488" t="s">
        <v>1234</v>
      </c>
      <c r="B488" s="29">
        <v>45224</v>
      </c>
      <c r="C488" s="29">
        <v>45254</v>
      </c>
      <c r="D488" t="s">
        <v>239</v>
      </c>
      <c r="E488" t="s">
        <v>251</v>
      </c>
      <c r="F488" t="s">
        <v>378</v>
      </c>
      <c r="G488" t="s">
        <v>266</v>
      </c>
      <c r="H488" t="s">
        <v>216</v>
      </c>
      <c r="I488" t="s">
        <v>182</v>
      </c>
      <c r="J488" t="s">
        <v>203</v>
      </c>
      <c r="K488" t="s">
        <v>1235</v>
      </c>
      <c r="L488">
        <v>287.85</v>
      </c>
      <c r="M488">
        <v>602.92</v>
      </c>
      <c r="N488">
        <v>0.222</v>
      </c>
      <c r="O488">
        <v>11</v>
      </c>
    </row>
    <row r="489" spans="1:15">
      <c r="A489" t="s">
        <v>1236</v>
      </c>
      <c r="B489" s="29">
        <v>45613</v>
      </c>
      <c r="C489" s="29">
        <v>45624</v>
      </c>
      <c r="D489" t="s">
        <v>213</v>
      </c>
      <c r="E489" t="s">
        <v>214</v>
      </c>
      <c r="G489" t="s">
        <v>209</v>
      </c>
      <c r="H489" t="s">
        <v>216</v>
      </c>
      <c r="I489" t="s">
        <v>236</v>
      </c>
      <c r="J489" t="s">
        <v>191</v>
      </c>
      <c r="K489" t="s">
        <v>1237</v>
      </c>
      <c r="L489">
        <v>1008.16</v>
      </c>
      <c r="M489">
        <v>2077.5</v>
      </c>
      <c r="N489">
        <v>0.074</v>
      </c>
      <c r="O489">
        <v>15</v>
      </c>
    </row>
    <row r="490" spans="1:15">
      <c r="A490" t="s">
        <v>1238</v>
      </c>
      <c r="B490" s="29">
        <v>45424</v>
      </c>
      <c r="C490" s="29">
        <v>45436</v>
      </c>
      <c r="D490" t="s">
        <v>239</v>
      </c>
      <c r="E490" t="s">
        <v>269</v>
      </c>
      <c r="F490" t="s">
        <v>389</v>
      </c>
      <c r="G490" t="s">
        <v>188</v>
      </c>
      <c r="H490" t="s">
        <v>201</v>
      </c>
      <c r="I490" t="s">
        <v>256</v>
      </c>
      <c r="J490" t="s">
        <v>191</v>
      </c>
      <c r="K490" t="s">
        <v>1239</v>
      </c>
      <c r="L490">
        <v>111.02</v>
      </c>
      <c r="M490">
        <v>172.88</v>
      </c>
      <c r="N490">
        <v>0.197</v>
      </c>
      <c r="O490">
        <v>29</v>
      </c>
    </row>
    <row r="491" spans="1:15">
      <c r="A491" t="s">
        <v>1240</v>
      </c>
      <c r="B491" s="29">
        <v>45792</v>
      </c>
      <c r="C491" s="29">
        <v>45813</v>
      </c>
      <c r="D491" t="s">
        <v>206</v>
      </c>
      <c r="E491" t="s">
        <v>207</v>
      </c>
      <c r="F491" t="s">
        <v>208</v>
      </c>
      <c r="G491" t="s">
        <v>266</v>
      </c>
      <c r="H491" t="s">
        <v>259</v>
      </c>
      <c r="I491" t="s">
        <v>253</v>
      </c>
      <c r="J491" t="s">
        <v>203</v>
      </c>
      <c r="K491" t="s">
        <v>1241</v>
      </c>
      <c r="L491">
        <v>1466.5</v>
      </c>
      <c r="M491">
        <v>2778.74</v>
      </c>
      <c r="N491">
        <v>0.135</v>
      </c>
      <c r="O491">
        <v>4</v>
      </c>
    </row>
    <row r="492" spans="1:15">
      <c r="A492" t="s">
        <v>1242</v>
      </c>
      <c r="B492" s="29">
        <v>45403</v>
      </c>
      <c r="C492" s="29">
        <v>45431</v>
      </c>
      <c r="D492" t="s">
        <v>177</v>
      </c>
      <c r="E492" t="s">
        <v>186</v>
      </c>
      <c r="F492" t="s">
        <v>199</v>
      </c>
      <c r="G492" t="s">
        <v>180</v>
      </c>
      <c r="H492" t="s">
        <v>216</v>
      </c>
      <c r="I492" t="s">
        <v>236</v>
      </c>
      <c r="J492" t="s">
        <v>242</v>
      </c>
      <c r="K492" t="s">
        <v>1243</v>
      </c>
      <c r="L492">
        <v>187.22</v>
      </c>
      <c r="M492">
        <v>309.47</v>
      </c>
      <c r="N492">
        <v>0</v>
      </c>
      <c r="O492">
        <v>5</v>
      </c>
    </row>
    <row r="493" spans="1:15">
      <c r="A493" t="s">
        <v>1244</v>
      </c>
      <c r="B493" s="29">
        <v>45523</v>
      </c>
      <c r="C493" s="29">
        <v>45542</v>
      </c>
      <c r="D493" t="s">
        <v>239</v>
      </c>
      <c r="E493" t="s">
        <v>251</v>
      </c>
      <c r="F493" t="s">
        <v>299</v>
      </c>
      <c r="G493" t="s">
        <v>180</v>
      </c>
      <c r="H493" t="s">
        <v>259</v>
      </c>
      <c r="I493" t="s">
        <v>190</v>
      </c>
      <c r="J493" t="s">
        <v>183</v>
      </c>
      <c r="K493" t="s">
        <v>1245</v>
      </c>
      <c r="L493">
        <v>297.59</v>
      </c>
      <c r="M493">
        <v>666.41</v>
      </c>
      <c r="N493">
        <v>0</v>
      </c>
      <c r="O493">
        <v>10</v>
      </c>
    </row>
    <row r="494" spans="1:15">
      <c r="A494" t="s">
        <v>1246</v>
      </c>
      <c r="B494" s="29">
        <v>45861</v>
      </c>
      <c r="C494" s="29">
        <v>45888</v>
      </c>
      <c r="D494" t="s">
        <v>206</v>
      </c>
      <c r="E494" t="s">
        <v>207</v>
      </c>
      <c r="F494" t="s">
        <v>392</v>
      </c>
      <c r="G494" t="s">
        <v>209</v>
      </c>
      <c r="H494" t="s">
        <v>201</v>
      </c>
      <c r="I494" t="s">
        <v>217</v>
      </c>
      <c r="J494" t="s">
        <v>242</v>
      </c>
      <c r="K494" t="s">
        <v>1247</v>
      </c>
      <c r="L494">
        <v>896.09</v>
      </c>
      <c r="M494">
        <v>744.27</v>
      </c>
      <c r="N494">
        <v>0.083</v>
      </c>
      <c r="O494">
        <v>11</v>
      </c>
    </row>
    <row r="495" spans="1:15">
      <c r="A495" t="s">
        <v>1248</v>
      </c>
      <c r="B495" s="29">
        <v>45352</v>
      </c>
      <c r="C495" s="29">
        <v>45351</v>
      </c>
      <c r="D495" t="s">
        <v>213</v>
      </c>
      <c r="E495" t="s">
        <v>234</v>
      </c>
      <c r="F495" t="s">
        <v>235</v>
      </c>
      <c r="G495" t="s">
        <v>200</v>
      </c>
      <c r="H495" t="s">
        <v>259</v>
      </c>
      <c r="I495" t="s">
        <v>195</v>
      </c>
      <c r="J495" t="s">
        <v>203</v>
      </c>
      <c r="K495" t="s">
        <v>1249</v>
      </c>
      <c r="L495">
        <v>5.34</v>
      </c>
      <c r="M495">
        <v>12.69</v>
      </c>
      <c r="N495">
        <v>0.132</v>
      </c>
      <c r="O495">
        <v>10</v>
      </c>
    </row>
    <row r="496" spans="1:15">
      <c r="A496" t="s">
        <v>1250</v>
      </c>
      <c r="B496" s="29">
        <v>45439</v>
      </c>
      <c r="C496" s="29">
        <v>45460</v>
      </c>
      <c r="D496" t="s">
        <v>206</v>
      </c>
      <c r="E496" t="s">
        <v>221</v>
      </c>
      <c r="F496" t="s">
        <v>302</v>
      </c>
      <c r="G496" t="s">
        <v>223</v>
      </c>
      <c r="H496" t="s">
        <v>189</v>
      </c>
      <c r="I496" t="s">
        <v>253</v>
      </c>
      <c r="J496" t="s">
        <v>242</v>
      </c>
      <c r="K496" t="s">
        <v>1251</v>
      </c>
      <c r="L496">
        <v>465.02</v>
      </c>
      <c r="M496">
        <v>651.56</v>
      </c>
      <c r="N496">
        <v>0.042</v>
      </c>
      <c r="O496">
        <v>19</v>
      </c>
    </row>
    <row r="497" spans="1:15">
      <c r="A497" t="s">
        <v>1252</v>
      </c>
      <c r="B497" s="29">
        <v>45508</v>
      </c>
      <c r="C497" s="29">
        <v>45521</v>
      </c>
      <c r="D497" t="s">
        <v>213</v>
      </c>
      <c r="E497" t="s">
        <v>283</v>
      </c>
      <c r="F497" t="s">
        <v>487</v>
      </c>
      <c r="G497" t="s">
        <v>209</v>
      </c>
      <c r="H497" t="s">
        <v>181</v>
      </c>
      <c r="I497" t="s">
        <v>306</v>
      </c>
      <c r="J497" t="s">
        <v>225</v>
      </c>
      <c r="K497" t="s">
        <v>1253</v>
      </c>
      <c r="L497">
        <v>352.79</v>
      </c>
      <c r="M497">
        <v>754.22</v>
      </c>
      <c r="N497">
        <v>0.113</v>
      </c>
      <c r="O497">
        <v>7</v>
      </c>
    </row>
    <row r="498" spans="1:15">
      <c r="A498" t="s">
        <v>1254</v>
      </c>
      <c r="B498" s="29">
        <v>45097</v>
      </c>
      <c r="C498" s="29">
        <v>45111</v>
      </c>
      <c r="D498" t="s">
        <v>213</v>
      </c>
      <c r="E498" t="s">
        <v>234</v>
      </c>
      <c r="F498" t="s">
        <v>248</v>
      </c>
      <c r="G498" t="s">
        <v>200</v>
      </c>
      <c r="H498" t="s">
        <v>259</v>
      </c>
      <c r="I498" t="s">
        <v>182</v>
      </c>
      <c r="J498" t="s">
        <v>196</v>
      </c>
      <c r="K498" t="s">
        <v>1255</v>
      </c>
      <c r="L498">
        <v>1292.86</v>
      </c>
      <c r="M498">
        <v>2981.01</v>
      </c>
      <c r="N498">
        <v>0.142</v>
      </c>
      <c r="O498">
        <v>12</v>
      </c>
    </row>
    <row r="499" spans="1:15">
      <c r="A499" t="s">
        <v>1256</v>
      </c>
      <c r="B499" s="29">
        <v>45544</v>
      </c>
      <c r="C499" s="29">
        <v>45548</v>
      </c>
      <c r="D499" t="s">
        <v>239</v>
      </c>
      <c r="E499" t="s">
        <v>269</v>
      </c>
      <c r="F499" t="s">
        <v>313</v>
      </c>
      <c r="G499" t="s">
        <v>209</v>
      </c>
      <c r="H499" t="s">
        <v>201</v>
      </c>
      <c r="I499" t="s">
        <v>245</v>
      </c>
      <c r="J499" t="s">
        <v>196</v>
      </c>
      <c r="K499" t="s">
        <v>1257</v>
      </c>
      <c r="L499">
        <v>1133.08</v>
      </c>
      <c r="M499">
        <v>976.17</v>
      </c>
      <c r="N499">
        <v>0.042</v>
      </c>
      <c r="O499">
        <v>27</v>
      </c>
    </row>
    <row r="500" spans="1:15">
      <c r="A500" t="s">
        <v>1258</v>
      </c>
      <c r="B500" s="29">
        <v>45224</v>
      </c>
      <c r="C500" s="29">
        <v>45227</v>
      </c>
      <c r="D500" t="s">
        <v>213</v>
      </c>
      <c r="E500" t="s">
        <v>234</v>
      </c>
      <c r="F500" t="s">
        <v>248</v>
      </c>
      <c r="G500" t="s">
        <v>180</v>
      </c>
      <c r="H500" t="s">
        <v>216</v>
      </c>
      <c r="I500" t="s">
        <v>210</v>
      </c>
      <c r="J500" t="s">
        <v>242</v>
      </c>
      <c r="K500" t="s">
        <v>1259</v>
      </c>
      <c r="L500">
        <v>509.31</v>
      </c>
      <c r="M500">
        <v>1145.9</v>
      </c>
      <c r="N500">
        <v>0.057</v>
      </c>
      <c r="O500">
        <v>8</v>
      </c>
    </row>
    <row r="501" spans="1:15">
      <c r="A501" t="s">
        <v>1260</v>
      </c>
      <c r="B501" s="29">
        <v>45908</v>
      </c>
      <c r="C501" s="29">
        <v>45935</v>
      </c>
      <c r="D501" t="s">
        <v>213</v>
      </c>
      <c r="E501" t="s">
        <v>234</v>
      </c>
      <c r="F501" t="s">
        <v>386</v>
      </c>
      <c r="G501" t="s">
        <v>188</v>
      </c>
      <c r="H501" t="s">
        <v>189</v>
      </c>
      <c r="I501" t="s">
        <v>182</v>
      </c>
      <c r="J501" t="s">
        <v>225</v>
      </c>
      <c r="K501" t="s">
        <v>1261</v>
      </c>
      <c r="L501">
        <v>660.78</v>
      </c>
      <c r="M501">
        <v>1630.39</v>
      </c>
      <c r="N501">
        <v>0.218</v>
      </c>
      <c r="O501">
        <v>13</v>
      </c>
    </row>
    <row r="502" spans="1:15">
      <c r="A502" t="s">
        <v>1262</v>
      </c>
      <c r="B502" s="29">
        <v>45048</v>
      </c>
      <c r="C502" s="29">
        <v>45062</v>
      </c>
      <c r="D502" t="s">
        <v>206</v>
      </c>
      <c r="E502" t="s">
        <v>221</v>
      </c>
      <c r="F502" t="s">
        <v>222</v>
      </c>
      <c r="G502" t="s">
        <v>200</v>
      </c>
      <c r="H502" t="s">
        <v>181</v>
      </c>
      <c r="I502" t="s">
        <v>210</v>
      </c>
      <c r="J502" t="s">
        <v>225</v>
      </c>
      <c r="K502" t="s">
        <v>1263</v>
      </c>
      <c r="L502">
        <v>475.37</v>
      </c>
      <c r="M502">
        <v>963.73</v>
      </c>
      <c r="N502">
        <v>0.041</v>
      </c>
      <c r="O502">
        <v>22</v>
      </c>
    </row>
    <row r="503" spans="1:15">
      <c r="A503" t="s">
        <v>1264</v>
      </c>
      <c r="B503" s="29">
        <v>45408</v>
      </c>
      <c r="C503" s="29">
        <v>45406</v>
      </c>
      <c r="D503" t="s">
        <v>239</v>
      </c>
      <c r="E503" t="s">
        <v>269</v>
      </c>
      <c r="F503" t="s">
        <v>313</v>
      </c>
      <c r="G503" t="s">
        <v>200</v>
      </c>
      <c r="H503" t="s">
        <v>216</v>
      </c>
      <c r="I503" t="s">
        <v>287</v>
      </c>
      <c r="J503" t="s">
        <v>203</v>
      </c>
      <c r="K503" t="s">
        <v>1265</v>
      </c>
      <c r="L503">
        <v>1232.77</v>
      </c>
      <c r="M503">
        <v>891.73</v>
      </c>
      <c r="N503">
        <v>0.167</v>
      </c>
      <c r="O503">
        <v>10</v>
      </c>
    </row>
    <row r="504" spans="1:15">
      <c r="A504" t="s">
        <v>1266</v>
      </c>
      <c r="B504" s="29">
        <v>44980</v>
      </c>
      <c r="C504" s="29">
        <v>45003</v>
      </c>
      <c r="D504" t="s">
        <v>206</v>
      </c>
      <c r="E504" t="s">
        <v>277</v>
      </c>
      <c r="F504" t="s">
        <v>499</v>
      </c>
      <c r="G504" t="s">
        <v>188</v>
      </c>
      <c r="H504" t="s">
        <v>216</v>
      </c>
      <c r="I504" t="s">
        <v>256</v>
      </c>
      <c r="J504" t="s">
        <v>191</v>
      </c>
      <c r="K504" t="s">
        <v>1267</v>
      </c>
      <c r="L504">
        <v>770.11</v>
      </c>
      <c r="M504">
        <v>1667.82</v>
      </c>
      <c r="N504">
        <v>0.069</v>
      </c>
      <c r="O504">
        <v>7</v>
      </c>
    </row>
    <row r="505" spans="1:15">
      <c r="A505" t="s">
        <v>1268</v>
      </c>
      <c r="B505" s="29">
        <v>45740</v>
      </c>
      <c r="C505" s="29">
        <v>45741</v>
      </c>
      <c r="D505" t="s">
        <v>206</v>
      </c>
      <c r="E505" t="s">
        <v>277</v>
      </c>
      <c r="F505" t="s">
        <v>499</v>
      </c>
      <c r="G505" t="s">
        <v>200</v>
      </c>
      <c r="H505" t="s">
        <v>189</v>
      </c>
      <c r="I505" t="s">
        <v>202</v>
      </c>
      <c r="J505" t="s">
        <v>196</v>
      </c>
      <c r="K505" t="s">
        <v>1269</v>
      </c>
      <c r="L505">
        <v>1133.03</v>
      </c>
      <c r="M505">
        <v>1921.51</v>
      </c>
      <c r="N505">
        <v>0.101</v>
      </c>
      <c r="O505">
        <v>5</v>
      </c>
    </row>
    <row r="506" spans="1:15">
      <c r="A506" t="s">
        <v>1270</v>
      </c>
      <c r="B506" s="29">
        <v>45726</v>
      </c>
      <c r="C506" s="29">
        <v>45743</v>
      </c>
      <c r="D506" t="s">
        <v>213</v>
      </c>
      <c r="E506" t="s">
        <v>234</v>
      </c>
      <c r="F506" t="s">
        <v>386</v>
      </c>
      <c r="G506" t="s">
        <v>266</v>
      </c>
      <c r="H506" t="s">
        <v>259</v>
      </c>
      <c r="I506" t="s">
        <v>245</v>
      </c>
      <c r="J506" t="s">
        <v>196</v>
      </c>
      <c r="K506" t="s">
        <v>1271</v>
      </c>
      <c r="L506">
        <v>996.73</v>
      </c>
      <c r="M506">
        <v>1217.43</v>
      </c>
      <c r="N506">
        <v>0.07</v>
      </c>
      <c r="O506">
        <v>9</v>
      </c>
    </row>
    <row r="507" spans="1:15">
      <c r="A507" t="s">
        <v>1272</v>
      </c>
      <c r="B507" s="29">
        <v>45387</v>
      </c>
      <c r="C507" s="29">
        <v>45391</v>
      </c>
      <c r="D507" t="s">
        <v>177</v>
      </c>
      <c r="E507" t="s">
        <v>186</v>
      </c>
      <c r="F507" t="s">
        <v>199</v>
      </c>
      <c r="G507" t="s">
        <v>200</v>
      </c>
      <c r="H507" t="s">
        <v>259</v>
      </c>
      <c r="I507" t="s">
        <v>256</v>
      </c>
      <c r="J507" t="s">
        <v>183</v>
      </c>
      <c r="K507" t="s">
        <v>1273</v>
      </c>
      <c r="L507">
        <v>395.07</v>
      </c>
      <c r="M507">
        <v>970.27</v>
      </c>
      <c r="N507">
        <v>0.123</v>
      </c>
      <c r="O507">
        <v>38</v>
      </c>
    </row>
    <row r="508" spans="1:15">
      <c r="A508" t="s">
        <v>1274</v>
      </c>
      <c r="B508" s="29">
        <v>45774</v>
      </c>
      <c r="C508" s="29">
        <v>45794</v>
      </c>
      <c r="D508" t="s">
        <v>213</v>
      </c>
      <c r="E508" t="s">
        <v>283</v>
      </c>
      <c r="F508" t="s">
        <v>487</v>
      </c>
      <c r="G508" t="s">
        <v>180</v>
      </c>
      <c r="H508" t="s">
        <v>259</v>
      </c>
      <c r="I508" t="s">
        <v>287</v>
      </c>
      <c r="J508" t="s">
        <v>203</v>
      </c>
      <c r="K508" t="s">
        <v>1275</v>
      </c>
      <c r="L508">
        <v>932.26</v>
      </c>
      <c r="M508">
        <v>1624.67</v>
      </c>
      <c r="N508">
        <v>0.235</v>
      </c>
      <c r="O508">
        <v>28</v>
      </c>
    </row>
    <row r="509" spans="1:15">
      <c r="A509" t="s">
        <v>1276</v>
      </c>
      <c r="B509" s="29">
        <v>45589</v>
      </c>
      <c r="C509" s="29">
        <v>45593</v>
      </c>
      <c r="D509" t="s">
        <v>206</v>
      </c>
      <c r="E509" t="s">
        <v>277</v>
      </c>
      <c r="F509" t="s">
        <v>323</v>
      </c>
      <c r="G509" t="s">
        <v>223</v>
      </c>
      <c r="H509" t="s">
        <v>216</v>
      </c>
      <c r="I509" t="s">
        <v>195</v>
      </c>
      <c r="J509" t="s">
        <v>196</v>
      </c>
      <c r="K509" t="s">
        <v>1277</v>
      </c>
      <c r="L509">
        <v>1331.77</v>
      </c>
      <c r="M509">
        <v>2606.11</v>
      </c>
      <c r="N509">
        <v>0.02</v>
      </c>
      <c r="O509">
        <v>6</v>
      </c>
    </row>
    <row r="510" spans="1:15">
      <c r="A510" t="s">
        <v>1278</v>
      </c>
      <c r="B510" s="29">
        <v>45029</v>
      </c>
      <c r="C510" s="29">
        <v>45036</v>
      </c>
      <c r="D510" t="s">
        <v>239</v>
      </c>
      <c r="E510" t="s">
        <v>251</v>
      </c>
      <c r="F510" t="s">
        <v>299</v>
      </c>
      <c r="G510" t="s">
        <v>223</v>
      </c>
      <c r="H510" t="s">
        <v>189</v>
      </c>
      <c r="I510" t="s">
        <v>236</v>
      </c>
      <c r="J510" t="s">
        <v>218</v>
      </c>
      <c r="K510" t="s">
        <v>1279</v>
      </c>
      <c r="L510">
        <v>227.02</v>
      </c>
      <c r="M510">
        <v>434.72</v>
      </c>
      <c r="N510">
        <v>0.098</v>
      </c>
      <c r="O510">
        <v>10</v>
      </c>
    </row>
    <row r="511" spans="1:15">
      <c r="A511" t="s">
        <v>1280</v>
      </c>
      <c r="B511" s="29">
        <v>45608</v>
      </c>
      <c r="C511" s="29">
        <v>45617</v>
      </c>
      <c r="D511" t="s">
        <v>206</v>
      </c>
      <c r="E511" t="s">
        <v>221</v>
      </c>
      <c r="F511" t="s">
        <v>381</v>
      </c>
      <c r="G511" t="s">
        <v>180</v>
      </c>
      <c r="H511" t="s">
        <v>259</v>
      </c>
      <c r="I511" t="s">
        <v>253</v>
      </c>
      <c r="J511" t="s">
        <v>218</v>
      </c>
      <c r="K511" t="s">
        <v>1281</v>
      </c>
      <c r="L511">
        <v>903.41</v>
      </c>
      <c r="M511">
        <v>1860.41</v>
      </c>
      <c r="N511">
        <v>0.108</v>
      </c>
      <c r="O511">
        <v>5</v>
      </c>
    </row>
    <row r="512" spans="1:15">
      <c r="A512" t="s">
        <v>1282</v>
      </c>
      <c r="B512" s="29">
        <v>45056</v>
      </c>
      <c r="C512" s="29">
        <v>45060</v>
      </c>
      <c r="D512" t="s">
        <v>206</v>
      </c>
      <c r="E512" t="s">
        <v>221</v>
      </c>
      <c r="F512" t="s">
        <v>302</v>
      </c>
      <c r="G512" t="s">
        <v>200</v>
      </c>
      <c r="H512" t="s">
        <v>216</v>
      </c>
      <c r="I512" t="s">
        <v>182</v>
      </c>
      <c r="J512" t="s">
        <v>225</v>
      </c>
      <c r="K512" t="s">
        <v>1283</v>
      </c>
      <c r="L512">
        <v>622.6</v>
      </c>
      <c r="M512">
        <v>833.69</v>
      </c>
      <c r="N512">
        <v>0.209</v>
      </c>
      <c r="O512">
        <v>14</v>
      </c>
    </row>
    <row r="513" spans="1:15">
      <c r="A513" t="s">
        <v>1284</v>
      </c>
      <c r="B513" s="29">
        <v>45353</v>
      </c>
      <c r="C513" s="29">
        <v>45374</v>
      </c>
      <c r="D513" t="s">
        <v>213</v>
      </c>
      <c r="E513" t="s">
        <v>283</v>
      </c>
      <c r="F513" t="s">
        <v>284</v>
      </c>
      <c r="G513" t="s">
        <v>223</v>
      </c>
      <c r="H513" t="s">
        <v>189</v>
      </c>
      <c r="I513" t="s">
        <v>245</v>
      </c>
      <c r="J513" t="s">
        <v>183</v>
      </c>
      <c r="K513" t="s">
        <v>1285</v>
      </c>
      <c r="L513">
        <v>225.01</v>
      </c>
      <c r="M513">
        <v>333.48</v>
      </c>
      <c r="N513">
        <v>0.119</v>
      </c>
      <c r="O513">
        <v>12</v>
      </c>
    </row>
    <row r="514" spans="1:15">
      <c r="A514" t="s">
        <v>1286</v>
      </c>
      <c r="B514" s="29">
        <v>45575</v>
      </c>
      <c r="C514" s="29">
        <v>45576</v>
      </c>
      <c r="D514" t="s">
        <v>239</v>
      </c>
      <c r="E514" t="s">
        <v>269</v>
      </c>
      <c r="F514" t="s">
        <v>389</v>
      </c>
      <c r="G514" t="s">
        <v>200</v>
      </c>
      <c r="H514" t="s">
        <v>216</v>
      </c>
      <c r="I514" t="s">
        <v>210</v>
      </c>
      <c r="J514" t="s">
        <v>183</v>
      </c>
      <c r="K514" t="s">
        <v>1287</v>
      </c>
      <c r="L514">
        <v>1389.46</v>
      </c>
      <c r="M514">
        <v>1784.7</v>
      </c>
      <c r="N514">
        <v>0.146</v>
      </c>
      <c r="O514">
        <v>33</v>
      </c>
    </row>
    <row r="515" spans="1:15">
      <c r="A515" t="s">
        <v>1288</v>
      </c>
      <c r="B515" s="29">
        <v>45078</v>
      </c>
      <c r="C515" s="29">
        <v>45085</v>
      </c>
      <c r="D515" t="s">
        <v>239</v>
      </c>
      <c r="E515" t="s">
        <v>240</v>
      </c>
      <c r="F515" t="s">
        <v>496</v>
      </c>
      <c r="G515" t="s">
        <v>209</v>
      </c>
      <c r="H515" t="s">
        <v>189</v>
      </c>
      <c r="I515" t="s">
        <v>236</v>
      </c>
      <c r="J515" t="s">
        <v>203</v>
      </c>
      <c r="K515" t="s">
        <v>1289</v>
      </c>
      <c r="L515">
        <v>804.17</v>
      </c>
      <c r="M515">
        <v>1072.29</v>
      </c>
      <c r="N515">
        <v>0.032</v>
      </c>
      <c r="O515">
        <v>5</v>
      </c>
    </row>
    <row r="516" spans="1:15">
      <c r="A516" t="s">
        <v>1290</v>
      </c>
      <c r="B516" s="29">
        <v>45661</v>
      </c>
      <c r="C516" s="29">
        <v>45662</v>
      </c>
      <c r="D516" t="s">
        <v>206</v>
      </c>
      <c r="E516" t="s">
        <v>221</v>
      </c>
      <c r="F516" t="s">
        <v>302</v>
      </c>
      <c r="G516" t="s">
        <v>188</v>
      </c>
      <c r="H516" t="s">
        <v>181</v>
      </c>
      <c r="I516" t="s">
        <v>195</v>
      </c>
      <c r="J516" t="s">
        <v>183</v>
      </c>
      <c r="K516" t="s">
        <v>1291</v>
      </c>
      <c r="L516">
        <v>1428.33</v>
      </c>
      <c r="M516">
        <v>3028.05</v>
      </c>
      <c r="N516">
        <v>0</v>
      </c>
      <c r="O516">
        <v>11</v>
      </c>
    </row>
    <row r="517" spans="1:15">
      <c r="A517" t="s">
        <v>1292</v>
      </c>
      <c r="B517" s="29">
        <v>45874</v>
      </c>
      <c r="C517" s="29">
        <v>45897</v>
      </c>
      <c r="D517" t="s">
        <v>206</v>
      </c>
      <c r="E517" t="s">
        <v>221</v>
      </c>
      <c r="F517" t="s">
        <v>381</v>
      </c>
      <c r="G517" t="s">
        <v>200</v>
      </c>
      <c r="H517" t="s">
        <v>216</v>
      </c>
      <c r="I517" t="s">
        <v>287</v>
      </c>
      <c r="J517" t="s">
        <v>218</v>
      </c>
      <c r="K517" t="s">
        <v>1293</v>
      </c>
      <c r="L517">
        <v>638.54</v>
      </c>
      <c r="M517">
        <v>987.24</v>
      </c>
      <c r="N517">
        <v>0</v>
      </c>
      <c r="O517">
        <v>11</v>
      </c>
    </row>
    <row r="518" spans="1:15">
      <c r="A518" t="s">
        <v>1294</v>
      </c>
      <c r="B518" s="29">
        <v>45199</v>
      </c>
      <c r="C518" s="29">
        <v>45229</v>
      </c>
      <c r="D518" t="s">
        <v>206</v>
      </c>
      <c r="E518" t="s">
        <v>207</v>
      </c>
      <c r="F518" t="s">
        <v>375</v>
      </c>
      <c r="G518" t="s">
        <v>266</v>
      </c>
      <c r="H518" t="s">
        <v>189</v>
      </c>
      <c r="I518" t="s">
        <v>306</v>
      </c>
      <c r="J518" t="s">
        <v>191</v>
      </c>
      <c r="K518" t="s">
        <v>1295</v>
      </c>
      <c r="L518">
        <v>649.13</v>
      </c>
      <c r="M518">
        <v>975.43</v>
      </c>
      <c r="N518">
        <v>0.157</v>
      </c>
      <c r="O518">
        <v>27</v>
      </c>
    </row>
    <row r="519" spans="1:15">
      <c r="A519" t="s">
        <v>1296</v>
      </c>
      <c r="B519" s="29">
        <v>45794</v>
      </c>
      <c r="C519" s="29">
        <v>45807</v>
      </c>
      <c r="D519" t="s">
        <v>177</v>
      </c>
      <c r="E519" t="s">
        <v>186</v>
      </c>
      <c r="F519" t="s">
        <v>199</v>
      </c>
      <c r="G519" t="s">
        <v>209</v>
      </c>
      <c r="H519" t="s">
        <v>216</v>
      </c>
      <c r="I519" t="s">
        <v>245</v>
      </c>
      <c r="J519" t="s">
        <v>242</v>
      </c>
      <c r="K519" t="s">
        <v>1297</v>
      </c>
      <c r="L519">
        <v>66.4</v>
      </c>
      <c r="M519">
        <v>141.43</v>
      </c>
      <c r="N519">
        <v>0.107</v>
      </c>
      <c r="O519">
        <v>8</v>
      </c>
    </row>
    <row r="520" spans="1:15">
      <c r="A520" t="s">
        <v>1298</v>
      </c>
      <c r="B520" s="29">
        <v>45413</v>
      </c>
      <c r="C520" s="29">
        <v>45438</v>
      </c>
      <c r="D520" t="s">
        <v>239</v>
      </c>
      <c r="E520" t="s">
        <v>240</v>
      </c>
      <c r="F520" t="s">
        <v>241</v>
      </c>
      <c r="G520" t="s">
        <v>200</v>
      </c>
      <c r="H520" t="s">
        <v>181</v>
      </c>
      <c r="I520" t="s">
        <v>217</v>
      </c>
      <c r="J520" t="s">
        <v>196</v>
      </c>
      <c r="K520" t="s">
        <v>1299</v>
      </c>
      <c r="L520">
        <v>930.71</v>
      </c>
      <c r="M520">
        <v>1625.42</v>
      </c>
      <c r="N520">
        <v>0.138</v>
      </c>
      <c r="O520">
        <v>7</v>
      </c>
    </row>
    <row r="521" spans="1:15">
      <c r="A521" t="s">
        <v>1300</v>
      </c>
      <c r="B521" s="29">
        <v>45047</v>
      </c>
      <c r="C521" s="29">
        <v>45064</v>
      </c>
      <c r="D521" t="s">
        <v>177</v>
      </c>
      <c r="E521" t="s">
        <v>186</v>
      </c>
      <c r="F521" t="s">
        <v>187</v>
      </c>
      <c r="G521" t="s">
        <v>180</v>
      </c>
      <c r="H521" t="s">
        <v>259</v>
      </c>
      <c r="I521" t="s">
        <v>245</v>
      </c>
      <c r="J521" t="s">
        <v>183</v>
      </c>
      <c r="K521" t="s">
        <v>1301</v>
      </c>
      <c r="L521">
        <v>327.97</v>
      </c>
      <c r="M521">
        <v>299.94</v>
      </c>
      <c r="N521">
        <v>0.049</v>
      </c>
      <c r="O521">
        <v>3</v>
      </c>
    </row>
    <row r="522" spans="1:15">
      <c r="A522" t="s">
        <v>1302</v>
      </c>
      <c r="B522" s="29">
        <v>45482</v>
      </c>
      <c r="C522" s="29">
        <v>45512</v>
      </c>
      <c r="D522" t="s">
        <v>239</v>
      </c>
      <c r="E522" t="s">
        <v>251</v>
      </c>
      <c r="F522" t="s">
        <v>252</v>
      </c>
      <c r="G522" t="s">
        <v>180</v>
      </c>
      <c r="H522" t="s">
        <v>259</v>
      </c>
      <c r="I522" t="s">
        <v>190</v>
      </c>
      <c r="J522" t="s">
        <v>183</v>
      </c>
      <c r="K522" t="s">
        <v>1303</v>
      </c>
      <c r="L522">
        <v>1062.38</v>
      </c>
      <c r="M522">
        <v>1503.96</v>
      </c>
      <c r="N522">
        <v>0.18</v>
      </c>
      <c r="O522">
        <v>6</v>
      </c>
    </row>
    <row r="523" spans="1:15">
      <c r="A523" t="s">
        <v>1304</v>
      </c>
      <c r="B523" s="29">
        <v>45056</v>
      </c>
      <c r="C523" s="29">
        <v>45073</v>
      </c>
      <c r="D523" t="s">
        <v>206</v>
      </c>
      <c r="E523" t="s">
        <v>221</v>
      </c>
      <c r="F523" t="s">
        <v>381</v>
      </c>
      <c r="G523" t="s">
        <v>209</v>
      </c>
      <c r="H523" t="s">
        <v>181</v>
      </c>
      <c r="I523" t="s">
        <v>271</v>
      </c>
      <c r="J523" t="s">
        <v>218</v>
      </c>
      <c r="K523" t="s">
        <v>1305</v>
      </c>
      <c r="L523">
        <v>1286.16</v>
      </c>
      <c r="M523">
        <v>3101.11</v>
      </c>
      <c r="N523">
        <v>0.1</v>
      </c>
      <c r="O523">
        <v>23</v>
      </c>
    </row>
    <row r="524" spans="1:15">
      <c r="A524" t="s">
        <v>1306</v>
      </c>
      <c r="B524" s="29">
        <v>45482</v>
      </c>
      <c r="C524" s="29">
        <v>45485</v>
      </c>
      <c r="D524" t="s">
        <v>206</v>
      </c>
      <c r="E524" t="s">
        <v>277</v>
      </c>
      <c r="F524" t="s">
        <v>323</v>
      </c>
      <c r="G524" t="s">
        <v>223</v>
      </c>
      <c r="H524" t="s">
        <v>181</v>
      </c>
      <c r="I524" t="s">
        <v>306</v>
      </c>
      <c r="J524" t="s">
        <v>242</v>
      </c>
      <c r="K524" t="s">
        <v>1307</v>
      </c>
      <c r="L524">
        <v>748.39</v>
      </c>
      <c r="M524">
        <v>979.42</v>
      </c>
      <c r="N524">
        <v>0</v>
      </c>
      <c r="O524">
        <v>23</v>
      </c>
    </row>
    <row r="525" spans="1:15">
      <c r="A525" t="s">
        <v>1308</v>
      </c>
      <c r="B525" s="29">
        <v>45406</v>
      </c>
      <c r="C525" s="29">
        <v>45422</v>
      </c>
      <c r="D525" t="s">
        <v>177</v>
      </c>
      <c r="E525" t="s">
        <v>178</v>
      </c>
      <c r="F525" t="s">
        <v>179</v>
      </c>
      <c r="G525" t="s">
        <v>200</v>
      </c>
      <c r="H525" t="s">
        <v>189</v>
      </c>
      <c r="I525" t="s">
        <v>287</v>
      </c>
      <c r="J525" t="s">
        <v>225</v>
      </c>
      <c r="K525" t="s">
        <v>1309</v>
      </c>
      <c r="L525">
        <v>513.31</v>
      </c>
      <c r="M525">
        <v>1186.26</v>
      </c>
      <c r="N525">
        <v>0.094</v>
      </c>
      <c r="O525">
        <v>15</v>
      </c>
    </row>
    <row r="526" spans="1:15">
      <c r="A526" t="s">
        <v>1310</v>
      </c>
      <c r="B526" s="29">
        <v>45304</v>
      </c>
      <c r="C526" s="29">
        <v>45306</v>
      </c>
      <c r="D526" t="s">
        <v>213</v>
      </c>
      <c r="E526" t="s">
        <v>283</v>
      </c>
      <c r="F526" t="s">
        <v>328</v>
      </c>
      <c r="G526" t="s">
        <v>200</v>
      </c>
      <c r="H526" t="s">
        <v>259</v>
      </c>
      <c r="I526" t="s">
        <v>224</v>
      </c>
      <c r="J526" t="s">
        <v>183</v>
      </c>
      <c r="K526" t="s">
        <v>1311</v>
      </c>
      <c r="L526">
        <v>1061.37</v>
      </c>
      <c r="M526">
        <v>1938.33</v>
      </c>
      <c r="N526">
        <v>0.17</v>
      </c>
      <c r="O526">
        <v>4</v>
      </c>
    </row>
    <row r="527" spans="1:15">
      <c r="A527" t="s">
        <v>1312</v>
      </c>
      <c r="B527" s="29">
        <v>45398</v>
      </c>
      <c r="C527" s="29">
        <v>45409</v>
      </c>
      <c r="D527" t="s">
        <v>177</v>
      </c>
      <c r="E527" t="s">
        <v>178</v>
      </c>
      <c r="F527" t="s">
        <v>296</v>
      </c>
      <c r="G527" t="s">
        <v>266</v>
      </c>
      <c r="H527" t="s">
        <v>189</v>
      </c>
      <c r="I527" t="s">
        <v>306</v>
      </c>
      <c r="J527" t="s">
        <v>191</v>
      </c>
      <c r="K527" t="s">
        <v>1313</v>
      </c>
      <c r="L527">
        <v>401.3</v>
      </c>
      <c r="M527">
        <v>826.47</v>
      </c>
      <c r="N527">
        <v>0.225</v>
      </c>
      <c r="O527">
        <v>13</v>
      </c>
    </row>
    <row r="528" spans="1:15">
      <c r="A528" t="s">
        <v>1314</v>
      </c>
      <c r="B528" s="29">
        <v>45695</v>
      </c>
      <c r="C528" s="29">
        <v>45704</v>
      </c>
      <c r="D528" t="s">
        <v>177</v>
      </c>
      <c r="E528" t="s">
        <v>186</v>
      </c>
      <c r="F528" t="s">
        <v>199</v>
      </c>
      <c r="G528" t="s">
        <v>223</v>
      </c>
      <c r="H528" t="s">
        <v>216</v>
      </c>
      <c r="I528" t="s">
        <v>182</v>
      </c>
      <c r="J528" t="s">
        <v>191</v>
      </c>
      <c r="K528" t="s">
        <v>1315</v>
      </c>
      <c r="L528">
        <v>90.68</v>
      </c>
      <c r="M528">
        <v>118.17</v>
      </c>
      <c r="N528">
        <v>0.135</v>
      </c>
      <c r="O528">
        <v>21</v>
      </c>
    </row>
    <row r="529" spans="1:15">
      <c r="A529" t="s">
        <v>1316</v>
      </c>
      <c r="B529" s="29">
        <v>44938</v>
      </c>
      <c r="C529" s="29">
        <v>44952</v>
      </c>
      <c r="D529" t="s">
        <v>206</v>
      </c>
      <c r="E529" t="s">
        <v>277</v>
      </c>
      <c r="F529" t="s">
        <v>278</v>
      </c>
      <c r="G529" t="s">
        <v>200</v>
      </c>
      <c r="H529" t="s">
        <v>181</v>
      </c>
      <c r="I529" t="s">
        <v>271</v>
      </c>
      <c r="J529" t="s">
        <v>191</v>
      </c>
      <c r="K529" t="s">
        <v>1317</v>
      </c>
      <c r="L529">
        <v>1083.09</v>
      </c>
      <c r="M529">
        <v>1425.87</v>
      </c>
      <c r="N529">
        <v>0</v>
      </c>
      <c r="O529">
        <v>8</v>
      </c>
    </row>
    <row r="530" spans="1:15">
      <c r="A530" t="s">
        <v>1318</v>
      </c>
      <c r="B530" s="29">
        <v>45448</v>
      </c>
      <c r="C530" s="29">
        <v>45466</v>
      </c>
      <c r="D530" t="s">
        <v>177</v>
      </c>
      <c r="E530" t="s">
        <v>178</v>
      </c>
      <c r="F530" t="s">
        <v>194</v>
      </c>
      <c r="G530" t="s">
        <v>209</v>
      </c>
      <c r="H530" t="s">
        <v>216</v>
      </c>
      <c r="I530" t="s">
        <v>306</v>
      </c>
      <c r="J530" t="s">
        <v>218</v>
      </c>
      <c r="K530" t="s">
        <v>1319</v>
      </c>
      <c r="L530">
        <v>1208.74</v>
      </c>
      <c r="M530">
        <v>1594.78</v>
      </c>
      <c r="N530">
        <v>0.059</v>
      </c>
      <c r="O530">
        <v>39</v>
      </c>
    </row>
    <row r="531" spans="1:15">
      <c r="A531" t="s">
        <v>1320</v>
      </c>
      <c r="B531" s="29">
        <v>45162</v>
      </c>
      <c r="C531" s="29">
        <v>45189</v>
      </c>
      <c r="D531" t="s">
        <v>177</v>
      </c>
      <c r="E531" t="s">
        <v>309</v>
      </c>
      <c r="F531" t="s">
        <v>333</v>
      </c>
      <c r="G531" t="s">
        <v>223</v>
      </c>
      <c r="H531" t="s">
        <v>201</v>
      </c>
      <c r="I531" t="s">
        <v>271</v>
      </c>
      <c r="J531" t="s">
        <v>191</v>
      </c>
      <c r="K531" t="s">
        <v>1321</v>
      </c>
      <c r="L531">
        <v>1399.64</v>
      </c>
      <c r="M531">
        <v>3342.11</v>
      </c>
      <c r="N531">
        <v>0</v>
      </c>
      <c r="O531">
        <v>10</v>
      </c>
    </row>
    <row r="532" spans="1:15">
      <c r="A532" t="s">
        <v>1322</v>
      </c>
      <c r="B532" s="29">
        <v>45316</v>
      </c>
      <c r="C532" s="29">
        <v>45330</v>
      </c>
      <c r="D532" t="s">
        <v>206</v>
      </c>
      <c r="E532" t="s">
        <v>207</v>
      </c>
      <c r="F532" t="s">
        <v>208</v>
      </c>
      <c r="G532" t="s">
        <v>209</v>
      </c>
      <c r="H532" t="s">
        <v>201</v>
      </c>
      <c r="I532" t="s">
        <v>195</v>
      </c>
      <c r="J532" t="s">
        <v>196</v>
      </c>
      <c r="K532" t="s">
        <v>1323</v>
      </c>
      <c r="L532">
        <v>937.16</v>
      </c>
      <c r="M532">
        <v>1069.77</v>
      </c>
      <c r="N532">
        <v>0.038</v>
      </c>
      <c r="O532">
        <v>9</v>
      </c>
    </row>
    <row r="533" spans="1:15">
      <c r="A533" t="s">
        <v>1324</v>
      </c>
      <c r="B533" s="29">
        <v>45727</v>
      </c>
      <c r="C533" s="29">
        <v>45742</v>
      </c>
      <c r="D533" t="s">
        <v>239</v>
      </c>
      <c r="E533" t="s">
        <v>240</v>
      </c>
      <c r="F533" t="s">
        <v>241</v>
      </c>
      <c r="G533" t="s">
        <v>223</v>
      </c>
      <c r="H533" t="s">
        <v>189</v>
      </c>
      <c r="I533" t="s">
        <v>195</v>
      </c>
      <c r="J533" t="s">
        <v>203</v>
      </c>
      <c r="K533" t="s">
        <v>1325</v>
      </c>
      <c r="L533">
        <v>116.97</v>
      </c>
      <c r="M533">
        <v>140.82</v>
      </c>
      <c r="N533">
        <v>0.122</v>
      </c>
      <c r="O533">
        <v>5</v>
      </c>
    </row>
    <row r="534" spans="1:15">
      <c r="A534" t="s">
        <v>1326</v>
      </c>
      <c r="B534" s="29">
        <v>45769</v>
      </c>
      <c r="C534" s="29">
        <v>45789</v>
      </c>
      <c r="D534" t="s">
        <v>239</v>
      </c>
      <c r="E534" t="s">
        <v>251</v>
      </c>
      <c r="F534" t="s">
        <v>299</v>
      </c>
      <c r="G534" t="s">
        <v>266</v>
      </c>
      <c r="H534" t="s">
        <v>201</v>
      </c>
      <c r="I534" t="s">
        <v>256</v>
      </c>
      <c r="J534" t="s">
        <v>225</v>
      </c>
      <c r="K534" t="s">
        <v>1327</v>
      </c>
      <c r="L534">
        <v>59.51</v>
      </c>
      <c r="M534">
        <v>67.04</v>
      </c>
      <c r="N534">
        <v>0.114</v>
      </c>
      <c r="O534">
        <v>9</v>
      </c>
    </row>
    <row r="535" spans="1:15">
      <c r="A535" t="s">
        <v>1328</v>
      </c>
      <c r="B535" s="29">
        <v>45155</v>
      </c>
      <c r="C535" s="29">
        <v>45172</v>
      </c>
      <c r="D535" t="s">
        <v>177</v>
      </c>
      <c r="E535" t="s">
        <v>309</v>
      </c>
      <c r="F535" t="s">
        <v>333</v>
      </c>
      <c r="G535" t="s">
        <v>266</v>
      </c>
      <c r="H535" t="s">
        <v>181</v>
      </c>
      <c r="I535" t="s">
        <v>236</v>
      </c>
      <c r="J535" t="s">
        <v>203</v>
      </c>
      <c r="K535" t="s">
        <v>1329</v>
      </c>
      <c r="L535">
        <v>676.37</v>
      </c>
      <c r="M535">
        <v>1276.67</v>
      </c>
      <c r="N535">
        <v>0.066</v>
      </c>
      <c r="O535">
        <v>10</v>
      </c>
    </row>
    <row r="536" spans="1:15">
      <c r="A536" t="s">
        <v>1330</v>
      </c>
      <c r="B536" s="29">
        <v>45832</v>
      </c>
      <c r="C536" s="29">
        <v>45852</v>
      </c>
      <c r="D536" t="s">
        <v>177</v>
      </c>
      <c r="E536" t="s">
        <v>309</v>
      </c>
      <c r="F536" t="s">
        <v>310</v>
      </c>
      <c r="G536" t="s">
        <v>266</v>
      </c>
      <c r="H536" t="s">
        <v>201</v>
      </c>
      <c r="I536" t="s">
        <v>190</v>
      </c>
      <c r="J536" t="s">
        <v>218</v>
      </c>
      <c r="K536" t="s">
        <v>1331</v>
      </c>
      <c r="L536">
        <v>1151.06</v>
      </c>
      <c r="M536">
        <v>2821.36</v>
      </c>
      <c r="N536">
        <v>0.248</v>
      </c>
      <c r="O536">
        <v>20</v>
      </c>
    </row>
    <row r="537" spans="1:15">
      <c r="A537" t="s">
        <v>1332</v>
      </c>
      <c r="B537" s="29">
        <v>45667</v>
      </c>
      <c r="C537" s="29">
        <v>45694</v>
      </c>
      <c r="D537" t="s">
        <v>213</v>
      </c>
      <c r="E537" t="s">
        <v>234</v>
      </c>
      <c r="F537" t="s">
        <v>248</v>
      </c>
      <c r="G537" t="s">
        <v>200</v>
      </c>
      <c r="H537" t="s">
        <v>181</v>
      </c>
      <c r="I537" t="s">
        <v>217</v>
      </c>
      <c r="J537" t="s">
        <v>218</v>
      </c>
      <c r="K537" t="s">
        <v>1333</v>
      </c>
      <c r="L537">
        <v>725.62</v>
      </c>
      <c r="M537">
        <v>1559.19</v>
      </c>
      <c r="N537">
        <v>0.19</v>
      </c>
      <c r="O537">
        <v>12</v>
      </c>
    </row>
    <row r="538" spans="1:15">
      <c r="A538" t="s">
        <v>1334</v>
      </c>
      <c r="B538" s="29">
        <v>45108</v>
      </c>
      <c r="C538" s="29">
        <v>45118</v>
      </c>
      <c r="D538" t="s">
        <v>239</v>
      </c>
      <c r="E538" t="s">
        <v>251</v>
      </c>
      <c r="F538" t="s">
        <v>378</v>
      </c>
      <c r="G538" t="s">
        <v>180</v>
      </c>
      <c r="H538" t="s">
        <v>259</v>
      </c>
      <c r="I538" t="s">
        <v>245</v>
      </c>
      <c r="J538" t="s">
        <v>196</v>
      </c>
      <c r="K538" t="s">
        <v>1335</v>
      </c>
      <c r="L538">
        <v>479.5</v>
      </c>
      <c r="M538">
        <v>656.66</v>
      </c>
      <c r="N538">
        <v>0.149</v>
      </c>
      <c r="O538">
        <v>14</v>
      </c>
    </row>
    <row r="539" spans="1:15">
      <c r="A539" t="s">
        <v>1336</v>
      </c>
      <c r="B539" s="29">
        <v>45520</v>
      </c>
      <c r="C539" s="29">
        <v>45530</v>
      </c>
      <c r="D539" t="s">
        <v>213</v>
      </c>
      <c r="E539" t="s">
        <v>283</v>
      </c>
      <c r="F539" t="s">
        <v>284</v>
      </c>
      <c r="G539" t="s">
        <v>180</v>
      </c>
      <c r="H539" t="s">
        <v>216</v>
      </c>
      <c r="I539" t="s">
        <v>210</v>
      </c>
      <c r="J539" t="s">
        <v>218</v>
      </c>
      <c r="K539" t="s">
        <v>1039</v>
      </c>
      <c r="L539">
        <v>1291.7</v>
      </c>
      <c r="M539">
        <v>2657.84</v>
      </c>
      <c r="N539">
        <v>0.087</v>
      </c>
      <c r="O539">
        <v>21</v>
      </c>
    </row>
    <row r="540" spans="1:15">
      <c r="A540" t="s">
        <v>1337</v>
      </c>
      <c r="B540" s="29">
        <v>45114</v>
      </c>
      <c r="C540" s="29">
        <v>45120</v>
      </c>
      <c r="D540" t="s">
        <v>177</v>
      </c>
      <c r="E540" t="s">
        <v>309</v>
      </c>
      <c r="F540" t="s">
        <v>419</v>
      </c>
      <c r="G540" t="s">
        <v>223</v>
      </c>
      <c r="H540" t="s">
        <v>201</v>
      </c>
      <c r="I540" t="s">
        <v>217</v>
      </c>
      <c r="J540" t="s">
        <v>242</v>
      </c>
      <c r="K540" t="s">
        <v>1338</v>
      </c>
      <c r="L540">
        <v>612.59</v>
      </c>
      <c r="M540">
        <v>1424.74</v>
      </c>
      <c r="N540">
        <v>0.044</v>
      </c>
      <c r="O540">
        <v>15</v>
      </c>
    </row>
    <row r="541" spans="1:15">
      <c r="A541" t="s">
        <v>1339</v>
      </c>
      <c r="B541" s="29">
        <v>45288</v>
      </c>
      <c r="C541" s="29">
        <v>45292</v>
      </c>
      <c r="D541" t="s">
        <v>177</v>
      </c>
      <c r="E541" t="s">
        <v>309</v>
      </c>
      <c r="F541" t="s">
        <v>419</v>
      </c>
      <c r="G541" t="s">
        <v>188</v>
      </c>
      <c r="H541" t="s">
        <v>216</v>
      </c>
      <c r="I541" t="s">
        <v>236</v>
      </c>
      <c r="J541" t="s">
        <v>191</v>
      </c>
      <c r="K541" t="s">
        <v>1340</v>
      </c>
      <c r="L541">
        <v>1141.8</v>
      </c>
      <c r="M541">
        <v>2318.74</v>
      </c>
      <c r="N541">
        <v>0.107</v>
      </c>
      <c r="O541">
        <v>32</v>
      </c>
    </row>
    <row r="542" spans="1:15">
      <c r="A542" t="s">
        <v>1341</v>
      </c>
      <c r="B542" s="29">
        <v>44952</v>
      </c>
      <c r="C542" s="29">
        <v>44972</v>
      </c>
      <c r="D542" t="s">
        <v>239</v>
      </c>
      <c r="E542" t="s">
        <v>240</v>
      </c>
      <c r="F542" t="s">
        <v>241</v>
      </c>
      <c r="G542" t="s">
        <v>223</v>
      </c>
      <c r="H542" t="s">
        <v>189</v>
      </c>
      <c r="I542" t="s">
        <v>229</v>
      </c>
      <c r="J542" t="s">
        <v>196</v>
      </c>
      <c r="K542" t="s">
        <v>1342</v>
      </c>
      <c r="L542">
        <v>492.62</v>
      </c>
      <c r="M542">
        <v>366.7</v>
      </c>
      <c r="N542">
        <v>0.089</v>
      </c>
      <c r="O542">
        <v>10</v>
      </c>
    </row>
    <row r="543" spans="1:15">
      <c r="A543" t="s">
        <v>1343</v>
      </c>
      <c r="B543" s="29">
        <v>45115</v>
      </c>
      <c r="C543" s="29">
        <v>45116</v>
      </c>
      <c r="D543" t="s">
        <v>177</v>
      </c>
      <c r="E543" t="s">
        <v>178</v>
      </c>
      <c r="F543" t="s">
        <v>194</v>
      </c>
      <c r="G543" t="s">
        <v>209</v>
      </c>
      <c r="H543" t="s">
        <v>189</v>
      </c>
      <c r="I543" t="s">
        <v>306</v>
      </c>
      <c r="J543" t="s">
        <v>218</v>
      </c>
      <c r="K543" t="s">
        <v>1344</v>
      </c>
      <c r="L543">
        <v>1258.72</v>
      </c>
      <c r="M543">
        <v>2797.41</v>
      </c>
      <c r="N543">
        <v>0</v>
      </c>
      <c r="O543">
        <v>7</v>
      </c>
    </row>
    <row r="544" spans="1:15">
      <c r="A544" t="s">
        <v>1345</v>
      </c>
      <c r="B544" s="29">
        <v>45450</v>
      </c>
      <c r="C544" s="29">
        <v>45452</v>
      </c>
      <c r="D544" t="s">
        <v>206</v>
      </c>
      <c r="E544" t="s">
        <v>277</v>
      </c>
      <c r="F544" t="s">
        <v>323</v>
      </c>
      <c r="G544" t="s">
        <v>180</v>
      </c>
      <c r="H544" t="s">
        <v>181</v>
      </c>
      <c r="I544" t="s">
        <v>229</v>
      </c>
      <c r="J544" t="s">
        <v>225</v>
      </c>
      <c r="K544" t="s">
        <v>1346</v>
      </c>
      <c r="L544">
        <v>1370.28</v>
      </c>
      <c r="M544">
        <v>2209.66</v>
      </c>
      <c r="N544">
        <v>0.133</v>
      </c>
      <c r="O544">
        <v>16</v>
      </c>
    </row>
    <row r="545" spans="1:15">
      <c r="A545" t="s">
        <v>1347</v>
      </c>
      <c r="B545" s="29">
        <v>44968</v>
      </c>
      <c r="C545" s="29">
        <v>44969</v>
      </c>
      <c r="D545" t="s">
        <v>177</v>
      </c>
      <c r="E545" t="s">
        <v>186</v>
      </c>
      <c r="F545" t="s">
        <v>187</v>
      </c>
      <c r="G545" t="s">
        <v>200</v>
      </c>
      <c r="H545" t="s">
        <v>259</v>
      </c>
      <c r="I545" t="s">
        <v>306</v>
      </c>
      <c r="J545" t="s">
        <v>242</v>
      </c>
      <c r="K545" t="s">
        <v>1348</v>
      </c>
      <c r="L545">
        <v>944.61</v>
      </c>
      <c r="M545">
        <v>839.04</v>
      </c>
      <c r="N545">
        <v>0.059</v>
      </c>
      <c r="O545">
        <v>6</v>
      </c>
    </row>
    <row r="546" spans="1:15">
      <c r="A546" t="s">
        <v>1349</v>
      </c>
      <c r="B546" s="29">
        <v>45108</v>
      </c>
      <c r="C546" s="29">
        <v>45115</v>
      </c>
      <c r="D546" t="s">
        <v>239</v>
      </c>
      <c r="E546" t="s">
        <v>240</v>
      </c>
      <c r="F546" t="s">
        <v>496</v>
      </c>
      <c r="G546" t="s">
        <v>223</v>
      </c>
      <c r="H546" t="s">
        <v>216</v>
      </c>
      <c r="I546" t="s">
        <v>287</v>
      </c>
      <c r="J546" t="s">
        <v>218</v>
      </c>
      <c r="K546" t="s">
        <v>1350</v>
      </c>
      <c r="L546">
        <v>460.21</v>
      </c>
      <c r="M546">
        <v>1139.15</v>
      </c>
      <c r="N546">
        <v>0.115</v>
      </c>
      <c r="O546">
        <v>14</v>
      </c>
    </row>
    <row r="547" spans="1:15">
      <c r="A547" t="s">
        <v>1351</v>
      </c>
      <c r="B547" s="29">
        <v>45889</v>
      </c>
      <c r="C547" s="29">
        <v>45895</v>
      </c>
      <c r="D547" t="s">
        <v>213</v>
      </c>
      <c r="E547" t="s">
        <v>283</v>
      </c>
      <c r="F547" t="s">
        <v>548</v>
      </c>
      <c r="G547" t="s">
        <v>180</v>
      </c>
      <c r="H547" t="s">
        <v>181</v>
      </c>
      <c r="I547" t="s">
        <v>271</v>
      </c>
      <c r="J547" t="s">
        <v>196</v>
      </c>
      <c r="K547" t="s">
        <v>1352</v>
      </c>
      <c r="L547">
        <v>1304.95</v>
      </c>
      <c r="M547">
        <v>1712.03</v>
      </c>
      <c r="N547">
        <v>0.212</v>
      </c>
      <c r="O547">
        <v>8</v>
      </c>
    </row>
    <row r="548" spans="1:15">
      <c r="A548" t="s">
        <v>1353</v>
      </c>
      <c r="B548" s="29">
        <v>45355</v>
      </c>
      <c r="C548" s="29">
        <v>45367</v>
      </c>
      <c r="D548" t="s">
        <v>177</v>
      </c>
      <c r="E548" t="s">
        <v>309</v>
      </c>
      <c r="F548" t="s">
        <v>310</v>
      </c>
      <c r="G548" t="s">
        <v>266</v>
      </c>
      <c r="H548" t="s">
        <v>216</v>
      </c>
      <c r="I548" t="s">
        <v>271</v>
      </c>
      <c r="J548" t="s">
        <v>225</v>
      </c>
      <c r="K548" t="s">
        <v>1354</v>
      </c>
      <c r="L548">
        <v>441.08</v>
      </c>
      <c r="M548">
        <v>1054.29</v>
      </c>
      <c r="N548">
        <v>0.237</v>
      </c>
      <c r="O548">
        <v>6</v>
      </c>
    </row>
    <row r="549" spans="1:15">
      <c r="A549" t="s">
        <v>1355</v>
      </c>
      <c r="B549" s="29">
        <v>45177</v>
      </c>
      <c r="C549" s="29">
        <v>45201</v>
      </c>
      <c r="D549" t="s">
        <v>213</v>
      </c>
      <c r="E549" t="s">
        <v>214</v>
      </c>
      <c r="F549" t="s">
        <v>215</v>
      </c>
      <c r="G549" t="s">
        <v>188</v>
      </c>
      <c r="H549" t="s">
        <v>259</v>
      </c>
      <c r="I549" t="s">
        <v>236</v>
      </c>
      <c r="J549" t="s">
        <v>242</v>
      </c>
      <c r="K549" t="s">
        <v>1356</v>
      </c>
      <c r="L549">
        <v>1299.03</v>
      </c>
      <c r="M549">
        <v>2451.22</v>
      </c>
      <c r="N549">
        <v>0.208</v>
      </c>
      <c r="O549">
        <v>8</v>
      </c>
    </row>
    <row r="550" spans="1:15">
      <c r="A550" t="s">
        <v>1357</v>
      </c>
      <c r="B550" s="29">
        <v>44985</v>
      </c>
      <c r="C550" s="29">
        <v>44991</v>
      </c>
      <c r="D550" t="s">
        <v>239</v>
      </c>
      <c r="E550" t="s">
        <v>240</v>
      </c>
      <c r="F550" t="s">
        <v>496</v>
      </c>
      <c r="G550" t="s">
        <v>223</v>
      </c>
      <c r="H550" t="s">
        <v>201</v>
      </c>
      <c r="I550" t="s">
        <v>306</v>
      </c>
      <c r="J550" t="s">
        <v>191</v>
      </c>
      <c r="K550" t="s">
        <v>1358</v>
      </c>
      <c r="L550">
        <v>880.02</v>
      </c>
      <c r="M550">
        <v>1251.21</v>
      </c>
      <c r="N550">
        <v>0.123</v>
      </c>
      <c r="O550">
        <v>29</v>
      </c>
    </row>
    <row r="551" spans="1:15">
      <c r="A551" t="s">
        <v>1359</v>
      </c>
      <c r="B551" s="29">
        <v>45486</v>
      </c>
      <c r="C551" s="29">
        <v>45507</v>
      </c>
      <c r="D551" t="s">
        <v>213</v>
      </c>
      <c r="E551" t="s">
        <v>234</v>
      </c>
      <c r="F551" t="s">
        <v>386</v>
      </c>
      <c r="G551" t="s">
        <v>180</v>
      </c>
      <c r="H551" t="s">
        <v>201</v>
      </c>
      <c r="I551" t="s">
        <v>271</v>
      </c>
      <c r="J551" t="s">
        <v>225</v>
      </c>
      <c r="K551" t="s">
        <v>1360</v>
      </c>
      <c r="L551">
        <v>702.98</v>
      </c>
      <c r="M551">
        <v>1104.8</v>
      </c>
      <c r="N551">
        <v>0.175</v>
      </c>
      <c r="O551">
        <v>12</v>
      </c>
    </row>
    <row r="552" spans="1:15">
      <c r="A552" t="s">
        <v>1361</v>
      </c>
      <c r="B552" s="29">
        <v>45633</v>
      </c>
      <c r="C552" s="29">
        <v>45652</v>
      </c>
      <c r="D552" t="s">
        <v>239</v>
      </c>
      <c r="E552" t="s">
        <v>269</v>
      </c>
      <c r="F552" t="s">
        <v>313</v>
      </c>
      <c r="G552" t="s">
        <v>266</v>
      </c>
      <c r="H552" t="s">
        <v>189</v>
      </c>
      <c r="I552" t="s">
        <v>306</v>
      </c>
      <c r="J552" t="s">
        <v>196</v>
      </c>
      <c r="K552" t="s">
        <v>1362</v>
      </c>
      <c r="L552">
        <v>1035.24</v>
      </c>
      <c r="M552">
        <v>2383.41</v>
      </c>
      <c r="N552">
        <v>0.17</v>
      </c>
      <c r="O552">
        <v>15</v>
      </c>
    </row>
    <row r="553" spans="1:15">
      <c r="A553" t="s">
        <v>1363</v>
      </c>
      <c r="B553" s="29">
        <v>45875</v>
      </c>
      <c r="C553" s="29">
        <v>45892</v>
      </c>
      <c r="D553" t="s">
        <v>213</v>
      </c>
      <c r="E553" t="s">
        <v>234</v>
      </c>
      <c r="F553" t="s">
        <v>248</v>
      </c>
      <c r="G553" t="s">
        <v>209</v>
      </c>
      <c r="H553" t="s">
        <v>216</v>
      </c>
      <c r="I553" t="s">
        <v>236</v>
      </c>
      <c r="J553" t="s">
        <v>225</v>
      </c>
      <c r="K553" t="s">
        <v>1364</v>
      </c>
      <c r="L553">
        <v>86.64</v>
      </c>
      <c r="M553">
        <v>213.06</v>
      </c>
      <c r="N553">
        <v>0.212</v>
      </c>
      <c r="O553">
        <v>11</v>
      </c>
    </row>
    <row r="554" spans="1:15">
      <c r="A554" t="s">
        <v>1365</v>
      </c>
      <c r="B554" s="29">
        <v>44988</v>
      </c>
      <c r="C554" s="29">
        <v>45005</v>
      </c>
      <c r="D554" t="s">
        <v>206</v>
      </c>
      <c r="E554" t="s">
        <v>207</v>
      </c>
      <c r="F554" t="s">
        <v>392</v>
      </c>
      <c r="G554" t="s">
        <v>223</v>
      </c>
      <c r="H554" t="s">
        <v>189</v>
      </c>
      <c r="I554" t="s">
        <v>306</v>
      </c>
      <c r="J554" t="s">
        <v>196</v>
      </c>
      <c r="K554" t="s">
        <v>1366</v>
      </c>
      <c r="L554">
        <v>1171.17</v>
      </c>
      <c r="M554">
        <v>2030.64</v>
      </c>
      <c r="N554">
        <v>0.157</v>
      </c>
      <c r="O554">
        <v>11</v>
      </c>
    </row>
    <row r="555" spans="1:15">
      <c r="A555" t="s">
        <v>1367</v>
      </c>
      <c r="B555" s="29">
        <v>45704</v>
      </c>
      <c r="C555" s="29">
        <v>45733</v>
      </c>
      <c r="D555" t="s">
        <v>239</v>
      </c>
      <c r="E555" t="s">
        <v>240</v>
      </c>
      <c r="F555" t="s">
        <v>320</v>
      </c>
      <c r="G555" t="s">
        <v>209</v>
      </c>
      <c r="H555" t="s">
        <v>181</v>
      </c>
      <c r="I555" t="s">
        <v>210</v>
      </c>
      <c r="J555" t="s">
        <v>242</v>
      </c>
      <c r="K555" t="s">
        <v>1368</v>
      </c>
      <c r="L555">
        <v>730.42</v>
      </c>
      <c r="M555">
        <v>956.7</v>
      </c>
      <c r="N555">
        <v>0.042</v>
      </c>
      <c r="O555">
        <v>22</v>
      </c>
    </row>
    <row r="556" spans="1:15">
      <c r="A556" t="s">
        <v>1369</v>
      </c>
      <c r="B556" s="29">
        <v>45703</v>
      </c>
      <c r="C556" s="29">
        <v>45717</v>
      </c>
      <c r="D556" t="s">
        <v>177</v>
      </c>
      <c r="E556" t="s">
        <v>178</v>
      </c>
      <c r="F556" t="s">
        <v>274</v>
      </c>
      <c r="G556" t="s">
        <v>188</v>
      </c>
      <c r="H556" t="s">
        <v>259</v>
      </c>
      <c r="I556" t="s">
        <v>210</v>
      </c>
      <c r="J556" t="s">
        <v>242</v>
      </c>
      <c r="K556" t="s">
        <v>1370</v>
      </c>
      <c r="L556">
        <v>1162.86</v>
      </c>
      <c r="M556">
        <v>1447.68</v>
      </c>
      <c r="N556">
        <v>0.087</v>
      </c>
      <c r="O556">
        <v>12</v>
      </c>
    </row>
    <row r="557" spans="1:15">
      <c r="A557" t="s">
        <v>1371</v>
      </c>
      <c r="B557" s="29">
        <v>45535</v>
      </c>
      <c r="C557" s="29">
        <v>45561</v>
      </c>
      <c r="D557" t="s">
        <v>206</v>
      </c>
      <c r="E557" t="s">
        <v>207</v>
      </c>
      <c r="F557" t="s">
        <v>375</v>
      </c>
      <c r="G557" t="s">
        <v>188</v>
      </c>
      <c r="H557" t="s">
        <v>189</v>
      </c>
      <c r="I557" t="s">
        <v>195</v>
      </c>
      <c r="J557" t="s">
        <v>203</v>
      </c>
      <c r="K557" t="s">
        <v>1372</v>
      </c>
      <c r="L557">
        <v>1189.03</v>
      </c>
      <c r="M557">
        <v>2949.62</v>
      </c>
      <c r="N557">
        <v>0.125</v>
      </c>
      <c r="O557">
        <v>13</v>
      </c>
    </row>
    <row r="558" spans="1:15">
      <c r="A558" t="s">
        <v>1373</v>
      </c>
      <c r="B558" s="29">
        <v>45053</v>
      </c>
      <c r="C558" s="29">
        <v>45066</v>
      </c>
      <c r="D558" t="s">
        <v>206</v>
      </c>
      <c r="E558" t="s">
        <v>221</v>
      </c>
      <c r="F558" t="s">
        <v>381</v>
      </c>
      <c r="G558" t="s">
        <v>266</v>
      </c>
      <c r="H558" t="s">
        <v>181</v>
      </c>
      <c r="I558" t="s">
        <v>306</v>
      </c>
      <c r="J558" t="s">
        <v>242</v>
      </c>
      <c r="K558" t="s">
        <v>1374</v>
      </c>
      <c r="L558">
        <v>1443.28</v>
      </c>
      <c r="M558">
        <v>2580.57</v>
      </c>
      <c r="N558">
        <v>0</v>
      </c>
      <c r="O558">
        <v>18</v>
      </c>
    </row>
    <row r="559" spans="1:15">
      <c r="A559" t="s">
        <v>1375</v>
      </c>
      <c r="B559" s="29">
        <v>45791</v>
      </c>
      <c r="C559" s="29">
        <v>45789</v>
      </c>
      <c r="D559" t="s">
        <v>213</v>
      </c>
      <c r="E559" t="s">
        <v>214</v>
      </c>
      <c r="F559" t="s">
        <v>340</v>
      </c>
      <c r="G559" t="s">
        <v>200</v>
      </c>
      <c r="H559" t="s">
        <v>216</v>
      </c>
      <c r="I559" t="s">
        <v>245</v>
      </c>
      <c r="J559" t="s">
        <v>191</v>
      </c>
      <c r="K559" t="s">
        <v>1376</v>
      </c>
      <c r="L559">
        <v>883.5</v>
      </c>
      <c r="M559">
        <v>1978.91</v>
      </c>
      <c r="N559">
        <v>0.054</v>
      </c>
      <c r="O559">
        <v>27</v>
      </c>
    </row>
    <row r="560" spans="1:15">
      <c r="A560" t="s">
        <v>1377</v>
      </c>
      <c r="B560" s="29">
        <v>45362</v>
      </c>
      <c r="C560" s="29">
        <v>45380</v>
      </c>
      <c r="D560" t="s">
        <v>213</v>
      </c>
      <c r="E560" t="s">
        <v>283</v>
      </c>
      <c r="F560" t="s">
        <v>548</v>
      </c>
      <c r="G560" t="s">
        <v>180</v>
      </c>
      <c r="H560" t="s">
        <v>181</v>
      </c>
      <c r="I560" t="s">
        <v>271</v>
      </c>
      <c r="J560" t="s">
        <v>225</v>
      </c>
      <c r="K560" t="s">
        <v>1378</v>
      </c>
      <c r="L560">
        <v>710.98</v>
      </c>
      <c r="M560">
        <v>1481.45</v>
      </c>
      <c r="N560">
        <v>0.211</v>
      </c>
      <c r="O560">
        <v>9</v>
      </c>
    </row>
    <row r="561" spans="1:15">
      <c r="A561" t="s">
        <v>1379</v>
      </c>
      <c r="B561" s="29">
        <v>45430</v>
      </c>
      <c r="C561" s="29">
        <v>45434</v>
      </c>
      <c r="D561" t="s">
        <v>177</v>
      </c>
      <c r="E561" t="s">
        <v>178</v>
      </c>
      <c r="F561" t="s">
        <v>194</v>
      </c>
      <c r="G561" t="s">
        <v>180</v>
      </c>
      <c r="H561" t="s">
        <v>259</v>
      </c>
      <c r="I561" t="s">
        <v>253</v>
      </c>
      <c r="J561" t="s">
        <v>242</v>
      </c>
      <c r="K561" t="s">
        <v>1380</v>
      </c>
      <c r="L561">
        <v>857.42</v>
      </c>
      <c r="M561">
        <v>1658.92</v>
      </c>
      <c r="N561">
        <v>0.122</v>
      </c>
      <c r="O561">
        <v>9</v>
      </c>
    </row>
    <row r="562" spans="1:15">
      <c r="A562" t="s">
        <v>1381</v>
      </c>
      <c r="B562" s="29">
        <v>45299</v>
      </c>
      <c r="C562" s="29">
        <v>45303</v>
      </c>
      <c r="D562" t="s">
        <v>206</v>
      </c>
      <c r="E562" t="s">
        <v>221</v>
      </c>
      <c r="F562" t="s">
        <v>222</v>
      </c>
      <c r="G562" t="s">
        <v>180</v>
      </c>
      <c r="H562" t="s">
        <v>259</v>
      </c>
      <c r="I562" t="s">
        <v>224</v>
      </c>
      <c r="J562" t="s">
        <v>191</v>
      </c>
      <c r="K562" t="s">
        <v>1382</v>
      </c>
      <c r="L562">
        <v>802.32</v>
      </c>
      <c r="M562">
        <v>602.34</v>
      </c>
      <c r="N562">
        <v>0.12</v>
      </c>
      <c r="O562">
        <v>25</v>
      </c>
    </row>
    <row r="563" spans="1:15">
      <c r="A563" t="s">
        <v>1383</v>
      </c>
      <c r="B563" s="29">
        <v>45590</v>
      </c>
      <c r="C563" s="29">
        <v>45601</v>
      </c>
      <c r="D563" t="s">
        <v>213</v>
      </c>
      <c r="E563" t="s">
        <v>283</v>
      </c>
      <c r="F563" t="s">
        <v>548</v>
      </c>
      <c r="G563" t="s">
        <v>180</v>
      </c>
      <c r="H563" t="s">
        <v>216</v>
      </c>
      <c r="I563" t="s">
        <v>287</v>
      </c>
      <c r="J563" t="s">
        <v>183</v>
      </c>
      <c r="K563" t="s">
        <v>1384</v>
      </c>
      <c r="L563">
        <v>446.66</v>
      </c>
      <c r="M563">
        <v>527.64</v>
      </c>
      <c r="N563">
        <v>0.145</v>
      </c>
      <c r="O563">
        <v>15</v>
      </c>
    </row>
    <row r="564" spans="1:15">
      <c r="A564" t="s">
        <v>1385</v>
      </c>
      <c r="B564" s="29">
        <v>45626</v>
      </c>
      <c r="C564" s="29">
        <v>45645</v>
      </c>
      <c r="D564" t="s">
        <v>177</v>
      </c>
      <c r="E564" t="s">
        <v>178</v>
      </c>
      <c r="F564" t="s">
        <v>179</v>
      </c>
      <c r="G564" t="s">
        <v>180</v>
      </c>
      <c r="H564" t="s">
        <v>189</v>
      </c>
      <c r="I564" t="s">
        <v>210</v>
      </c>
      <c r="J564" t="s">
        <v>203</v>
      </c>
      <c r="K564" t="s">
        <v>1386</v>
      </c>
      <c r="L564">
        <v>1195.98</v>
      </c>
      <c r="M564">
        <v>1841.9</v>
      </c>
      <c r="N564">
        <v>0.055</v>
      </c>
      <c r="O564">
        <v>19</v>
      </c>
    </row>
    <row r="565" spans="1:15">
      <c r="A565" t="s">
        <v>1387</v>
      </c>
      <c r="B565" s="29">
        <v>45029</v>
      </c>
      <c r="C565" s="29">
        <v>45048</v>
      </c>
      <c r="D565" t="s">
        <v>213</v>
      </c>
      <c r="E565" t="s">
        <v>214</v>
      </c>
      <c r="F565" t="s">
        <v>305</v>
      </c>
      <c r="G565" t="s">
        <v>209</v>
      </c>
      <c r="H565" t="s">
        <v>216</v>
      </c>
      <c r="I565" t="s">
        <v>224</v>
      </c>
      <c r="J565" t="s">
        <v>225</v>
      </c>
      <c r="K565" t="s">
        <v>1388</v>
      </c>
      <c r="L565">
        <v>671.05</v>
      </c>
      <c r="M565">
        <v>1645.48</v>
      </c>
      <c r="N565">
        <v>0.137</v>
      </c>
      <c r="O565">
        <v>6</v>
      </c>
    </row>
    <row r="566" spans="1:15">
      <c r="A566" t="s">
        <v>1389</v>
      </c>
      <c r="B566" s="29">
        <v>45692</v>
      </c>
      <c r="C566" s="29">
        <v>45696</v>
      </c>
      <c r="D566" t="s">
        <v>239</v>
      </c>
      <c r="E566" t="s">
        <v>269</v>
      </c>
      <c r="F566" t="s">
        <v>389</v>
      </c>
      <c r="G566" t="s">
        <v>266</v>
      </c>
      <c r="H566" t="s">
        <v>201</v>
      </c>
      <c r="I566" t="s">
        <v>210</v>
      </c>
      <c r="J566" t="s">
        <v>196</v>
      </c>
      <c r="K566" t="s">
        <v>1390</v>
      </c>
      <c r="L566">
        <v>586.21</v>
      </c>
      <c r="M566">
        <v>727.22</v>
      </c>
      <c r="N566">
        <v>0.068</v>
      </c>
      <c r="O566">
        <v>15</v>
      </c>
    </row>
    <row r="567" spans="1:15">
      <c r="A567" t="s">
        <v>1391</v>
      </c>
      <c r="B567" s="29">
        <v>45315</v>
      </c>
      <c r="C567" s="29">
        <v>45326</v>
      </c>
      <c r="D567" t="s">
        <v>239</v>
      </c>
      <c r="E567" t="s">
        <v>269</v>
      </c>
      <c r="F567" t="s">
        <v>389</v>
      </c>
      <c r="G567" t="s">
        <v>209</v>
      </c>
      <c r="H567" t="s">
        <v>181</v>
      </c>
      <c r="I567" t="s">
        <v>217</v>
      </c>
      <c r="J567" t="s">
        <v>218</v>
      </c>
      <c r="K567" t="s">
        <v>1392</v>
      </c>
      <c r="L567">
        <v>525.34</v>
      </c>
      <c r="M567">
        <v>1233.79</v>
      </c>
      <c r="N567">
        <v>0.143</v>
      </c>
      <c r="O567">
        <v>4</v>
      </c>
    </row>
    <row r="568" spans="1:15">
      <c r="A568" t="s">
        <v>1393</v>
      </c>
      <c r="B568" s="29">
        <v>45330</v>
      </c>
      <c r="C568" s="29">
        <v>45331</v>
      </c>
      <c r="D568" t="s">
        <v>177</v>
      </c>
      <c r="E568" t="s">
        <v>178</v>
      </c>
      <c r="F568" t="s">
        <v>274</v>
      </c>
      <c r="G568" t="s">
        <v>180</v>
      </c>
      <c r="H568" t="s">
        <v>259</v>
      </c>
      <c r="I568" t="s">
        <v>245</v>
      </c>
      <c r="J568" t="s">
        <v>183</v>
      </c>
      <c r="K568" t="s">
        <v>1394</v>
      </c>
      <c r="L568">
        <v>1233.52</v>
      </c>
      <c r="M568">
        <v>1543.76</v>
      </c>
      <c r="N568">
        <v>0.126</v>
      </c>
      <c r="O568">
        <v>13</v>
      </c>
    </row>
    <row r="569" spans="1:15">
      <c r="A569" t="s">
        <v>1395</v>
      </c>
      <c r="B569" s="29">
        <v>45834</v>
      </c>
      <c r="C569" s="29">
        <v>45849</v>
      </c>
      <c r="D569" t="s">
        <v>177</v>
      </c>
      <c r="E569" t="s">
        <v>186</v>
      </c>
      <c r="F569" t="s">
        <v>187</v>
      </c>
      <c r="G569" t="s">
        <v>223</v>
      </c>
      <c r="H569" t="s">
        <v>189</v>
      </c>
      <c r="I569" t="s">
        <v>236</v>
      </c>
      <c r="J569" t="s">
        <v>218</v>
      </c>
      <c r="K569" t="s">
        <v>1396</v>
      </c>
      <c r="L569">
        <v>1170.15</v>
      </c>
      <c r="M569">
        <v>2115.19</v>
      </c>
      <c r="N569">
        <v>0.092</v>
      </c>
      <c r="O569">
        <v>23</v>
      </c>
    </row>
    <row r="570" spans="1:15">
      <c r="A570" t="s">
        <v>1397</v>
      </c>
      <c r="B570" s="29">
        <v>45600</v>
      </c>
      <c r="C570" s="29">
        <v>45603</v>
      </c>
      <c r="D570" t="s">
        <v>239</v>
      </c>
      <c r="E570" t="s">
        <v>251</v>
      </c>
      <c r="F570" t="s">
        <v>299</v>
      </c>
      <c r="G570" t="s">
        <v>180</v>
      </c>
      <c r="H570" t="s">
        <v>189</v>
      </c>
      <c r="I570" t="s">
        <v>229</v>
      </c>
      <c r="J570" t="s">
        <v>225</v>
      </c>
      <c r="K570" t="s">
        <v>1398</v>
      </c>
      <c r="L570">
        <v>740.68</v>
      </c>
      <c r="M570">
        <v>1837.19</v>
      </c>
      <c r="N570">
        <v>0.197</v>
      </c>
      <c r="O570">
        <v>17</v>
      </c>
    </row>
    <row r="571" spans="1:15">
      <c r="A571" t="s">
        <v>1399</v>
      </c>
      <c r="B571" s="29">
        <v>45342</v>
      </c>
      <c r="C571" s="29">
        <v>45342</v>
      </c>
      <c r="D571" t="s">
        <v>213</v>
      </c>
      <c r="E571" t="s">
        <v>283</v>
      </c>
      <c r="F571" t="s">
        <v>548</v>
      </c>
      <c r="G571" t="s">
        <v>266</v>
      </c>
      <c r="H571" t="s">
        <v>189</v>
      </c>
      <c r="I571" t="s">
        <v>182</v>
      </c>
      <c r="J571" t="s">
        <v>196</v>
      </c>
      <c r="K571" t="s">
        <v>1400</v>
      </c>
      <c r="L571">
        <v>1407.05</v>
      </c>
      <c r="M571">
        <v>2858.93</v>
      </c>
      <c r="N571">
        <v>0</v>
      </c>
      <c r="O571">
        <v>12</v>
      </c>
    </row>
    <row r="572" spans="1:15">
      <c r="A572" t="s">
        <v>1401</v>
      </c>
      <c r="B572" s="29">
        <v>45760</v>
      </c>
      <c r="C572" s="29">
        <v>45761</v>
      </c>
      <c r="D572" t="s">
        <v>206</v>
      </c>
      <c r="E572" t="s">
        <v>207</v>
      </c>
      <c r="F572" t="s">
        <v>208</v>
      </c>
      <c r="G572" t="s">
        <v>266</v>
      </c>
      <c r="H572" t="s">
        <v>189</v>
      </c>
      <c r="I572" t="s">
        <v>202</v>
      </c>
      <c r="J572" t="s">
        <v>183</v>
      </c>
      <c r="K572" t="s">
        <v>1402</v>
      </c>
      <c r="L572">
        <v>138.9</v>
      </c>
      <c r="M572">
        <v>289.92</v>
      </c>
      <c r="N572">
        <v>0.029</v>
      </c>
      <c r="O572">
        <v>12</v>
      </c>
    </row>
    <row r="573" spans="1:15">
      <c r="A573" t="s">
        <v>1403</v>
      </c>
      <c r="B573" s="29">
        <v>45078</v>
      </c>
      <c r="C573" s="29">
        <v>45078</v>
      </c>
      <c r="D573" t="s">
        <v>206</v>
      </c>
      <c r="E573" t="s">
        <v>221</v>
      </c>
      <c r="F573" t="s">
        <v>222</v>
      </c>
      <c r="G573" t="s">
        <v>180</v>
      </c>
      <c r="H573" t="s">
        <v>181</v>
      </c>
      <c r="I573" t="s">
        <v>224</v>
      </c>
      <c r="J573" t="s">
        <v>242</v>
      </c>
      <c r="K573" t="s">
        <v>1404</v>
      </c>
      <c r="L573">
        <v>669.37</v>
      </c>
      <c r="M573">
        <v>997.2</v>
      </c>
      <c r="N573">
        <v>0.082</v>
      </c>
      <c r="O573">
        <v>5</v>
      </c>
    </row>
    <row r="574" spans="1:15">
      <c r="A574" t="s">
        <v>1405</v>
      </c>
      <c r="B574" s="29">
        <v>45740</v>
      </c>
      <c r="C574" s="29">
        <v>45751</v>
      </c>
      <c r="D574" t="s">
        <v>206</v>
      </c>
      <c r="E574" t="s">
        <v>221</v>
      </c>
      <c r="F574" t="s">
        <v>381</v>
      </c>
      <c r="G574" t="s">
        <v>188</v>
      </c>
      <c r="H574" t="s">
        <v>201</v>
      </c>
      <c r="I574" t="s">
        <v>190</v>
      </c>
      <c r="J574" t="s">
        <v>203</v>
      </c>
      <c r="K574" t="s">
        <v>1406</v>
      </c>
      <c r="L574">
        <v>23.83</v>
      </c>
      <c r="M574">
        <v>47.29</v>
      </c>
      <c r="N574">
        <v>0.064</v>
      </c>
      <c r="O574">
        <v>19</v>
      </c>
    </row>
    <row r="575" spans="1:15">
      <c r="A575" t="s">
        <v>1407</v>
      </c>
      <c r="B575" s="29">
        <v>45293</v>
      </c>
      <c r="C575" s="29">
        <v>45293</v>
      </c>
      <c r="D575" t="s">
        <v>213</v>
      </c>
      <c r="E575" t="s">
        <v>214</v>
      </c>
      <c r="F575" t="s">
        <v>340</v>
      </c>
      <c r="G575" t="s">
        <v>188</v>
      </c>
      <c r="H575" t="s">
        <v>259</v>
      </c>
      <c r="I575" t="s">
        <v>236</v>
      </c>
      <c r="J575" t="s">
        <v>218</v>
      </c>
      <c r="K575" t="s">
        <v>1408</v>
      </c>
      <c r="L575">
        <v>444.41</v>
      </c>
      <c r="M575">
        <v>754.24</v>
      </c>
      <c r="N575">
        <v>0.207</v>
      </c>
      <c r="O575">
        <v>32</v>
      </c>
    </row>
    <row r="576" spans="1:15">
      <c r="A576" t="s">
        <v>1409</v>
      </c>
      <c r="B576" s="29">
        <v>45279</v>
      </c>
      <c r="C576" s="29">
        <v>45292</v>
      </c>
      <c r="D576" t="s">
        <v>213</v>
      </c>
      <c r="E576" t="s">
        <v>214</v>
      </c>
      <c r="F576" t="s">
        <v>215</v>
      </c>
      <c r="G576" t="s">
        <v>266</v>
      </c>
      <c r="H576" t="s">
        <v>181</v>
      </c>
      <c r="I576" t="s">
        <v>256</v>
      </c>
      <c r="J576" t="s">
        <v>225</v>
      </c>
      <c r="K576" t="s">
        <v>1410</v>
      </c>
      <c r="L576">
        <v>856.1</v>
      </c>
      <c r="M576">
        <v>901.48</v>
      </c>
      <c r="N576">
        <v>0.056</v>
      </c>
      <c r="O576">
        <v>17</v>
      </c>
    </row>
    <row r="577" spans="1:15">
      <c r="A577" t="s">
        <v>1411</v>
      </c>
      <c r="B577" s="29">
        <v>45042</v>
      </c>
      <c r="C577" s="29">
        <v>45042</v>
      </c>
      <c r="D577" t="s">
        <v>239</v>
      </c>
      <c r="E577" t="s">
        <v>251</v>
      </c>
      <c r="F577" t="s">
        <v>252</v>
      </c>
      <c r="G577" t="s">
        <v>209</v>
      </c>
      <c r="H577" t="s">
        <v>259</v>
      </c>
      <c r="I577" t="s">
        <v>271</v>
      </c>
      <c r="J577" t="s">
        <v>183</v>
      </c>
      <c r="K577" t="s">
        <v>1412</v>
      </c>
      <c r="L577">
        <v>81.49</v>
      </c>
      <c r="M577">
        <v>113.08</v>
      </c>
      <c r="N577">
        <v>0.121</v>
      </c>
      <c r="O577">
        <v>5</v>
      </c>
    </row>
    <row r="578" spans="1:15">
      <c r="A578" t="s">
        <v>1413</v>
      </c>
      <c r="B578" s="29">
        <v>45872</v>
      </c>
      <c r="C578" s="29">
        <v>45885</v>
      </c>
      <c r="D578" t="s">
        <v>213</v>
      </c>
      <c r="E578" t="s">
        <v>214</v>
      </c>
      <c r="F578" t="s">
        <v>305</v>
      </c>
      <c r="G578" t="s">
        <v>266</v>
      </c>
      <c r="H578" t="s">
        <v>216</v>
      </c>
      <c r="I578" t="s">
        <v>229</v>
      </c>
      <c r="J578" t="s">
        <v>196</v>
      </c>
      <c r="K578" t="s">
        <v>1414</v>
      </c>
      <c r="L578">
        <v>698.66</v>
      </c>
      <c r="M578">
        <v>868.62</v>
      </c>
      <c r="N578">
        <v>0.072</v>
      </c>
      <c r="O578">
        <v>15</v>
      </c>
    </row>
    <row r="579" spans="1:15">
      <c r="A579" t="s">
        <v>1415</v>
      </c>
      <c r="B579" s="29">
        <v>45140</v>
      </c>
      <c r="C579" s="29">
        <v>45157</v>
      </c>
      <c r="D579" t="s">
        <v>213</v>
      </c>
      <c r="E579" t="s">
        <v>214</v>
      </c>
      <c r="F579" t="s">
        <v>340</v>
      </c>
      <c r="G579" t="s">
        <v>180</v>
      </c>
      <c r="H579" t="s">
        <v>189</v>
      </c>
      <c r="I579" t="s">
        <v>245</v>
      </c>
      <c r="J579" t="s">
        <v>196</v>
      </c>
      <c r="K579" t="s">
        <v>1416</v>
      </c>
      <c r="L579">
        <v>175.38</v>
      </c>
      <c r="M579">
        <v>347.9</v>
      </c>
      <c r="N579">
        <v>0.072</v>
      </c>
      <c r="O579">
        <v>43</v>
      </c>
    </row>
    <row r="580" spans="1:15">
      <c r="A580" t="s">
        <v>1417</v>
      </c>
      <c r="B580" s="29">
        <v>45092</v>
      </c>
      <c r="C580" s="29">
        <v>45119</v>
      </c>
      <c r="D580" t="s">
        <v>239</v>
      </c>
      <c r="E580" t="s">
        <v>269</v>
      </c>
      <c r="F580" t="s">
        <v>389</v>
      </c>
      <c r="G580" t="s">
        <v>209</v>
      </c>
      <c r="H580" t="s">
        <v>259</v>
      </c>
      <c r="I580" t="s">
        <v>195</v>
      </c>
      <c r="J580" t="s">
        <v>242</v>
      </c>
      <c r="K580" t="s">
        <v>1418</v>
      </c>
      <c r="L580">
        <v>751.28</v>
      </c>
      <c r="M580">
        <v>1111.88</v>
      </c>
      <c r="N580">
        <v>0.135</v>
      </c>
      <c r="O580">
        <v>7</v>
      </c>
    </row>
    <row r="581" spans="1:15">
      <c r="A581" t="s">
        <v>1419</v>
      </c>
      <c r="B581" s="29">
        <v>45607</v>
      </c>
      <c r="C581" s="29">
        <v>45620</v>
      </c>
      <c r="D581" t="s">
        <v>239</v>
      </c>
      <c r="E581" t="s">
        <v>269</v>
      </c>
      <c r="F581" t="s">
        <v>313</v>
      </c>
      <c r="G581" t="s">
        <v>180</v>
      </c>
      <c r="H581" t="s">
        <v>181</v>
      </c>
      <c r="I581" t="s">
        <v>224</v>
      </c>
      <c r="J581" t="s">
        <v>196</v>
      </c>
      <c r="K581" t="s">
        <v>1420</v>
      </c>
      <c r="L581">
        <v>164.53</v>
      </c>
      <c r="M581">
        <v>327.72</v>
      </c>
      <c r="N581">
        <v>0.067</v>
      </c>
      <c r="O581">
        <v>14</v>
      </c>
    </row>
    <row r="582" spans="1:15">
      <c r="A582" t="s">
        <v>1421</v>
      </c>
      <c r="B582" s="29">
        <v>45849</v>
      </c>
      <c r="C582" s="29">
        <v>45872</v>
      </c>
      <c r="D582" t="s">
        <v>177</v>
      </c>
      <c r="E582" t="s">
        <v>178</v>
      </c>
      <c r="F582" t="s">
        <v>296</v>
      </c>
      <c r="G582" t="s">
        <v>223</v>
      </c>
      <c r="H582" t="s">
        <v>181</v>
      </c>
      <c r="I582" t="s">
        <v>182</v>
      </c>
      <c r="J582" t="s">
        <v>203</v>
      </c>
      <c r="K582" t="s">
        <v>1422</v>
      </c>
      <c r="L582">
        <v>389.93</v>
      </c>
      <c r="M582">
        <v>486.13</v>
      </c>
      <c r="N582">
        <v>0.132</v>
      </c>
      <c r="O582">
        <v>17</v>
      </c>
    </row>
    <row r="583" spans="1:15">
      <c r="A583" t="s">
        <v>1423</v>
      </c>
      <c r="B583" s="29">
        <v>45080</v>
      </c>
      <c r="C583" s="29">
        <v>45108</v>
      </c>
      <c r="D583" t="s">
        <v>213</v>
      </c>
      <c r="E583" t="s">
        <v>234</v>
      </c>
      <c r="F583" t="s">
        <v>248</v>
      </c>
      <c r="G583" t="s">
        <v>223</v>
      </c>
      <c r="H583" t="s">
        <v>201</v>
      </c>
      <c r="I583" t="s">
        <v>236</v>
      </c>
      <c r="J583" t="s">
        <v>183</v>
      </c>
      <c r="K583" t="s">
        <v>1424</v>
      </c>
      <c r="L583">
        <v>860.4</v>
      </c>
      <c r="M583">
        <v>2066.6</v>
      </c>
      <c r="N583">
        <v>0.01</v>
      </c>
      <c r="O583">
        <v>3</v>
      </c>
    </row>
    <row r="584" spans="1:15">
      <c r="A584" t="s">
        <v>1425</v>
      </c>
      <c r="B584" s="29">
        <v>44955</v>
      </c>
      <c r="C584" s="29">
        <v>44963</v>
      </c>
      <c r="D584" t="s">
        <v>213</v>
      </c>
      <c r="E584" t="s">
        <v>234</v>
      </c>
      <c r="F584" t="s">
        <v>248</v>
      </c>
      <c r="G584" t="s">
        <v>180</v>
      </c>
      <c r="H584" t="s">
        <v>201</v>
      </c>
      <c r="I584" t="s">
        <v>306</v>
      </c>
      <c r="J584" t="s">
        <v>225</v>
      </c>
      <c r="K584" t="s">
        <v>1426</v>
      </c>
      <c r="L584">
        <v>41.84</v>
      </c>
      <c r="M584">
        <v>86.2</v>
      </c>
      <c r="N584">
        <v>0.226</v>
      </c>
      <c r="O584">
        <v>27</v>
      </c>
    </row>
    <row r="585" spans="1:15">
      <c r="A585" t="s">
        <v>1427</v>
      </c>
      <c r="B585" s="29">
        <v>45541</v>
      </c>
      <c r="C585" s="29">
        <v>45539</v>
      </c>
      <c r="D585" t="s">
        <v>206</v>
      </c>
      <c r="E585" t="s">
        <v>207</v>
      </c>
      <c r="F585" t="s">
        <v>208</v>
      </c>
      <c r="G585" t="s">
        <v>180</v>
      </c>
      <c r="H585" t="s">
        <v>259</v>
      </c>
      <c r="I585" t="s">
        <v>236</v>
      </c>
      <c r="J585" t="s">
        <v>218</v>
      </c>
      <c r="K585" t="s">
        <v>1428</v>
      </c>
      <c r="L585">
        <v>1368.17</v>
      </c>
      <c r="M585">
        <v>2307.75</v>
      </c>
      <c r="N585">
        <v>0.163</v>
      </c>
      <c r="O585">
        <v>21</v>
      </c>
    </row>
    <row r="586" spans="1:15">
      <c r="A586" t="s">
        <v>1429</v>
      </c>
      <c r="B586" s="29">
        <v>45507</v>
      </c>
      <c r="C586" s="29">
        <v>45513</v>
      </c>
      <c r="D586" t="s">
        <v>177</v>
      </c>
      <c r="E586" t="s">
        <v>178</v>
      </c>
      <c r="F586" t="s">
        <v>274</v>
      </c>
      <c r="G586" t="s">
        <v>209</v>
      </c>
      <c r="H586" t="s">
        <v>201</v>
      </c>
      <c r="I586" t="s">
        <v>253</v>
      </c>
      <c r="J586" t="s">
        <v>218</v>
      </c>
      <c r="K586" t="s">
        <v>1430</v>
      </c>
      <c r="L586">
        <v>643.21</v>
      </c>
      <c r="M586">
        <v>1112.81</v>
      </c>
      <c r="N586">
        <v>0.141</v>
      </c>
      <c r="O586">
        <v>4</v>
      </c>
    </row>
    <row r="587" spans="1:15">
      <c r="A587" t="s">
        <v>1431</v>
      </c>
      <c r="B587" s="29">
        <v>45764</v>
      </c>
      <c r="C587" s="29">
        <v>45764</v>
      </c>
      <c r="D587" t="s">
        <v>213</v>
      </c>
      <c r="E587" t="s">
        <v>234</v>
      </c>
      <c r="F587" t="s">
        <v>235</v>
      </c>
      <c r="G587" t="s">
        <v>180</v>
      </c>
      <c r="H587" t="s">
        <v>216</v>
      </c>
      <c r="I587" t="s">
        <v>210</v>
      </c>
      <c r="J587" t="s">
        <v>203</v>
      </c>
      <c r="K587" t="s">
        <v>1432</v>
      </c>
      <c r="L587">
        <v>719.41</v>
      </c>
      <c r="M587">
        <v>1125.99</v>
      </c>
      <c r="N587">
        <v>0.041</v>
      </c>
      <c r="O587">
        <v>21</v>
      </c>
    </row>
    <row r="588" spans="1:15">
      <c r="A588" t="s">
        <v>1433</v>
      </c>
      <c r="B588" s="29">
        <v>45049</v>
      </c>
      <c r="C588" s="29">
        <v>45062</v>
      </c>
      <c r="D588" t="s">
        <v>213</v>
      </c>
      <c r="E588" t="s">
        <v>283</v>
      </c>
      <c r="F588" t="s">
        <v>548</v>
      </c>
      <c r="G588" t="s">
        <v>180</v>
      </c>
      <c r="H588" t="s">
        <v>201</v>
      </c>
      <c r="I588" t="s">
        <v>210</v>
      </c>
      <c r="J588" t="s">
        <v>203</v>
      </c>
      <c r="K588" t="s">
        <v>1434</v>
      </c>
      <c r="L588">
        <v>64.5</v>
      </c>
      <c r="M588">
        <v>123.62</v>
      </c>
      <c r="N588">
        <v>0</v>
      </c>
      <c r="O588">
        <v>3</v>
      </c>
    </row>
    <row r="589" spans="1:15">
      <c r="A589" t="s">
        <v>1435</v>
      </c>
      <c r="B589" s="29">
        <v>45364</v>
      </c>
      <c r="C589" s="29">
        <v>45388</v>
      </c>
      <c r="D589" t="s">
        <v>177</v>
      </c>
      <c r="E589" t="s">
        <v>186</v>
      </c>
      <c r="F589" t="s">
        <v>228</v>
      </c>
      <c r="G589" t="s">
        <v>209</v>
      </c>
      <c r="H589" t="s">
        <v>216</v>
      </c>
      <c r="I589" t="s">
        <v>210</v>
      </c>
      <c r="J589" t="s">
        <v>183</v>
      </c>
      <c r="K589" t="s">
        <v>1436</v>
      </c>
      <c r="L589">
        <v>1232.78</v>
      </c>
      <c r="M589">
        <v>1731.75</v>
      </c>
      <c r="N589">
        <v>0.093</v>
      </c>
      <c r="O589">
        <v>16</v>
      </c>
    </row>
    <row r="590" spans="1:15">
      <c r="A590" t="s">
        <v>1437</v>
      </c>
      <c r="B590" s="29">
        <v>45459</v>
      </c>
      <c r="C590" s="29">
        <v>45464</v>
      </c>
      <c r="D590" t="s">
        <v>206</v>
      </c>
      <c r="E590" t="s">
        <v>207</v>
      </c>
      <c r="F590" t="s">
        <v>375</v>
      </c>
      <c r="G590" t="s">
        <v>223</v>
      </c>
      <c r="H590" t="s">
        <v>216</v>
      </c>
      <c r="I590" t="s">
        <v>245</v>
      </c>
      <c r="J590" t="s">
        <v>203</v>
      </c>
      <c r="K590" t="s">
        <v>1438</v>
      </c>
      <c r="L590">
        <v>1367.13</v>
      </c>
      <c r="M590">
        <v>3062.01</v>
      </c>
      <c r="N590">
        <v>0.103</v>
      </c>
      <c r="O590">
        <v>25</v>
      </c>
    </row>
    <row r="591" spans="1:15">
      <c r="A591" t="s">
        <v>1439</v>
      </c>
      <c r="B591" s="29">
        <v>45703</v>
      </c>
      <c r="C591" s="29">
        <v>45715</v>
      </c>
      <c r="D591" t="s">
        <v>239</v>
      </c>
      <c r="E591" t="s">
        <v>251</v>
      </c>
      <c r="F591" t="s">
        <v>299</v>
      </c>
      <c r="G591" t="s">
        <v>200</v>
      </c>
      <c r="H591" t="s">
        <v>259</v>
      </c>
      <c r="I591" t="s">
        <v>256</v>
      </c>
      <c r="J591" t="s">
        <v>242</v>
      </c>
      <c r="K591" t="s">
        <v>1440</v>
      </c>
      <c r="L591">
        <v>1027.26</v>
      </c>
      <c r="M591">
        <v>2200.41</v>
      </c>
      <c r="N591">
        <v>0.088</v>
      </c>
      <c r="O591">
        <v>6</v>
      </c>
    </row>
    <row r="592" spans="1:15">
      <c r="A592" t="s">
        <v>1441</v>
      </c>
      <c r="B592" s="29">
        <v>45019</v>
      </c>
      <c r="C592" s="29">
        <v>45032</v>
      </c>
      <c r="D592" t="s">
        <v>239</v>
      </c>
      <c r="E592" t="s">
        <v>251</v>
      </c>
      <c r="F592" t="s">
        <v>252</v>
      </c>
      <c r="G592" t="s">
        <v>200</v>
      </c>
      <c r="H592" t="s">
        <v>201</v>
      </c>
      <c r="I592" t="s">
        <v>271</v>
      </c>
      <c r="J592" t="s">
        <v>242</v>
      </c>
      <c r="K592" t="s">
        <v>1442</v>
      </c>
      <c r="L592">
        <v>790.54</v>
      </c>
      <c r="M592">
        <v>601.49</v>
      </c>
      <c r="N592">
        <v>0</v>
      </c>
      <c r="O592">
        <v>15</v>
      </c>
    </row>
    <row r="593" spans="1:15">
      <c r="A593" t="s">
        <v>1443</v>
      </c>
      <c r="B593" s="29">
        <v>45899</v>
      </c>
      <c r="C593" s="29">
        <v>45922</v>
      </c>
      <c r="D593" t="s">
        <v>239</v>
      </c>
      <c r="E593" t="s">
        <v>251</v>
      </c>
      <c r="F593" t="s">
        <v>252</v>
      </c>
      <c r="G593" t="s">
        <v>180</v>
      </c>
      <c r="H593" t="s">
        <v>259</v>
      </c>
      <c r="I593" t="s">
        <v>224</v>
      </c>
      <c r="J593" t="s">
        <v>183</v>
      </c>
      <c r="K593" t="s">
        <v>1444</v>
      </c>
      <c r="L593">
        <v>663.9</v>
      </c>
      <c r="M593">
        <v>947.77</v>
      </c>
      <c r="N593">
        <v>0.174</v>
      </c>
      <c r="O593">
        <v>15</v>
      </c>
    </row>
    <row r="594" spans="1:15">
      <c r="A594" t="s">
        <v>1445</v>
      </c>
      <c r="B594" s="29">
        <v>44984</v>
      </c>
      <c r="C594" s="29">
        <v>44983</v>
      </c>
      <c r="D594" t="s">
        <v>213</v>
      </c>
      <c r="E594" t="s">
        <v>283</v>
      </c>
      <c r="F594" t="s">
        <v>328</v>
      </c>
      <c r="G594" t="s">
        <v>200</v>
      </c>
      <c r="H594" t="s">
        <v>189</v>
      </c>
      <c r="I594" t="s">
        <v>210</v>
      </c>
      <c r="J594" t="s">
        <v>196</v>
      </c>
      <c r="K594" t="s">
        <v>1446</v>
      </c>
      <c r="L594">
        <v>1015.91</v>
      </c>
      <c r="M594">
        <v>2331.48</v>
      </c>
      <c r="N594">
        <v>0.146</v>
      </c>
      <c r="O594">
        <v>26</v>
      </c>
    </row>
    <row r="595" spans="1:15">
      <c r="A595" t="s">
        <v>1447</v>
      </c>
      <c r="B595" s="29">
        <v>45504</v>
      </c>
      <c r="C595" s="29">
        <v>45519</v>
      </c>
      <c r="D595" t="s">
        <v>206</v>
      </c>
      <c r="E595" t="s">
        <v>207</v>
      </c>
      <c r="F595" t="s">
        <v>375</v>
      </c>
      <c r="G595" t="s">
        <v>180</v>
      </c>
      <c r="H595" t="s">
        <v>201</v>
      </c>
      <c r="I595" t="s">
        <v>245</v>
      </c>
      <c r="J595" t="s">
        <v>225</v>
      </c>
      <c r="K595" t="s">
        <v>1448</v>
      </c>
      <c r="L595">
        <v>1252.52</v>
      </c>
      <c r="M595">
        <v>1417.24</v>
      </c>
      <c r="N595">
        <v>0.192</v>
      </c>
      <c r="O595">
        <v>5</v>
      </c>
    </row>
    <row r="596" spans="1:15">
      <c r="A596" t="s">
        <v>1449</v>
      </c>
      <c r="B596" s="29">
        <v>45823</v>
      </c>
      <c r="C596" s="29">
        <v>45850</v>
      </c>
      <c r="D596" t="s">
        <v>239</v>
      </c>
      <c r="E596" t="s">
        <v>251</v>
      </c>
      <c r="F596" t="s">
        <v>252</v>
      </c>
      <c r="G596" t="s">
        <v>209</v>
      </c>
      <c r="H596" t="s">
        <v>259</v>
      </c>
      <c r="I596" t="s">
        <v>182</v>
      </c>
      <c r="J596" t="s">
        <v>242</v>
      </c>
      <c r="K596" t="s">
        <v>1450</v>
      </c>
      <c r="L596">
        <v>318.83</v>
      </c>
      <c r="M596">
        <v>699.5</v>
      </c>
      <c r="N596">
        <v>0.08</v>
      </c>
      <c r="O596">
        <v>13</v>
      </c>
    </row>
    <row r="597" spans="1:15">
      <c r="A597" t="s">
        <v>1451</v>
      </c>
      <c r="B597" s="29">
        <v>45473</v>
      </c>
      <c r="C597" s="29">
        <v>45494</v>
      </c>
      <c r="D597" t="s">
        <v>177</v>
      </c>
      <c r="E597" t="s">
        <v>178</v>
      </c>
      <c r="F597" t="s">
        <v>179</v>
      </c>
      <c r="G597" t="s">
        <v>223</v>
      </c>
      <c r="H597" t="s">
        <v>181</v>
      </c>
      <c r="I597" t="s">
        <v>256</v>
      </c>
      <c r="J597" t="s">
        <v>218</v>
      </c>
      <c r="K597" t="s">
        <v>1452</v>
      </c>
      <c r="L597">
        <v>753.43</v>
      </c>
      <c r="M597">
        <v>1787.2</v>
      </c>
      <c r="N597">
        <v>0.073</v>
      </c>
      <c r="O597">
        <v>9</v>
      </c>
    </row>
    <row r="598" spans="1:15">
      <c r="A598" t="s">
        <v>1453</v>
      </c>
      <c r="B598" s="29">
        <v>45705</v>
      </c>
      <c r="C598" s="29">
        <v>45703</v>
      </c>
      <c r="D598" t="s">
        <v>213</v>
      </c>
      <c r="E598" t="s">
        <v>214</v>
      </c>
      <c r="F598" t="s">
        <v>215</v>
      </c>
      <c r="G598" t="s">
        <v>223</v>
      </c>
      <c r="H598" t="s">
        <v>181</v>
      </c>
      <c r="I598" t="s">
        <v>306</v>
      </c>
      <c r="J598" t="s">
        <v>183</v>
      </c>
      <c r="K598" t="s">
        <v>1454</v>
      </c>
      <c r="L598">
        <v>1133.47</v>
      </c>
      <c r="M598">
        <v>1698.75</v>
      </c>
      <c r="N598">
        <v>0.043</v>
      </c>
      <c r="O598">
        <v>5</v>
      </c>
    </row>
    <row r="599" spans="1:15">
      <c r="A599" t="s">
        <v>1455</v>
      </c>
      <c r="B599" s="29">
        <v>44933</v>
      </c>
      <c r="C599" s="29">
        <v>44956</v>
      </c>
      <c r="D599" t="s">
        <v>177</v>
      </c>
      <c r="E599" t="s">
        <v>309</v>
      </c>
      <c r="F599" t="s">
        <v>419</v>
      </c>
      <c r="G599" t="s">
        <v>209</v>
      </c>
      <c r="H599" t="s">
        <v>189</v>
      </c>
      <c r="I599" t="s">
        <v>236</v>
      </c>
      <c r="J599" t="s">
        <v>191</v>
      </c>
      <c r="K599" t="s">
        <v>1456</v>
      </c>
      <c r="L599">
        <v>299.02</v>
      </c>
      <c r="M599">
        <v>724.7</v>
      </c>
      <c r="N599">
        <v>0.14</v>
      </c>
      <c r="O599">
        <v>5</v>
      </c>
    </row>
    <row r="600" spans="1:15">
      <c r="A600" t="s">
        <v>1457</v>
      </c>
      <c r="B600" s="29">
        <v>45726</v>
      </c>
      <c r="C600" s="29">
        <v>45751</v>
      </c>
      <c r="D600" t="s">
        <v>206</v>
      </c>
      <c r="E600" t="s">
        <v>207</v>
      </c>
      <c r="F600" t="s">
        <v>208</v>
      </c>
      <c r="G600" t="s">
        <v>180</v>
      </c>
      <c r="H600" t="s">
        <v>259</v>
      </c>
      <c r="I600" t="s">
        <v>253</v>
      </c>
      <c r="J600" t="s">
        <v>191</v>
      </c>
      <c r="K600" t="s">
        <v>1458</v>
      </c>
      <c r="L600">
        <v>783.72</v>
      </c>
      <c r="M600">
        <v>1355.94</v>
      </c>
      <c r="N600">
        <v>0.187</v>
      </c>
      <c r="O600">
        <v>4</v>
      </c>
    </row>
    <row r="601" spans="1:15">
      <c r="A601" t="s">
        <v>1459</v>
      </c>
      <c r="B601" s="29">
        <v>45521</v>
      </c>
      <c r="C601" s="29">
        <v>45519</v>
      </c>
      <c r="D601" t="s">
        <v>213</v>
      </c>
      <c r="E601" t="s">
        <v>234</v>
      </c>
      <c r="F601" t="s">
        <v>386</v>
      </c>
      <c r="G601" t="s">
        <v>209</v>
      </c>
      <c r="H601" t="s">
        <v>259</v>
      </c>
      <c r="I601" t="s">
        <v>271</v>
      </c>
      <c r="J601" t="s">
        <v>225</v>
      </c>
      <c r="K601" t="s">
        <v>1460</v>
      </c>
      <c r="L601">
        <v>165.3</v>
      </c>
      <c r="M601">
        <v>275.07</v>
      </c>
      <c r="N601">
        <v>0.133</v>
      </c>
      <c r="O601">
        <v>25</v>
      </c>
    </row>
    <row r="602" spans="1:15">
      <c r="A602" t="s">
        <v>1461</v>
      </c>
      <c r="B602" s="29">
        <v>45360</v>
      </c>
      <c r="C602" s="29">
        <v>45373</v>
      </c>
      <c r="D602" t="s">
        <v>239</v>
      </c>
      <c r="E602" t="s">
        <v>269</v>
      </c>
      <c r="F602" t="s">
        <v>389</v>
      </c>
      <c r="G602" t="s">
        <v>209</v>
      </c>
      <c r="H602" t="s">
        <v>189</v>
      </c>
      <c r="I602" t="s">
        <v>224</v>
      </c>
      <c r="J602" t="s">
        <v>218</v>
      </c>
      <c r="K602" t="s">
        <v>1462</v>
      </c>
      <c r="L602">
        <v>985.45</v>
      </c>
      <c r="M602">
        <v>1802.44</v>
      </c>
      <c r="N602">
        <v>0.009</v>
      </c>
      <c r="O602">
        <v>19</v>
      </c>
    </row>
    <row r="603" spans="1:15">
      <c r="A603" t="s">
        <v>1463</v>
      </c>
      <c r="B603" s="29">
        <v>45523</v>
      </c>
      <c r="C603" s="29">
        <v>45537</v>
      </c>
      <c r="D603" t="s">
        <v>213</v>
      </c>
      <c r="E603" t="s">
        <v>214</v>
      </c>
      <c r="F603" t="s">
        <v>215</v>
      </c>
      <c r="G603" t="s">
        <v>209</v>
      </c>
      <c r="H603" t="s">
        <v>216</v>
      </c>
      <c r="I603" t="s">
        <v>182</v>
      </c>
      <c r="J603" t="s">
        <v>191</v>
      </c>
      <c r="K603" t="s">
        <v>1464</v>
      </c>
      <c r="L603">
        <v>1337.01</v>
      </c>
      <c r="M603">
        <v>1269.78</v>
      </c>
      <c r="N603">
        <v>0.16</v>
      </c>
      <c r="O603">
        <v>7</v>
      </c>
    </row>
    <row r="604" spans="1:15">
      <c r="A604" t="s">
        <v>1465</v>
      </c>
      <c r="B604" s="29">
        <v>45880</v>
      </c>
      <c r="C604" s="29">
        <v>45897</v>
      </c>
      <c r="D604" t="s">
        <v>239</v>
      </c>
      <c r="E604" t="s">
        <v>251</v>
      </c>
      <c r="F604" t="s">
        <v>378</v>
      </c>
      <c r="G604" t="s">
        <v>188</v>
      </c>
      <c r="H604" t="s">
        <v>189</v>
      </c>
      <c r="I604" t="s">
        <v>245</v>
      </c>
      <c r="J604" t="s">
        <v>196</v>
      </c>
      <c r="K604" t="s">
        <v>1466</v>
      </c>
      <c r="L604">
        <v>416.16</v>
      </c>
      <c r="M604">
        <v>571.9</v>
      </c>
      <c r="N604">
        <v>0.071</v>
      </c>
      <c r="O604">
        <v>2</v>
      </c>
    </row>
    <row r="605" spans="1:15">
      <c r="A605" t="s">
        <v>1467</v>
      </c>
      <c r="B605" s="29">
        <v>45793</v>
      </c>
      <c r="C605" s="29">
        <v>45795</v>
      </c>
      <c r="D605" t="s">
        <v>206</v>
      </c>
      <c r="E605" t="s">
        <v>207</v>
      </c>
      <c r="F605" t="s">
        <v>375</v>
      </c>
      <c r="G605" t="s">
        <v>266</v>
      </c>
      <c r="H605" t="s">
        <v>181</v>
      </c>
      <c r="I605" t="s">
        <v>190</v>
      </c>
      <c r="J605" t="s">
        <v>191</v>
      </c>
      <c r="K605" t="s">
        <v>1468</v>
      </c>
      <c r="L605">
        <v>1144.38</v>
      </c>
      <c r="M605">
        <v>2755.04</v>
      </c>
      <c r="N605">
        <v>0.15</v>
      </c>
      <c r="O605">
        <v>17</v>
      </c>
    </row>
    <row r="606" spans="1:15">
      <c r="A606" t="s">
        <v>1469</v>
      </c>
      <c r="B606" s="29">
        <v>45026</v>
      </c>
      <c r="C606" s="29">
        <v>45041</v>
      </c>
      <c r="D606" t="s">
        <v>239</v>
      </c>
      <c r="E606" t="s">
        <v>269</v>
      </c>
      <c r="F606" t="s">
        <v>313</v>
      </c>
      <c r="G606" t="s">
        <v>223</v>
      </c>
      <c r="H606" t="s">
        <v>181</v>
      </c>
      <c r="I606" t="s">
        <v>306</v>
      </c>
      <c r="J606" t="s">
        <v>191</v>
      </c>
      <c r="K606" t="s">
        <v>1470</v>
      </c>
      <c r="L606">
        <v>405.66</v>
      </c>
      <c r="M606">
        <v>962.51</v>
      </c>
      <c r="N606">
        <v>0.19</v>
      </c>
      <c r="O606">
        <v>7</v>
      </c>
    </row>
    <row r="607" spans="1:15">
      <c r="A607" t="s">
        <v>1471</v>
      </c>
      <c r="B607" s="29">
        <v>45186</v>
      </c>
      <c r="C607" s="29">
        <v>45201</v>
      </c>
      <c r="D607" t="s">
        <v>213</v>
      </c>
      <c r="E607" t="s">
        <v>234</v>
      </c>
      <c r="F607" t="s">
        <v>386</v>
      </c>
      <c r="G607" t="s">
        <v>223</v>
      </c>
      <c r="H607" t="s">
        <v>181</v>
      </c>
      <c r="I607" t="s">
        <v>217</v>
      </c>
      <c r="J607" t="s">
        <v>218</v>
      </c>
      <c r="K607" t="s">
        <v>1472</v>
      </c>
      <c r="L607">
        <v>689.33</v>
      </c>
      <c r="M607">
        <v>668.27</v>
      </c>
      <c r="N607">
        <v>0.186</v>
      </c>
      <c r="O607">
        <v>13</v>
      </c>
    </row>
    <row r="608" spans="1:15">
      <c r="A608" t="s">
        <v>1473</v>
      </c>
      <c r="B608" s="29">
        <v>45038</v>
      </c>
      <c r="C608" s="29">
        <v>45060</v>
      </c>
      <c r="D608" t="s">
        <v>206</v>
      </c>
      <c r="E608" t="s">
        <v>207</v>
      </c>
      <c r="F608" t="s">
        <v>392</v>
      </c>
      <c r="G608" t="s">
        <v>266</v>
      </c>
      <c r="H608" t="s">
        <v>181</v>
      </c>
      <c r="I608" t="s">
        <v>236</v>
      </c>
      <c r="J608" t="s">
        <v>242</v>
      </c>
      <c r="K608" t="s">
        <v>1474</v>
      </c>
      <c r="L608">
        <v>1209.22</v>
      </c>
      <c r="M608">
        <v>1404.33</v>
      </c>
      <c r="N608">
        <v>0.103</v>
      </c>
      <c r="O608">
        <v>11</v>
      </c>
    </row>
    <row r="609" spans="1:15">
      <c r="A609" t="s">
        <v>1475</v>
      </c>
      <c r="B609" s="29">
        <v>45827</v>
      </c>
      <c r="C609" s="29">
        <v>45829</v>
      </c>
      <c r="D609" t="s">
        <v>177</v>
      </c>
      <c r="E609" t="s">
        <v>309</v>
      </c>
      <c r="F609" t="s">
        <v>310</v>
      </c>
      <c r="G609" t="s">
        <v>223</v>
      </c>
      <c r="I609" t="s">
        <v>253</v>
      </c>
      <c r="J609" t="s">
        <v>203</v>
      </c>
      <c r="K609" t="s">
        <v>1476</v>
      </c>
      <c r="L609">
        <v>1466.27</v>
      </c>
      <c r="M609">
        <v>3589.89</v>
      </c>
      <c r="N609">
        <v>0.097</v>
      </c>
      <c r="O609">
        <v>9</v>
      </c>
    </row>
    <row r="610" spans="1:15">
      <c r="A610" t="s">
        <v>1477</v>
      </c>
      <c r="B610" s="29">
        <v>45623</v>
      </c>
      <c r="C610" s="29">
        <v>45650</v>
      </c>
      <c r="D610" t="s">
        <v>177</v>
      </c>
      <c r="E610" t="s">
        <v>178</v>
      </c>
      <c r="F610" t="s">
        <v>274</v>
      </c>
      <c r="G610" t="s">
        <v>180</v>
      </c>
      <c r="H610" t="s">
        <v>216</v>
      </c>
      <c r="I610" t="s">
        <v>217</v>
      </c>
      <c r="J610" t="s">
        <v>191</v>
      </c>
      <c r="K610" t="s">
        <v>1478</v>
      </c>
      <c r="L610">
        <v>143.33</v>
      </c>
      <c r="M610">
        <v>233.51</v>
      </c>
      <c r="N610">
        <v>0.163</v>
      </c>
      <c r="O610">
        <v>14</v>
      </c>
    </row>
    <row r="611" spans="1:15">
      <c r="A611" t="s">
        <v>1479</v>
      </c>
      <c r="B611" s="29">
        <v>45319</v>
      </c>
      <c r="C611" s="29">
        <v>45318</v>
      </c>
      <c r="D611" t="s">
        <v>177</v>
      </c>
      <c r="E611" t="s">
        <v>309</v>
      </c>
      <c r="F611" t="s">
        <v>419</v>
      </c>
      <c r="G611" t="s">
        <v>266</v>
      </c>
      <c r="H611" t="s">
        <v>259</v>
      </c>
      <c r="I611" t="s">
        <v>229</v>
      </c>
      <c r="J611" t="s">
        <v>183</v>
      </c>
      <c r="K611" t="s">
        <v>1480</v>
      </c>
      <c r="L611">
        <v>109.75</v>
      </c>
      <c r="M611">
        <v>124.25</v>
      </c>
      <c r="N611">
        <v>0.12</v>
      </c>
      <c r="O611">
        <v>19</v>
      </c>
    </row>
    <row r="612" spans="1:15">
      <c r="A612" t="s">
        <v>1481</v>
      </c>
      <c r="B612" s="29">
        <v>45032</v>
      </c>
      <c r="C612" s="29">
        <v>45039</v>
      </c>
      <c r="D612" t="s">
        <v>213</v>
      </c>
      <c r="E612" t="s">
        <v>283</v>
      </c>
      <c r="F612" t="s">
        <v>487</v>
      </c>
      <c r="G612" t="s">
        <v>180</v>
      </c>
      <c r="H612" t="s">
        <v>216</v>
      </c>
      <c r="I612" t="s">
        <v>229</v>
      </c>
      <c r="J612" t="s">
        <v>191</v>
      </c>
      <c r="K612" t="s">
        <v>1482</v>
      </c>
      <c r="L612">
        <v>1099.15</v>
      </c>
      <c r="M612">
        <v>1431.37</v>
      </c>
      <c r="N612">
        <v>0.104</v>
      </c>
      <c r="O612">
        <v>8</v>
      </c>
    </row>
    <row r="613" spans="1:15">
      <c r="A613" t="s">
        <v>1483</v>
      </c>
      <c r="B613" s="29">
        <v>45323</v>
      </c>
      <c r="C613" s="29">
        <v>45323</v>
      </c>
      <c r="D613" t="s">
        <v>213</v>
      </c>
      <c r="E613" t="s">
        <v>283</v>
      </c>
      <c r="F613" t="s">
        <v>487</v>
      </c>
      <c r="G613" t="s">
        <v>209</v>
      </c>
      <c r="H613" t="s">
        <v>216</v>
      </c>
      <c r="I613" t="s">
        <v>253</v>
      </c>
      <c r="J613" t="s">
        <v>191</v>
      </c>
      <c r="K613" t="s">
        <v>1484</v>
      </c>
      <c r="L613">
        <v>714.43</v>
      </c>
      <c r="M613">
        <v>1595.52</v>
      </c>
      <c r="N613">
        <v>0.194</v>
      </c>
      <c r="O613">
        <v>14</v>
      </c>
    </row>
    <row r="614" spans="1:15">
      <c r="A614" t="s">
        <v>1485</v>
      </c>
      <c r="B614" s="29">
        <v>45584</v>
      </c>
      <c r="C614" s="29">
        <v>45602</v>
      </c>
      <c r="D614" t="s">
        <v>213</v>
      </c>
      <c r="E614" t="s">
        <v>283</v>
      </c>
      <c r="F614" t="s">
        <v>284</v>
      </c>
      <c r="G614" t="s">
        <v>188</v>
      </c>
      <c r="I614" t="s">
        <v>182</v>
      </c>
      <c r="J614" t="s">
        <v>225</v>
      </c>
      <c r="K614" t="s">
        <v>1486</v>
      </c>
      <c r="L614">
        <v>942.02</v>
      </c>
      <c r="M614">
        <v>1028.46</v>
      </c>
      <c r="N614">
        <v>0</v>
      </c>
      <c r="O614">
        <v>9</v>
      </c>
    </row>
    <row r="615" spans="1:15">
      <c r="A615" t="s">
        <v>1487</v>
      </c>
      <c r="B615" s="29">
        <v>45468</v>
      </c>
      <c r="C615" s="29">
        <v>45473</v>
      </c>
      <c r="D615" t="s">
        <v>177</v>
      </c>
      <c r="E615" t="s">
        <v>178</v>
      </c>
      <c r="F615" t="s">
        <v>179</v>
      </c>
      <c r="G615" t="s">
        <v>188</v>
      </c>
      <c r="H615" t="s">
        <v>259</v>
      </c>
      <c r="I615" t="s">
        <v>271</v>
      </c>
      <c r="J615" t="s">
        <v>196</v>
      </c>
      <c r="K615" t="s">
        <v>1488</v>
      </c>
      <c r="L615">
        <v>1323.55</v>
      </c>
      <c r="M615">
        <v>3230.35</v>
      </c>
      <c r="N615">
        <v>0.022</v>
      </c>
      <c r="O615">
        <v>26</v>
      </c>
    </row>
    <row r="616" spans="1:15">
      <c r="A616" t="s">
        <v>1489</v>
      </c>
      <c r="B616" s="29">
        <v>45137</v>
      </c>
      <c r="C616" s="29">
        <v>45157</v>
      </c>
      <c r="D616" t="s">
        <v>239</v>
      </c>
      <c r="E616" t="s">
        <v>251</v>
      </c>
      <c r="F616" t="s">
        <v>378</v>
      </c>
      <c r="G616" t="s">
        <v>266</v>
      </c>
      <c r="H616" t="s">
        <v>201</v>
      </c>
      <c r="I616" t="s">
        <v>202</v>
      </c>
      <c r="J616" t="s">
        <v>196</v>
      </c>
      <c r="K616" t="s">
        <v>1490</v>
      </c>
      <c r="L616">
        <v>1418.51</v>
      </c>
      <c r="M616">
        <v>2789.61</v>
      </c>
      <c r="N616">
        <v>0.171</v>
      </c>
      <c r="O616">
        <v>8</v>
      </c>
    </row>
    <row r="617" spans="1:15">
      <c r="A617" t="s">
        <v>1491</v>
      </c>
      <c r="B617" s="29">
        <v>45727</v>
      </c>
      <c r="C617" s="29">
        <v>45743</v>
      </c>
      <c r="D617" t="s">
        <v>206</v>
      </c>
      <c r="E617" t="s">
        <v>207</v>
      </c>
      <c r="F617" t="s">
        <v>375</v>
      </c>
      <c r="G617" t="s">
        <v>266</v>
      </c>
      <c r="H617" t="s">
        <v>216</v>
      </c>
      <c r="I617" t="s">
        <v>217</v>
      </c>
      <c r="J617" t="s">
        <v>191</v>
      </c>
      <c r="K617" t="s">
        <v>1492</v>
      </c>
      <c r="L617">
        <v>1317.58</v>
      </c>
      <c r="M617">
        <v>1897.74</v>
      </c>
      <c r="N617">
        <v>0.081</v>
      </c>
      <c r="O617">
        <v>6</v>
      </c>
    </row>
    <row r="618" spans="1:15">
      <c r="A618" t="s">
        <v>1493</v>
      </c>
      <c r="B618" s="29">
        <v>45208</v>
      </c>
      <c r="C618" s="29">
        <v>45210</v>
      </c>
      <c r="D618" t="s">
        <v>177</v>
      </c>
      <c r="E618" t="s">
        <v>186</v>
      </c>
      <c r="F618" t="s">
        <v>187</v>
      </c>
      <c r="G618" t="s">
        <v>188</v>
      </c>
      <c r="H618" t="s">
        <v>201</v>
      </c>
      <c r="I618" t="s">
        <v>256</v>
      </c>
      <c r="J618" t="s">
        <v>196</v>
      </c>
      <c r="K618" t="s">
        <v>1494</v>
      </c>
      <c r="L618">
        <v>391.16</v>
      </c>
      <c r="M618">
        <v>902.47</v>
      </c>
      <c r="N618">
        <v>0.004</v>
      </c>
      <c r="O618">
        <v>12</v>
      </c>
    </row>
    <row r="619" spans="1:15">
      <c r="A619" t="s">
        <v>1495</v>
      </c>
      <c r="B619" s="29">
        <v>45643</v>
      </c>
      <c r="C619" s="29">
        <v>45673</v>
      </c>
      <c r="D619" t="s">
        <v>239</v>
      </c>
      <c r="E619" t="s">
        <v>269</v>
      </c>
      <c r="F619" t="s">
        <v>389</v>
      </c>
      <c r="G619" t="s">
        <v>180</v>
      </c>
      <c r="H619" t="s">
        <v>181</v>
      </c>
      <c r="I619" t="s">
        <v>306</v>
      </c>
      <c r="J619" t="s">
        <v>225</v>
      </c>
      <c r="K619" t="s">
        <v>1496</v>
      </c>
      <c r="L619">
        <v>722.87</v>
      </c>
      <c r="M619">
        <v>-33.66</v>
      </c>
      <c r="N619">
        <v>0.102</v>
      </c>
      <c r="O619">
        <v>28</v>
      </c>
    </row>
    <row r="620" spans="1:15">
      <c r="A620" t="s">
        <v>1497</v>
      </c>
      <c r="B620" s="29">
        <v>45849</v>
      </c>
      <c r="C620" s="29">
        <v>45854</v>
      </c>
      <c r="D620" t="s">
        <v>239</v>
      </c>
      <c r="E620" t="s">
        <v>269</v>
      </c>
      <c r="F620" t="s">
        <v>313</v>
      </c>
      <c r="G620" t="s">
        <v>266</v>
      </c>
      <c r="H620" t="s">
        <v>189</v>
      </c>
      <c r="I620" t="s">
        <v>256</v>
      </c>
      <c r="J620" t="s">
        <v>191</v>
      </c>
      <c r="K620" t="s">
        <v>1498</v>
      </c>
      <c r="L620">
        <v>930.03</v>
      </c>
      <c r="M620">
        <v>1086.68</v>
      </c>
      <c r="N620">
        <v>0.109</v>
      </c>
      <c r="O620">
        <v>26</v>
      </c>
    </row>
    <row r="621" spans="1:15">
      <c r="A621" t="s">
        <v>1499</v>
      </c>
      <c r="B621" s="29">
        <v>45578</v>
      </c>
      <c r="C621" s="29">
        <v>45589</v>
      </c>
      <c r="D621" t="s">
        <v>239</v>
      </c>
      <c r="E621" t="s">
        <v>251</v>
      </c>
      <c r="F621" t="s">
        <v>378</v>
      </c>
      <c r="G621" t="s">
        <v>188</v>
      </c>
      <c r="H621" t="s">
        <v>216</v>
      </c>
      <c r="I621" t="s">
        <v>245</v>
      </c>
      <c r="J621" t="s">
        <v>183</v>
      </c>
      <c r="K621" t="s">
        <v>1500</v>
      </c>
      <c r="L621">
        <v>816.7</v>
      </c>
      <c r="M621">
        <v>1010.75</v>
      </c>
      <c r="N621">
        <v>0.047</v>
      </c>
      <c r="O621">
        <v>43</v>
      </c>
    </row>
    <row r="622" spans="1:15">
      <c r="A622" t="s">
        <v>1501</v>
      </c>
      <c r="B622" s="29">
        <v>45177</v>
      </c>
      <c r="C622" s="29">
        <v>45183</v>
      </c>
      <c r="D622" t="s">
        <v>177</v>
      </c>
      <c r="E622" t="s">
        <v>178</v>
      </c>
      <c r="F622" t="s">
        <v>296</v>
      </c>
      <c r="G622" t="s">
        <v>188</v>
      </c>
      <c r="H622" t="s">
        <v>259</v>
      </c>
      <c r="I622" t="s">
        <v>195</v>
      </c>
      <c r="J622" t="s">
        <v>242</v>
      </c>
      <c r="K622" t="s">
        <v>1502</v>
      </c>
      <c r="L622">
        <v>251.03</v>
      </c>
      <c r="M622">
        <v>411.48</v>
      </c>
      <c r="N622">
        <v>0.165</v>
      </c>
      <c r="O622">
        <v>3</v>
      </c>
    </row>
    <row r="623" spans="1:15">
      <c r="A623" t="s">
        <v>1503</v>
      </c>
      <c r="B623" s="29">
        <v>45764</v>
      </c>
      <c r="C623" s="29">
        <v>45780</v>
      </c>
      <c r="D623" t="s">
        <v>213</v>
      </c>
      <c r="E623" t="s">
        <v>234</v>
      </c>
      <c r="F623" t="s">
        <v>386</v>
      </c>
      <c r="G623" t="s">
        <v>209</v>
      </c>
      <c r="H623" t="s">
        <v>201</v>
      </c>
      <c r="I623" t="s">
        <v>190</v>
      </c>
      <c r="J623" t="s">
        <v>196</v>
      </c>
      <c r="K623" t="s">
        <v>1504</v>
      </c>
      <c r="L623">
        <v>168.68</v>
      </c>
      <c r="M623">
        <v>413.34</v>
      </c>
      <c r="N623">
        <v>0.186</v>
      </c>
      <c r="O623">
        <v>7</v>
      </c>
    </row>
    <row r="624" spans="1:15">
      <c r="A624" t="s">
        <v>1505</v>
      </c>
      <c r="B624" s="29">
        <v>45501</v>
      </c>
      <c r="C624" s="29">
        <v>45527</v>
      </c>
      <c r="D624" t="s">
        <v>206</v>
      </c>
      <c r="E624" t="s">
        <v>221</v>
      </c>
      <c r="F624" t="s">
        <v>442</v>
      </c>
      <c r="G624" t="s">
        <v>180</v>
      </c>
      <c r="H624" t="s">
        <v>181</v>
      </c>
      <c r="I624" t="s">
        <v>190</v>
      </c>
      <c r="J624" t="s">
        <v>196</v>
      </c>
      <c r="K624" t="s">
        <v>1506</v>
      </c>
      <c r="L624">
        <v>1339.24</v>
      </c>
      <c r="M624">
        <v>1558.89</v>
      </c>
      <c r="N624">
        <v>0.192</v>
      </c>
      <c r="O624">
        <v>24</v>
      </c>
    </row>
    <row r="625" spans="1:15">
      <c r="A625" t="s">
        <v>1507</v>
      </c>
      <c r="B625" s="29">
        <v>45857</v>
      </c>
      <c r="C625" s="29">
        <v>45869</v>
      </c>
      <c r="D625" t="s">
        <v>177</v>
      </c>
      <c r="E625" t="s">
        <v>178</v>
      </c>
      <c r="F625" t="s">
        <v>194</v>
      </c>
      <c r="G625" t="s">
        <v>223</v>
      </c>
      <c r="H625" t="s">
        <v>201</v>
      </c>
      <c r="I625" t="s">
        <v>229</v>
      </c>
      <c r="J625" t="s">
        <v>242</v>
      </c>
      <c r="K625" t="s">
        <v>1508</v>
      </c>
      <c r="L625">
        <v>619.64</v>
      </c>
      <c r="M625">
        <v>861.16</v>
      </c>
      <c r="N625">
        <v>0.113</v>
      </c>
      <c r="O625">
        <v>14</v>
      </c>
    </row>
    <row r="626" spans="1:15">
      <c r="A626" t="s">
        <v>1509</v>
      </c>
      <c r="B626" s="29">
        <v>45141</v>
      </c>
      <c r="C626" s="29">
        <v>45140</v>
      </c>
      <c r="D626" t="s">
        <v>206</v>
      </c>
      <c r="E626" t="s">
        <v>277</v>
      </c>
      <c r="F626" t="s">
        <v>323</v>
      </c>
      <c r="G626" t="s">
        <v>200</v>
      </c>
      <c r="H626" t="s">
        <v>259</v>
      </c>
      <c r="I626" t="s">
        <v>190</v>
      </c>
      <c r="J626" t="s">
        <v>196</v>
      </c>
      <c r="K626" t="s">
        <v>1510</v>
      </c>
      <c r="L626">
        <v>1021.97</v>
      </c>
      <c r="M626">
        <v>2296.25</v>
      </c>
      <c r="N626">
        <v>0.161</v>
      </c>
      <c r="O626">
        <v>26</v>
      </c>
    </row>
    <row r="627" spans="1:15">
      <c r="A627" t="s">
        <v>1511</v>
      </c>
      <c r="B627" s="29">
        <v>45249</v>
      </c>
      <c r="C627" s="29">
        <v>45272</v>
      </c>
      <c r="D627" t="s">
        <v>206</v>
      </c>
      <c r="E627" t="s">
        <v>221</v>
      </c>
      <c r="F627" t="s">
        <v>302</v>
      </c>
      <c r="G627" t="s">
        <v>223</v>
      </c>
      <c r="H627" t="s">
        <v>259</v>
      </c>
      <c r="I627" t="s">
        <v>182</v>
      </c>
      <c r="J627" t="s">
        <v>196</v>
      </c>
      <c r="K627" t="s">
        <v>1512</v>
      </c>
      <c r="L627">
        <v>1349.04</v>
      </c>
      <c r="M627">
        <v>2636.6</v>
      </c>
      <c r="N627">
        <v>0.114</v>
      </c>
      <c r="O627">
        <v>14</v>
      </c>
    </row>
    <row r="628" spans="1:15">
      <c r="A628" t="s">
        <v>1513</v>
      </c>
      <c r="B628" s="29">
        <v>45282</v>
      </c>
      <c r="C628" s="29">
        <v>45307</v>
      </c>
      <c r="D628" t="s">
        <v>206</v>
      </c>
      <c r="E628" t="s">
        <v>221</v>
      </c>
      <c r="F628" t="s">
        <v>442</v>
      </c>
      <c r="G628" t="s">
        <v>223</v>
      </c>
      <c r="H628" t="s">
        <v>181</v>
      </c>
      <c r="I628" t="s">
        <v>236</v>
      </c>
      <c r="J628" t="s">
        <v>183</v>
      </c>
      <c r="K628" t="s">
        <v>1514</v>
      </c>
      <c r="L628">
        <v>1346.81</v>
      </c>
      <c r="M628">
        <v>978.09</v>
      </c>
      <c r="N628">
        <v>0.159</v>
      </c>
      <c r="O628">
        <v>17</v>
      </c>
    </row>
    <row r="629" spans="1:15">
      <c r="A629" t="s">
        <v>1515</v>
      </c>
      <c r="B629" s="29">
        <v>45141</v>
      </c>
      <c r="C629" s="29">
        <v>45168</v>
      </c>
      <c r="D629" t="s">
        <v>206</v>
      </c>
      <c r="E629" t="s">
        <v>277</v>
      </c>
      <c r="F629" t="s">
        <v>323</v>
      </c>
      <c r="G629" t="s">
        <v>209</v>
      </c>
      <c r="H629" t="s">
        <v>216</v>
      </c>
      <c r="I629" t="s">
        <v>287</v>
      </c>
      <c r="J629" t="s">
        <v>225</v>
      </c>
      <c r="K629" t="s">
        <v>1516</v>
      </c>
      <c r="L629">
        <v>226.04</v>
      </c>
      <c r="M629">
        <v>545.72</v>
      </c>
      <c r="N629">
        <v>0.151</v>
      </c>
      <c r="O629">
        <v>11</v>
      </c>
    </row>
    <row r="630" spans="1:15">
      <c r="A630" t="s">
        <v>1517</v>
      </c>
      <c r="B630" s="29">
        <v>45100</v>
      </c>
      <c r="C630" s="29">
        <v>45125</v>
      </c>
      <c r="D630" t="s">
        <v>213</v>
      </c>
      <c r="E630" t="s">
        <v>214</v>
      </c>
      <c r="F630" t="s">
        <v>340</v>
      </c>
      <c r="G630" t="s">
        <v>266</v>
      </c>
      <c r="H630" t="s">
        <v>189</v>
      </c>
      <c r="I630" t="s">
        <v>287</v>
      </c>
      <c r="J630" t="s">
        <v>203</v>
      </c>
      <c r="K630" t="s">
        <v>1518</v>
      </c>
      <c r="L630">
        <v>807.02</v>
      </c>
      <c r="M630">
        <v>1435.54</v>
      </c>
      <c r="N630">
        <v>0</v>
      </c>
      <c r="O630">
        <v>23</v>
      </c>
    </row>
    <row r="631" spans="1:15">
      <c r="A631" t="s">
        <v>1519</v>
      </c>
      <c r="B631" s="29">
        <v>45267</v>
      </c>
      <c r="C631" s="29">
        <v>45293</v>
      </c>
      <c r="D631" t="s">
        <v>239</v>
      </c>
      <c r="E631" t="s">
        <v>240</v>
      </c>
      <c r="F631" t="s">
        <v>496</v>
      </c>
      <c r="G631" t="s">
        <v>266</v>
      </c>
      <c r="H631" t="s">
        <v>216</v>
      </c>
      <c r="I631" t="s">
        <v>224</v>
      </c>
      <c r="J631" t="s">
        <v>183</v>
      </c>
      <c r="K631" t="s">
        <v>1520</v>
      </c>
      <c r="L631">
        <v>1071.99</v>
      </c>
      <c r="M631">
        <v>2397.3</v>
      </c>
      <c r="N631">
        <v>0.062</v>
      </c>
      <c r="O631">
        <v>18</v>
      </c>
    </row>
    <row r="632" spans="1:15">
      <c r="A632" t="s">
        <v>1521</v>
      </c>
      <c r="B632" s="29">
        <v>45249</v>
      </c>
      <c r="C632" s="29">
        <v>45279</v>
      </c>
      <c r="D632" t="s">
        <v>206</v>
      </c>
      <c r="E632" t="s">
        <v>207</v>
      </c>
      <c r="F632" t="s">
        <v>392</v>
      </c>
      <c r="G632" t="s">
        <v>209</v>
      </c>
      <c r="H632" t="s">
        <v>181</v>
      </c>
      <c r="J632" t="s">
        <v>203</v>
      </c>
      <c r="K632" t="s">
        <v>1522</v>
      </c>
      <c r="L632">
        <v>807.11</v>
      </c>
      <c r="M632">
        <v>1853.86</v>
      </c>
      <c r="N632">
        <v>0.139</v>
      </c>
      <c r="O632">
        <v>8</v>
      </c>
    </row>
    <row r="633" spans="1:15">
      <c r="A633" t="s">
        <v>1523</v>
      </c>
      <c r="B633" s="29">
        <v>45716</v>
      </c>
      <c r="C633" s="29">
        <v>45726</v>
      </c>
      <c r="D633" t="s">
        <v>206</v>
      </c>
      <c r="E633" t="s">
        <v>207</v>
      </c>
      <c r="F633" t="s">
        <v>208</v>
      </c>
      <c r="G633" t="s">
        <v>188</v>
      </c>
      <c r="H633" t="s">
        <v>216</v>
      </c>
      <c r="I633" t="s">
        <v>287</v>
      </c>
      <c r="J633" t="s">
        <v>218</v>
      </c>
      <c r="K633" t="s">
        <v>1524</v>
      </c>
      <c r="L633">
        <v>51.86</v>
      </c>
      <c r="M633">
        <v>45.98</v>
      </c>
      <c r="N633">
        <v>0.173</v>
      </c>
      <c r="O633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32"/>
  <sheetViews>
    <sheetView workbookViewId="0">
      <pane ySplit="1" topLeftCell="A2" activePane="bottomLeft" state="frozen"/>
      <selection/>
      <selection pane="bottomLeft" activeCell="K2" sqref="K2"/>
    </sheetView>
  </sheetViews>
  <sheetFormatPr defaultColWidth="9" defaultRowHeight="15"/>
  <cols>
    <col min="1" max="1" width="19.2857142857143" customWidth="1"/>
    <col min="2" max="2" width="16.4285714285714" style="7" customWidth="1"/>
    <col min="3" max="3" width="16.7142857142857" style="7" customWidth="1"/>
    <col min="4" max="4" width="13.1428571428571" customWidth="1"/>
    <col min="5" max="5" width="19" customWidth="1"/>
    <col min="6" max="6" width="16.2857142857143" customWidth="1"/>
    <col min="7" max="7" width="18.1428571428571" customWidth="1"/>
    <col min="8" max="8" width="20.7142857142857" customWidth="1"/>
    <col min="9" max="9" width="24.7142857142857" customWidth="1"/>
    <col min="10" max="10" width="19.8571428571429" customWidth="1"/>
    <col min="11" max="11" width="14.8571428571429" customWidth="1"/>
    <col min="12" max="12" width="14.7142857142857" style="10" customWidth="1"/>
    <col min="13" max="13" width="15" style="10" customWidth="1"/>
    <col min="14" max="14" width="13.1428571428571" style="17" customWidth="1"/>
    <col min="15" max="15" width="12.5714285714286" customWidth="1"/>
    <col min="16" max="16" width="14" customWidth="1"/>
    <col min="17" max="17" width="18.5714285714286" style="10" customWidth="1"/>
    <col min="18" max="18" width="16.4285714285714" customWidth="1"/>
    <col min="19" max="19" width="18.4285714285714" style="17" customWidth="1"/>
    <col min="21" max="21" width="21.4285714285714" customWidth="1"/>
    <col min="22" max="22" width="19.2857142857143" customWidth="1"/>
    <col min="23" max="23" width="19" customWidth="1"/>
    <col min="24" max="24" width="16.2857142857143" customWidth="1"/>
    <col min="25" max="25" width="19.7142857142857" customWidth="1"/>
    <col min="26" max="26" width="14.5714285714286" customWidth="1"/>
    <col min="27" max="27" width="25.2857142857143" customWidth="1"/>
    <col min="28" max="28" width="14.1428571428571" customWidth="1"/>
    <col min="29" max="29" width="50.7142857142857" customWidth="1"/>
    <col min="30" max="30" width="28.1428571428571" customWidth="1"/>
    <col min="31" max="31" width="21.4285714285714" customWidth="1"/>
    <col min="32" max="32" width="17.2857142857143" customWidth="1"/>
    <col min="33" max="33" width="22.1428571428571" customWidth="1"/>
    <col min="34" max="34" width="19" customWidth="1"/>
    <col min="35" max="35" width="16.4285714285714" customWidth="1"/>
    <col min="36" max="36" width="37.2857142857143" customWidth="1"/>
    <col min="37" max="37" width="38.2857142857143" customWidth="1"/>
    <col min="38" max="38" width="28" customWidth="1"/>
    <col min="39" max="39" width="32.8571428571429" customWidth="1"/>
    <col min="40" max="40" width="24" customWidth="1"/>
    <col min="41" max="41" width="32.5714285714286" customWidth="1"/>
    <col min="42" max="42" width="32.7142857142857" customWidth="1"/>
  </cols>
  <sheetData>
    <row r="1" spans="1:42">
      <c r="A1" s="20" t="s">
        <v>1525</v>
      </c>
      <c r="B1" s="21" t="s">
        <v>1526</v>
      </c>
      <c r="C1" s="21" t="s">
        <v>1527</v>
      </c>
      <c r="D1" s="20" t="s">
        <v>164</v>
      </c>
      <c r="E1" s="20" t="s">
        <v>165</v>
      </c>
      <c r="F1" s="20" t="s">
        <v>166</v>
      </c>
      <c r="G1" s="20" t="s">
        <v>1528</v>
      </c>
      <c r="H1" s="20" t="s">
        <v>168</v>
      </c>
      <c r="I1" s="20" t="s">
        <v>1529</v>
      </c>
      <c r="J1" s="20" t="s">
        <v>1530</v>
      </c>
      <c r="K1" s="20" t="s">
        <v>171</v>
      </c>
      <c r="L1" s="22" t="s">
        <v>172</v>
      </c>
      <c r="M1" s="22" t="s">
        <v>1531</v>
      </c>
      <c r="N1" s="23" t="s">
        <v>1532</v>
      </c>
      <c r="O1" s="20" t="s">
        <v>175</v>
      </c>
      <c r="P1" s="2" t="s">
        <v>1533</v>
      </c>
      <c r="Q1" s="24" t="s">
        <v>1534</v>
      </c>
      <c r="R1" s="2" t="s">
        <v>1535</v>
      </c>
      <c r="S1" s="25" t="s">
        <v>1536</v>
      </c>
      <c r="T1" t="s">
        <v>1537</v>
      </c>
      <c r="U1" s="2" t="s">
        <v>1538</v>
      </c>
      <c r="V1" s="2" t="s">
        <v>1539</v>
      </c>
      <c r="W1" s="2" t="s">
        <v>1540</v>
      </c>
      <c r="X1" s="2" t="s">
        <v>1541</v>
      </c>
      <c r="Y1" s="2" t="s">
        <v>1542</v>
      </c>
      <c r="Z1" s="2" t="s">
        <v>1543</v>
      </c>
      <c r="AA1" s="2" t="s">
        <v>1544</v>
      </c>
      <c r="AB1" s="2" t="s">
        <v>1545</v>
      </c>
      <c r="AC1" s="2" t="s">
        <v>1546</v>
      </c>
      <c r="AD1" s="2" t="s">
        <v>1547</v>
      </c>
      <c r="AE1" s="2" t="s">
        <v>1548</v>
      </c>
      <c r="AF1" s="2" t="s">
        <v>1549</v>
      </c>
      <c r="AG1" t="s">
        <v>1550</v>
      </c>
      <c r="AH1" t="s">
        <v>1551</v>
      </c>
      <c r="AI1" t="s">
        <v>1552</v>
      </c>
      <c r="AJ1" t="s">
        <v>1553</v>
      </c>
      <c r="AK1" t="s">
        <v>1554</v>
      </c>
      <c r="AL1" s="2" t="s">
        <v>1555</v>
      </c>
      <c r="AM1" s="2" t="s">
        <v>1556</v>
      </c>
      <c r="AN1" s="2" t="s">
        <v>1557</v>
      </c>
      <c r="AO1" s="2" t="s">
        <v>1558</v>
      </c>
      <c r="AP1" s="2" t="s">
        <v>1559</v>
      </c>
    </row>
    <row r="2" spans="1:42">
      <c r="A2" t="s">
        <v>176</v>
      </c>
      <c r="B2" s="7">
        <v>45362</v>
      </c>
      <c r="C2" s="7">
        <v>45388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s="10">
        <v>279.24</v>
      </c>
      <c r="M2" s="10">
        <v>608.9</v>
      </c>
      <c r="N2" s="17">
        <v>0.112</v>
      </c>
      <c r="O2">
        <v>9</v>
      </c>
      <c r="P2" t="str">
        <f>IF(M2&gt;0,"Valid")</f>
        <v>Valid</v>
      </c>
      <c r="Q2" s="10">
        <f t="shared" ref="Q2:Q65" si="0">ABS(M2)</f>
        <v>608.9</v>
      </c>
      <c r="R2" t="b">
        <f>IF(N2&gt;30%,"Excess")</f>
        <v>0</v>
      </c>
      <c r="S2" s="17">
        <f>IF(R2="Excess",30%,N2)</f>
        <v>0.112</v>
      </c>
      <c r="T2">
        <f>(C2-B2)</f>
        <v>26</v>
      </c>
      <c r="U2" s="26">
        <f>IF(C2&lt;B2,B2+7,C2)</f>
        <v>45388</v>
      </c>
      <c r="V2">
        <f t="shared" ref="V2:V65" si="1">(U2-B2)</f>
        <v>26</v>
      </c>
      <c r="W2" s="10">
        <f t="shared" ref="W2:W65" si="2">(Q2*O2*(100-S2))</f>
        <v>547396.2288</v>
      </c>
      <c r="X2" s="10">
        <f t="shared" ref="X2:X65" si="3">(Q2*O2)</f>
        <v>5480.1</v>
      </c>
      <c r="Y2" s="10">
        <f>W2-X2</f>
        <v>541916.1288</v>
      </c>
      <c r="Z2" s="14">
        <f>Y2/W2</f>
        <v>0.989988787441935</v>
      </c>
      <c r="AA2" s="5" t="s">
        <v>1560</v>
      </c>
      <c r="AB2" t="str">
        <f>"Q"&amp;ROUNDUP(MONTH(B2)/3,0)&amp;"-"&amp;YEAR(B2)</f>
        <v>Q1-2024</v>
      </c>
      <c r="AC2" t="str">
        <f>D2&amp;" → "&amp;E2&amp;" → "&amp;F2</f>
        <v>Africa → Kenya → Kisumu</v>
      </c>
      <c r="AD2" t="str">
        <f>IF(OR(J2="Laptops",J2="Phones"),"Devices",IF(OR(J2="Monitors",J2="Printers"),"Peripherals","Support"))</f>
        <v>Support</v>
      </c>
      <c r="AE2" s="8" t="str">
        <f t="shared" ref="AE2:AE52" si="4">IF(B2&lt;=PERCENTILE($B$2:$B$632,0.33),"Low",IF(B2&lt;=PERCENTILE($B$2:$B$632,0.66),"Medium","High"))</f>
        <v>Medium</v>
      </c>
      <c r="AF2" t="str">
        <f>UPPER(TRIM(CLEAN(SUBSTITUTE(E2,CHAR(160),""))))</f>
        <v>KENYA</v>
      </c>
      <c r="AG2" s="7">
        <f>_xlfn.MINIFS($B$2:$B$633,$AF$2:$AF$633,AF2)</f>
        <v>44946</v>
      </c>
      <c r="AH2" t="str">
        <f>TEXT(AG2,"MMM-YYYY")</f>
        <v>Jan-2023</v>
      </c>
      <c r="AI2" s="9">
        <f>EOMONTH(B2,0)</f>
        <v>45382</v>
      </c>
      <c r="AJ2">
        <f>IF(V2&lt;=7,1,0)</f>
        <v>0</v>
      </c>
      <c r="AK2">
        <f>IF(N2&gt;20%,1,0)</f>
        <v>0</v>
      </c>
      <c r="AL2" s="27">
        <f>MIN(N2,'Scenario Modelling'!$B$2)</f>
        <v>0.112</v>
      </c>
      <c r="AM2" s="10">
        <f>L2*(1+'Scenario Modelling'!$B$3)</f>
        <v>321.126</v>
      </c>
      <c r="AN2">
        <f>O2*(1+'Scenario Modelling'!$B$4)</f>
        <v>10.8</v>
      </c>
      <c r="AO2" s="28">
        <f>AN2*M2*(1-AL2)</f>
        <v>5839.59456</v>
      </c>
      <c r="AP2" s="10">
        <f>(M2*(1-AL2)-AM2)*AN2</f>
        <v>2371.43376</v>
      </c>
    </row>
    <row r="3" spans="1:42">
      <c r="A3" t="s">
        <v>185</v>
      </c>
      <c r="B3" s="7">
        <v>45588</v>
      </c>
      <c r="C3" s="7">
        <v>45587</v>
      </c>
      <c r="D3" t="s">
        <v>177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s="10">
        <v>1084.39</v>
      </c>
      <c r="M3" s="10">
        <v>759.33</v>
      </c>
      <c r="N3" s="17">
        <v>0.237</v>
      </c>
      <c r="O3">
        <v>31</v>
      </c>
      <c r="P3" t="str">
        <f t="shared" ref="P3:P65" si="5">IF(M3&gt;0,"Valid")</f>
        <v>Valid</v>
      </c>
      <c r="Q3" s="10">
        <f t="shared" si="0"/>
        <v>759.33</v>
      </c>
      <c r="R3" t="b">
        <f t="shared" ref="R3:R65" si="6">IF(N3&gt;30%,"Excess")</f>
        <v>0</v>
      </c>
      <c r="S3" s="17">
        <f t="shared" ref="S3:S65" si="7">IF(R3="Excess",30%,N3)</f>
        <v>0.237</v>
      </c>
      <c r="T3">
        <f>(C3-B3)</f>
        <v>-1</v>
      </c>
      <c r="U3" s="26">
        <f t="shared" ref="U3:U65" si="8">IF(C3&lt;B3,B3+7,C3)</f>
        <v>45595</v>
      </c>
      <c r="V3">
        <f t="shared" si="1"/>
        <v>7</v>
      </c>
      <c r="W3" s="10">
        <f t="shared" si="2"/>
        <v>2348344.20249</v>
      </c>
      <c r="X3" s="10">
        <f t="shared" si="3"/>
        <v>23539.23</v>
      </c>
      <c r="Y3" s="10">
        <f t="shared" ref="Y3:Y65" si="9">W3-X3</f>
        <v>2324804.97249</v>
      </c>
      <c r="Z3" s="14">
        <f t="shared" ref="Z3:Z66" si="10">Y3/W3</f>
        <v>0.989976243697563</v>
      </c>
      <c r="AA3" t="s">
        <v>1561</v>
      </c>
      <c r="AB3" t="str">
        <f t="shared" ref="AB3:AB65" si="11">"Q"&amp;ROUNDUP(MONTH(B3)/3,0)&amp;"-"&amp;YEAR(B3)</f>
        <v>Q4-2024</v>
      </c>
      <c r="AC3" t="str">
        <f t="shared" ref="AC3:AC65" si="12">D3&amp;" → "&amp;E3&amp;" → "&amp;F3</f>
        <v>Africa → Nigeria → Port Harcourt</v>
      </c>
      <c r="AD3" t="str">
        <f t="shared" ref="AD3:AD65" si="13">IF(OR(J3="Laptops",J3="Phones"),"Devices",IF(OR(J3="Monitors",J3="Printers"),"Peripherals","Support"))</f>
        <v>Peripherals</v>
      </c>
      <c r="AE3" s="8" t="str">
        <f t="shared" si="4"/>
        <v>Medium</v>
      </c>
      <c r="AF3" t="str">
        <f t="shared" ref="AF3:AF66" si="14">UPPER(TRIM(CLEAN(SUBSTITUTE(E3,CHAR(160),""))))</f>
        <v>NIGERIA</v>
      </c>
      <c r="AG3" s="7">
        <f>_xlfn.MINIFS($B$2:$B$633,$AF$2:$AF$633,AF3)</f>
        <v>44941</v>
      </c>
      <c r="AH3" t="str">
        <f t="shared" ref="AH3:AH66" si="15">TEXT(AG3,"MMM-YYYY")</f>
        <v>Jan-2023</v>
      </c>
      <c r="AI3" s="9">
        <f t="shared" ref="AI3:AI66" si="16">EOMONTH(B3,0)</f>
        <v>45596</v>
      </c>
      <c r="AJ3">
        <f>IF(V3&lt;=7,1,0)</f>
        <v>1</v>
      </c>
      <c r="AK3">
        <f t="shared" ref="AK3:AK66" si="17">IF(N3&gt;20%,1,0)</f>
        <v>1</v>
      </c>
      <c r="AL3" s="17">
        <f>MIN(N3,'Scenario Modelling'!$B$2)</f>
        <v>0.237</v>
      </c>
      <c r="AM3" s="10">
        <f>L3*(1+'Scenario Modelling'!$B$3)</f>
        <v>1247.0485</v>
      </c>
      <c r="AN3">
        <f>O3*(1+'Scenario Modelling'!$B$4)</f>
        <v>37.2</v>
      </c>
      <c r="AO3" s="28">
        <f t="shared" ref="AO3:AO66" si="18">AN3*M3*(1-AL3)</f>
        <v>21552.518988</v>
      </c>
      <c r="AP3" s="10">
        <f t="shared" ref="AP3:AP66" si="19">(M3*(1-AL3)-AM3)*AN3</f>
        <v>-24837.685212</v>
      </c>
    </row>
    <row r="4" spans="1:42">
      <c r="A4" t="s">
        <v>193</v>
      </c>
      <c r="B4" s="7">
        <v>44985</v>
      </c>
      <c r="C4" s="7">
        <v>45010</v>
      </c>
      <c r="D4" t="s">
        <v>177</v>
      </c>
      <c r="E4" t="s">
        <v>178</v>
      </c>
      <c r="F4" t="s">
        <v>194</v>
      </c>
      <c r="G4" t="s">
        <v>180</v>
      </c>
      <c r="H4" t="s">
        <v>181</v>
      </c>
      <c r="I4" t="s">
        <v>195</v>
      </c>
      <c r="J4" t="s">
        <v>196</v>
      </c>
      <c r="K4" t="s">
        <v>197</v>
      </c>
      <c r="L4" s="10">
        <v>1460.76</v>
      </c>
      <c r="M4" s="10">
        <v>-30.66</v>
      </c>
      <c r="N4" s="17">
        <v>0.131</v>
      </c>
      <c r="O4">
        <v>12</v>
      </c>
      <c r="P4" t="b">
        <f t="shared" si="5"/>
        <v>0</v>
      </c>
      <c r="Q4" s="10">
        <f t="shared" si="0"/>
        <v>30.66</v>
      </c>
      <c r="R4" t="b">
        <f t="shared" si="6"/>
        <v>0</v>
      </c>
      <c r="S4" s="17">
        <f t="shared" si="7"/>
        <v>0.131</v>
      </c>
      <c r="T4">
        <f t="shared" ref="T4:T65" si="20">(C4-B4)</f>
        <v>25</v>
      </c>
      <c r="U4" s="26">
        <f t="shared" si="8"/>
        <v>45010</v>
      </c>
      <c r="V4">
        <f t="shared" si="1"/>
        <v>25</v>
      </c>
      <c r="W4" s="10">
        <f t="shared" si="2"/>
        <v>36743.80248</v>
      </c>
      <c r="X4" s="10">
        <f t="shared" si="3"/>
        <v>367.92</v>
      </c>
      <c r="Y4" s="10">
        <f t="shared" si="9"/>
        <v>36375.88248</v>
      </c>
      <c r="Z4" s="14">
        <f t="shared" si="10"/>
        <v>0.98998688281649</v>
      </c>
      <c r="AA4" t="s">
        <v>1562</v>
      </c>
      <c r="AB4" t="str">
        <f t="shared" si="11"/>
        <v>Q1-2023</v>
      </c>
      <c r="AC4" t="str">
        <f t="shared" si="12"/>
        <v>Africa → Kenya → Nairobi</v>
      </c>
      <c r="AD4" t="str">
        <f t="shared" si="13"/>
        <v>Support</v>
      </c>
      <c r="AE4" s="8" t="str">
        <f t="shared" si="4"/>
        <v>Low</v>
      </c>
      <c r="AF4" t="str">
        <f t="shared" si="14"/>
        <v>KENYA</v>
      </c>
      <c r="AG4" s="7">
        <v>44946</v>
      </c>
      <c r="AH4" t="str">
        <f t="shared" si="15"/>
        <v>Jan-2023</v>
      </c>
      <c r="AI4" s="9">
        <f t="shared" si="16"/>
        <v>44985</v>
      </c>
      <c r="AJ4">
        <f t="shared" ref="AJ4:AJ67" si="21">IF(V4&lt;=7,1,0)</f>
        <v>0</v>
      </c>
      <c r="AK4">
        <f t="shared" si="17"/>
        <v>0</v>
      </c>
      <c r="AL4" s="17">
        <f>MIN(N4,'Scenario Modelling'!$B$2)</f>
        <v>0.131</v>
      </c>
      <c r="AM4" s="10">
        <f>L4*(1+'Scenario Modelling'!$B$3)</f>
        <v>1679.874</v>
      </c>
      <c r="AN4">
        <f>O4*(1+'Scenario Modelling'!$B$4)</f>
        <v>14.4</v>
      </c>
      <c r="AO4" s="28">
        <f t="shared" si="18"/>
        <v>-383.666976</v>
      </c>
      <c r="AP4" s="10">
        <f t="shared" si="19"/>
        <v>-24573.852576</v>
      </c>
    </row>
    <row r="5" spans="1:42">
      <c r="A5" t="s">
        <v>198</v>
      </c>
      <c r="B5" s="7">
        <v>45745</v>
      </c>
      <c r="C5" s="7">
        <v>45749</v>
      </c>
      <c r="D5" t="s">
        <v>177</v>
      </c>
      <c r="E5" t="s">
        <v>186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 s="10">
        <v>259.93</v>
      </c>
      <c r="M5" s="10">
        <v>255.94</v>
      </c>
      <c r="N5" s="17">
        <v>0.072</v>
      </c>
      <c r="O5">
        <v>22</v>
      </c>
      <c r="P5" t="str">
        <f t="shared" si="5"/>
        <v>Valid</v>
      </c>
      <c r="Q5" s="10">
        <f t="shared" si="0"/>
        <v>255.94</v>
      </c>
      <c r="R5" t="b">
        <f t="shared" si="6"/>
        <v>0</v>
      </c>
      <c r="S5" s="17">
        <f t="shared" si="7"/>
        <v>0.072</v>
      </c>
      <c r="T5">
        <f t="shared" si="20"/>
        <v>4</v>
      </c>
      <c r="U5" s="26">
        <f t="shared" si="8"/>
        <v>45749</v>
      </c>
      <c r="V5">
        <f t="shared" si="1"/>
        <v>4</v>
      </c>
      <c r="W5" s="10">
        <f t="shared" si="2"/>
        <v>562662.59104</v>
      </c>
      <c r="X5" s="10">
        <f t="shared" si="3"/>
        <v>5630.68</v>
      </c>
      <c r="Y5" s="10">
        <f t="shared" si="9"/>
        <v>557031.91104</v>
      </c>
      <c r="Z5" s="14">
        <f t="shared" si="10"/>
        <v>0.989992794812265</v>
      </c>
      <c r="AA5" t="s">
        <v>1563</v>
      </c>
      <c r="AB5" t="str">
        <f t="shared" si="11"/>
        <v>Q1-2025</v>
      </c>
      <c r="AC5" t="str">
        <f t="shared" si="12"/>
        <v>Africa → Nigeria → Lagos</v>
      </c>
      <c r="AD5" t="str">
        <f t="shared" si="13"/>
        <v>Devices</v>
      </c>
      <c r="AE5" s="8" t="str">
        <f t="shared" si="4"/>
        <v>High</v>
      </c>
      <c r="AF5" t="str">
        <f t="shared" si="14"/>
        <v>NIGERIA</v>
      </c>
      <c r="AG5" s="7">
        <f>_xlfn.MINIFS($B$2:$B$633,$AF$2:$AF$633,AF5)</f>
        <v>44941</v>
      </c>
      <c r="AH5" t="str">
        <f t="shared" si="15"/>
        <v>Jan-2023</v>
      </c>
      <c r="AI5" s="9">
        <f t="shared" si="16"/>
        <v>45747</v>
      </c>
      <c r="AJ5">
        <f t="shared" si="21"/>
        <v>1</v>
      </c>
      <c r="AK5">
        <f t="shared" si="17"/>
        <v>0</v>
      </c>
      <c r="AL5" s="17">
        <f>MIN(N5,'Scenario Modelling'!$B$2)</f>
        <v>0.072</v>
      </c>
      <c r="AM5" s="10">
        <f>L5*(1+'Scenario Modelling'!$B$3)</f>
        <v>298.9195</v>
      </c>
      <c r="AN5">
        <f>O5*(1+'Scenario Modelling'!$B$4)</f>
        <v>26.4</v>
      </c>
      <c r="AO5" s="28">
        <f t="shared" si="18"/>
        <v>6270.325248</v>
      </c>
      <c r="AP5" s="10">
        <f t="shared" si="19"/>
        <v>-1621.149552</v>
      </c>
    </row>
    <row r="6" spans="1:42">
      <c r="A6" t="s">
        <v>212</v>
      </c>
      <c r="B6" s="7">
        <v>44928</v>
      </c>
      <c r="C6" s="7">
        <v>44931</v>
      </c>
      <c r="D6" t="s">
        <v>213</v>
      </c>
      <c r="E6" t="s">
        <v>214</v>
      </c>
      <c r="F6" t="s">
        <v>215</v>
      </c>
      <c r="G6" t="s">
        <v>180</v>
      </c>
      <c r="H6" t="s">
        <v>216</v>
      </c>
      <c r="I6" t="s">
        <v>217</v>
      </c>
      <c r="J6" t="s">
        <v>218</v>
      </c>
      <c r="K6" t="s">
        <v>219</v>
      </c>
      <c r="L6" s="10">
        <v>315.87</v>
      </c>
      <c r="M6" s="10">
        <v>591.68</v>
      </c>
      <c r="N6" s="17">
        <v>0</v>
      </c>
      <c r="O6">
        <v>7</v>
      </c>
      <c r="P6" t="str">
        <f t="shared" si="5"/>
        <v>Valid</v>
      </c>
      <c r="Q6" s="10">
        <f t="shared" si="0"/>
        <v>591.68</v>
      </c>
      <c r="R6" t="b">
        <f t="shared" si="6"/>
        <v>0</v>
      </c>
      <c r="S6" s="17">
        <f t="shared" si="7"/>
        <v>0</v>
      </c>
      <c r="T6">
        <f t="shared" si="20"/>
        <v>3</v>
      </c>
      <c r="U6" s="26">
        <f t="shared" si="8"/>
        <v>44931</v>
      </c>
      <c r="V6">
        <f t="shared" si="1"/>
        <v>3</v>
      </c>
      <c r="W6" s="10">
        <f t="shared" si="2"/>
        <v>414176</v>
      </c>
      <c r="X6" s="10">
        <f t="shared" si="3"/>
        <v>4141.76</v>
      </c>
      <c r="Y6" s="10">
        <f t="shared" si="9"/>
        <v>410034.24</v>
      </c>
      <c r="Z6" s="14">
        <f t="shared" si="10"/>
        <v>0.99</v>
      </c>
      <c r="AA6" t="s">
        <v>1564</v>
      </c>
      <c r="AB6" t="str">
        <f t="shared" si="11"/>
        <v>Q1-2023</v>
      </c>
      <c r="AC6" t="str">
        <f t="shared" si="12"/>
        <v>Americas → Canada → Toronto</v>
      </c>
      <c r="AD6" t="str">
        <f t="shared" si="13"/>
        <v>Devices</v>
      </c>
      <c r="AE6" s="8" t="str">
        <f t="shared" si="4"/>
        <v>Low</v>
      </c>
      <c r="AF6" t="str">
        <f t="shared" si="14"/>
        <v>CANADA</v>
      </c>
      <c r="AG6" s="7">
        <f>_xlfn.MINIFS($B$2:$B$633,$AF$2:$AF$633,AF6)</f>
        <v>44928</v>
      </c>
      <c r="AH6" t="str">
        <f t="shared" si="15"/>
        <v>Jan-2023</v>
      </c>
      <c r="AI6" s="9">
        <f t="shared" si="16"/>
        <v>44957</v>
      </c>
      <c r="AJ6">
        <f t="shared" si="21"/>
        <v>1</v>
      </c>
      <c r="AK6">
        <f t="shared" si="17"/>
        <v>0</v>
      </c>
      <c r="AL6" s="17">
        <f>MIN(N6,'Scenario Modelling'!$B$2)</f>
        <v>0</v>
      </c>
      <c r="AM6" s="10">
        <f>L6*(1+'Scenario Modelling'!$B$3)</f>
        <v>363.2505</v>
      </c>
      <c r="AN6">
        <f>O6*(1+'Scenario Modelling'!$B$4)</f>
        <v>8.4</v>
      </c>
      <c r="AO6" s="28">
        <f t="shared" si="18"/>
        <v>4970.112</v>
      </c>
      <c r="AP6" s="10">
        <f t="shared" si="19"/>
        <v>1918.8078</v>
      </c>
    </row>
    <row r="7" spans="1:42">
      <c r="A7" t="s">
        <v>220</v>
      </c>
      <c r="B7" s="7">
        <v>45653</v>
      </c>
      <c r="C7" s="7">
        <v>45671</v>
      </c>
      <c r="D7" t="s">
        <v>206</v>
      </c>
      <c r="E7" t="s">
        <v>221</v>
      </c>
      <c r="F7" t="s">
        <v>222</v>
      </c>
      <c r="G7" t="s">
        <v>223</v>
      </c>
      <c r="H7" t="s">
        <v>201</v>
      </c>
      <c r="I7" t="s">
        <v>224</v>
      </c>
      <c r="J7" t="s">
        <v>225</v>
      </c>
      <c r="K7" t="s">
        <v>226</v>
      </c>
      <c r="L7" s="10">
        <v>586.07</v>
      </c>
      <c r="M7" s="10">
        <v>845.97</v>
      </c>
      <c r="N7" s="17">
        <v>0.147</v>
      </c>
      <c r="O7">
        <v>4</v>
      </c>
      <c r="P7" t="str">
        <f t="shared" si="5"/>
        <v>Valid</v>
      </c>
      <c r="Q7" s="10">
        <f t="shared" si="0"/>
        <v>845.97</v>
      </c>
      <c r="R7" t="b">
        <f t="shared" si="6"/>
        <v>0</v>
      </c>
      <c r="S7" s="17">
        <f t="shared" si="7"/>
        <v>0.147</v>
      </c>
      <c r="T7">
        <f t="shared" si="20"/>
        <v>18</v>
      </c>
      <c r="U7" s="26">
        <f t="shared" si="8"/>
        <v>45671</v>
      </c>
      <c r="V7">
        <f t="shared" si="1"/>
        <v>18</v>
      </c>
      <c r="W7" s="10">
        <f t="shared" si="2"/>
        <v>337890.56964</v>
      </c>
      <c r="X7" s="10">
        <f t="shared" si="3"/>
        <v>3383.88</v>
      </c>
      <c r="Y7" s="10">
        <f t="shared" si="9"/>
        <v>334506.68964</v>
      </c>
      <c r="Z7" s="14">
        <f t="shared" si="10"/>
        <v>0.989985278359188</v>
      </c>
      <c r="AA7" t="s">
        <v>1565</v>
      </c>
      <c r="AB7" t="str">
        <f t="shared" si="11"/>
        <v>Q4-2024</v>
      </c>
      <c r="AC7" t="str">
        <f t="shared" si="12"/>
        <v>Asia → India → Bengaluru</v>
      </c>
      <c r="AD7" t="str">
        <f t="shared" si="13"/>
        <v>Peripherals</v>
      </c>
      <c r="AE7" s="8" t="str">
        <f t="shared" si="4"/>
        <v>High</v>
      </c>
      <c r="AF7" t="str">
        <f t="shared" si="14"/>
        <v>INDIA</v>
      </c>
      <c r="AG7" s="7">
        <v>44955</v>
      </c>
      <c r="AH7" t="str">
        <f t="shared" si="15"/>
        <v>Jan-2023</v>
      </c>
      <c r="AI7" s="9">
        <f t="shared" si="16"/>
        <v>45657</v>
      </c>
      <c r="AJ7">
        <f t="shared" si="21"/>
        <v>0</v>
      </c>
      <c r="AK7">
        <f t="shared" si="17"/>
        <v>0</v>
      </c>
      <c r="AL7" s="17">
        <f>MIN(N7,'Scenario Modelling'!$B$2)</f>
        <v>0.147</v>
      </c>
      <c r="AM7" s="10">
        <f>L7*(1+'Scenario Modelling'!$B$3)</f>
        <v>673.9805</v>
      </c>
      <c r="AN7">
        <f>O7*(1+'Scenario Modelling'!$B$4)</f>
        <v>4.8</v>
      </c>
      <c r="AO7" s="28">
        <f t="shared" si="18"/>
        <v>3463.739568</v>
      </c>
      <c r="AP7" s="10">
        <f t="shared" si="19"/>
        <v>228.633168</v>
      </c>
    </row>
    <row r="8" spans="1:42">
      <c r="A8" t="s">
        <v>227</v>
      </c>
      <c r="B8" s="7">
        <v>44941</v>
      </c>
      <c r="C8" s="7">
        <v>44939</v>
      </c>
      <c r="D8" t="s">
        <v>177</v>
      </c>
      <c r="E8" t="s">
        <v>186</v>
      </c>
      <c r="F8" t="s">
        <v>228</v>
      </c>
      <c r="G8" t="s">
        <v>188</v>
      </c>
      <c r="H8" t="s">
        <v>189</v>
      </c>
      <c r="I8" t="s">
        <v>229</v>
      </c>
      <c r="J8" t="s">
        <v>191</v>
      </c>
      <c r="K8" t="s">
        <v>230</v>
      </c>
      <c r="L8" s="10">
        <v>28.38</v>
      </c>
      <c r="M8" s="10">
        <v>47.22</v>
      </c>
      <c r="N8" s="17">
        <v>0.194</v>
      </c>
      <c r="O8">
        <v>18</v>
      </c>
      <c r="P8" t="str">
        <f t="shared" si="5"/>
        <v>Valid</v>
      </c>
      <c r="Q8" s="10">
        <f t="shared" si="0"/>
        <v>47.22</v>
      </c>
      <c r="R8" t="b">
        <f t="shared" si="6"/>
        <v>0</v>
      </c>
      <c r="S8" s="17">
        <f t="shared" si="7"/>
        <v>0.194</v>
      </c>
      <c r="T8">
        <f t="shared" si="20"/>
        <v>-2</v>
      </c>
      <c r="U8" s="26">
        <f t="shared" si="8"/>
        <v>44948</v>
      </c>
      <c r="V8">
        <f t="shared" si="1"/>
        <v>7</v>
      </c>
      <c r="W8" s="10">
        <f t="shared" si="2"/>
        <v>84831.10776</v>
      </c>
      <c r="X8" s="10">
        <f t="shared" si="3"/>
        <v>849.96</v>
      </c>
      <c r="Y8" s="10">
        <f t="shared" si="9"/>
        <v>83981.14776</v>
      </c>
      <c r="Z8" s="14">
        <f t="shared" si="10"/>
        <v>0.989980562290844</v>
      </c>
      <c r="AA8" t="s">
        <v>1564</v>
      </c>
      <c r="AB8" t="str">
        <f t="shared" si="11"/>
        <v>Q1-2023</v>
      </c>
      <c r="AC8" t="str">
        <f t="shared" si="12"/>
        <v>Africa → Nigeria → Abuja</v>
      </c>
      <c r="AD8" t="str">
        <f t="shared" si="13"/>
        <v>Peripherals</v>
      </c>
      <c r="AE8" s="8" t="str">
        <f t="shared" si="4"/>
        <v>Low</v>
      </c>
      <c r="AF8" t="str">
        <f t="shared" si="14"/>
        <v>NIGERIA</v>
      </c>
      <c r="AG8" s="7">
        <f>_xlfn.MINIFS($B$2:$B$633,$AF$2:$AF$633,AF8)</f>
        <v>44941</v>
      </c>
      <c r="AH8" t="str">
        <f t="shared" si="15"/>
        <v>Jan-2023</v>
      </c>
      <c r="AI8" s="9">
        <f t="shared" si="16"/>
        <v>44957</v>
      </c>
      <c r="AJ8">
        <f t="shared" si="21"/>
        <v>1</v>
      </c>
      <c r="AK8">
        <f t="shared" si="17"/>
        <v>0</v>
      </c>
      <c r="AL8" s="17">
        <f>MIN(N8,'Scenario Modelling'!$B$2)</f>
        <v>0.194</v>
      </c>
      <c r="AM8" s="10">
        <f>L8*(1+'Scenario Modelling'!$B$3)</f>
        <v>32.637</v>
      </c>
      <c r="AN8">
        <f>O8*(1+'Scenario Modelling'!$B$4)</f>
        <v>21.6</v>
      </c>
      <c r="AO8" s="28">
        <f t="shared" si="18"/>
        <v>822.081312</v>
      </c>
      <c r="AP8" s="10">
        <f t="shared" si="19"/>
        <v>117.122112</v>
      </c>
    </row>
    <row r="9" spans="1:42">
      <c r="A9" t="s">
        <v>231</v>
      </c>
      <c r="B9" s="7">
        <v>45416</v>
      </c>
      <c r="C9" s="7">
        <v>45441</v>
      </c>
      <c r="D9" t="s">
        <v>177</v>
      </c>
      <c r="E9" t="s">
        <v>186</v>
      </c>
      <c r="F9" t="s">
        <v>228</v>
      </c>
      <c r="G9" t="s">
        <v>200</v>
      </c>
      <c r="H9" t="s">
        <v>201</v>
      </c>
      <c r="I9" t="s">
        <v>229</v>
      </c>
      <c r="J9" t="s">
        <v>225</v>
      </c>
      <c r="K9" t="s">
        <v>232</v>
      </c>
      <c r="L9" s="10">
        <v>1295.34</v>
      </c>
      <c r="M9" s="10">
        <v>2530.81</v>
      </c>
      <c r="N9" s="17">
        <v>0.031</v>
      </c>
      <c r="O9">
        <v>6</v>
      </c>
      <c r="P9" t="str">
        <f t="shared" si="5"/>
        <v>Valid</v>
      </c>
      <c r="Q9" s="10">
        <f t="shared" si="0"/>
        <v>2530.81</v>
      </c>
      <c r="R9" t="b">
        <f t="shared" si="6"/>
        <v>0</v>
      </c>
      <c r="S9" s="17">
        <f t="shared" si="7"/>
        <v>0.031</v>
      </c>
      <c r="T9">
        <f t="shared" si="20"/>
        <v>25</v>
      </c>
      <c r="U9" s="26">
        <f t="shared" si="8"/>
        <v>45441</v>
      </c>
      <c r="V9">
        <f t="shared" si="1"/>
        <v>25</v>
      </c>
      <c r="W9" s="10">
        <f t="shared" si="2"/>
        <v>1518015.26934</v>
      </c>
      <c r="X9" s="10">
        <f t="shared" si="3"/>
        <v>15184.86</v>
      </c>
      <c r="Y9" s="10">
        <f t="shared" si="9"/>
        <v>1502830.40934</v>
      </c>
      <c r="Z9" s="14">
        <f t="shared" si="10"/>
        <v>0.989996899038702</v>
      </c>
      <c r="AA9" t="s">
        <v>1566</v>
      </c>
      <c r="AB9" t="str">
        <f t="shared" si="11"/>
        <v>Q2-2024</v>
      </c>
      <c r="AC9" t="str">
        <f t="shared" si="12"/>
        <v>Africa → Nigeria → Abuja</v>
      </c>
      <c r="AD9" t="str">
        <f t="shared" si="13"/>
        <v>Peripherals</v>
      </c>
      <c r="AE9" s="8" t="str">
        <f t="shared" si="4"/>
        <v>Medium</v>
      </c>
      <c r="AF9" t="str">
        <f t="shared" si="14"/>
        <v>NIGERIA</v>
      </c>
      <c r="AG9" s="7">
        <f>_xlfn.MINIFS($B$2:$B$633,$AF$2:$AF$633,AF9)</f>
        <v>44941</v>
      </c>
      <c r="AH9" t="str">
        <f t="shared" si="15"/>
        <v>Jan-2023</v>
      </c>
      <c r="AI9" s="9">
        <f t="shared" si="16"/>
        <v>45443</v>
      </c>
      <c r="AJ9">
        <f t="shared" si="21"/>
        <v>0</v>
      </c>
      <c r="AK9">
        <f t="shared" si="17"/>
        <v>0</v>
      </c>
      <c r="AL9" s="17">
        <f>MIN(N9,'Scenario Modelling'!$B$2)</f>
        <v>0.031</v>
      </c>
      <c r="AM9" s="10">
        <f>L9*(1+'Scenario Modelling'!$B$3)</f>
        <v>1489.641</v>
      </c>
      <c r="AN9">
        <f>O9*(1+'Scenario Modelling'!$B$4)</f>
        <v>7.2</v>
      </c>
      <c r="AO9" s="28">
        <f t="shared" si="18"/>
        <v>17656.955208</v>
      </c>
      <c r="AP9" s="10">
        <f t="shared" si="19"/>
        <v>6931.540008</v>
      </c>
    </row>
    <row r="10" spans="1:42">
      <c r="A10" t="s">
        <v>233</v>
      </c>
      <c r="B10" s="7">
        <v>45798</v>
      </c>
      <c r="C10" s="7">
        <v>45817</v>
      </c>
      <c r="D10" t="s">
        <v>213</v>
      </c>
      <c r="E10" t="s">
        <v>234</v>
      </c>
      <c r="F10" t="s">
        <v>235</v>
      </c>
      <c r="G10" t="s">
        <v>200</v>
      </c>
      <c r="H10" t="s">
        <v>189</v>
      </c>
      <c r="I10" t="s">
        <v>236</v>
      </c>
      <c r="J10" t="s">
        <v>183</v>
      </c>
      <c r="K10" t="s">
        <v>237</v>
      </c>
      <c r="L10" s="10">
        <v>1331.38</v>
      </c>
      <c r="M10" s="10">
        <v>2309.56</v>
      </c>
      <c r="N10" s="17">
        <v>0.149</v>
      </c>
      <c r="O10">
        <v>31</v>
      </c>
      <c r="P10" t="str">
        <f t="shared" si="5"/>
        <v>Valid</v>
      </c>
      <c r="Q10" s="10">
        <f t="shared" si="0"/>
        <v>2309.56</v>
      </c>
      <c r="R10" t="b">
        <f t="shared" si="6"/>
        <v>0</v>
      </c>
      <c r="S10" s="17">
        <f t="shared" si="7"/>
        <v>0.149</v>
      </c>
      <c r="T10">
        <f t="shared" si="20"/>
        <v>19</v>
      </c>
      <c r="U10" s="26">
        <f t="shared" si="8"/>
        <v>45817</v>
      </c>
      <c r="V10">
        <f t="shared" si="1"/>
        <v>19</v>
      </c>
      <c r="W10" s="10">
        <f t="shared" si="2"/>
        <v>7148968.14236</v>
      </c>
      <c r="X10" s="10">
        <f t="shared" si="3"/>
        <v>71596.36</v>
      </c>
      <c r="Y10" s="10">
        <f t="shared" si="9"/>
        <v>7077371.78236</v>
      </c>
      <c r="Z10" s="14">
        <f t="shared" si="10"/>
        <v>0.989985077765871</v>
      </c>
      <c r="AA10" t="s">
        <v>1567</v>
      </c>
      <c r="AB10" t="str">
        <f t="shared" si="11"/>
        <v>Q2-2025</v>
      </c>
      <c r="AC10" t="str">
        <f t="shared" si="12"/>
        <v>Americas → Brazil → São Paulo</v>
      </c>
      <c r="AD10" t="str">
        <f t="shared" si="13"/>
        <v>Support</v>
      </c>
      <c r="AE10" s="8" t="str">
        <f t="shared" si="4"/>
        <v>High</v>
      </c>
      <c r="AF10" t="str">
        <f t="shared" si="14"/>
        <v>BRAZIL</v>
      </c>
      <c r="AG10" s="7">
        <f>_xlfn.MINIFS($B$2:$B$633,$AF$2:$AF$633,AF10)</f>
        <v>44955</v>
      </c>
      <c r="AH10" t="str">
        <f t="shared" si="15"/>
        <v>Jan-2023</v>
      </c>
      <c r="AI10" s="9">
        <f t="shared" si="16"/>
        <v>45808</v>
      </c>
      <c r="AJ10">
        <f t="shared" si="21"/>
        <v>0</v>
      </c>
      <c r="AK10">
        <f t="shared" si="17"/>
        <v>0</v>
      </c>
      <c r="AL10" s="17">
        <f>MIN(N10,'Scenario Modelling'!$B$2)</f>
        <v>0.149</v>
      </c>
      <c r="AM10" s="10">
        <f>L10*(1+'Scenario Modelling'!$B$3)</f>
        <v>1531.087</v>
      </c>
      <c r="AN10">
        <f>O10*(1+'Scenario Modelling'!$B$4)</f>
        <v>37.2</v>
      </c>
      <c r="AO10" s="28">
        <f t="shared" si="18"/>
        <v>73114.202832</v>
      </c>
      <c r="AP10" s="10">
        <f t="shared" si="19"/>
        <v>16157.766432</v>
      </c>
    </row>
    <row r="11" spans="1:42">
      <c r="A11" t="s">
        <v>238</v>
      </c>
      <c r="B11" s="7">
        <v>45319</v>
      </c>
      <c r="C11" s="7">
        <v>45331</v>
      </c>
      <c r="D11" t="s">
        <v>239</v>
      </c>
      <c r="E11" t="s">
        <v>240</v>
      </c>
      <c r="F11" t="s">
        <v>241</v>
      </c>
      <c r="G11" t="s">
        <v>180</v>
      </c>
      <c r="H11" t="s">
        <v>189</v>
      </c>
      <c r="I11" t="s">
        <v>202</v>
      </c>
      <c r="J11" t="s">
        <v>242</v>
      </c>
      <c r="K11" t="s">
        <v>243</v>
      </c>
      <c r="L11" s="10">
        <v>644.17</v>
      </c>
      <c r="M11" s="10">
        <v>700.12</v>
      </c>
      <c r="N11" s="17">
        <v>0.006</v>
      </c>
      <c r="O11">
        <v>23</v>
      </c>
      <c r="P11" t="str">
        <f t="shared" si="5"/>
        <v>Valid</v>
      </c>
      <c r="Q11" s="10">
        <f t="shared" si="0"/>
        <v>700.12</v>
      </c>
      <c r="R11" t="b">
        <f t="shared" si="6"/>
        <v>0</v>
      </c>
      <c r="S11" s="17">
        <f t="shared" si="7"/>
        <v>0.006</v>
      </c>
      <c r="T11">
        <f t="shared" si="20"/>
        <v>12</v>
      </c>
      <c r="U11" s="26">
        <f t="shared" si="8"/>
        <v>45331</v>
      </c>
      <c r="V11">
        <f t="shared" si="1"/>
        <v>12</v>
      </c>
      <c r="W11" s="10">
        <f t="shared" si="2"/>
        <v>1610179.38344</v>
      </c>
      <c r="X11" s="10">
        <f t="shared" si="3"/>
        <v>16102.76</v>
      </c>
      <c r="Y11" s="10">
        <f t="shared" si="9"/>
        <v>1594076.62344</v>
      </c>
      <c r="Z11" s="14">
        <f t="shared" si="10"/>
        <v>0.989999399963998</v>
      </c>
      <c r="AA11" t="s">
        <v>1568</v>
      </c>
      <c r="AB11" t="str">
        <f t="shared" si="11"/>
        <v>Q1-2024</v>
      </c>
      <c r="AC11" t="str">
        <f t="shared" si="12"/>
        <v>Europe → Germany → Berlin</v>
      </c>
      <c r="AD11" t="str">
        <f t="shared" si="13"/>
        <v>Support</v>
      </c>
      <c r="AE11" s="8" t="str">
        <f t="shared" si="4"/>
        <v>Medium</v>
      </c>
      <c r="AF11" t="str">
        <f t="shared" si="14"/>
        <v>GERMANY</v>
      </c>
      <c r="AG11" s="7">
        <v>44948</v>
      </c>
      <c r="AH11" t="str">
        <f t="shared" si="15"/>
        <v>Jan-2023</v>
      </c>
      <c r="AI11" s="9">
        <f t="shared" si="16"/>
        <v>45322</v>
      </c>
      <c r="AJ11">
        <f t="shared" si="21"/>
        <v>0</v>
      </c>
      <c r="AK11">
        <f t="shared" si="17"/>
        <v>0</v>
      </c>
      <c r="AL11" s="17">
        <f>MIN(N11,'Scenario Modelling'!$B$2)</f>
        <v>0.006</v>
      </c>
      <c r="AM11" s="10">
        <f>L11*(1+'Scenario Modelling'!$B$3)</f>
        <v>740.7955</v>
      </c>
      <c r="AN11">
        <f>O11*(1+'Scenario Modelling'!$B$4)</f>
        <v>27.6</v>
      </c>
      <c r="AO11" s="28">
        <f t="shared" si="18"/>
        <v>19207.372128</v>
      </c>
      <c r="AP11" s="10">
        <f t="shared" si="19"/>
        <v>-1238.583672</v>
      </c>
    </row>
    <row r="12" spans="1:42">
      <c r="A12" t="s">
        <v>244</v>
      </c>
      <c r="B12" s="7">
        <v>45660</v>
      </c>
      <c r="C12" s="7">
        <v>45680</v>
      </c>
      <c r="D12" t="s">
        <v>206</v>
      </c>
      <c r="E12" t="s">
        <v>207</v>
      </c>
      <c r="F12" t="s">
        <v>208</v>
      </c>
      <c r="G12" t="s">
        <v>180</v>
      </c>
      <c r="H12" t="s">
        <v>216</v>
      </c>
      <c r="I12" t="s">
        <v>245</v>
      </c>
      <c r="J12" t="s">
        <v>203</v>
      </c>
      <c r="K12" t="s">
        <v>246</v>
      </c>
      <c r="L12" s="10">
        <v>908.6</v>
      </c>
      <c r="M12" s="10">
        <v>691.37</v>
      </c>
      <c r="N12" s="17">
        <v>0.25</v>
      </c>
      <c r="O12">
        <v>20</v>
      </c>
      <c r="P12" t="str">
        <f t="shared" si="5"/>
        <v>Valid</v>
      </c>
      <c r="Q12" s="10">
        <f t="shared" si="0"/>
        <v>691.37</v>
      </c>
      <c r="R12" t="b">
        <f t="shared" si="6"/>
        <v>0</v>
      </c>
      <c r="S12" s="17">
        <f t="shared" si="7"/>
        <v>0.25</v>
      </c>
      <c r="T12">
        <f t="shared" si="20"/>
        <v>20</v>
      </c>
      <c r="U12" s="26">
        <f t="shared" si="8"/>
        <v>45680</v>
      </c>
      <c r="V12">
        <f t="shared" si="1"/>
        <v>20</v>
      </c>
      <c r="W12" s="10">
        <f t="shared" si="2"/>
        <v>1379283.15</v>
      </c>
      <c r="X12" s="10">
        <f t="shared" si="3"/>
        <v>13827.4</v>
      </c>
      <c r="Y12" s="10">
        <f t="shared" si="9"/>
        <v>1365455.75</v>
      </c>
      <c r="Z12" s="14">
        <f t="shared" si="10"/>
        <v>0.989974937343359</v>
      </c>
      <c r="AA12" t="s">
        <v>1569</v>
      </c>
      <c r="AB12" t="str">
        <f t="shared" si="11"/>
        <v>Q1-2025</v>
      </c>
      <c r="AC12" t="str">
        <f t="shared" si="12"/>
        <v>Asia → Japan → Osaka</v>
      </c>
      <c r="AD12" t="str">
        <f t="shared" si="13"/>
        <v>Devices</v>
      </c>
      <c r="AE12" s="8" t="str">
        <f t="shared" si="4"/>
        <v>High</v>
      </c>
      <c r="AF12" t="str">
        <f t="shared" si="14"/>
        <v>JAPAN</v>
      </c>
      <c r="AG12" s="7">
        <v>44988</v>
      </c>
      <c r="AH12" t="str">
        <f t="shared" si="15"/>
        <v>Mar-2023</v>
      </c>
      <c r="AI12" s="9">
        <f t="shared" si="16"/>
        <v>45688</v>
      </c>
      <c r="AJ12">
        <f t="shared" si="21"/>
        <v>0</v>
      </c>
      <c r="AK12">
        <f t="shared" si="17"/>
        <v>1</v>
      </c>
      <c r="AL12" s="17">
        <f>MIN(N12,'Scenario Modelling'!$B$2)</f>
        <v>0.25</v>
      </c>
      <c r="AM12" s="10">
        <f>L12*(1+'Scenario Modelling'!$B$3)</f>
        <v>1044.89</v>
      </c>
      <c r="AN12">
        <f>O12*(1+'Scenario Modelling'!$B$4)</f>
        <v>24</v>
      </c>
      <c r="AO12" s="28">
        <f t="shared" si="18"/>
        <v>12444.66</v>
      </c>
      <c r="AP12" s="10">
        <f t="shared" si="19"/>
        <v>-12632.7</v>
      </c>
    </row>
    <row r="13" spans="1:42">
      <c r="A13" t="s">
        <v>247</v>
      </c>
      <c r="B13" s="7">
        <v>45722</v>
      </c>
      <c r="C13" s="7">
        <v>45747</v>
      </c>
      <c r="D13" t="s">
        <v>213</v>
      </c>
      <c r="E13" t="s">
        <v>234</v>
      </c>
      <c r="F13" t="s">
        <v>248</v>
      </c>
      <c r="G13" t="s">
        <v>200</v>
      </c>
      <c r="H13" t="s">
        <v>189</v>
      </c>
      <c r="I13" t="s">
        <v>190</v>
      </c>
      <c r="J13" t="s">
        <v>183</v>
      </c>
      <c r="K13" t="s">
        <v>249</v>
      </c>
      <c r="L13" s="10">
        <v>331.57</v>
      </c>
      <c r="M13" s="10">
        <v>548.4</v>
      </c>
      <c r="N13" s="17">
        <v>0.094</v>
      </c>
      <c r="O13">
        <v>10</v>
      </c>
      <c r="P13" t="str">
        <f t="shared" si="5"/>
        <v>Valid</v>
      </c>
      <c r="Q13" s="10">
        <f t="shared" si="0"/>
        <v>548.4</v>
      </c>
      <c r="R13" t="b">
        <f t="shared" si="6"/>
        <v>0</v>
      </c>
      <c r="S13" s="17">
        <f t="shared" si="7"/>
        <v>0.094</v>
      </c>
      <c r="T13">
        <f t="shared" si="20"/>
        <v>25</v>
      </c>
      <c r="U13" s="26">
        <f t="shared" si="8"/>
        <v>45747</v>
      </c>
      <c r="V13">
        <f t="shared" si="1"/>
        <v>25</v>
      </c>
      <c r="W13" s="10">
        <f t="shared" si="2"/>
        <v>547884.504</v>
      </c>
      <c r="X13" s="10">
        <f t="shared" si="3"/>
        <v>5484</v>
      </c>
      <c r="Y13" s="10">
        <f t="shared" si="9"/>
        <v>542400.504</v>
      </c>
      <c r="Z13" s="14">
        <f t="shared" si="10"/>
        <v>0.989990591155686</v>
      </c>
      <c r="AA13" t="s">
        <v>1563</v>
      </c>
      <c r="AB13" t="str">
        <f t="shared" si="11"/>
        <v>Q1-2025</v>
      </c>
      <c r="AC13" t="str">
        <f t="shared" si="12"/>
        <v>Americas → Brazil → Brasília</v>
      </c>
      <c r="AD13" t="str">
        <f t="shared" si="13"/>
        <v>Support</v>
      </c>
      <c r="AE13" s="8" t="str">
        <f t="shared" si="4"/>
        <v>High</v>
      </c>
      <c r="AF13" t="str">
        <f t="shared" si="14"/>
        <v>BRAZIL</v>
      </c>
      <c r="AG13" s="7">
        <f>_xlfn.MINIFS($B$2:$B$633,$AF$2:$AF$633,AF13)</f>
        <v>44955</v>
      </c>
      <c r="AH13" t="str">
        <f t="shared" si="15"/>
        <v>Jan-2023</v>
      </c>
      <c r="AI13" s="9">
        <f t="shared" si="16"/>
        <v>45747</v>
      </c>
      <c r="AJ13">
        <f t="shared" si="21"/>
        <v>0</v>
      </c>
      <c r="AK13">
        <f t="shared" si="17"/>
        <v>0</v>
      </c>
      <c r="AL13" s="17">
        <f>MIN(N13,'Scenario Modelling'!$B$2)</f>
        <v>0.094</v>
      </c>
      <c r="AM13" s="10">
        <f>L13*(1+'Scenario Modelling'!$B$3)</f>
        <v>381.3055</v>
      </c>
      <c r="AN13">
        <f>O13*(1+'Scenario Modelling'!$B$4)</f>
        <v>12</v>
      </c>
      <c r="AO13" s="28">
        <f t="shared" si="18"/>
        <v>5962.2048</v>
      </c>
      <c r="AP13" s="10">
        <f t="shared" si="19"/>
        <v>1386.5388</v>
      </c>
    </row>
    <row r="14" spans="1:42">
      <c r="A14" t="s">
        <v>250</v>
      </c>
      <c r="B14" s="7">
        <v>45311</v>
      </c>
      <c r="C14" s="7">
        <v>45335</v>
      </c>
      <c r="D14" t="s">
        <v>239</v>
      </c>
      <c r="E14" t="s">
        <v>251</v>
      </c>
      <c r="F14" t="s">
        <v>252</v>
      </c>
      <c r="G14" t="s">
        <v>180</v>
      </c>
      <c r="H14" t="s">
        <v>181</v>
      </c>
      <c r="I14" t="s">
        <v>253</v>
      </c>
      <c r="J14" t="s">
        <v>191</v>
      </c>
      <c r="K14" t="s">
        <v>254</v>
      </c>
      <c r="L14" s="10">
        <v>643.53</v>
      </c>
      <c r="M14" s="10">
        <v>1439.01</v>
      </c>
      <c r="N14" s="17">
        <v>0</v>
      </c>
      <c r="O14">
        <v>15</v>
      </c>
      <c r="P14" t="str">
        <f t="shared" si="5"/>
        <v>Valid</v>
      </c>
      <c r="Q14" s="10">
        <f t="shared" si="0"/>
        <v>1439.01</v>
      </c>
      <c r="R14" t="b">
        <f t="shared" si="6"/>
        <v>0</v>
      </c>
      <c r="S14" s="17">
        <f t="shared" si="7"/>
        <v>0</v>
      </c>
      <c r="T14">
        <f t="shared" si="20"/>
        <v>24</v>
      </c>
      <c r="U14" s="26">
        <f t="shared" si="8"/>
        <v>45335</v>
      </c>
      <c r="V14">
        <f t="shared" si="1"/>
        <v>24</v>
      </c>
      <c r="W14" s="10">
        <f t="shared" si="2"/>
        <v>2158515</v>
      </c>
      <c r="X14" s="10">
        <f t="shared" si="3"/>
        <v>21585.15</v>
      </c>
      <c r="Y14" s="10">
        <f t="shared" si="9"/>
        <v>2136929.85</v>
      </c>
      <c r="Z14" s="14">
        <f t="shared" si="10"/>
        <v>0.99</v>
      </c>
      <c r="AA14" t="s">
        <v>1568</v>
      </c>
      <c r="AB14" t="str">
        <f t="shared" si="11"/>
        <v>Q1-2024</v>
      </c>
      <c r="AC14" t="str">
        <f t="shared" si="12"/>
        <v>Europe → France → Marseille</v>
      </c>
      <c r="AD14" t="str">
        <f t="shared" si="13"/>
        <v>Peripherals</v>
      </c>
      <c r="AE14" s="8" t="str">
        <f t="shared" si="4"/>
        <v>Medium</v>
      </c>
      <c r="AF14" t="str">
        <f t="shared" si="14"/>
        <v>FRANCE</v>
      </c>
      <c r="AG14" s="7">
        <f>_xlfn.MINIFS($B$2:$B$633,$AF$2:$AF$633,AF14)</f>
        <v>44936</v>
      </c>
      <c r="AH14" t="str">
        <f t="shared" si="15"/>
        <v>Jan-2023</v>
      </c>
      <c r="AI14" s="9">
        <f t="shared" si="16"/>
        <v>45322</v>
      </c>
      <c r="AJ14">
        <f t="shared" si="21"/>
        <v>0</v>
      </c>
      <c r="AK14">
        <f t="shared" si="17"/>
        <v>0</v>
      </c>
      <c r="AL14" s="17">
        <f>MIN(N14,'Scenario Modelling'!$B$2)</f>
        <v>0</v>
      </c>
      <c r="AM14" s="10">
        <f>L14*(1+'Scenario Modelling'!$B$3)</f>
        <v>740.0595</v>
      </c>
      <c r="AN14">
        <f>O14*(1+'Scenario Modelling'!$B$4)</f>
        <v>18</v>
      </c>
      <c r="AO14" s="28">
        <f t="shared" si="18"/>
        <v>25902.18</v>
      </c>
      <c r="AP14" s="10">
        <f t="shared" si="19"/>
        <v>12581.109</v>
      </c>
    </row>
    <row r="15" spans="1:42">
      <c r="A15" t="s">
        <v>255</v>
      </c>
      <c r="B15" s="7">
        <v>45901</v>
      </c>
      <c r="C15" s="7">
        <v>45930</v>
      </c>
      <c r="D15" t="s">
        <v>213</v>
      </c>
      <c r="E15" t="s">
        <v>234</v>
      </c>
      <c r="F15" t="s">
        <v>248</v>
      </c>
      <c r="G15" t="s">
        <v>188</v>
      </c>
      <c r="H15" t="s">
        <v>181</v>
      </c>
      <c r="I15" t="s">
        <v>256</v>
      </c>
      <c r="J15" t="s">
        <v>242</v>
      </c>
      <c r="K15" t="s">
        <v>257</v>
      </c>
      <c r="L15" s="10">
        <v>780.59</v>
      </c>
      <c r="M15" s="10">
        <v>631.57</v>
      </c>
      <c r="N15" s="17">
        <v>0</v>
      </c>
      <c r="O15">
        <v>12</v>
      </c>
      <c r="P15" t="str">
        <f t="shared" si="5"/>
        <v>Valid</v>
      </c>
      <c r="Q15" s="10">
        <f t="shared" si="0"/>
        <v>631.57</v>
      </c>
      <c r="R15" t="b">
        <f t="shared" si="6"/>
        <v>0</v>
      </c>
      <c r="S15" s="17">
        <f t="shared" si="7"/>
        <v>0</v>
      </c>
      <c r="T15">
        <f t="shared" si="20"/>
        <v>29</v>
      </c>
      <c r="U15" s="26">
        <f t="shared" si="8"/>
        <v>45930</v>
      </c>
      <c r="V15">
        <f t="shared" si="1"/>
        <v>29</v>
      </c>
      <c r="W15" s="10">
        <f t="shared" si="2"/>
        <v>757884</v>
      </c>
      <c r="X15" s="10">
        <f t="shared" si="3"/>
        <v>7578.84</v>
      </c>
      <c r="Y15" s="10">
        <f t="shared" si="9"/>
        <v>750305.16</v>
      </c>
      <c r="Z15" s="14">
        <f t="shared" si="10"/>
        <v>0.99</v>
      </c>
      <c r="AA15" t="s">
        <v>1570</v>
      </c>
      <c r="AB15" t="str">
        <f t="shared" si="11"/>
        <v>Q3-2025</v>
      </c>
      <c r="AC15" t="str">
        <f t="shared" si="12"/>
        <v>Americas → Brazil → Brasília</v>
      </c>
      <c r="AD15" t="str">
        <f t="shared" si="13"/>
        <v>Support</v>
      </c>
      <c r="AE15" s="8" t="str">
        <f t="shared" si="4"/>
        <v>High</v>
      </c>
      <c r="AF15" t="str">
        <f t="shared" si="14"/>
        <v>BRAZIL</v>
      </c>
      <c r="AG15" s="7">
        <f>_xlfn.MINIFS($B$2:$B$633,$AF$2:$AF$633,AF15)</f>
        <v>44955</v>
      </c>
      <c r="AH15" t="str">
        <f t="shared" si="15"/>
        <v>Jan-2023</v>
      </c>
      <c r="AI15" s="9">
        <f t="shared" si="16"/>
        <v>45930</v>
      </c>
      <c r="AJ15">
        <f t="shared" si="21"/>
        <v>0</v>
      </c>
      <c r="AK15">
        <f t="shared" si="17"/>
        <v>0</v>
      </c>
      <c r="AL15" s="17">
        <f>MIN(N15,'Scenario Modelling'!$B$2)</f>
        <v>0</v>
      </c>
      <c r="AM15" s="10">
        <f>L15*(1+'Scenario Modelling'!$B$3)</f>
        <v>897.6785</v>
      </c>
      <c r="AN15">
        <f>O15*(1+'Scenario Modelling'!$B$4)</f>
        <v>14.4</v>
      </c>
      <c r="AO15" s="28">
        <f t="shared" si="18"/>
        <v>9094.608</v>
      </c>
      <c r="AP15" s="10">
        <f t="shared" si="19"/>
        <v>-3831.9624</v>
      </c>
    </row>
    <row r="16" spans="1:42">
      <c r="A16" t="s">
        <v>258</v>
      </c>
      <c r="B16" s="7">
        <v>45039</v>
      </c>
      <c r="C16" s="7">
        <v>45038</v>
      </c>
      <c r="D16" t="s">
        <v>177</v>
      </c>
      <c r="E16" t="s">
        <v>178</v>
      </c>
      <c r="F16" t="s">
        <v>194</v>
      </c>
      <c r="G16" t="s">
        <v>223</v>
      </c>
      <c r="H16" t="s">
        <v>259</v>
      </c>
      <c r="I16" t="s">
        <v>224</v>
      </c>
      <c r="J16" t="s">
        <v>218</v>
      </c>
      <c r="K16" t="s">
        <v>260</v>
      </c>
      <c r="L16" s="10">
        <v>756.51</v>
      </c>
      <c r="M16" s="10">
        <v>850.8</v>
      </c>
      <c r="N16" s="17">
        <v>0.074</v>
      </c>
      <c r="O16">
        <v>9</v>
      </c>
      <c r="P16" t="str">
        <f t="shared" si="5"/>
        <v>Valid</v>
      </c>
      <c r="Q16" s="10">
        <f t="shared" si="0"/>
        <v>850.8</v>
      </c>
      <c r="R16" t="b">
        <f t="shared" si="6"/>
        <v>0</v>
      </c>
      <c r="S16" s="17">
        <f t="shared" si="7"/>
        <v>0.074</v>
      </c>
      <c r="T16">
        <f t="shared" si="20"/>
        <v>-1</v>
      </c>
      <c r="U16" s="26">
        <f t="shared" si="8"/>
        <v>45046</v>
      </c>
      <c r="V16">
        <f t="shared" si="1"/>
        <v>7</v>
      </c>
      <c r="W16" s="10">
        <f t="shared" si="2"/>
        <v>765153.3672</v>
      </c>
      <c r="X16" s="10">
        <f t="shared" si="3"/>
        <v>7657.2</v>
      </c>
      <c r="Y16" s="10">
        <f t="shared" si="9"/>
        <v>757496.1672</v>
      </c>
      <c r="Z16" s="14">
        <f t="shared" si="10"/>
        <v>0.989992594519945</v>
      </c>
      <c r="AA16" t="s">
        <v>1571</v>
      </c>
      <c r="AB16" t="str">
        <f t="shared" si="11"/>
        <v>Q2-2023</v>
      </c>
      <c r="AC16" t="str">
        <f t="shared" si="12"/>
        <v>Africa → Kenya → Nairobi</v>
      </c>
      <c r="AD16" t="str">
        <f t="shared" si="13"/>
        <v>Devices</v>
      </c>
      <c r="AE16" s="8" t="str">
        <f t="shared" si="4"/>
        <v>Low</v>
      </c>
      <c r="AF16" t="str">
        <f t="shared" si="14"/>
        <v>KENYA</v>
      </c>
      <c r="AG16" s="7">
        <v>44946</v>
      </c>
      <c r="AH16" t="str">
        <f t="shared" si="15"/>
        <v>Jan-2023</v>
      </c>
      <c r="AI16" s="9">
        <f t="shared" si="16"/>
        <v>45046</v>
      </c>
      <c r="AJ16">
        <f t="shared" si="21"/>
        <v>1</v>
      </c>
      <c r="AK16">
        <f t="shared" si="17"/>
        <v>0</v>
      </c>
      <c r="AL16" s="17">
        <f>MIN(N16,'Scenario Modelling'!$B$2)</f>
        <v>0.074</v>
      </c>
      <c r="AM16" s="10">
        <f>L16*(1+'Scenario Modelling'!$B$3)</f>
        <v>869.9865</v>
      </c>
      <c r="AN16">
        <f>O16*(1+'Scenario Modelling'!$B$4)</f>
        <v>10.8</v>
      </c>
      <c r="AO16" s="28">
        <f t="shared" si="18"/>
        <v>8508.68064</v>
      </c>
      <c r="AP16" s="10">
        <f t="shared" si="19"/>
        <v>-887.17356</v>
      </c>
    </row>
    <row r="17" spans="1:42">
      <c r="A17" t="s">
        <v>261</v>
      </c>
      <c r="B17" s="7">
        <v>45636</v>
      </c>
      <c r="C17" s="7">
        <v>45665</v>
      </c>
      <c r="D17" t="s">
        <v>239</v>
      </c>
      <c r="E17" t="s">
        <v>251</v>
      </c>
      <c r="F17" t="s">
        <v>252</v>
      </c>
      <c r="G17" t="s">
        <v>223</v>
      </c>
      <c r="H17" t="s">
        <v>181</v>
      </c>
      <c r="I17" t="s">
        <v>256</v>
      </c>
      <c r="J17" t="s">
        <v>191</v>
      </c>
      <c r="K17" t="s">
        <v>262</v>
      </c>
      <c r="L17" s="10">
        <v>891.08</v>
      </c>
      <c r="M17" s="10">
        <v>1040.1</v>
      </c>
      <c r="N17" s="17">
        <v>0.109</v>
      </c>
      <c r="O17">
        <v>28</v>
      </c>
      <c r="P17" t="str">
        <f t="shared" si="5"/>
        <v>Valid</v>
      </c>
      <c r="Q17" s="10">
        <f t="shared" si="0"/>
        <v>1040.1</v>
      </c>
      <c r="R17" t="b">
        <f t="shared" si="6"/>
        <v>0</v>
      </c>
      <c r="S17" s="17">
        <f t="shared" si="7"/>
        <v>0.109</v>
      </c>
      <c r="T17">
        <f t="shared" si="20"/>
        <v>29</v>
      </c>
      <c r="U17" s="26">
        <f t="shared" si="8"/>
        <v>45665</v>
      </c>
      <c r="V17">
        <f t="shared" si="1"/>
        <v>29</v>
      </c>
      <c r="W17" s="10">
        <f t="shared" si="2"/>
        <v>2909105.6148</v>
      </c>
      <c r="X17" s="10">
        <f t="shared" si="3"/>
        <v>29122.8</v>
      </c>
      <c r="Y17" s="10">
        <f t="shared" si="9"/>
        <v>2879982.8148</v>
      </c>
      <c r="Z17" s="14">
        <f t="shared" si="10"/>
        <v>0.989989088106036</v>
      </c>
      <c r="AA17" t="s">
        <v>1565</v>
      </c>
      <c r="AB17" t="str">
        <f t="shared" si="11"/>
        <v>Q4-2024</v>
      </c>
      <c r="AC17" t="str">
        <f t="shared" si="12"/>
        <v>Europe → France → Marseille</v>
      </c>
      <c r="AD17" t="str">
        <f t="shared" si="13"/>
        <v>Peripherals</v>
      </c>
      <c r="AE17" s="8" t="str">
        <f t="shared" si="4"/>
        <v>High</v>
      </c>
      <c r="AF17" t="str">
        <f t="shared" si="14"/>
        <v>FRANCE</v>
      </c>
      <c r="AG17" s="7">
        <v>44936</v>
      </c>
      <c r="AH17" t="str">
        <f t="shared" si="15"/>
        <v>Jan-2023</v>
      </c>
      <c r="AI17" s="9">
        <f t="shared" si="16"/>
        <v>45657</v>
      </c>
      <c r="AJ17">
        <f t="shared" si="21"/>
        <v>0</v>
      </c>
      <c r="AK17">
        <f t="shared" si="17"/>
        <v>0</v>
      </c>
      <c r="AL17" s="17">
        <f>MIN(N17,'Scenario Modelling'!$B$2)</f>
        <v>0.109</v>
      </c>
      <c r="AM17" s="10">
        <f>L17*(1+'Scenario Modelling'!$B$3)</f>
        <v>1024.742</v>
      </c>
      <c r="AN17">
        <f>O17*(1+'Scenario Modelling'!$B$4)</f>
        <v>33.6</v>
      </c>
      <c r="AO17" s="28">
        <f t="shared" si="18"/>
        <v>31138.09776</v>
      </c>
      <c r="AP17" s="10">
        <f t="shared" si="19"/>
        <v>-3293.23344</v>
      </c>
    </row>
    <row r="18" spans="1:42">
      <c r="A18" t="s">
        <v>263</v>
      </c>
      <c r="B18" s="7">
        <v>45908</v>
      </c>
      <c r="C18" s="7">
        <v>45916</v>
      </c>
      <c r="D18" t="s">
        <v>206</v>
      </c>
      <c r="E18" t="s">
        <v>207</v>
      </c>
      <c r="F18" t="s">
        <v>208</v>
      </c>
      <c r="G18" t="s">
        <v>180</v>
      </c>
      <c r="H18" t="s">
        <v>216</v>
      </c>
      <c r="I18" t="s">
        <v>182</v>
      </c>
      <c r="J18" t="s">
        <v>203</v>
      </c>
      <c r="K18" t="s">
        <v>264</v>
      </c>
      <c r="L18" s="10">
        <v>1225.57</v>
      </c>
      <c r="M18" s="10">
        <v>2705.57</v>
      </c>
      <c r="N18" s="17">
        <v>0.183</v>
      </c>
      <c r="O18">
        <v>16</v>
      </c>
      <c r="P18" t="str">
        <f t="shared" si="5"/>
        <v>Valid</v>
      </c>
      <c r="Q18" s="10">
        <f t="shared" si="0"/>
        <v>2705.57</v>
      </c>
      <c r="R18" t="b">
        <f t="shared" si="6"/>
        <v>0</v>
      </c>
      <c r="S18" s="17">
        <f t="shared" si="7"/>
        <v>0.183</v>
      </c>
      <c r="T18">
        <f t="shared" si="20"/>
        <v>8</v>
      </c>
      <c r="U18" s="26">
        <f t="shared" si="8"/>
        <v>45916</v>
      </c>
      <c r="V18">
        <f t="shared" si="1"/>
        <v>8</v>
      </c>
      <c r="W18" s="10">
        <f t="shared" si="2"/>
        <v>4320990.09104</v>
      </c>
      <c r="X18" s="10">
        <f t="shared" si="3"/>
        <v>43289.12</v>
      </c>
      <c r="Y18" s="10">
        <f t="shared" si="9"/>
        <v>4277700.97104</v>
      </c>
      <c r="Z18" s="14">
        <f t="shared" si="10"/>
        <v>0.989981666449603</v>
      </c>
      <c r="AA18" t="s">
        <v>1570</v>
      </c>
      <c r="AB18" t="str">
        <f t="shared" si="11"/>
        <v>Q3-2025</v>
      </c>
      <c r="AC18" t="str">
        <f t="shared" si="12"/>
        <v>Asia → Japan → Osaka</v>
      </c>
      <c r="AD18" t="str">
        <f t="shared" si="13"/>
        <v>Devices</v>
      </c>
      <c r="AE18" s="8" t="str">
        <f t="shared" si="4"/>
        <v>High</v>
      </c>
      <c r="AF18" t="str">
        <f t="shared" si="14"/>
        <v>JAPAN</v>
      </c>
      <c r="AG18" s="7">
        <v>44988</v>
      </c>
      <c r="AH18" t="str">
        <f t="shared" si="15"/>
        <v>Mar-2023</v>
      </c>
      <c r="AI18" s="9">
        <f t="shared" si="16"/>
        <v>45930</v>
      </c>
      <c r="AJ18">
        <f t="shared" si="21"/>
        <v>0</v>
      </c>
      <c r="AK18">
        <f t="shared" si="17"/>
        <v>0</v>
      </c>
      <c r="AL18" s="17">
        <f>MIN(N18,'Scenario Modelling'!$B$2)</f>
        <v>0.183</v>
      </c>
      <c r="AM18" s="10">
        <f>L18*(1+'Scenario Modelling'!$B$3)</f>
        <v>1409.4055</v>
      </c>
      <c r="AN18">
        <f>O18*(1+'Scenario Modelling'!$B$4)</f>
        <v>19.2</v>
      </c>
      <c r="AO18" s="28">
        <f t="shared" si="18"/>
        <v>42440.653248</v>
      </c>
      <c r="AP18" s="10">
        <f t="shared" si="19"/>
        <v>15380.067648</v>
      </c>
    </row>
    <row r="19" spans="1:42">
      <c r="A19" t="s">
        <v>265</v>
      </c>
      <c r="B19" s="7">
        <v>45858</v>
      </c>
      <c r="C19" s="7">
        <v>45874</v>
      </c>
      <c r="D19" t="s">
        <v>213</v>
      </c>
      <c r="E19" t="s">
        <v>234</v>
      </c>
      <c r="F19" t="s">
        <v>248</v>
      </c>
      <c r="G19" t="s">
        <v>266</v>
      </c>
      <c r="H19" t="s">
        <v>201</v>
      </c>
      <c r="I19" t="s">
        <v>202</v>
      </c>
      <c r="J19" t="s">
        <v>242</v>
      </c>
      <c r="K19" t="s">
        <v>267</v>
      </c>
      <c r="L19" s="10">
        <v>1068.17</v>
      </c>
      <c r="M19" s="10">
        <v>2375.37</v>
      </c>
      <c r="N19" s="17">
        <v>0.109</v>
      </c>
      <c r="O19">
        <v>18</v>
      </c>
      <c r="P19" t="str">
        <f t="shared" si="5"/>
        <v>Valid</v>
      </c>
      <c r="Q19" s="10">
        <f t="shared" si="0"/>
        <v>2375.37</v>
      </c>
      <c r="R19" t="b">
        <f t="shared" si="6"/>
        <v>0</v>
      </c>
      <c r="S19" s="17">
        <f t="shared" si="7"/>
        <v>0.109</v>
      </c>
      <c r="T19">
        <f t="shared" si="20"/>
        <v>16</v>
      </c>
      <c r="U19" s="26">
        <f t="shared" si="8"/>
        <v>45874</v>
      </c>
      <c r="V19">
        <f t="shared" si="1"/>
        <v>16</v>
      </c>
      <c r="W19" s="10">
        <f t="shared" si="2"/>
        <v>4271005.52406</v>
      </c>
      <c r="X19" s="10">
        <f t="shared" si="3"/>
        <v>42756.66</v>
      </c>
      <c r="Y19" s="10">
        <f t="shared" si="9"/>
        <v>4228248.86406</v>
      </c>
      <c r="Z19" s="14">
        <f t="shared" si="10"/>
        <v>0.989989088106036</v>
      </c>
      <c r="AA19" t="s">
        <v>1572</v>
      </c>
      <c r="AB19" t="str">
        <f t="shared" si="11"/>
        <v>Q3-2025</v>
      </c>
      <c r="AC19" t="str">
        <f t="shared" si="12"/>
        <v>Americas → Brazil → Brasília</v>
      </c>
      <c r="AD19" t="str">
        <f t="shared" si="13"/>
        <v>Support</v>
      </c>
      <c r="AE19" s="8" t="str">
        <f t="shared" si="4"/>
        <v>High</v>
      </c>
      <c r="AF19" t="str">
        <f t="shared" si="14"/>
        <v>BRAZIL</v>
      </c>
      <c r="AG19" s="7">
        <f>_xlfn.MINIFS($B$2:$B$633,$AF$2:$AF$633,AF19)</f>
        <v>44955</v>
      </c>
      <c r="AH19" t="str">
        <f t="shared" si="15"/>
        <v>Jan-2023</v>
      </c>
      <c r="AI19" s="9">
        <f t="shared" si="16"/>
        <v>45869</v>
      </c>
      <c r="AJ19">
        <f t="shared" si="21"/>
        <v>0</v>
      </c>
      <c r="AK19">
        <f t="shared" si="17"/>
        <v>0</v>
      </c>
      <c r="AL19" s="17">
        <f>MIN(N19,'Scenario Modelling'!$B$2)</f>
        <v>0.109</v>
      </c>
      <c r="AM19" s="10">
        <f>L19*(1+'Scenario Modelling'!$B$3)</f>
        <v>1228.3955</v>
      </c>
      <c r="AN19">
        <f>O19*(1+'Scenario Modelling'!$B$4)</f>
        <v>21.6</v>
      </c>
      <c r="AO19" s="28">
        <f t="shared" si="18"/>
        <v>45715.420872</v>
      </c>
      <c r="AP19" s="10">
        <f t="shared" si="19"/>
        <v>19182.078072</v>
      </c>
    </row>
    <row r="20" spans="1:42">
      <c r="A20" t="s">
        <v>268</v>
      </c>
      <c r="B20" s="7">
        <v>45798</v>
      </c>
      <c r="C20" s="7">
        <v>45796</v>
      </c>
      <c r="D20" t="s">
        <v>239</v>
      </c>
      <c r="E20" t="s">
        <v>269</v>
      </c>
      <c r="F20" t="s">
        <v>270</v>
      </c>
      <c r="G20" t="s">
        <v>266</v>
      </c>
      <c r="H20" t="s">
        <v>189</v>
      </c>
      <c r="I20" t="s">
        <v>271</v>
      </c>
      <c r="J20" t="s">
        <v>218</v>
      </c>
      <c r="K20" t="s">
        <v>272</v>
      </c>
      <c r="L20" s="10">
        <v>1015.16</v>
      </c>
      <c r="M20" s="10">
        <v>2148.14</v>
      </c>
      <c r="N20" s="17">
        <v>0.038</v>
      </c>
      <c r="O20">
        <v>19</v>
      </c>
      <c r="P20" t="str">
        <f t="shared" si="5"/>
        <v>Valid</v>
      </c>
      <c r="Q20" s="10">
        <f t="shared" si="0"/>
        <v>2148.14</v>
      </c>
      <c r="R20" t="b">
        <f t="shared" si="6"/>
        <v>0</v>
      </c>
      <c r="S20" s="17">
        <f t="shared" si="7"/>
        <v>0.038</v>
      </c>
      <c r="T20">
        <f t="shared" si="20"/>
        <v>-2</v>
      </c>
      <c r="U20" s="26">
        <f t="shared" si="8"/>
        <v>45805</v>
      </c>
      <c r="V20">
        <f t="shared" si="1"/>
        <v>7</v>
      </c>
      <c r="W20" s="10">
        <f t="shared" si="2"/>
        <v>4079915.04292</v>
      </c>
      <c r="X20" s="10">
        <f t="shared" si="3"/>
        <v>40814.66</v>
      </c>
      <c r="Y20" s="10">
        <f t="shared" si="9"/>
        <v>4039100.38292</v>
      </c>
      <c r="Z20" s="14">
        <f t="shared" si="10"/>
        <v>0.989996198555451</v>
      </c>
      <c r="AA20" t="s">
        <v>1567</v>
      </c>
      <c r="AB20" t="str">
        <f t="shared" si="11"/>
        <v>Q2-2025</v>
      </c>
      <c r="AC20" t="str">
        <f t="shared" si="12"/>
        <v>Europe → United Kingdom → Birmingham</v>
      </c>
      <c r="AD20" t="str">
        <f t="shared" si="13"/>
        <v>Devices</v>
      </c>
      <c r="AE20" s="8" t="str">
        <f t="shared" si="4"/>
        <v>High</v>
      </c>
      <c r="AF20" t="str">
        <f t="shared" si="14"/>
        <v>UNITED KINGDOM</v>
      </c>
      <c r="AG20" s="7">
        <v>44945</v>
      </c>
      <c r="AH20" t="str">
        <f t="shared" si="15"/>
        <v>Jan-2023</v>
      </c>
      <c r="AI20" s="9">
        <f t="shared" si="16"/>
        <v>45808</v>
      </c>
      <c r="AJ20">
        <f t="shared" si="21"/>
        <v>1</v>
      </c>
      <c r="AK20">
        <f t="shared" si="17"/>
        <v>0</v>
      </c>
      <c r="AL20" s="17">
        <f>MIN(N20,'Scenario Modelling'!$B$2)</f>
        <v>0.038</v>
      </c>
      <c r="AM20" s="10">
        <f>L20*(1+'Scenario Modelling'!$B$3)</f>
        <v>1167.434</v>
      </c>
      <c r="AN20">
        <f>O20*(1+'Scenario Modelling'!$B$4)</f>
        <v>22.8</v>
      </c>
      <c r="AO20" s="28">
        <f t="shared" si="18"/>
        <v>47116.443504</v>
      </c>
      <c r="AP20" s="10">
        <f t="shared" si="19"/>
        <v>20498.948304</v>
      </c>
    </row>
    <row r="21" spans="1:42">
      <c r="A21" t="s">
        <v>273</v>
      </c>
      <c r="B21" s="7">
        <v>45498</v>
      </c>
      <c r="C21" s="7">
        <v>45497</v>
      </c>
      <c r="D21" t="s">
        <v>177</v>
      </c>
      <c r="E21" t="s">
        <v>178</v>
      </c>
      <c r="F21" t="s">
        <v>274</v>
      </c>
      <c r="G21" t="s">
        <v>200</v>
      </c>
      <c r="H21" t="s">
        <v>259</v>
      </c>
      <c r="I21" t="s">
        <v>190</v>
      </c>
      <c r="J21" t="s">
        <v>218</v>
      </c>
      <c r="K21" t="s">
        <v>275</v>
      </c>
      <c r="L21" s="10">
        <v>1494.4</v>
      </c>
      <c r="M21" s="10">
        <v>3661.07</v>
      </c>
      <c r="N21" s="17">
        <v>0.072</v>
      </c>
      <c r="O21">
        <v>7</v>
      </c>
      <c r="P21" t="str">
        <f t="shared" si="5"/>
        <v>Valid</v>
      </c>
      <c r="Q21" s="10">
        <f t="shared" si="0"/>
        <v>3661.07</v>
      </c>
      <c r="R21" t="b">
        <f t="shared" si="6"/>
        <v>0</v>
      </c>
      <c r="S21" s="17">
        <f t="shared" si="7"/>
        <v>0.072</v>
      </c>
      <c r="T21">
        <f t="shared" si="20"/>
        <v>-1</v>
      </c>
      <c r="U21" s="26">
        <f t="shared" si="8"/>
        <v>45505</v>
      </c>
      <c r="V21">
        <f t="shared" si="1"/>
        <v>7</v>
      </c>
      <c r="W21" s="10">
        <f t="shared" si="2"/>
        <v>2560903.82072</v>
      </c>
      <c r="X21" s="10">
        <f t="shared" si="3"/>
        <v>25627.49</v>
      </c>
      <c r="Y21" s="10">
        <f t="shared" si="9"/>
        <v>2535276.33072</v>
      </c>
      <c r="Z21" s="14">
        <f t="shared" si="10"/>
        <v>0.989992794812265</v>
      </c>
      <c r="AA21" t="s">
        <v>1573</v>
      </c>
      <c r="AB21" t="str">
        <f t="shared" si="11"/>
        <v>Q3-2024</v>
      </c>
      <c r="AC21" t="str">
        <f t="shared" si="12"/>
        <v>Africa → Kenya → Mombasa</v>
      </c>
      <c r="AD21" t="str">
        <f t="shared" si="13"/>
        <v>Devices</v>
      </c>
      <c r="AE21" s="8" t="str">
        <f t="shared" si="4"/>
        <v>Medium</v>
      </c>
      <c r="AF21" t="str">
        <f t="shared" si="14"/>
        <v>KENYA</v>
      </c>
      <c r="AG21" s="7">
        <v>44946</v>
      </c>
      <c r="AH21" t="str">
        <f t="shared" si="15"/>
        <v>Jan-2023</v>
      </c>
      <c r="AI21" s="9">
        <f t="shared" si="16"/>
        <v>45504</v>
      </c>
      <c r="AJ21">
        <f t="shared" si="21"/>
        <v>1</v>
      </c>
      <c r="AK21">
        <f t="shared" si="17"/>
        <v>0</v>
      </c>
      <c r="AL21" s="17">
        <f>MIN(N21,'Scenario Modelling'!$B$2)</f>
        <v>0.072</v>
      </c>
      <c r="AM21" s="10">
        <f>L21*(1+'Scenario Modelling'!$B$3)</f>
        <v>1718.56</v>
      </c>
      <c r="AN21">
        <f>O21*(1+'Scenario Modelling'!$B$4)</f>
        <v>8.4</v>
      </c>
      <c r="AO21" s="28">
        <f t="shared" si="18"/>
        <v>28538.772864</v>
      </c>
      <c r="AP21" s="10">
        <f t="shared" si="19"/>
        <v>14102.868864</v>
      </c>
    </row>
    <row r="22" spans="1:42">
      <c r="A22" t="s">
        <v>276</v>
      </c>
      <c r="B22" s="7">
        <v>45057</v>
      </c>
      <c r="C22" s="7">
        <v>45074</v>
      </c>
      <c r="D22" t="s">
        <v>206</v>
      </c>
      <c r="E22" t="s">
        <v>277</v>
      </c>
      <c r="F22" t="s">
        <v>278</v>
      </c>
      <c r="G22" t="s">
        <v>266</v>
      </c>
      <c r="H22" t="s">
        <v>201</v>
      </c>
      <c r="I22" t="s">
        <v>224</v>
      </c>
      <c r="J22" t="s">
        <v>196</v>
      </c>
      <c r="K22" t="s">
        <v>279</v>
      </c>
      <c r="L22" s="10">
        <v>1331.19</v>
      </c>
      <c r="M22" s="10">
        <v>2903.09</v>
      </c>
      <c r="N22" s="17">
        <v>0.143</v>
      </c>
      <c r="O22">
        <v>8</v>
      </c>
      <c r="P22" t="str">
        <f t="shared" si="5"/>
        <v>Valid</v>
      </c>
      <c r="Q22" s="10">
        <f t="shared" si="0"/>
        <v>2903.09</v>
      </c>
      <c r="R22" t="b">
        <f t="shared" si="6"/>
        <v>0</v>
      </c>
      <c r="S22" s="17">
        <f t="shared" si="7"/>
        <v>0.143</v>
      </c>
      <c r="T22">
        <f t="shared" si="20"/>
        <v>17</v>
      </c>
      <c r="U22" s="26">
        <f t="shared" si="8"/>
        <v>45074</v>
      </c>
      <c r="V22">
        <f t="shared" si="1"/>
        <v>17</v>
      </c>
      <c r="W22" s="10">
        <f t="shared" si="2"/>
        <v>2319150.86504</v>
      </c>
      <c r="X22" s="10">
        <f t="shared" si="3"/>
        <v>23224.72</v>
      </c>
      <c r="Y22" s="10">
        <f t="shared" si="9"/>
        <v>2295926.14504</v>
      </c>
      <c r="Z22" s="14">
        <f t="shared" si="10"/>
        <v>0.989985679521716</v>
      </c>
      <c r="AA22" t="s">
        <v>1574</v>
      </c>
      <c r="AB22" t="str">
        <f t="shared" si="11"/>
        <v>Q2-2023</v>
      </c>
      <c r="AC22" t="str">
        <f t="shared" si="12"/>
        <v>Asia → China → Shenzhen</v>
      </c>
      <c r="AD22" t="str">
        <f t="shared" si="13"/>
        <v>Support</v>
      </c>
      <c r="AE22" s="8" t="str">
        <f t="shared" si="4"/>
        <v>Low</v>
      </c>
      <c r="AF22" t="str">
        <f t="shared" si="14"/>
        <v>CHINA</v>
      </c>
      <c r="AG22" s="7">
        <f>_xlfn.MINIFS($B$2:$B$633,$AF$2:$AF$633,AF22)</f>
        <v>44938</v>
      </c>
      <c r="AH22" t="str">
        <f t="shared" si="15"/>
        <v>Jan-2023</v>
      </c>
      <c r="AI22" s="9">
        <f t="shared" si="16"/>
        <v>45077</v>
      </c>
      <c r="AJ22">
        <f t="shared" si="21"/>
        <v>0</v>
      </c>
      <c r="AK22">
        <f t="shared" si="17"/>
        <v>0</v>
      </c>
      <c r="AL22" s="17">
        <f>MIN(N22,'Scenario Modelling'!$B$2)</f>
        <v>0.143</v>
      </c>
      <c r="AM22" s="10">
        <f>L22*(1+'Scenario Modelling'!$B$3)</f>
        <v>1530.8685</v>
      </c>
      <c r="AN22">
        <f>O22*(1+'Scenario Modelling'!$B$4)</f>
        <v>9.6</v>
      </c>
      <c r="AO22" s="28">
        <f t="shared" si="18"/>
        <v>23884.302048</v>
      </c>
      <c r="AP22" s="10">
        <f t="shared" si="19"/>
        <v>9187.964448</v>
      </c>
    </row>
    <row r="23" spans="1:42">
      <c r="A23" t="s">
        <v>280</v>
      </c>
      <c r="B23" s="7">
        <v>45822</v>
      </c>
      <c r="C23" s="7">
        <v>45837</v>
      </c>
      <c r="D23" t="s">
        <v>177</v>
      </c>
      <c r="E23" t="s">
        <v>186</v>
      </c>
      <c r="F23" t="s">
        <v>187</v>
      </c>
      <c r="G23" t="s">
        <v>209</v>
      </c>
      <c r="H23" t="s">
        <v>201</v>
      </c>
      <c r="I23" t="s">
        <v>271</v>
      </c>
      <c r="J23" t="s">
        <v>242</v>
      </c>
      <c r="K23" t="s">
        <v>281</v>
      </c>
      <c r="L23" s="10">
        <v>730.99</v>
      </c>
      <c r="M23" s="10">
        <v>1242.84</v>
      </c>
      <c r="N23" s="17">
        <v>0.12</v>
      </c>
      <c r="O23">
        <v>10</v>
      </c>
      <c r="P23" t="str">
        <f t="shared" si="5"/>
        <v>Valid</v>
      </c>
      <c r="Q23" s="10">
        <f t="shared" si="0"/>
        <v>1242.84</v>
      </c>
      <c r="R23" t="b">
        <f t="shared" si="6"/>
        <v>0</v>
      </c>
      <c r="S23" s="17">
        <f t="shared" si="7"/>
        <v>0.12</v>
      </c>
      <c r="T23">
        <f t="shared" si="20"/>
        <v>15</v>
      </c>
      <c r="U23" s="26">
        <f t="shared" si="8"/>
        <v>45837</v>
      </c>
      <c r="V23">
        <f t="shared" si="1"/>
        <v>15</v>
      </c>
      <c r="W23" s="10">
        <f t="shared" si="2"/>
        <v>1241348.592</v>
      </c>
      <c r="X23" s="10">
        <f t="shared" si="3"/>
        <v>12428.4</v>
      </c>
      <c r="Y23" s="10">
        <f t="shared" si="9"/>
        <v>1228920.192</v>
      </c>
      <c r="Z23" s="14">
        <f t="shared" si="10"/>
        <v>0.989987985582699</v>
      </c>
      <c r="AA23" t="s">
        <v>1575</v>
      </c>
      <c r="AB23" t="str">
        <f t="shared" si="11"/>
        <v>Q2-2025</v>
      </c>
      <c r="AC23" t="str">
        <f t="shared" si="12"/>
        <v>Africa → Nigeria → Port Harcourt</v>
      </c>
      <c r="AD23" t="str">
        <f t="shared" si="13"/>
        <v>Support</v>
      </c>
      <c r="AE23" s="8" t="str">
        <f t="shared" si="4"/>
        <v>High</v>
      </c>
      <c r="AF23" t="str">
        <f t="shared" si="14"/>
        <v>NIGERIA</v>
      </c>
      <c r="AG23" s="7">
        <f>_xlfn.MINIFS($B$2:$B$633,$AF$2:$AF$633,AF23)</f>
        <v>44941</v>
      </c>
      <c r="AH23" t="str">
        <f t="shared" si="15"/>
        <v>Jan-2023</v>
      </c>
      <c r="AI23" s="9">
        <f t="shared" si="16"/>
        <v>45838</v>
      </c>
      <c r="AJ23">
        <f t="shared" si="21"/>
        <v>0</v>
      </c>
      <c r="AK23">
        <f t="shared" si="17"/>
        <v>0</v>
      </c>
      <c r="AL23" s="17">
        <f>MIN(N23,'Scenario Modelling'!$B$2)</f>
        <v>0.12</v>
      </c>
      <c r="AM23" s="10">
        <f>L23*(1+'Scenario Modelling'!$B$3)</f>
        <v>840.6385</v>
      </c>
      <c r="AN23">
        <f>O23*(1+'Scenario Modelling'!$B$4)</f>
        <v>12</v>
      </c>
      <c r="AO23" s="28">
        <f t="shared" si="18"/>
        <v>13124.3904</v>
      </c>
      <c r="AP23" s="10">
        <f t="shared" si="19"/>
        <v>3036.7284</v>
      </c>
    </row>
    <row r="24" spans="1:42">
      <c r="A24" t="s">
        <v>282</v>
      </c>
      <c r="B24" s="7">
        <v>45430</v>
      </c>
      <c r="C24" s="7">
        <v>45435</v>
      </c>
      <c r="D24" t="s">
        <v>213</v>
      </c>
      <c r="E24" t="s">
        <v>283</v>
      </c>
      <c r="F24" t="s">
        <v>284</v>
      </c>
      <c r="G24" t="s">
        <v>266</v>
      </c>
      <c r="H24" t="s">
        <v>181</v>
      </c>
      <c r="I24" t="s">
        <v>253</v>
      </c>
      <c r="J24" t="s">
        <v>218</v>
      </c>
      <c r="K24" t="s">
        <v>285</v>
      </c>
      <c r="L24" s="10">
        <v>1274.59</v>
      </c>
      <c r="M24" s="10">
        <v>2553.69</v>
      </c>
      <c r="N24" s="17">
        <v>0.01</v>
      </c>
      <c r="O24">
        <v>8</v>
      </c>
      <c r="P24" t="str">
        <f t="shared" si="5"/>
        <v>Valid</v>
      </c>
      <c r="Q24" s="10">
        <f t="shared" si="0"/>
        <v>2553.69</v>
      </c>
      <c r="R24" t="b">
        <f t="shared" si="6"/>
        <v>0</v>
      </c>
      <c r="S24" s="17">
        <f t="shared" si="7"/>
        <v>0.01</v>
      </c>
      <c r="T24">
        <f t="shared" si="20"/>
        <v>5</v>
      </c>
      <c r="U24" s="26">
        <f t="shared" si="8"/>
        <v>45435</v>
      </c>
      <c r="V24">
        <f t="shared" si="1"/>
        <v>5</v>
      </c>
      <c r="W24" s="10">
        <f t="shared" si="2"/>
        <v>2042747.7048</v>
      </c>
      <c r="X24" s="10">
        <f t="shared" si="3"/>
        <v>20429.52</v>
      </c>
      <c r="Y24" s="10">
        <f t="shared" si="9"/>
        <v>2022318.1848</v>
      </c>
      <c r="Z24" s="14">
        <f t="shared" si="10"/>
        <v>0.98999899989999</v>
      </c>
      <c r="AA24" t="s">
        <v>1566</v>
      </c>
      <c r="AB24" t="str">
        <f t="shared" si="11"/>
        <v>Q2-2024</v>
      </c>
      <c r="AC24" t="str">
        <f t="shared" si="12"/>
        <v>Americas → USA → Chicago</v>
      </c>
      <c r="AD24" t="str">
        <f t="shared" si="13"/>
        <v>Devices</v>
      </c>
      <c r="AE24" s="8" t="str">
        <f t="shared" si="4"/>
        <v>Medium</v>
      </c>
      <c r="AF24" t="str">
        <f t="shared" si="14"/>
        <v>USA</v>
      </c>
      <c r="AG24" s="7">
        <v>44939</v>
      </c>
      <c r="AH24" t="str">
        <f t="shared" si="15"/>
        <v>Jan-2023</v>
      </c>
      <c r="AI24" s="9">
        <f t="shared" si="16"/>
        <v>45443</v>
      </c>
      <c r="AJ24">
        <f t="shared" si="21"/>
        <v>1</v>
      </c>
      <c r="AK24">
        <f t="shared" si="17"/>
        <v>0</v>
      </c>
      <c r="AL24" s="17">
        <f>MIN(N24,'Scenario Modelling'!$B$2)</f>
        <v>0.01</v>
      </c>
      <c r="AM24" s="10">
        <f>L24*(1+'Scenario Modelling'!$B$3)</f>
        <v>1465.7785</v>
      </c>
      <c r="AN24">
        <f>O24*(1+'Scenario Modelling'!$B$4)</f>
        <v>9.6</v>
      </c>
      <c r="AO24" s="28">
        <f t="shared" si="18"/>
        <v>24270.26976</v>
      </c>
      <c r="AP24" s="10">
        <f t="shared" si="19"/>
        <v>10198.79616</v>
      </c>
    </row>
    <row r="25" spans="1:42">
      <c r="A25" t="s">
        <v>286</v>
      </c>
      <c r="B25" s="7">
        <v>44964</v>
      </c>
      <c r="C25" s="7">
        <v>44969</v>
      </c>
      <c r="D25" t="s">
        <v>213</v>
      </c>
      <c r="E25" t="s">
        <v>234</v>
      </c>
      <c r="F25" t="s">
        <v>235</v>
      </c>
      <c r="G25" t="s">
        <v>188</v>
      </c>
      <c r="H25" t="s">
        <v>189</v>
      </c>
      <c r="I25" t="s">
        <v>287</v>
      </c>
      <c r="J25" t="s">
        <v>183</v>
      </c>
      <c r="K25" t="s">
        <v>288</v>
      </c>
      <c r="L25" s="10">
        <v>948.55</v>
      </c>
      <c r="M25" s="10">
        <v>2089.16</v>
      </c>
      <c r="N25" s="17">
        <v>0.007</v>
      </c>
      <c r="O25">
        <v>12</v>
      </c>
      <c r="P25" t="str">
        <f t="shared" si="5"/>
        <v>Valid</v>
      </c>
      <c r="Q25" s="10">
        <f t="shared" si="0"/>
        <v>2089.16</v>
      </c>
      <c r="R25" t="b">
        <f t="shared" si="6"/>
        <v>0</v>
      </c>
      <c r="S25" s="17">
        <f t="shared" si="7"/>
        <v>0.007</v>
      </c>
      <c r="T25">
        <f t="shared" si="20"/>
        <v>5</v>
      </c>
      <c r="U25" s="26">
        <f t="shared" si="8"/>
        <v>44969</v>
      </c>
      <c r="V25">
        <f t="shared" si="1"/>
        <v>5</v>
      </c>
      <c r="W25" s="10">
        <f t="shared" si="2"/>
        <v>2506816.51056</v>
      </c>
      <c r="X25" s="10">
        <f t="shared" si="3"/>
        <v>25069.92</v>
      </c>
      <c r="Y25" s="10">
        <f t="shared" si="9"/>
        <v>2481746.59056</v>
      </c>
      <c r="Z25" s="14">
        <f t="shared" si="10"/>
        <v>0.989999299950997</v>
      </c>
      <c r="AA25" t="s">
        <v>1562</v>
      </c>
      <c r="AB25" t="str">
        <f t="shared" si="11"/>
        <v>Q1-2023</v>
      </c>
      <c r="AC25" t="str">
        <f t="shared" si="12"/>
        <v>Americas → Brazil → São Paulo</v>
      </c>
      <c r="AD25" t="str">
        <f t="shared" si="13"/>
        <v>Support</v>
      </c>
      <c r="AE25" s="8" t="str">
        <f t="shared" si="4"/>
        <v>Low</v>
      </c>
      <c r="AF25" t="str">
        <f t="shared" si="14"/>
        <v>BRAZIL</v>
      </c>
      <c r="AG25" s="7">
        <f>_xlfn.MINIFS($B$2:$B$633,$AF$2:$AF$633,AF25)</f>
        <v>44955</v>
      </c>
      <c r="AH25" t="str">
        <f t="shared" si="15"/>
        <v>Jan-2023</v>
      </c>
      <c r="AI25" s="9">
        <f t="shared" si="16"/>
        <v>44985</v>
      </c>
      <c r="AJ25">
        <f t="shared" si="21"/>
        <v>1</v>
      </c>
      <c r="AK25">
        <f t="shared" si="17"/>
        <v>0</v>
      </c>
      <c r="AL25" s="17">
        <f>MIN(N25,'Scenario Modelling'!$B$2)</f>
        <v>0.007</v>
      </c>
      <c r="AM25" s="10">
        <f>L25*(1+'Scenario Modelling'!$B$3)</f>
        <v>1090.8325</v>
      </c>
      <c r="AN25">
        <f>O25*(1+'Scenario Modelling'!$B$4)</f>
        <v>14.4</v>
      </c>
      <c r="AO25" s="28">
        <f t="shared" si="18"/>
        <v>29873.316672</v>
      </c>
      <c r="AP25" s="10">
        <f t="shared" si="19"/>
        <v>14165.328672</v>
      </c>
    </row>
    <row r="26" spans="1:42">
      <c r="A26" t="s">
        <v>289</v>
      </c>
      <c r="B26" s="7">
        <v>45473</v>
      </c>
      <c r="C26" s="7">
        <v>45487</v>
      </c>
      <c r="D26" t="s">
        <v>213</v>
      </c>
      <c r="E26" t="s">
        <v>234</v>
      </c>
      <c r="F26" t="s">
        <v>248</v>
      </c>
      <c r="G26" t="s">
        <v>188</v>
      </c>
      <c r="H26" t="s">
        <v>181</v>
      </c>
      <c r="I26" t="s">
        <v>182</v>
      </c>
      <c r="J26" t="s">
        <v>242</v>
      </c>
      <c r="K26" t="s">
        <v>290</v>
      </c>
      <c r="L26" s="10">
        <v>1491.85</v>
      </c>
      <c r="M26" s="10">
        <v>2583.02</v>
      </c>
      <c r="N26" s="17">
        <v>0.168</v>
      </c>
      <c r="O26">
        <v>4</v>
      </c>
      <c r="P26" t="str">
        <f t="shared" si="5"/>
        <v>Valid</v>
      </c>
      <c r="Q26" s="10">
        <f t="shared" si="0"/>
        <v>2583.02</v>
      </c>
      <c r="R26" t="b">
        <f t="shared" si="6"/>
        <v>0</v>
      </c>
      <c r="S26" s="17">
        <f t="shared" si="7"/>
        <v>0.168</v>
      </c>
      <c r="T26">
        <f t="shared" si="20"/>
        <v>14</v>
      </c>
      <c r="U26" s="26">
        <f t="shared" si="8"/>
        <v>45487</v>
      </c>
      <c r="V26">
        <f t="shared" si="1"/>
        <v>14</v>
      </c>
      <c r="W26" s="10">
        <f t="shared" si="2"/>
        <v>1031472.21056</v>
      </c>
      <c r="X26" s="10">
        <f t="shared" si="3"/>
        <v>10332.08</v>
      </c>
      <c r="Y26" s="10">
        <f t="shared" si="9"/>
        <v>1021140.13056</v>
      </c>
      <c r="Z26" s="14">
        <f t="shared" si="10"/>
        <v>0.989983171728504</v>
      </c>
      <c r="AA26" t="s">
        <v>1576</v>
      </c>
      <c r="AB26" t="str">
        <f t="shared" si="11"/>
        <v>Q2-2024</v>
      </c>
      <c r="AC26" t="str">
        <f t="shared" si="12"/>
        <v>Americas → Brazil → Brasília</v>
      </c>
      <c r="AD26" t="str">
        <f t="shared" si="13"/>
        <v>Support</v>
      </c>
      <c r="AE26" s="8" t="str">
        <f t="shared" si="4"/>
        <v>Medium</v>
      </c>
      <c r="AF26" t="str">
        <f t="shared" si="14"/>
        <v>BRAZIL</v>
      </c>
      <c r="AG26" s="7">
        <f>_xlfn.MINIFS($B$2:$B$633,$AF$2:$AF$633,AF26)</f>
        <v>44955</v>
      </c>
      <c r="AH26" t="str">
        <f t="shared" si="15"/>
        <v>Jan-2023</v>
      </c>
      <c r="AI26" s="9">
        <f t="shared" si="16"/>
        <v>45473</v>
      </c>
      <c r="AJ26">
        <f t="shared" si="21"/>
        <v>0</v>
      </c>
      <c r="AK26">
        <f t="shared" si="17"/>
        <v>0</v>
      </c>
      <c r="AL26" s="17">
        <f>MIN(N26,'Scenario Modelling'!$B$2)</f>
        <v>0.168</v>
      </c>
      <c r="AM26" s="10">
        <f>L26*(1+'Scenario Modelling'!$B$3)</f>
        <v>1715.6275</v>
      </c>
      <c r="AN26">
        <f>O26*(1+'Scenario Modelling'!$B$4)</f>
        <v>4.8</v>
      </c>
      <c r="AO26" s="28">
        <f t="shared" si="18"/>
        <v>10315.548672</v>
      </c>
      <c r="AP26" s="10">
        <f t="shared" si="19"/>
        <v>2080.536672</v>
      </c>
    </row>
    <row r="27" spans="1:42">
      <c r="A27" t="s">
        <v>291</v>
      </c>
      <c r="B27" s="7">
        <v>45626</v>
      </c>
      <c r="C27" s="7">
        <v>45656</v>
      </c>
      <c r="D27" t="s">
        <v>239</v>
      </c>
      <c r="E27" t="s">
        <v>251</v>
      </c>
      <c r="F27" t="s">
        <v>252</v>
      </c>
      <c r="G27" t="s">
        <v>209</v>
      </c>
      <c r="H27" t="s">
        <v>201</v>
      </c>
      <c r="I27" t="s">
        <v>245</v>
      </c>
      <c r="J27" t="s">
        <v>191</v>
      </c>
      <c r="K27" t="s">
        <v>292</v>
      </c>
      <c r="L27" s="10">
        <v>117.64</v>
      </c>
      <c r="M27" s="10">
        <v>175.67</v>
      </c>
      <c r="N27" s="17">
        <v>0</v>
      </c>
      <c r="O27">
        <v>10</v>
      </c>
      <c r="P27" t="str">
        <f t="shared" si="5"/>
        <v>Valid</v>
      </c>
      <c r="Q27" s="10">
        <f t="shared" si="0"/>
        <v>175.67</v>
      </c>
      <c r="R27" t="b">
        <f t="shared" si="6"/>
        <v>0</v>
      </c>
      <c r="S27" s="17">
        <f t="shared" si="7"/>
        <v>0</v>
      </c>
      <c r="T27">
        <f t="shared" si="20"/>
        <v>30</v>
      </c>
      <c r="U27" s="26">
        <f t="shared" si="8"/>
        <v>45656</v>
      </c>
      <c r="V27">
        <f t="shared" si="1"/>
        <v>30</v>
      </c>
      <c r="W27" s="10">
        <f t="shared" si="2"/>
        <v>175670</v>
      </c>
      <c r="X27" s="10">
        <f t="shared" si="3"/>
        <v>1756.7</v>
      </c>
      <c r="Y27" s="10">
        <f t="shared" si="9"/>
        <v>173913.3</v>
      </c>
      <c r="Z27" s="14">
        <f t="shared" si="10"/>
        <v>0.99</v>
      </c>
      <c r="AA27" t="s">
        <v>1577</v>
      </c>
      <c r="AB27" t="str">
        <f t="shared" si="11"/>
        <v>Q4-2024</v>
      </c>
      <c r="AC27" t="str">
        <f t="shared" si="12"/>
        <v>Europe → France → Marseille</v>
      </c>
      <c r="AD27" t="str">
        <f t="shared" si="13"/>
        <v>Peripherals</v>
      </c>
      <c r="AE27" s="8" t="str">
        <f t="shared" si="4"/>
        <v>High</v>
      </c>
      <c r="AF27" t="str">
        <f t="shared" si="14"/>
        <v>FRANCE</v>
      </c>
      <c r="AG27" s="7">
        <v>44936</v>
      </c>
      <c r="AH27" t="str">
        <f t="shared" si="15"/>
        <v>Jan-2023</v>
      </c>
      <c r="AI27" s="9">
        <f t="shared" si="16"/>
        <v>45626</v>
      </c>
      <c r="AJ27">
        <f t="shared" si="21"/>
        <v>0</v>
      </c>
      <c r="AK27">
        <f t="shared" si="17"/>
        <v>0</v>
      </c>
      <c r="AL27" s="17">
        <f>MIN(N27,'Scenario Modelling'!$B$2)</f>
        <v>0</v>
      </c>
      <c r="AM27" s="10">
        <f>L27*(1+'Scenario Modelling'!$B$3)</f>
        <v>135.286</v>
      </c>
      <c r="AN27">
        <f>O27*(1+'Scenario Modelling'!$B$4)</f>
        <v>12</v>
      </c>
      <c r="AO27" s="28">
        <f t="shared" si="18"/>
        <v>2108.04</v>
      </c>
      <c r="AP27" s="10">
        <f t="shared" si="19"/>
        <v>484.608</v>
      </c>
    </row>
    <row r="28" spans="1:42">
      <c r="A28" t="s">
        <v>293</v>
      </c>
      <c r="B28" s="7">
        <v>45492</v>
      </c>
      <c r="C28" s="7">
        <v>45492</v>
      </c>
      <c r="D28" t="s">
        <v>177</v>
      </c>
      <c r="E28" t="s">
        <v>178</v>
      </c>
      <c r="F28" t="s">
        <v>179</v>
      </c>
      <c r="G28" t="s">
        <v>223</v>
      </c>
      <c r="H28" t="s">
        <v>181</v>
      </c>
      <c r="I28" t="s">
        <v>236</v>
      </c>
      <c r="J28" t="s">
        <v>203</v>
      </c>
      <c r="K28" t="s">
        <v>294</v>
      </c>
      <c r="L28" s="10">
        <v>857.24</v>
      </c>
      <c r="M28" s="10">
        <v>758.23</v>
      </c>
      <c r="N28" s="17">
        <v>0.125</v>
      </c>
      <c r="O28">
        <v>6</v>
      </c>
      <c r="P28" t="str">
        <f t="shared" si="5"/>
        <v>Valid</v>
      </c>
      <c r="Q28" s="10">
        <f t="shared" si="0"/>
        <v>758.23</v>
      </c>
      <c r="R28" t="b">
        <f t="shared" si="6"/>
        <v>0</v>
      </c>
      <c r="S28" s="17">
        <f t="shared" si="7"/>
        <v>0.125</v>
      </c>
      <c r="T28">
        <f t="shared" si="20"/>
        <v>0</v>
      </c>
      <c r="U28" s="26">
        <f t="shared" si="8"/>
        <v>45492</v>
      </c>
      <c r="V28">
        <f t="shared" si="1"/>
        <v>0</v>
      </c>
      <c r="W28" s="10">
        <f t="shared" si="2"/>
        <v>454369.3275</v>
      </c>
      <c r="X28" s="10">
        <f t="shared" si="3"/>
        <v>4549.38</v>
      </c>
      <c r="Y28" s="10">
        <f t="shared" si="9"/>
        <v>449819.9475</v>
      </c>
      <c r="Z28" s="14">
        <f t="shared" si="10"/>
        <v>0.989987484355444</v>
      </c>
      <c r="AA28" t="s">
        <v>1573</v>
      </c>
      <c r="AB28" t="str">
        <f t="shared" si="11"/>
        <v>Q3-2024</v>
      </c>
      <c r="AC28" t="str">
        <f t="shared" si="12"/>
        <v>Africa → Kenya → Kisumu</v>
      </c>
      <c r="AD28" t="str">
        <f t="shared" si="13"/>
        <v>Devices</v>
      </c>
      <c r="AE28" s="8" t="str">
        <f t="shared" si="4"/>
        <v>Medium</v>
      </c>
      <c r="AF28" t="str">
        <f t="shared" si="14"/>
        <v>KENYA</v>
      </c>
      <c r="AG28" s="7">
        <v>44946</v>
      </c>
      <c r="AH28" t="str">
        <f t="shared" si="15"/>
        <v>Jan-2023</v>
      </c>
      <c r="AI28" s="9">
        <f t="shared" si="16"/>
        <v>45504</v>
      </c>
      <c r="AJ28">
        <f t="shared" si="21"/>
        <v>1</v>
      </c>
      <c r="AK28">
        <f t="shared" si="17"/>
        <v>0</v>
      </c>
      <c r="AL28" s="17">
        <f>MIN(N28,'Scenario Modelling'!$B$2)</f>
        <v>0.125</v>
      </c>
      <c r="AM28" s="10">
        <f>L28*(1+'Scenario Modelling'!$B$3)</f>
        <v>985.826</v>
      </c>
      <c r="AN28">
        <f>O28*(1+'Scenario Modelling'!$B$4)</f>
        <v>7.2</v>
      </c>
      <c r="AO28" s="28">
        <f t="shared" si="18"/>
        <v>4776.849</v>
      </c>
      <c r="AP28" s="10">
        <f t="shared" si="19"/>
        <v>-2321.0982</v>
      </c>
    </row>
    <row r="29" spans="1:42">
      <c r="A29" t="s">
        <v>295</v>
      </c>
      <c r="B29" s="7">
        <v>45030</v>
      </c>
      <c r="C29" s="7">
        <v>45060</v>
      </c>
      <c r="D29" t="s">
        <v>177</v>
      </c>
      <c r="E29" t="s">
        <v>178</v>
      </c>
      <c r="F29" t="s">
        <v>296</v>
      </c>
      <c r="G29" t="s">
        <v>209</v>
      </c>
      <c r="H29" t="s">
        <v>201</v>
      </c>
      <c r="I29" t="s">
        <v>271</v>
      </c>
      <c r="J29" t="s">
        <v>203</v>
      </c>
      <c r="K29" t="s">
        <v>297</v>
      </c>
      <c r="L29" s="10">
        <v>209.25</v>
      </c>
      <c r="M29" s="10">
        <v>434.8</v>
      </c>
      <c r="N29" s="17">
        <v>0</v>
      </c>
      <c r="O29">
        <v>9</v>
      </c>
      <c r="P29" t="str">
        <f t="shared" si="5"/>
        <v>Valid</v>
      </c>
      <c r="Q29" s="10">
        <f t="shared" si="0"/>
        <v>434.8</v>
      </c>
      <c r="R29" t="b">
        <f t="shared" si="6"/>
        <v>0</v>
      </c>
      <c r="S29" s="17">
        <f t="shared" si="7"/>
        <v>0</v>
      </c>
      <c r="T29">
        <f t="shared" si="20"/>
        <v>30</v>
      </c>
      <c r="U29" s="26">
        <f t="shared" si="8"/>
        <v>45060</v>
      </c>
      <c r="V29">
        <f t="shared" si="1"/>
        <v>30</v>
      </c>
      <c r="W29" s="10">
        <f t="shared" si="2"/>
        <v>391320</v>
      </c>
      <c r="X29" s="10">
        <f t="shared" si="3"/>
        <v>3913.2</v>
      </c>
      <c r="Y29" s="10">
        <f t="shared" si="9"/>
        <v>387406.8</v>
      </c>
      <c r="Z29" s="14">
        <f t="shared" si="10"/>
        <v>0.99</v>
      </c>
      <c r="AA29" t="s">
        <v>1571</v>
      </c>
      <c r="AB29" t="str">
        <f t="shared" si="11"/>
        <v>Q2-2023</v>
      </c>
      <c r="AC29" t="str">
        <f t="shared" si="12"/>
        <v>Africa → Kenya → Nakuru</v>
      </c>
      <c r="AD29" t="str">
        <f t="shared" si="13"/>
        <v>Devices</v>
      </c>
      <c r="AE29" s="8" t="str">
        <f t="shared" si="4"/>
        <v>Low</v>
      </c>
      <c r="AF29" t="str">
        <f t="shared" si="14"/>
        <v>KENYA</v>
      </c>
      <c r="AG29" s="7">
        <v>44946</v>
      </c>
      <c r="AH29" t="str">
        <f t="shared" si="15"/>
        <v>Jan-2023</v>
      </c>
      <c r="AI29" s="9">
        <f t="shared" si="16"/>
        <v>45046</v>
      </c>
      <c r="AJ29">
        <f t="shared" si="21"/>
        <v>0</v>
      </c>
      <c r="AK29">
        <f t="shared" si="17"/>
        <v>0</v>
      </c>
      <c r="AL29" s="17">
        <f>MIN(N29,'Scenario Modelling'!$B$2)</f>
        <v>0</v>
      </c>
      <c r="AM29" s="10">
        <f>L29*(1+'Scenario Modelling'!$B$3)</f>
        <v>240.6375</v>
      </c>
      <c r="AN29">
        <f>O29*(1+'Scenario Modelling'!$B$4)</f>
        <v>10.8</v>
      </c>
      <c r="AO29" s="28">
        <f t="shared" si="18"/>
        <v>4695.84</v>
      </c>
      <c r="AP29" s="10">
        <f t="shared" si="19"/>
        <v>2096.955</v>
      </c>
    </row>
    <row r="30" spans="1:42">
      <c r="A30" t="s">
        <v>298</v>
      </c>
      <c r="B30" s="7">
        <v>45754</v>
      </c>
      <c r="C30" s="7">
        <v>45758</v>
      </c>
      <c r="D30" t="s">
        <v>239</v>
      </c>
      <c r="E30" t="s">
        <v>251</v>
      </c>
      <c r="F30" t="s">
        <v>299</v>
      </c>
      <c r="G30" t="s">
        <v>188</v>
      </c>
      <c r="H30" t="s">
        <v>181</v>
      </c>
      <c r="I30" t="s">
        <v>224</v>
      </c>
      <c r="J30" t="s">
        <v>196</v>
      </c>
      <c r="K30" t="s">
        <v>300</v>
      </c>
      <c r="L30" s="10">
        <v>754.77</v>
      </c>
      <c r="M30" s="10">
        <v>1666.18</v>
      </c>
      <c r="N30" s="17">
        <v>0.139</v>
      </c>
      <c r="O30">
        <v>14</v>
      </c>
      <c r="P30" t="str">
        <f t="shared" si="5"/>
        <v>Valid</v>
      </c>
      <c r="Q30" s="10">
        <f t="shared" si="0"/>
        <v>1666.18</v>
      </c>
      <c r="R30" t="b">
        <f t="shared" si="6"/>
        <v>0</v>
      </c>
      <c r="S30" s="17">
        <f t="shared" si="7"/>
        <v>0.139</v>
      </c>
      <c r="T30">
        <f t="shared" si="20"/>
        <v>4</v>
      </c>
      <c r="U30" s="26">
        <f t="shared" si="8"/>
        <v>45758</v>
      </c>
      <c r="V30">
        <f t="shared" si="1"/>
        <v>4</v>
      </c>
      <c r="W30" s="10">
        <f t="shared" si="2"/>
        <v>2329409.61372</v>
      </c>
      <c r="X30" s="10">
        <f t="shared" si="3"/>
        <v>23326.52</v>
      </c>
      <c r="Y30" s="10">
        <f t="shared" si="9"/>
        <v>2306083.09372</v>
      </c>
      <c r="Z30" s="14">
        <f t="shared" si="10"/>
        <v>0.989986080652106</v>
      </c>
      <c r="AA30" t="s">
        <v>1578</v>
      </c>
      <c r="AB30" t="str">
        <f t="shared" si="11"/>
        <v>Q2-2025</v>
      </c>
      <c r="AC30" t="str">
        <f t="shared" si="12"/>
        <v>Europe → France → Lyon</v>
      </c>
      <c r="AD30" t="str">
        <f t="shared" si="13"/>
        <v>Support</v>
      </c>
      <c r="AE30" s="8" t="str">
        <f t="shared" si="4"/>
        <v>High</v>
      </c>
      <c r="AF30" t="str">
        <f t="shared" si="14"/>
        <v>FRANCE</v>
      </c>
      <c r="AG30" s="7">
        <v>44936</v>
      </c>
      <c r="AH30" t="str">
        <f t="shared" si="15"/>
        <v>Jan-2023</v>
      </c>
      <c r="AI30" s="9">
        <f t="shared" si="16"/>
        <v>45777</v>
      </c>
      <c r="AJ30">
        <f t="shared" si="21"/>
        <v>1</v>
      </c>
      <c r="AK30">
        <f t="shared" si="17"/>
        <v>0</v>
      </c>
      <c r="AL30" s="17">
        <f>MIN(N30,'Scenario Modelling'!$B$2)</f>
        <v>0.139</v>
      </c>
      <c r="AM30" s="10">
        <f>L30*(1+'Scenario Modelling'!$B$3)</f>
        <v>867.9855</v>
      </c>
      <c r="AN30">
        <f>O30*(1+'Scenario Modelling'!$B$4)</f>
        <v>16.8</v>
      </c>
      <c r="AO30" s="28">
        <f t="shared" si="18"/>
        <v>24100.960464</v>
      </c>
      <c r="AP30" s="10">
        <f t="shared" si="19"/>
        <v>9518.804064</v>
      </c>
    </row>
    <row r="31" spans="1:42">
      <c r="A31" t="s">
        <v>301</v>
      </c>
      <c r="B31" s="7">
        <v>45653</v>
      </c>
      <c r="C31" s="7">
        <v>45672</v>
      </c>
      <c r="D31" t="s">
        <v>206</v>
      </c>
      <c r="E31" t="s">
        <v>221</v>
      </c>
      <c r="F31" t="s">
        <v>302</v>
      </c>
      <c r="G31" t="s">
        <v>200</v>
      </c>
      <c r="H31" t="s">
        <v>216</v>
      </c>
      <c r="I31" t="s">
        <v>202</v>
      </c>
      <c r="J31" t="s">
        <v>183</v>
      </c>
      <c r="K31" t="s">
        <v>303</v>
      </c>
      <c r="L31" s="10">
        <v>495.59</v>
      </c>
      <c r="M31" s="10">
        <v>631.78</v>
      </c>
      <c r="N31" s="17">
        <v>0.087</v>
      </c>
      <c r="O31">
        <v>17</v>
      </c>
      <c r="P31" t="str">
        <f t="shared" si="5"/>
        <v>Valid</v>
      </c>
      <c r="Q31" s="10">
        <f t="shared" si="0"/>
        <v>631.78</v>
      </c>
      <c r="R31" t="b">
        <f t="shared" si="6"/>
        <v>0</v>
      </c>
      <c r="S31" s="17">
        <f t="shared" si="7"/>
        <v>0.087</v>
      </c>
      <c r="T31">
        <f t="shared" si="20"/>
        <v>19</v>
      </c>
      <c r="U31" s="26">
        <f t="shared" si="8"/>
        <v>45672</v>
      </c>
      <c r="V31">
        <f t="shared" si="1"/>
        <v>19</v>
      </c>
      <c r="W31" s="10">
        <f t="shared" si="2"/>
        <v>1073091.59738</v>
      </c>
      <c r="X31" s="10">
        <f t="shared" si="3"/>
        <v>10740.26</v>
      </c>
      <c r="Y31" s="10">
        <f t="shared" si="9"/>
        <v>1062351.33738</v>
      </c>
      <c r="Z31" s="14">
        <f t="shared" si="10"/>
        <v>0.989991292424409</v>
      </c>
      <c r="AA31" t="s">
        <v>1565</v>
      </c>
      <c r="AB31" t="str">
        <f t="shared" si="11"/>
        <v>Q4-2024</v>
      </c>
      <c r="AC31" t="str">
        <f t="shared" si="12"/>
        <v>Asia → India → Delhi</v>
      </c>
      <c r="AD31" t="str">
        <f t="shared" si="13"/>
        <v>Support</v>
      </c>
      <c r="AE31" s="8" t="str">
        <f t="shared" si="4"/>
        <v>High</v>
      </c>
      <c r="AF31" t="str">
        <f t="shared" si="14"/>
        <v>INDIA</v>
      </c>
      <c r="AG31" s="7">
        <v>44955</v>
      </c>
      <c r="AH31" t="str">
        <f t="shared" si="15"/>
        <v>Jan-2023</v>
      </c>
      <c r="AI31" s="9">
        <f t="shared" si="16"/>
        <v>45657</v>
      </c>
      <c r="AJ31">
        <f t="shared" si="21"/>
        <v>0</v>
      </c>
      <c r="AK31">
        <f t="shared" si="17"/>
        <v>0</v>
      </c>
      <c r="AL31" s="17">
        <f>MIN(N31,'Scenario Modelling'!$B$2)</f>
        <v>0.087</v>
      </c>
      <c r="AM31" s="10">
        <f>L31*(1+'Scenario Modelling'!$B$3)</f>
        <v>569.9285</v>
      </c>
      <c r="AN31">
        <f>O31*(1+'Scenario Modelling'!$B$4)</f>
        <v>20.4</v>
      </c>
      <c r="AO31" s="28">
        <f t="shared" si="18"/>
        <v>11767.028856</v>
      </c>
      <c r="AP31" s="10">
        <f t="shared" si="19"/>
        <v>140.487456000003</v>
      </c>
    </row>
    <row r="32" spans="1:42">
      <c r="A32" t="s">
        <v>304</v>
      </c>
      <c r="B32" s="7">
        <v>44980</v>
      </c>
      <c r="C32" s="7">
        <v>45010</v>
      </c>
      <c r="D32" t="s">
        <v>213</v>
      </c>
      <c r="E32" t="s">
        <v>214</v>
      </c>
      <c r="F32" t="s">
        <v>305</v>
      </c>
      <c r="G32" t="s">
        <v>266</v>
      </c>
      <c r="H32" t="s">
        <v>189</v>
      </c>
      <c r="I32" t="s">
        <v>306</v>
      </c>
      <c r="J32" t="s">
        <v>203</v>
      </c>
      <c r="K32" t="s">
        <v>307</v>
      </c>
      <c r="L32" s="10">
        <v>1242.66</v>
      </c>
      <c r="M32" s="10">
        <v>1794.07</v>
      </c>
      <c r="N32" s="17">
        <v>0.089</v>
      </c>
      <c r="O32">
        <v>16</v>
      </c>
      <c r="P32" t="str">
        <f t="shared" si="5"/>
        <v>Valid</v>
      </c>
      <c r="Q32" s="10">
        <f t="shared" si="0"/>
        <v>1794.07</v>
      </c>
      <c r="R32" t="b">
        <f t="shared" si="6"/>
        <v>0</v>
      </c>
      <c r="S32" s="17">
        <f t="shared" si="7"/>
        <v>0.089</v>
      </c>
      <c r="T32">
        <f t="shared" si="20"/>
        <v>30</v>
      </c>
      <c r="U32" s="26">
        <f t="shared" si="8"/>
        <v>45010</v>
      </c>
      <c r="V32">
        <f t="shared" si="1"/>
        <v>30</v>
      </c>
      <c r="W32" s="10">
        <f t="shared" si="2"/>
        <v>2867957.24432</v>
      </c>
      <c r="X32" s="10">
        <f t="shared" si="3"/>
        <v>28705.12</v>
      </c>
      <c r="Y32" s="10">
        <f t="shared" si="9"/>
        <v>2839252.12432</v>
      </c>
      <c r="Z32" s="14">
        <f t="shared" si="10"/>
        <v>0.989991092071944</v>
      </c>
      <c r="AA32" t="s">
        <v>1562</v>
      </c>
      <c r="AB32" t="str">
        <f t="shared" si="11"/>
        <v>Q1-2023</v>
      </c>
      <c r="AC32" t="str">
        <f t="shared" si="12"/>
        <v>Americas → Canada → Montreal</v>
      </c>
      <c r="AD32" t="str">
        <f t="shared" si="13"/>
        <v>Devices</v>
      </c>
      <c r="AE32" s="8" t="str">
        <f t="shared" si="4"/>
        <v>Low</v>
      </c>
      <c r="AF32" t="str">
        <f t="shared" si="14"/>
        <v>CANADA</v>
      </c>
      <c r="AG32" s="7">
        <f>_xlfn.MINIFS($B$2:$B$633,$AF$2:$AF$633,AF32)</f>
        <v>44928</v>
      </c>
      <c r="AH32" t="str">
        <f t="shared" si="15"/>
        <v>Jan-2023</v>
      </c>
      <c r="AI32" s="9">
        <f t="shared" si="16"/>
        <v>44985</v>
      </c>
      <c r="AJ32">
        <f t="shared" si="21"/>
        <v>0</v>
      </c>
      <c r="AK32">
        <f t="shared" si="17"/>
        <v>0</v>
      </c>
      <c r="AL32" s="17">
        <f>MIN(N32,'Scenario Modelling'!$B$2)</f>
        <v>0.089</v>
      </c>
      <c r="AM32" s="10">
        <f>L32*(1+'Scenario Modelling'!$B$3)</f>
        <v>1429.059</v>
      </c>
      <c r="AN32">
        <f>O32*(1+'Scenario Modelling'!$B$4)</f>
        <v>19.2</v>
      </c>
      <c r="AO32" s="28">
        <f t="shared" si="18"/>
        <v>31380.437184</v>
      </c>
      <c r="AP32" s="10">
        <f t="shared" si="19"/>
        <v>3942.504384</v>
      </c>
    </row>
    <row r="33" spans="1:42">
      <c r="A33" t="s">
        <v>308</v>
      </c>
      <c r="B33" s="7">
        <v>45862</v>
      </c>
      <c r="C33" s="7">
        <v>45875</v>
      </c>
      <c r="D33" t="s">
        <v>177</v>
      </c>
      <c r="E33" t="s">
        <v>309</v>
      </c>
      <c r="F33" t="s">
        <v>310</v>
      </c>
      <c r="G33" t="s">
        <v>188</v>
      </c>
      <c r="H33" t="s">
        <v>201</v>
      </c>
      <c r="I33" t="s">
        <v>306</v>
      </c>
      <c r="J33" t="s">
        <v>196</v>
      </c>
      <c r="K33" t="s">
        <v>311</v>
      </c>
      <c r="L33" s="10">
        <v>1463.9</v>
      </c>
      <c r="M33" s="10">
        <v>2633.02</v>
      </c>
      <c r="N33" s="17">
        <v>0.084</v>
      </c>
      <c r="O33">
        <v>4</v>
      </c>
      <c r="P33" t="str">
        <f t="shared" si="5"/>
        <v>Valid</v>
      </c>
      <c r="Q33" s="10">
        <f t="shared" si="0"/>
        <v>2633.02</v>
      </c>
      <c r="R33" t="b">
        <f t="shared" si="6"/>
        <v>0</v>
      </c>
      <c r="S33" s="17">
        <f t="shared" si="7"/>
        <v>0.084</v>
      </c>
      <c r="T33">
        <f t="shared" si="20"/>
        <v>13</v>
      </c>
      <c r="U33" s="26">
        <f t="shared" si="8"/>
        <v>45875</v>
      </c>
      <c r="V33">
        <f t="shared" si="1"/>
        <v>13</v>
      </c>
      <c r="W33" s="10">
        <f t="shared" si="2"/>
        <v>1052323.30528</v>
      </c>
      <c r="X33" s="10">
        <f t="shared" si="3"/>
        <v>10532.08</v>
      </c>
      <c r="Y33" s="10">
        <f t="shared" si="9"/>
        <v>1041791.22528</v>
      </c>
      <c r="Z33" s="14">
        <f t="shared" si="10"/>
        <v>0.989991592938068</v>
      </c>
      <c r="AA33" t="s">
        <v>1572</v>
      </c>
      <c r="AB33" t="str">
        <f t="shared" si="11"/>
        <v>Q3-2025</v>
      </c>
      <c r="AC33" t="str">
        <f t="shared" si="12"/>
        <v>Africa → South Africa → Johannesburg</v>
      </c>
      <c r="AD33" t="str">
        <f t="shared" si="13"/>
        <v>Support</v>
      </c>
      <c r="AE33" s="8" t="str">
        <f t="shared" si="4"/>
        <v>High</v>
      </c>
      <c r="AF33" t="str">
        <f t="shared" si="14"/>
        <v>SOUTH AFRICA</v>
      </c>
      <c r="AG33" s="7">
        <f>_xlfn.MINIFS($B$2:$B$633,$AF$2:$AF$633,AF33)</f>
        <v>44933</v>
      </c>
      <c r="AH33" t="str">
        <f t="shared" si="15"/>
        <v>Jan-2023</v>
      </c>
      <c r="AI33" s="9">
        <f t="shared" si="16"/>
        <v>45869</v>
      </c>
      <c r="AJ33">
        <f t="shared" si="21"/>
        <v>0</v>
      </c>
      <c r="AK33">
        <f t="shared" si="17"/>
        <v>0</v>
      </c>
      <c r="AL33" s="17">
        <f>MIN(N33,'Scenario Modelling'!$B$2)</f>
        <v>0.084</v>
      </c>
      <c r="AM33" s="10">
        <f>L33*(1+'Scenario Modelling'!$B$3)</f>
        <v>1683.485</v>
      </c>
      <c r="AN33">
        <f>O33*(1+'Scenario Modelling'!$B$4)</f>
        <v>4.8</v>
      </c>
      <c r="AO33" s="28">
        <f t="shared" si="18"/>
        <v>11576.862336</v>
      </c>
      <c r="AP33" s="10">
        <f t="shared" si="19"/>
        <v>3496.134336</v>
      </c>
    </row>
    <row r="34" spans="1:42">
      <c r="A34" t="s">
        <v>312</v>
      </c>
      <c r="B34" s="7">
        <v>45400</v>
      </c>
      <c r="C34" s="7">
        <v>45420</v>
      </c>
      <c r="D34" t="s">
        <v>239</v>
      </c>
      <c r="E34" t="s">
        <v>269</v>
      </c>
      <c r="F34" t="s">
        <v>313</v>
      </c>
      <c r="G34" t="s">
        <v>200</v>
      </c>
      <c r="H34" t="s">
        <v>1579</v>
      </c>
      <c r="I34" t="s">
        <v>306</v>
      </c>
      <c r="J34" t="s">
        <v>218</v>
      </c>
      <c r="K34" t="s">
        <v>314</v>
      </c>
      <c r="L34" s="10">
        <v>645.33</v>
      </c>
      <c r="M34" s="10">
        <v>1321.85</v>
      </c>
      <c r="N34" s="17">
        <v>0</v>
      </c>
      <c r="O34">
        <v>10</v>
      </c>
      <c r="P34" t="str">
        <f t="shared" si="5"/>
        <v>Valid</v>
      </c>
      <c r="Q34" s="10">
        <f t="shared" si="0"/>
        <v>1321.85</v>
      </c>
      <c r="R34" t="b">
        <f t="shared" si="6"/>
        <v>0</v>
      </c>
      <c r="S34" s="17">
        <f t="shared" si="7"/>
        <v>0</v>
      </c>
      <c r="T34">
        <f t="shared" si="20"/>
        <v>20</v>
      </c>
      <c r="U34" s="26">
        <f t="shared" si="8"/>
        <v>45420</v>
      </c>
      <c r="V34">
        <f t="shared" si="1"/>
        <v>20</v>
      </c>
      <c r="W34" s="10">
        <f t="shared" si="2"/>
        <v>1321850</v>
      </c>
      <c r="X34" s="10">
        <f t="shared" si="3"/>
        <v>13218.5</v>
      </c>
      <c r="Y34" s="10">
        <f t="shared" si="9"/>
        <v>1308631.5</v>
      </c>
      <c r="Z34" s="14">
        <f t="shared" si="10"/>
        <v>0.99</v>
      </c>
      <c r="AA34" t="s">
        <v>1580</v>
      </c>
      <c r="AB34" t="str">
        <f t="shared" si="11"/>
        <v>Q2-2024</v>
      </c>
      <c r="AC34" t="str">
        <f t="shared" si="12"/>
        <v>Europe → United Kingdom → London</v>
      </c>
      <c r="AD34" t="str">
        <f t="shared" si="13"/>
        <v>Devices</v>
      </c>
      <c r="AE34" s="8" t="str">
        <f t="shared" si="4"/>
        <v>Medium</v>
      </c>
      <c r="AF34" t="str">
        <f t="shared" si="14"/>
        <v>UNITED KINGDOM</v>
      </c>
      <c r="AG34" s="7">
        <v>44945</v>
      </c>
      <c r="AH34" t="str">
        <f t="shared" si="15"/>
        <v>Jan-2023</v>
      </c>
      <c r="AI34" s="9">
        <f t="shared" si="16"/>
        <v>45412</v>
      </c>
      <c r="AJ34">
        <f t="shared" si="21"/>
        <v>0</v>
      </c>
      <c r="AK34">
        <f t="shared" si="17"/>
        <v>0</v>
      </c>
      <c r="AL34" s="17">
        <f>MIN(N34,'Scenario Modelling'!$B$2)</f>
        <v>0</v>
      </c>
      <c r="AM34" s="10">
        <f>L34*(1+'Scenario Modelling'!$B$3)</f>
        <v>742.1295</v>
      </c>
      <c r="AN34">
        <f>O34*(1+'Scenario Modelling'!$B$4)</f>
        <v>12</v>
      </c>
      <c r="AO34" s="28">
        <f t="shared" si="18"/>
        <v>15862.2</v>
      </c>
      <c r="AP34" s="10">
        <f t="shared" si="19"/>
        <v>6956.646</v>
      </c>
    </row>
    <row r="35" spans="1:42">
      <c r="A35" t="s">
        <v>315</v>
      </c>
      <c r="B35" s="7">
        <v>45527</v>
      </c>
      <c r="C35" s="7">
        <v>45525</v>
      </c>
      <c r="D35" t="s">
        <v>177</v>
      </c>
      <c r="E35" t="s">
        <v>309</v>
      </c>
      <c r="F35" t="s">
        <v>310</v>
      </c>
      <c r="G35" t="s">
        <v>188</v>
      </c>
      <c r="H35" t="s">
        <v>181</v>
      </c>
      <c r="I35" t="s">
        <v>224</v>
      </c>
      <c r="J35" t="s">
        <v>183</v>
      </c>
      <c r="K35" t="s">
        <v>316</v>
      </c>
      <c r="L35" s="10">
        <v>1432.52</v>
      </c>
      <c r="M35" s="10">
        <v>3036.87</v>
      </c>
      <c r="N35" s="17">
        <v>0</v>
      </c>
      <c r="O35">
        <v>9</v>
      </c>
      <c r="P35" t="str">
        <f t="shared" si="5"/>
        <v>Valid</v>
      </c>
      <c r="Q35" s="10">
        <f t="shared" si="0"/>
        <v>3036.87</v>
      </c>
      <c r="R35" t="b">
        <f t="shared" si="6"/>
        <v>0</v>
      </c>
      <c r="S35" s="17">
        <f t="shared" si="7"/>
        <v>0</v>
      </c>
      <c r="T35">
        <f t="shared" si="20"/>
        <v>-2</v>
      </c>
      <c r="U35" s="26">
        <f t="shared" si="8"/>
        <v>45534</v>
      </c>
      <c r="V35">
        <f t="shared" si="1"/>
        <v>7</v>
      </c>
      <c r="W35" s="10">
        <f t="shared" si="2"/>
        <v>2733183</v>
      </c>
      <c r="X35" s="10">
        <f t="shared" si="3"/>
        <v>27331.83</v>
      </c>
      <c r="Y35" s="10">
        <f t="shared" si="9"/>
        <v>2705851.17</v>
      </c>
      <c r="Z35" s="14">
        <f t="shared" si="10"/>
        <v>0.99</v>
      </c>
      <c r="AA35" t="s">
        <v>1581</v>
      </c>
      <c r="AB35" t="str">
        <f t="shared" si="11"/>
        <v>Q3-2024</v>
      </c>
      <c r="AC35" t="str">
        <f t="shared" si="12"/>
        <v>Africa → South Africa → Johannesburg</v>
      </c>
      <c r="AD35" t="str">
        <f t="shared" si="13"/>
        <v>Support</v>
      </c>
      <c r="AE35" s="8" t="str">
        <f t="shared" si="4"/>
        <v>Medium</v>
      </c>
      <c r="AF35" t="str">
        <f t="shared" si="14"/>
        <v>SOUTH AFRICA</v>
      </c>
      <c r="AG35" s="7">
        <f>_xlfn.MINIFS($B$2:$B$633,$AF$2:$AF$633,AF35)</f>
        <v>44933</v>
      </c>
      <c r="AH35" t="str">
        <f t="shared" si="15"/>
        <v>Jan-2023</v>
      </c>
      <c r="AI35" s="9">
        <f t="shared" si="16"/>
        <v>45535</v>
      </c>
      <c r="AJ35">
        <f t="shared" si="21"/>
        <v>1</v>
      </c>
      <c r="AK35">
        <f t="shared" si="17"/>
        <v>0</v>
      </c>
      <c r="AL35" s="17">
        <f>MIN(N35,'Scenario Modelling'!$B$2)</f>
        <v>0</v>
      </c>
      <c r="AM35" s="10">
        <f>L35*(1+'Scenario Modelling'!$B$3)</f>
        <v>1647.398</v>
      </c>
      <c r="AN35">
        <f>O35*(1+'Scenario Modelling'!$B$4)</f>
        <v>10.8</v>
      </c>
      <c r="AO35" s="28">
        <f t="shared" si="18"/>
        <v>32798.196</v>
      </c>
      <c r="AP35" s="10">
        <f t="shared" si="19"/>
        <v>15006.2976</v>
      </c>
    </row>
    <row r="36" spans="1:42">
      <c r="A36" t="s">
        <v>317</v>
      </c>
      <c r="B36" s="7">
        <v>45012</v>
      </c>
      <c r="C36" s="7">
        <v>45038</v>
      </c>
      <c r="D36" t="s">
        <v>206</v>
      </c>
      <c r="E36" t="s">
        <v>221</v>
      </c>
      <c r="F36" t="s">
        <v>302</v>
      </c>
      <c r="G36" t="s">
        <v>200</v>
      </c>
      <c r="H36" t="s">
        <v>201</v>
      </c>
      <c r="I36" t="s">
        <v>190</v>
      </c>
      <c r="J36" t="s">
        <v>191</v>
      </c>
      <c r="K36" t="s">
        <v>318</v>
      </c>
      <c r="L36" s="10">
        <v>178.53</v>
      </c>
      <c r="M36" s="10">
        <v>199.37</v>
      </c>
      <c r="N36" s="17">
        <v>0.101</v>
      </c>
      <c r="O36">
        <v>37</v>
      </c>
      <c r="P36" t="str">
        <f t="shared" si="5"/>
        <v>Valid</v>
      </c>
      <c r="Q36" s="10">
        <f t="shared" si="0"/>
        <v>199.37</v>
      </c>
      <c r="R36" t="b">
        <f t="shared" si="6"/>
        <v>0</v>
      </c>
      <c r="S36" s="17">
        <f t="shared" si="7"/>
        <v>0.101</v>
      </c>
      <c r="T36">
        <f t="shared" si="20"/>
        <v>26</v>
      </c>
      <c r="U36" s="26">
        <f t="shared" si="8"/>
        <v>45038</v>
      </c>
      <c r="V36">
        <f t="shared" si="1"/>
        <v>26</v>
      </c>
      <c r="W36" s="10">
        <f t="shared" si="2"/>
        <v>736923.95431</v>
      </c>
      <c r="X36" s="10">
        <f t="shared" si="3"/>
        <v>7376.69</v>
      </c>
      <c r="Y36" s="10">
        <f t="shared" si="9"/>
        <v>729547.26431</v>
      </c>
      <c r="Z36" s="14">
        <f t="shared" si="10"/>
        <v>0.989989889788687</v>
      </c>
      <c r="AA36" t="s">
        <v>1582</v>
      </c>
      <c r="AB36" t="str">
        <f t="shared" si="11"/>
        <v>Q1-2023</v>
      </c>
      <c r="AC36" t="str">
        <f t="shared" si="12"/>
        <v>Asia → India → Delhi</v>
      </c>
      <c r="AD36" t="str">
        <f t="shared" si="13"/>
        <v>Peripherals</v>
      </c>
      <c r="AE36" s="8" t="str">
        <f t="shared" si="4"/>
        <v>Low</v>
      </c>
      <c r="AF36" t="str">
        <f t="shared" si="14"/>
        <v>INDIA</v>
      </c>
      <c r="AG36" s="7">
        <v>44955</v>
      </c>
      <c r="AH36" t="str">
        <f t="shared" si="15"/>
        <v>Jan-2023</v>
      </c>
      <c r="AI36" s="9">
        <f t="shared" si="16"/>
        <v>45016</v>
      </c>
      <c r="AJ36">
        <f t="shared" si="21"/>
        <v>0</v>
      </c>
      <c r="AK36">
        <f t="shared" si="17"/>
        <v>0</v>
      </c>
      <c r="AL36" s="17">
        <f>MIN(N36,'Scenario Modelling'!$B$2)</f>
        <v>0.101</v>
      </c>
      <c r="AM36" s="10">
        <f>L36*(1+'Scenario Modelling'!$B$3)</f>
        <v>205.3095</v>
      </c>
      <c r="AN36">
        <f>O36*(1+'Scenario Modelling'!$B$4)</f>
        <v>44.4</v>
      </c>
      <c r="AO36" s="28">
        <f t="shared" si="18"/>
        <v>7957.973172</v>
      </c>
      <c r="AP36" s="10">
        <f t="shared" si="19"/>
        <v>-1157.768628</v>
      </c>
    </row>
    <row r="37" spans="1:42">
      <c r="A37" t="s">
        <v>319</v>
      </c>
      <c r="B37" s="7">
        <v>45358</v>
      </c>
      <c r="C37" s="7">
        <v>45376</v>
      </c>
      <c r="D37" t="s">
        <v>239</v>
      </c>
      <c r="E37" t="s">
        <v>240</v>
      </c>
      <c r="F37" t="s">
        <v>320</v>
      </c>
      <c r="G37" t="s">
        <v>180</v>
      </c>
      <c r="H37" t="s">
        <v>189</v>
      </c>
      <c r="I37" t="s">
        <v>217</v>
      </c>
      <c r="J37" t="s">
        <v>183</v>
      </c>
      <c r="K37" t="s">
        <v>321</v>
      </c>
      <c r="L37" s="10">
        <v>712.84</v>
      </c>
      <c r="M37" s="10">
        <v>927.51</v>
      </c>
      <c r="N37" s="17">
        <v>0.243</v>
      </c>
      <c r="O37">
        <v>27</v>
      </c>
      <c r="P37" t="str">
        <f t="shared" si="5"/>
        <v>Valid</v>
      </c>
      <c r="Q37" s="10">
        <f t="shared" si="0"/>
        <v>927.51</v>
      </c>
      <c r="R37" t="b">
        <f t="shared" si="6"/>
        <v>0</v>
      </c>
      <c r="S37" s="17">
        <f t="shared" si="7"/>
        <v>0.243</v>
      </c>
      <c r="T37">
        <f t="shared" si="20"/>
        <v>18</v>
      </c>
      <c r="U37" s="26">
        <f t="shared" si="8"/>
        <v>45376</v>
      </c>
      <c r="V37">
        <f t="shared" si="1"/>
        <v>18</v>
      </c>
      <c r="W37" s="10">
        <f t="shared" si="2"/>
        <v>2498191.60689</v>
      </c>
      <c r="X37" s="10">
        <f t="shared" si="3"/>
        <v>25042.77</v>
      </c>
      <c r="Y37" s="10">
        <f t="shared" si="9"/>
        <v>2473148.83689</v>
      </c>
      <c r="Z37" s="14">
        <f t="shared" si="10"/>
        <v>0.989975640807161</v>
      </c>
      <c r="AA37" t="s">
        <v>1560</v>
      </c>
      <c r="AB37" t="str">
        <f t="shared" si="11"/>
        <v>Q1-2024</v>
      </c>
      <c r="AC37" t="str">
        <f t="shared" si="12"/>
        <v>Europe → Germany → Munich</v>
      </c>
      <c r="AD37" t="str">
        <f t="shared" si="13"/>
        <v>Support</v>
      </c>
      <c r="AE37" s="8" t="str">
        <f t="shared" si="4"/>
        <v>Medium</v>
      </c>
      <c r="AF37" t="str">
        <f t="shared" si="14"/>
        <v>GERMANY</v>
      </c>
      <c r="AG37" s="7">
        <v>44948</v>
      </c>
      <c r="AH37" t="str">
        <f t="shared" si="15"/>
        <v>Jan-2023</v>
      </c>
      <c r="AI37" s="9">
        <f t="shared" si="16"/>
        <v>45382</v>
      </c>
      <c r="AJ37">
        <f t="shared" si="21"/>
        <v>0</v>
      </c>
      <c r="AK37">
        <f t="shared" si="17"/>
        <v>1</v>
      </c>
      <c r="AL37" s="17">
        <f>MIN(N37,'Scenario Modelling'!$B$2)</f>
        <v>0.243</v>
      </c>
      <c r="AM37" s="10">
        <f>L37*(1+'Scenario Modelling'!$B$3)</f>
        <v>819.766</v>
      </c>
      <c r="AN37">
        <f>O37*(1+'Scenario Modelling'!$B$4)</f>
        <v>32.4</v>
      </c>
      <c r="AO37" s="28">
        <f t="shared" si="18"/>
        <v>22748.852268</v>
      </c>
      <c r="AP37" s="10">
        <f t="shared" si="19"/>
        <v>-3811.566132</v>
      </c>
    </row>
    <row r="38" spans="1:42">
      <c r="A38" t="s">
        <v>322</v>
      </c>
      <c r="B38" s="7">
        <v>45832</v>
      </c>
      <c r="C38" s="7">
        <v>45848</v>
      </c>
      <c r="D38" t="s">
        <v>206</v>
      </c>
      <c r="E38" t="s">
        <v>277</v>
      </c>
      <c r="F38" t="s">
        <v>323</v>
      </c>
      <c r="G38" t="s">
        <v>266</v>
      </c>
      <c r="H38" t="s">
        <v>259</v>
      </c>
      <c r="I38" t="s">
        <v>287</v>
      </c>
      <c r="J38" t="s">
        <v>183</v>
      </c>
      <c r="K38" t="s">
        <v>324</v>
      </c>
      <c r="L38" s="10">
        <v>757.19</v>
      </c>
      <c r="M38" s="10">
        <v>1735.41</v>
      </c>
      <c r="N38" s="17">
        <v>0.136</v>
      </c>
      <c r="O38">
        <v>8</v>
      </c>
      <c r="P38" t="str">
        <f t="shared" si="5"/>
        <v>Valid</v>
      </c>
      <c r="Q38" s="10">
        <f t="shared" si="0"/>
        <v>1735.41</v>
      </c>
      <c r="R38" t="b">
        <f t="shared" si="6"/>
        <v>0</v>
      </c>
      <c r="S38" s="17">
        <f t="shared" si="7"/>
        <v>0.136</v>
      </c>
      <c r="T38">
        <f t="shared" si="20"/>
        <v>16</v>
      </c>
      <c r="U38" s="26">
        <f t="shared" si="8"/>
        <v>45848</v>
      </c>
      <c r="V38">
        <f t="shared" si="1"/>
        <v>16</v>
      </c>
      <c r="W38" s="10">
        <f t="shared" si="2"/>
        <v>1386439.87392</v>
      </c>
      <c r="X38" s="10">
        <f t="shared" si="3"/>
        <v>13883.28</v>
      </c>
      <c r="Y38" s="10">
        <f t="shared" si="9"/>
        <v>1372556.59392</v>
      </c>
      <c r="Z38" s="14">
        <f t="shared" si="10"/>
        <v>0.989986381478811</v>
      </c>
      <c r="AA38" t="s">
        <v>1575</v>
      </c>
      <c r="AB38" t="str">
        <f t="shared" si="11"/>
        <v>Q2-2025</v>
      </c>
      <c r="AC38" t="str">
        <f t="shared" si="12"/>
        <v>Asia → China → Shanghai</v>
      </c>
      <c r="AD38" t="str">
        <f t="shared" si="13"/>
        <v>Support</v>
      </c>
      <c r="AE38" s="8" t="str">
        <f t="shared" si="4"/>
        <v>High</v>
      </c>
      <c r="AF38" t="str">
        <f t="shared" si="14"/>
        <v>CHINA</v>
      </c>
      <c r="AG38" s="7">
        <f>_xlfn.MINIFS($B$2:$B$633,$AF$2:$AF$633,AF38)</f>
        <v>44938</v>
      </c>
      <c r="AH38" t="str">
        <f t="shared" si="15"/>
        <v>Jan-2023</v>
      </c>
      <c r="AI38" s="9">
        <f t="shared" si="16"/>
        <v>45838</v>
      </c>
      <c r="AJ38">
        <f t="shared" si="21"/>
        <v>0</v>
      </c>
      <c r="AK38">
        <f t="shared" si="17"/>
        <v>0</v>
      </c>
      <c r="AL38" s="17">
        <f>MIN(N38,'Scenario Modelling'!$B$2)</f>
        <v>0.136</v>
      </c>
      <c r="AM38" s="10">
        <f>L38*(1+'Scenario Modelling'!$B$3)</f>
        <v>870.7685</v>
      </c>
      <c r="AN38">
        <f>O38*(1+'Scenario Modelling'!$B$4)</f>
        <v>9.6</v>
      </c>
      <c r="AO38" s="28">
        <f t="shared" si="18"/>
        <v>14394.184704</v>
      </c>
      <c r="AP38" s="10">
        <f t="shared" si="19"/>
        <v>6034.807104</v>
      </c>
    </row>
    <row r="39" spans="1:42">
      <c r="A39" t="s">
        <v>325</v>
      </c>
      <c r="B39" s="7">
        <v>45401</v>
      </c>
      <c r="C39" s="7">
        <v>45418</v>
      </c>
      <c r="D39" t="s">
        <v>177</v>
      </c>
      <c r="E39" t="s">
        <v>186</v>
      </c>
      <c r="F39" t="s">
        <v>187</v>
      </c>
      <c r="G39" t="s">
        <v>200</v>
      </c>
      <c r="H39" t="s">
        <v>189</v>
      </c>
      <c r="I39" t="s">
        <v>236</v>
      </c>
      <c r="J39" t="s">
        <v>191</v>
      </c>
      <c r="K39" t="s">
        <v>326</v>
      </c>
      <c r="L39" s="10">
        <v>865.33</v>
      </c>
      <c r="M39" s="10">
        <v>1395.64</v>
      </c>
      <c r="N39" s="17">
        <v>0.175</v>
      </c>
      <c r="O39">
        <v>13</v>
      </c>
      <c r="P39" t="str">
        <f t="shared" si="5"/>
        <v>Valid</v>
      </c>
      <c r="Q39" s="10">
        <f t="shared" si="0"/>
        <v>1395.64</v>
      </c>
      <c r="R39" t="b">
        <f t="shared" si="6"/>
        <v>0</v>
      </c>
      <c r="S39" s="17">
        <f t="shared" si="7"/>
        <v>0.175</v>
      </c>
      <c r="T39">
        <f t="shared" si="20"/>
        <v>17</v>
      </c>
      <c r="U39" s="26">
        <f t="shared" si="8"/>
        <v>45418</v>
      </c>
      <c r="V39">
        <f t="shared" si="1"/>
        <v>17</v>
      </c>
      <c r="W39" s="10">
        <f t="shared" si="2"/>
        <v>1811156.919</v>
      </c>
      <c r="X39" s="10">
        <f t="shared" si="3"/>
        <v>18143.32</v>
      </c>
      <c r="Y39" s="10">
        <f t="shared" si="9"/>
        <v>1793013.599</v>
      </c>
      <c r="Z39" s="14">
        <f t="shared" si="10"/>
        <v>0.989982469321312</v>
      </c>
      <c r="AA39" t="s">
        <v>1580</v>
      </c>
      <c r="AB39" t="str">
        <f t="shared" si="11"/>
        <v>Q2-2024</v>
      </c>
      <c r="AC39" t="str">
        <f t="shared" si="12"/>
        <v>Africa → Nigeria → Port Harcourt</v>
      </c>
      <c r="AD39" t="str">
        <f t="shared" si="13"/>
        <v>Peripherals</v>
      </c>
      <c r="AE39" s="8" t="str">
        <f t="shared" si="4"/>
        <v>Medium</v>
      </c>
      <c r="AF39" t="str">
        <f t="shared" si="14"/>
        <v>NIGERIA</v>
      </c>
      <c r="AG39" s="7">
        <f>_xlfn.MINIFS($B$2:$B$633,$AF$2:$AF$633,AF39)</f>
        <v>44941</v>
      </c>
      <c r="AH39" t="str">
        <f t="shared" si="15"/>
        <v>Jan-2023</v>
      </c>
      <c r="AI39" s="9">
        <f t="shared" si="16"/>
        <v>45412</v>
      </c>
      <c r="AJ39">
        <f t="shared" si="21"/>
        <v>0</v>
      </c>
      <c r="AK39">
        <f t="shared" si="17"/>
        <v>0</v>
      </c>
      <c r="AL39" s="17">
        <f>MIN(N39,'Scenario Modelling'!$B$2)</f>
        <v>0.175</v>
      </c>
      <c r="AM39" s="10">
        <f>L39*(1+'Scenario Modelling'!$B$3)</f>
        <v>995.1295</v>
      </c>
      <c r="AN39">
        <f>O39*(1+'Scenario Modelling'!$B$4)</f>
        <v>15.6</v>
      </c>
      <c r="AO39" s="28">
        <f t="shared" si="18"/>
        <v>17961.8868</v>
      </c>
      <c r="AP39" s="10">
        <f t="shared" si="19"/>
        <v>2437.8666</v>
      </c>
    </row>
    <row r="40" spans="1:42">
      <c r="A40" t="s">
        <v>327</v>
      </c>
      <c r="B40" s="7">
        <v>45094</v>
      </c>
      <c r="C40" s="7">
        <v>45101</v>
      </c>
      <c r="D40" t="s">
        <v>213</v>
      </c>
      <c r="E40" t="s">
        <v>283</v>
      </c>
      <c r="F40" t="s">
        <v>328</v>
      </c>
      <c r="G40" t="s">
        <v>180</v>
      </c>
      <c r="H40" t="s">
        <v>181</v>
      </c>
      <c r="I40" t="s">
        <v>195</v>
      </c>
      <c r="J40" t="s">
        <v>191</v>
      </c>
      <c r="K40" t="s">
        <v>329</v>
      </c>
      <c r="L40" s="10">
        <v>313.99</v>
      </c>
      <c r="M40" s="10">
        <v>454.42</v>
      </c>
      <c r="N40" s="17">
        <v>0.129</v>
      </c>
      <c r="O40">
        <v>9</v>
      </c>
      <c r="P40" t="str">
        <f t="shared" si="5"/>
        <v>Valid</v>
      </c>
      <c r="Q40" s="10">
        <f t="shared" si="0"/>
        <v>454.42</v>
      </c>
      <c r="R40" t="b">
        <f t="shared" si="6"/>
        <v>0</v>
      </c>
      <c r="S40" s="17">
        <f t="shared" si="7"/>
        <v>0.129</v>
      </c>
      <c r="T40">
        <f t="shared" si="20"/>
        <v>7</v>
      </c>
      <c r="U40" s="26">
        <f t="shared" si="8"/>
        <v>45101</v>
      </c>
      <c r="V40">
        <f t="shared" si="1"/>
        <v>7</v>
      </c>
      <c r="W40" s="10">
        <f t="shared" si="2"/>
        <v>408450.41838</v>
      </c>
      <c r="X40" s="10">
        <f t="shared" si="3"/>
        <v>4089.78</v>
      </c>
      <c r="Y40" s="10">
        <f t="shared" si="9"/>
        <v>404360.63838</v>
      </c>
      <c r="Z40" s="14">
        <f t="shared" si="10"/>
        <v>0.989987083337505</v>
      </c>
      <c r="AA40" t="s">
        <v>1583</v>
      </c>
      <c r="AB40" t="str">
        <f t="shared" si="11"/>
        <v>Q2-2023</v>
      </c>
      <c r="AC40" t="str">
        <f t="shared" si="12"/>
        <v>Americas → USA → San Francisco</v>
      </c>
      <c r="AD40" t="str">
        <f t="shared" si="13"/>
        <v>Peripherals</v>
      </c>
      <c r="AE40" s="8" t="str">
        <f t="shared" si="4"/>
        <v>Low</v>
      </c>
      <c r="AF40" t="str">
        <f t="shared" si="14"/>
        <v>USA</v>
      </c>
      <c r="AG40" s="7">
        <v>44939</v>
      </c>
      <c r="AH40" t="str">
        <f t="shared" si="15"/>
        <v>Jan-2023</v>
      </c>
      <c r="AI40" s="9">
        <f t="shared" si="16"/>
        <v>45107</v>
      </c>
      <c r="AJ40">
        <f t="shared" si="21"/>
        <v>1</v>
      </c>
      <c r="AK40">
        <f t="shared" si="17"/>
        <v>0</v>
      </c>
      <c r="AL40" s="17">
        <f>MIN(N40,'Scenario Modelling'!$B$2)</f>
        <v>0.129</v>
      </c>
      <c r="AM40" s="10">
        <f>L40*(1+'Scenario Modelling'!$B$3)</f>
        <v>361.0885</v>
      </c>
      <c r="AN40">
        <f>O40*(1+'Scenario Modelling'!$B$4)</f>
        <v>10.8</v>
      </c>
      <c r="AO40" s="28">
        <f t="shared" si="18"/>
        <v>4274.638056</v>
      </c>
      <c r="AP40" s="10">
        <f t="shared" si="19"/>
        <v>374.882256</v>
      </c>
    </row>
    <row r="41" spans="1:42">
      <c r="A41" t="s">
        <v>330</v>
      </c>
      <c r="B41" s="7">
        <v>45531</v>
      </c>
      <c r="C41" s="7">
        <v>45554</v>
      </c>
      <c r="D41" t="s">
        <v>239</v>
      </c>
      <c r="E41" t="s">
        <v>240</v>
      </c>
      <c r="F41" t="s">
        <v>241</v>
      </c>
      <c r="G41" t="s">
        <v>223</v>
      </c>
      <c r="H41" t="s">
        <v>259</v>
      </c>
      <c r="I41" t="s">
        <v>306</v>
      </c>
      <c r="J41" t="s">
        <v>225</v>
      </c>
      <c r="K41" t="s">
        <v>331</v>
      </c>
      <c r="L41" s="10">
        <v>1024.01</v>
      </c>
      <c r="M41" s="10">
        <v>1580.97</v>
      </c>
      <c r="N41" s="17">
        <v>0.037</v>
      </c>
      <c r="O41">
        <v>27</v>
      </c>
      <c r="P41" t="str">
        <f t="shared" si="5"/>
        <v>Valid</v>
      </c>
      <c r="Q41" s="10">
        <f t="shared" si="0"/>
        <v>1580.97</v>
      </c>
      <c r="R41" t="b">
        <f t="shared" si="6"/>
        <v>0</v>
      </c>
      <c r="S41" s="17">
        <f t="shared" si="7"/>
        <v>0.037</v>
      </c>
      <c r="T41">
        <f t="shared" si="20"/>
        <v>23</v>
      </c>
      <c r="U41" s="26">
        <f t="shared" si="8"/>
        <v>45554</v>
      </c>
      <c r="V41">
        <f t="shared" si="1"/>
        <v>23</v>
      </c>
      <c r="W41" s="10">
        <f t="shared" si="2"/>
        <v>4267039.61097</v>
      </c>
      <c r="X41" s="10">
        <f t="shared" si="3"/>
        <v>42686.19</v>
      </c>
      <c r="Y41" s="10">
        <f t="shared" si="9"/>
        <v>4224353.42097</v>
      </c>
      <c r="Z41" s="14">
        <f t="shared" si="10"/>
        <v>0.989996298630493</v>
      </c>
      <c r="AA41" t="s">
        <v>1581</v>
      </c>
      <c r="AB41" t="str">
        <f t="shared" si="11"/>
        <v>Q3-2024</v>
      </c>
      <c r="AC41" t="str">
        <f t="shared" si="12"/>
        <v>Europe → Germany → Berlin</v>
      </c>
      <c r="AD41" t="str">
        <f t="shared" si="13"/>
        <v>Peripherals</v>
      </c>
      <c r="AE41" s="8" t="str">
        <f t="shared" si="4"/>
        <v>Medium</v>
      </c>
      <c r="AF41" t="str">
        <f t="shared" si="14"/>
        <v>GERMANY</v>
      </c>
      <c r="AG41" s="7">
        <v>44948</v>
      </c>
      <c r="AH41" t="str">
        <f t="shared" si="15"/>
        <v>Jan-2023</v>
      </c>
      <c r="AI41" s="9">
        <f t="shared" si="16"/>
        <v>45535</v>
      </c>
      <c r="AJ41">
        <f t="shared" si="21"/>
        <v>0</v>
      </c>
      <c r="AK41">
        <f t="shared" si="17"/>
        <v>0</v>
      </c>
      <c r="AL41" s="17">
        <f>MIN(N41,'Scenario Modelling'!$B$2)</f>
        <v>0.037</v>
      </c>
      <c r="AM41" s="10">
        <f>L41*(1+'Scenario Modelling'!$B$3)</f>
        <v>1177.6115</v>
      </c>
      <c r="AN41">
        <f>O41*(1+'Scenario Modelling'!$B$4)</f>
        <v>32.4</v>
      </c>
      <c r="AO41" s="28">
        <f t="shared" si="18"/>
        <v>49328.161164</v>
      </c>
      <c r="AP41" s="10">
        <f t="shared" si="19"/>
        <v>11173.548564</v>
      </c>
    </row>
    <row r="42" spans="1:42">
      <c r="A42" t="s">
        <v>332</v>
      </c>
      <c r="B42" s="7">
        <v>45302</v>
      </c>
      <c r="C42" s="7">
        <v>45324</v>
      </c>
      <c r="D42" t="s">
        <v>177</v>
      </c>
      <c r="E42" t="s">
        <v>309</v>
      </c>
      <c r="F42" t="s">
        <v>333</v>
      </c>
      <c r="G42" t="s">
        <v>209</v>
      </c>
      <c r="H42" t="s">
        <v>189</v>
      </c>
      <c r="I42" t="s">
        <v>256</v>
      </c>
      <c r="J42" t="s">
        <v>196</v>
      </c>
      <c r="K42" t="s">
        <v>334</v>
      </c>
      <c r="L42" s="10">
        <v>1206.2</v>
      </c>
      <c r="M42" s="10">
        <v>1759.79</v>
      </c>
      <c r="N42" s="17">
        <v>0</v>
      </c>
      <c r="O42">
        <v>6</v>
      </c>
      <c r="P42" t="str">
        <f t="shared" si="5"/>
        <v>Valid</v>
      </c>
      <c r="Q42" s="10">
        <f t="shared" si="0"/>
        <v>1759.79</v>
      </c>
      <c r="R42" t="b">
        <f t="shared" si="6"/>
        <v>0</v>
      </c>
      <c r="S42" s="17">
        <f t="shared" si="7"/>
        <v>0</v>
      </c>
      <c r="T42">
        <f t="shared" si="20"/>
        <v>22</v>
      </c>
      <c r="U42" s="26">
        <f t="shared" si="8"/>
        <v>45324</v>
      </c>
      <c r="V42">
        <f t="shared" si="1"/>
        <v>22</v>
      </c>
      <c r="W42" s="10">
        <f t="shared" si="2"/>
        <v>1055874</v>
      </c>
      <c r="X42" s="10">
        <f t="shared" si="3"/>
        <v>10558.74</v>
      </c>
      <c r="Y42" s="10">
        <f t="shared" si="9"/>
        <v>1045315.26</v>
      </c>
      <c r="Z42" s="14">
        <f t="shared" si="10"/>
        <v>0.99</v>
      </c>
      <c r="AA42" t="s">
        <v>1568</v>
      </c>
      <c r="AB42" t="str">
        <f t="shared" si="11"/>
        <v>Q1-2024</v>
      </c>
      <c r="AC42" t="str">
        <f t="shared" si="12"/>
        <v>Africa → South Africa → Durban</v>
      </c>
      <c r="AD42" t="str">
        <f t="shared" si="13"/>
        <v>Support</v>
      </c>
      <c r="AE42" s="8" t="str">
        <f t="shared" si="4"/>
        <v>Medium</v>
      </c>
      <c r="AF42" t="str">
        <f t="shared" si="14"/>
        <v>SOUTH AFRICA</v>
      </c>
      <c r="AG42" s="7">
        <f>_xlfn.MINIFS($B$2:$B$633,$AF$2:$AF$633,AF42)</f>
        <v>44933</v>
      </c>
      <c r="AH42" t="str">
        <f t="shared" si="15"/>
        <v>Jan-2023</v>
      </c>
      <c r="AI42" s="9">
        <f t="shared" si="16"/>
        <v>45322</v>
      </c>
      <c r="AJ42">
        <f t="shared" si="21"/>
        <v>0</v>
      </c>
      <c r="AK42">
        <f t="shared" si="17"/>
        <v>0</v>
      </c>
      <c r="AL42" s="17">
        <f>MIN(N42,'Scenario Modelling'!$B$2)</f>
        <v>0</v>
      </c>
      <c r="AM42" s="10">
        <f>L42*(1+'Scenario Modelling'!$B$3)</f>
        <v>1387.13</v>
      </c>
      <c r="AN42">
        <f>O42*(1+'Scenario Modelling'!$B$4)</f>
        <v>7.2</v>
      </c>
      <c r="AO42" s="28">
        <f t="shared" si="18"/>
        <v>12670.488</v>
      </c>
      <c r="AP42" s="10">
        <f t="shared" si="19"/>
        <v>2683.152</v>
      </c>
    </row>
    <row r="43" spans="1:42">
      <c r="A43" t="s">
        <v>335</v>
      </c>
      <c r="B43" s="7">
        <v>45590</v>
      </c>
      <c r="C43" s="7">
        <v>45610</v>
      </c>
      <c r="D43" t="s">
        <v>177</v>
      </c>
      <c r="E43" t="s">
        <v>178</v>
      </c>
      <c r="F43" t="s">
        <v>274</v>
      </c>
      <c r="G43" t="s">
        <v>180</v>
      </c>
      <c r="H43" t="s">
        <v>259</v>
      </c>
      <c r="I43" t="s">
        <v>253</v>
      </c>
      <c r="J43" t="s">
        <v>191</v>
      </c>
      <c r="K43" t="s">
        <v>336</v>
      </c>
      <c r="L43" s="10">
        <v>1396.48</v>
      </c>
      <c r="M43" s="10">
        <v>3204.5</v>
      </c>
      <c r="N43" s="17">
        <v>0.318</v>
      </c>
      <c r="O43">
        <v>14</v>
      </c>
      <c r="P43" t="str">
        <f t="shared" si="5"/>
        <v>Valid</v>
      </c>
      <c r="Q43" s="10">
        <f t="shared" si="0"/>
        <v>3204.5</v>
      </c>
      <c r="R43" t="str">
        <f t="shared" si="6"/>
        <v>Excess</v>
      </c>
      <c r="S43" s="17">
        <f t="shared" si="7"/>
        <v>0.3</v>
      </c>
      <c r="T43">
        <f t="shared" si="20"/>
        <v>20</v>
      </c>
      <c r="U43" s="26">
        <f t="shared" si="8"/>
        <v>45610</v>
      </c>
      <c r="V43">
        <f t="shared" si="1"/>
        <v>20</v>
      </c>
      <c r="W43" s="10">
        <f t="shared" si="2"/>
        <v>4472841.1</v>
      </c>
      <c r="X43" s="10">
        <f t="shared" si="3"/>
        <v>44863</v>
      </c>
      <c r="Y43" s="10">
        <f t="shared" si="9"/>
        <v>4427978.1</v>
      </c>
      <c r="Z43" s="14">
        <f t="shared" si="10"/>
        <v>0.989969909729188</v>
      </c>
      <c r="AA43" t="s">
        <v>1561</v>
      </c>
      <c r="AB43" t="str">
        <f t="shared" si="11"/>
        <v>Q4-2024</v>
      </c>
      <c r="AC43" t="str">
        <f t="shared" si="12"/>
        <v>Africa → Kenya → Mombasa</v>
      </c>
      <c r="AD43" t="str">
        <f t="shared" si="13"/>
        <v>Peripherals</v>
      </c>
      <c r="AE43" s="8" t="str">
        <f t="shared" si="4"/>
        <v>High</v>
      </c>
      <c r="AF43" t="str">
        <f t="shared" si="14"/>
        <v>KENYA</v>
      </c>
      <c r="AG43" s="7">
        <v>44946</v>
      </c>
      <c r="AH43" t="str">
        <f t="shared" si="15"/>
        <v>Jan-2023</v>
      </c>
      <c r="AI43" s="9">
        <f t="shared" si="16"/>
        <v>45596</v>
      </c>
      <c r="AJ43">
        <f t="shared" si="21"/>
        <v>0</v>
      </c>
      <c r="AK43">
        <f t="shared" si="17"/>
        <v>1</v>
      </c>
      <c r="AL43" s="17">
        <f>MIN(N43,'Scenario Modelling'!$B$2)</f>
        <v>0.25</v>
      </c>
      <c r="AM43" s="10">
        <f>L43*(1+'Scenario Modelling'!$B$3)</f>
        <v>1605.952</v>
      </c>
      <c r="AN43">
        <f>O43*(1+'Scenario Modelling'!$B$4)</f>
        <v>16.8</v>
      </c>
      <c r="AO43" s="28">
        <f t="shared" si="18"/>
        <v>40376.7</v>
      </c>
      <c r="AP43" s="10">
        <f t="shared" si="19"/>
        <v>13396.7064</v>
      </c>
    </row>
    <row r="44" spans="1:42">
      <c r="A44" t="s">
        <v>337</v>
      </c>
      <c r="B44" s="7">
        <v>45806</v>
      </c>
      <c r="C44" s="7">
        <v>45828</v>
      </c>
      <c r="D44" t="s">
        <v>239</v>
      </c>
      <c r="E44" t="s">
        <v>240</v>
      </c>
      <c r="F44" t="s">
        <v>241</v>
      </c>
      <c r="G44" t="s">
        <v>180</v>
      </c>
      <c r="H44" t="s">
        <v>259</v>
      </c>
      <c r="I44" t="s">
        <v>236</v>
      </c>
      <c r="J44" t="s">
        <v>191</v>
      </c>
      <c r="K44" t="s">
        <v>338</v>
      </c>
      <c r="L44" s="10">
        <v>483.47</v>
      </c>
      <c r="M44" s="10">
        <v>1135.43</v>
      </c>
      <c r="N44" s="17">
        <v>0.146</v>
      </c>
      <c r="O44">
        <v>11</v>
      </c>
      <c r="P44" t="str">
        <f t="shared" si="5"/>
        <v>Valid</v>
      </c>
      <c r="Q44" s="10">
        <f t="shared" si="0"/>
        <v>1135.43</v>
      </c>
      <c r="R44" t="b">
        <f t="shared" si="6"/>
        <v>0</v>
      </c>
      <c r="S44" s="17">
        <f t="shared" si="7"/>
        <v>0.146</v>
      </c>
      <c r="T44">
        <f t="shared" si="20"/>
        <v>22</v>
      </c>
      <c r="U44" s="26">
        <f t="shared" si="8"/>
        <v>45828</v>
      </c>
      <c r="V44">
        <f t="shared" si="1"/>
        <v>22</v>
      </c>
      <c r="W44" s="10">
        <f t="shared" si="2"/>
        <v>1247149.49942</v>
      </c>
      <c r="X44" s="10">
        <f t="shared" si="3"/>
        <v>12489.73</v>
      </c>
      <c r="Y44" s="10">
        <f t="shared" si="9"/>
        <v>1234659.76942</v>
      </c>
      <c r="Z44" s="14">
        <f t="shared" si="10"/>
        <v>0.989985378652833</v>
      </c>
      <c r="AA44" t="s">
        <v>1567</v>
      </c>
      <c r="AB44" t="str">
        <f t="shared" si="11"/>
        <v>Q2-2025</v>
      </c>
      <c r="AC44" t="str">
        <f t="shared" si="12"/>
        <v>Europe → Germany → Berlin</v>
      </c>
      <c r="AD44" t="str">
        <f t="shared" si="13"/>
        <v>Peripherals</v>
      </c>
      <c r="AE44" s="8" t="str">
        <f t="shared" si="4"/>
        <v>High</v>
      </c>
      <c r="AF44" t="str">
        <f t="shared" si="14"/>
        <v>GERMANY</v>
      </c>
      <c r="AG44" s="7">
        <v>44948</v>
      </c>
      <c r="AH44" t="str">
        <f t="shared" si="15"/>
        <v>Jan-2023</v>
      </c>
      <c r="AI44" s="9">
        <f t="shared" si="16"/>
        <v>45808</v>
      </c>
      <c r="AJ44">
        <f t="shared" si="21"/>
        <v>0</v>
      </c>
      <c r="AK44">
        <f t="shared" si="17"/>
        <v>0</v>
      </c>
      <c r="AL44" s="17">
        <f>MIN(N44,'Scenario Modelling'!$B$2)</f>
        <v>0.146</v>
      </c>
      <c r="AM44" s="10">
        <f>L44*(1+'Scenario Modelling'!$B$3)</f>
        <v>555.9905</v>
      </c>
      <c r="AN44">
        <f>O44*(1+'Scenario Modelling'!$B$4)</f>
        <v>13.2</v>
      </c>
      <c r="AO44" s="28">
        <f t="shared" si="18"/>
        <v>12799.475304</v>
      </c>
      <c r="AP44" s="10">
        <f t="shared" si="19"/>
        <v>5460.400704</v>
      </c>
    </row>
    <row r="45" spans="1:42">
      <c r="A45" t="s">
        <v>339</v>
      </c>
      <c r="B45" s="7">
        <v>45432</v>
      </c>
      <c r="C45" s="7">
        <v>45445</v>
      </c>
      <c r="D45" t="s">
        <v>213</v>
      </c>
      <c r="E45" t="s">
        <v>214</v>
      </c>
      <c r="F45" t="s">
        <v>340</v>
      </c>
      <c r="G45" t="s">
        <v>266</v>
      </c>
      <c r="H45" t="s">
        <v>201</v>
      </c>
      <c r="I45" t="s">
        <v>256</v>
      </c>
      <c r="J45" t="s">
        <v>183</v>
      </c>
      <c r="K45" t="s">
        <v>341</v>
      </c>
      <c r="L45" s="10">
        <v>675.43</v>
      </c>
      <c r="M45" s="10">
        <v>996.36</v>
      </c>
      <c r="N45" s="17">
        <v>0.182</v>
      </c>
      <c r="O45">
        <v>22</v>
      </c>
      <c r="P45" t="str">
        <f t="shared" si="5"/>
        <v>Valid</v>
      </c>
      <c r="Q45" s="10">
        <f t="shared" si="0"/>
        <v>996.36</v>
      </c>
      <c r="R45" t="b">
        <f t="shared" si="6"/>
        <v>0</v>
      </c>
      <c r="S45" s="17">
        <f t="shared" si="7"/>
        <v>0.182</v>
      </c>
      <c r="T45">
        <f t="shared" si="20"/>
        <v>13</v>
      </c>
      <c r="U45" s="26">
        <f t="shared" si="8"/>
        <v>45445</v>
      </c>
      <c r="V45">
        <f t="shared" si="1"/>
        <v>13</v>
      </c>
      <c r="W45" s="10">
        <f t="shared" si="2"/>
        <v>2188002.57456</v>
      </c>
      <c r="X45" s="10">
        <f t="shared" si="3"/>
        <v>21919.92</v>
      </c>
      <c r="Y45" s="10">
        <f t="shared" si="9"/>
        <v>2166082.65456</v>
      </c>
      <c r="Z45" s="14">
        <f t="shared" si="10"/>
        <v>0.989981766815604</v>
      </c>
      <c r="AA45" t="s">
        <v>1566</v>
      </c>
      <c r="AB45" t="str">
        <f t="shared" si="11"/>
        <v>Q2-2024</v>
      </c>
      <c r="AC45" t="str">
        <f t="shared" si="12"/>
        <v>Americas → Canada → Vancouver</v>
      </c>
      <c r="AD45" t="str">
        <f t="shared" si="13"/>
        <v>Support</v>
      </c>
      <c r="AE45" s="8" t="str">
        <f t="shared" si="4"/>
        <v>Medium</v>
      </c>
      <c r="AF45" t="str">
        <f t="shared" si="14"/>
        <v>CANADA</v>
      </c>
      <c r="AG45" s="7">
        <f>_xlfn.MINIFS($B$2:$B$633,$AF$2:$AF$633,AF45)</f>
        <v>44928</v>
      </c>
      <c r="AH45" t="str">
        <f t="shared" si="15"/>
        <v>Jan-2023</v>
      </c>
      <c r="AI45" s="9">
        <f t="shared" si="16"/>
        <v>45443</v>
      </c>
      <c r="AJ45">
        <f t="shared" si="21"/>
        <v>0</v>
      </c>
      <c r="AK45">
        <f t="shared" si="17"/>
        <v>0</v>
      </c>
      <c r="AL45" s="17">
        <f>MIN(N45,'Scenario Modelling'!$B$2)</f>
        <v>0.182</v>
      </c>
      <c r="AM45" s="10">
        <f>L45*(1+'Scenario Modelling'!$B$3)</f>
        <v>776.7445</v>
      </c>
      <c r="AN45">
        <f>O45*(1+'Scenario Modelling'!$B$4)</f>
        <v>26.4</v>
      </c>
      <c r="AO45" s="28">
        <f t="shared" si="18"/>
        <v>21516.593472</v>
      </c>
      <c r="AP45" s="10">
        <f t="shared" si="19"/>
        <v>1010.538672</v>
      </c>
    </row>
    <row r="46" spans="1:42">
      <c r="A46" t="s">
        <v>342</v>
      </c>
      <c r="B46" s="7">
        <v>45035</v>
      </c>
      <c r="C46" s="7">
        <v>45046</v>
      </c>
      <c r="D46" t="s">
        <v>206</v>
      </c>
      <c r="E46" t="s">
        <v>221</v>
      </c>
      <c r="F46" t="s">
        <v>302</v>
      </c>
      <c r="G46" t="s">
        <v>223</v>
      </c>
      <c r="H46" t="s">
        <v>181</v>
      </c>
      <c r="I46" t="s">
        <v>236</v>
      </c>
      <c r="J46" t="s">
        <v>196</v>
      </c>
      <c r="K46" t="s">
        <v>343</v>
      </c>
      <c r="L46" s="10">
        <v>826.55</v>
      </c>
      <c r="M46" s="10">
        <v>1397.05</v>
      </c>
      <c r="N46" s="17">
        <v>0.169</v>
      </c>
      <c r="O46">
        <v>28</v>
      </c>
      <c r="P46" t="str">
        <f t="shared" si="5"/>
        <v>Valid</v>
      </c>
      <c r="Q46" s="10">
        <f t="shared" si="0"/>
        <v>1397.05</v>
      </c>
      <c r="R46" t="b">
        <f t="shared" si="6"/>
        <v>0</v>
      </c>
      <c r="S46" s="17">
        <f t="shared" si="7"/>
        <v>0.169</v>
      </c>
      <c r="T46">
        <f t="shared" si="20"/>
        <v>11</v>
      </c>
      <c r="U46" s="26">
        <f t="shared" si="8"/>
        <v>45046</v>
      </c>
      <c r="V46">
        <f t="shared" si="1"/>
        <v>11</v>
      </c>
      <c r="W46" s="10">
        <f t="shared" si="2"/>
        <v>3905129.1594</v>
      </c>
      <c r="X46" s="10">
        <f t="shared" si="3"/>
        <v>39117.4</v>
      </c>
      <c r="Y46" s="10">
        <f t="shared" si="9"/>
        <v>3866011.7594</v>
      </c>
      <c r="Z46" s="14">
        <f t="shared" si="10"/>
        <v>0.98998307139065</v>
      </c>
      <c r="AA46" t="s">
        <v>1571</v>
      </c>
      <c r="AB46" t="str">
        <f t="shared" si="11"/>
        <v>Q2-2023</v>
      </c>
      <c r="AC46" t="str">
        <f t="shared" si="12"/>
        <v>Asia → India → Delhi</v>
      </c>
      <c r="AD46" t="str">
        <f t="shared" si="13"/>
        <v>Support</v>
      </c>
      <c r="AE46" s="8" t="str">
        <f t="shared" si="4"/>
        <v>Low</v>
      </c>
      <c r="AF46" t="str">
        <f t="shared" si="14"/>
        <v>INDIA</v>
      </c>
      <c r="AG46" s="7">
        <v>44955</v>
      </c>
      <c r="AH46" t="str">
        <f t="shared" si="15"/>
        <v>Jan-2023</v>
      </c>
      <c r="AI46" s="9">
        <f t="shared" si="16"/>
        <v>45046</v>
      </c>
      <c r="AJ46">
        <f t="shared" si="21"/>
        <v>0</v>
      </c>
      <c r="AK46">
        <f t="shared" si="17"/>
        <v>0</v>
      </c>
      <c r="AL46" s="17">
        <f>MIN(N46,'Scenario Modelling'!$B$2)</f>
        <v>0.169</v>
      </c>
      <c r="AM46" s="10">
        <f>L46*(1+'Scenario Modelling'!$B$3)</f>
        <v>950.5325</v>
      </c>
      <c r="AN46">
        <f>O46*(1+'Scenario Modelling'!$B$4)</f>
        <v>33.6</v>
      </c>
      <c r="AO46" s="28">
        <f t="shared" si="18"/>
        <v>39007.87128</v>
      </c>
      <c r="AP46" s="10">
        <f t="shared" si="19"/>
        <v>7069.97928</v>
      </c>
    </row>
    <row r="47" spans="1:42">
      <c r="A47" t="s">
        <v>344</v>
      </c>
      <c r="B47" s="7">
        <v>45100</v>
      </c>
      <c r="C47" s="7">
        <v>45110</v>
      </c>
      <c r="D47" t="s">
        <v>177</v>
      </c>
      <c r="E47" t="s">
        <v>186</v>
      </c>
      <c r="F47" t="s">
        <v>228</v>
      </c>
      <c r="G47" t="s">
        <v>209</v>
      </c>
      <c r="H47" t="s">
        <v>189</v>
      </c>
      <c r="I47" t="s">
        <v>190</v>
      </c>
      <c r="J47" t="s">
        <v>191</v>
      </c>
      <c r="K47" t="s">
        <v>345</v>
      </c>
      <c r="L47" s="10">
        <v>337.75</v>
      </c>
      <c r="M47" s="10">
        <v>548.89</v>
      </c>
      <c r="N47" s="17">
        <v>0</v>
      </c>
      <c r="O47">
        <v>13</v>
      </c>
      <c r="P47" t="str">
        <f t="shared" si="5"/>
        <v>Valid</v>
      </c>
      <c r="Q47" s="10">
        <f t="shared" si="0"/>
        <v>548.89</v>
      </c>
      <c r="R47" t="b">
        <f t="shared" si="6"/>
        <v>0</v>
      </c>
      <c r="S47" s="17">
        <f t="shared" si="7"/>
        <v>0</v>
      </c>
      <c r="T47">
        <f t="shared" si="20"/>
        <v>10</v>
      </c>
      <c r="U47" s="26">
        <f t="shared" si="8"/>
        <v>45110</v>
      </c>
      <c r="V47">
        <f t="shared" si="1"/>
        <v>10</v>
      </c>
      <c r="W47" s="10">
        <f t="shared" si="2"/>
        <v>713557</v>
      </c>
      <c r="X47" s="10">
        <f t="shared" si="3"/>
        <v>7135.57</v>
      </c>
      <c r="Y47" s="10">
        <f t="shared" si="9"/>
        <v>706421.43</v>
      </c>
      <c r="Z47" s="14">
        <f t="shared" si="10"/>
        <v>0.99</v>
      </c>
      <c r="AA47" t="s">
        <v>1583</v>
      </c>
      <c r="AB47" t="str">
        <f t="shared" si="11"/>
        <v>Q2-2023</v>
      </c>
      <c r="AC47" t="str">
        <f t="shared" si="12"/>
        <v>Africa → Nigeria → Abuja</v>
      </c>
      <c r="AD47" t="str">
        <f t="shared" si="13"/>
        <v>Peripherals</v>
      </c>
      <c r="AE47" s="8" t="str">
        <f t="shared" si="4"/>
        <v>Low</v>
      </c>
      <c r="AF47" t="str">
        <f t="shared" si="14"/>
        <v>NIGERIA</v>
      </c>
      <c r="AG47" s="7">
        <f>_xlfn.MINIFS($B$2:$B$633,$AF$2:$AF$633,AF47)</f>
        <v>44941</v>
      </c>
      <c r="AH47" t="str">
        <f t="shared" si="15"/>
        <v>Jan-2023</v>
      </c>
      <c r="AI47" s="9">
        <f t="shared" si="16"/>
        <v>45107</v>
      </c>
      <c r="AJ47">
        <f t="shared" si="21"/>
        <v>0</v>
      </c>
      <c r="AK47">
        <f t="shared" si="17"/>
        <v>0</v>
      </c>
      <c r="AL47" s="17">
        <f>MIN(N47,'Scenario Modelling'!$B$2)</f>
        <v>0</v>
      </c>
      <c r="AM47" s="10">
        <f>L47*(1+'Scenario Modelling'!$B$3)</f>
        <v>388.4125</v>
      </c>
      <c r="AN47">
        <f>O47*(1+'Scenario Modelling'!$B$4)</f>
        <v>15.6</v>
      </c>
      <c r="AO47" s="28">
        <f t="shared" si="18"/>
        <v>8562.684</v>
      </c>
      <c r="AP47" s="10">
        <f t="shared" si="19"/>
        <v>2503.449</v>
      </c>
    </row>
    <row r="48" spans="1:42">
      <c r="A48" t="s">
        <v>346</v>
      </c>
      <c r="B48" s="7">
        <v>45426</v>
      </c>
      <c r="C48" s="7">
        <v>45440</v>
      </c>
      <c r="D48" t="s">
        <v>239</v>
      </c>
      <c r="E48" t="s">
        <v>269</v>
      </c>
      <c r="F48" t="s">
        <v>270</v>
      </c>
      <c r="G48" t="s">
        <v>209</v>
      </c>
      <c r="H48" t="s">
        <v>181</v>
      </c>
      <c r="I48" t="s">
        <v>217</v>
      </c>
      <c r="J48" t="s">
        <v>196</v>
      </c>
      <c r="K48" t="s">
        <v>347</v>
      </c>
      <c r="L48" s="10">
        <v>1421.14</v>
      </c>
      <c r="M48" s="10">
        <v>3524</v>
      </c>
      <c r="N48" s="17">
        <v>0</v>
      </c>
      <c r="O48">
        <v>31</v>
      </c>
      <c r="P48" t="str">
        <f t="shared" si="5"/>
        <v>Valid</v>
      </c>
      <c r="Q48" s="10">
        <f t="shared" si="0"/>
        <v>3524</v>
      </c>
      <c r="R48" t="b">
        <f t="shared" si="6"/>
        <v>0</v>
      </c>
      <c r="S48" s="17">
        <f t="shared" si="7"/>
        <v>0</v>
      </c>
      <c r="T48">
        <f t="shared" si="20"/>
        <v>14</v>
      </c>
      <c r="U48" s="26">
        <f t="shared" si="8"/>
        <v>45440</v>
      </c>
      <c r="V48">
        <f t="shared" si="1"/>
        <v>14</v>
      </c>
      <c r="W48" s="10">
        <f t="shared" si="2"/>
        <v>10924400</v>
      </c>
      <c r="X48" s="10">
        <f t="shared" si="3"/>
        <v>109244</v>
      </c>
      <c r="Y48" s="10">
        <f t="shared" si="9"/>
        <v>10815156</v>
      </c>
      <c r="Z48" s="14">
        <f t="shared" si="10"/>
        <v>0.99</v>
      </c>
      <c r="AA48" t="s">
        <v>1566</v>
      </c>
      <c r="AB48" t="str">
        <f t="shared" si="11"/>
        <v>Q2-2024</v>
      </c>
      <c r="AC48" t="str">
        <f t="shared" si="12"/>
        <v>Europe → United Kingdom → Birmingham</v>
      </c>
      <c r="AD48" t="str">
        <f t="shared" si="13"/>
        <v>Support</v>
      </c>
      <c r="AE48" s="8" t="str">
        <f t="shared" si="4"/>
        <v>Medium</v>
      </c>
      <c r="AF48" t="str">
        <f t="shared" si="14"/>
        <v>UNITED KINGDOM</v>
      </c>
      <c r="AG48" s="7">
        <v>44945</v>
      </c>
      <c r="AH48" t="str">
        <f t="shared" si="15"/>
        <v>Jan-2023</v>
      </c>
      <c r="AI48" s="9">
        <f t="shared" si="16"/>
        <v>45443</v>
      </c>
      <c r="AJ48">
        <f t="shared" si="21"/>
        <v>0</v>
      </c>
      <c r="AK48">
        <f t="shared" si="17"/>
        <v>0</v>
      </c>
      <c r="AL48" s="17">
        <f>MIN(N48,'Scenario Modelling'!$B$2)</f>
        <v>0</v>
      </c>
      <c r="AM48" s="10">
        <f>L48*(1+'Scenario Modelling'!$B$3)</f>
        <v>1634.311</v>
      </c>
      <c r="AN48">
        <f>O48*(1+'Scenario Modelling'!$B$4)</f>
        <v>37.2</v>
      </c>
      <c r="AO48" s="28">
        <f t="shared" si="18"/>
        <v>131092.8</v>
      </c>
      <c r="AP48" s="10">
        <f t="shared" si="19"/>
        <v>70296.4308</v>
      </c>
    </row>
    <row r="49" spans="1:42">
      <c r="A49" t="s">
        <v>348</v>
      </c>
      <c r="B49" s="7">
        <v>45579</v>
      </c>
      <c r="C49" s="7">
        <v>45604</v>
      </c>
      <c r="D49" t="s">
        <v>177</v>
      </c>
      <c r="E49" t="s">
        <v>186</v>
      </c>
      <c r="F49" t="s">
        <v>199</v>
      </c>
      <c r="G49" t="s">
        <v>266</v>
      </c>
      <c r="H49" t="s">
        <v>189</v>
      </c>
      <c r="I49" t="s">
        <v>229</v>
      </c>
      <c r="J49" t="s">
        <v>196</v>
      </c>
      <c r="K49" t="s">
        <v>349</v>
      </c>
      <c r="L49" s="10">
        <v>859.35</v>
      </c>
      <c r="M49" s="10">
        <v>1825.61</v>
      </c>
      <c r="N49" s="17">
        <v>0.187</v>
      </c>
      <c r="O49">
        <v>24</v>
      </c>
      <c r="P49" t="str">
        <f t="shared" si="5"/>
        <v>Valid</v>
      </c>
      <c r="Q49" s="10">
        <f t="shared" si="0"/>
        <v>1825.61</v>
      </c>
      <c r="R49" t="b">
        <f t="shared" si="6"/>
        <v>0</v>
      </c>
      <c r="S49" s="17">
        <f t="shared" si="7"/>
        <v>0.187</v>
      </c>
      <c r="T49">
        <f t="shared" si="20"/>
        <v>25</v>
      </c>
      <c r="U49" s="26">
        <f t="shared" si="8"/>
        <v>45604</v>
      </c>
      <c r="V49">
        <f t="shared" si="1"/>
        <v>25</v>
      </c>
      <c r="W49" s="10">
        <f t="shared" si="2"/>
        <v>4373270.66232</v>
      </c>
      <c r="X49" s="10">
        <f t="shared" si="3"/>
        <v>43814.64</v>
      </c>
      <c r="Y49" s="10">
        <f t="shared" si="9"/>
        <v>4329456.02232</v>
      </c>
      <c r="Z49" s="14">
        <f t="shared" si="10"/>
        <v>0.989981264965486</v>
      </c>
      <c r="AA49" t="s">
        <v>1561</v>
      </c>
      <c r="AB49" t="str">
        <f t="shared" si="11"/>
        <v>Q4-2024</v>
      </c>
      <c r="AC49" t="str">
        <f t="shared" si="12"/>
        <v>Africa → Nigeria → Lagos</v>
      </c>
      <c r="AD49" t="str">
        <f t="shared" si="13"/>
        <v>Support</v>
      </c>
      <c r="AE49" s="8" t="str">
        <f t="shared" si="4"/>
        <v>Medium</v>
      </c>
      <c r="AF49" t="str">
        <f t="shared" si="14"/>
        <v>NIGERIA</v>
      </c>
      <c r="AG49" s="7">
        <f>_xlfn.MINIFS($B$2:$B$633,$AF$2:$AF$633,AF49)</f>
        <v>44941</v>
      </c>
      <c r="AH49" t="str">
        <f t="shared" si="15"/>
        <v>Jan-2023</v>
      </c>
      <c r="AI49" s="9">
        <f t="shared" si="16"/>
        <v>45596</v>
      </c>
      <c r="AJ49">
        <f t="shared" si="21"/>
        <v>0</v>
      </c>
      <c r="AK49">
        <f t="shared" si="17"/>
        <v>0</v>
      </c>
      <c r="AL49" s="17">
        <f>MIN(N49,'Scenario Modelling'!$B$2)</f>
        <v>0.187</v>
      </c>
      <c r="AM49" s="10">
        <f>L49*(1+'Scenario Modelling'!$B$3)</f>
        <v>988.2525</v>
      </c>
      <c r="AN49">
        <f>O49*(1+'Scenario Modelling'!$B$4)</f>
        <v>28.8</v>
      </c>
      <c r="AO49" s="28">
        <f t="shared" si="18"/>
        <v>42745.562784</v>
      </c>
      <c r="AP49" s="10">
        <f t="shared" si="19"/>
        <v>14283.890784</v>
      </c>
    </row>
    <row r="50" spans="1:42">
      <c r="A50" t="s">
        <v>350</v>
      </c>
      <c r="B50" s="7">
        <v>45117</v>
      </c>
      <c r="C50" s="7">
        <v>45139</v>
      </c>
      <c r="D50" t="s">
        <v>239</v>
      </c>
      <c r="E50" t="s">
        <v>251</v>
      </c>
      <c r="F50" t="s">
        <v>252</v>
      </c>
      <c r="G50" t="s">
        <v>209</v>
      </c>
      <c r="H50" t="s">
        <v>201</v>
      </c>
      <c r="I50" t="s">
        <v>217</v>
      </c>
      <c r="J50" t="s">
        <v>191</v>
      </c>
      <c r="K50" t="s">
        <v>351</v>
      </c>
      <c r="L50" s="10">
        <v>1303.56</v>
      </c>
      <c r="M50" s="10">
        <v>1791.37</v>
      </c>
      <c r="N50" s="17">
        <v>0.126</v>
      </c>
      <c r="O50">
        <v>22</v>
      </c>
      <c r="P50" t="str">
        <f t="shared" si="5"/>
        <v>Valid</v>
      </c>
      <c r="Q50" s="10">
        <f t="shared" si="0"/>
        <v>1791.37</v>
      </c>
      <c r="R50" t="b">
        <f t="shared" si="6"/>
        <v>0</v>
      </c>
      <c r="S50" s="17">
        <f t="shared" si="7"/>
        <v>0.126</v>
      </c>
      <c r="T50">
        <f t="shared" si="20"/>
        <v>22</v>
      </c>
      <c r="U50" s="26">
        <f t="shared" si="8"/>
        <v>45139</v>
      </c>
      <c r="V50">
        <f t="shared" si="1"/>
        <v>22</v>
      </c>
      <c r="W50" s="10">
        <f t="shared" si="2"/>
        <v>3936048.32236</v>
      </c>
      <c r="X50" s="10">
        <f t="shared" si="3"/>
        <v>39410.14</v>
      </c>
      <c r="Y50" s="10">
        <f t="shared" si="9"/>
        <v>3896638.18236</v>
      </c>
      <c r="Z50" s="14">
        <f t="shared" si="10"/>
        <v>0.989987384103971</v>
      </c>
      <c r="AA50" t="s">
        <v>1584</v>
      </c>
      <c r="AB50" t="str">
        <f t="shared" si="11"/>
        <v>Q3-2023</v>
      </c>
      <c r="AC50" t="str">
        <f t="shared" si="12"/>
        <v>Europe → France → Marseille</v>
      </c>
      <c r="AD50" t="str">
        <f t="shared" si="13"/>
        <v>Peripherals</v>
      </c>
      <c r="AE50" s="8" t="str">
        <f t="shared" si="4"/>
        <v>Low</v>
      </c>
      <c r="AF50" t="str">
        <f t="shared" si="14"/>
        <v>FRANCE</v>
      </c>
      <c r="AG50" s="7">
        <v>44936</v>
      </c>
      <c r="AH50" t="str">
        <f t="shared" si="15"/>
        <v>Jan-2023</v>
      </c>
      <c r="AI50" s="9">
        <f t="shared" si="16"/>
        <v>45138</v>
      </c>
      <c r="AJ50">
        <f t="shared" si="21"/>
        <v>0</v>
      </c>
      <c r="AK50">
        <f t="shared" si="17"/>
        <v>0</v>
      </c>
      <c r="AL50" s="17">
        <f>MIN(N50,'Scenario Modelling'!$B$2)</f>
        <v>0.126</v>
      </c>
      <c r="AM50" s="10">
        <f>L50*(1+'Scenario Modelling'!$B$3)</f>
        <v>1499.094</v>
      </c>
      <c r="AN50">
        <f>O50*(1+'Scenario Modelling'!$B$4)</f>
        <v>26.4</v>
      </c>
      <c r="AO50" s="28">
        <f t="shared" si="18"/>
        <v>41333.354832</v>
      </c>
      <c r="AP50" s="10">
        <f t="shared" si="19"/>
        <v>1757.273232</v>
      </c>
    </row>
    <row r="51" spans="1:42">
      <c r="A51" t="s">
        <v>352</v>
      </c>
      <c r="B51" s="7">
        <v>45602</v>
      </c>
      <c r="C51" s="7">
        <v>45618</v>
      </c>
      <c r="D51" t="s">
        <v>213</v>
      </c>
      <c r="E51" t="s">
        <v>214</v>
      </c>
      <c r="F51" t="s">
        <v>215</v>
      </c>
      <c r="G51" t="s">
        <v>200</v>
      </c>
      <c r="H51" t="s">
        <v>216</v>
      </c>
      <c r="I51" t="s">
        <v>306</v>
      </c>
      <c r="J51" t="s">
        <v>242</v>
      </c>
      <c r="K51" t="s">
        <v>353</v>
      </c>
      <c r="L51" s="10">
        <v>1454.11</v>
      </c>
      <c r="M51" s="10">
        <v>2629.75</v>
      </c>
      <c r="N51" s="17">
        <v>0.292</v>
      </c>
      <c r="O51">
        <v>8</v>
      </c>
      <c r="P51" t="str">
        <f t="shared" si="5"/>
        <v>Valid</v>
      </c>
      <c r="Q51" s="10">
        <f t="shared" si="0"/>
        <v>2629.75</v>
      </c>
      <c r="R51" t="b">
        <f t="shared" si="6"/>
        <v>0</v>
      </c>
      <c r="S51" s="17">
        <f t="shared" si="7"/>
        <v>0.292</v>
      </c>
      <c r="T51">
        <f t="shared" si="20"/>
        <v>16</v>
      </c>
      <c r="U51" s="26">
        <f t="shared" si="8"/>
        <v>45618</v>
      </c>
      <c r="V51">
        <f t="shared" si="1"/>
        <v>16</v>
      </c>
      <c r="W51" s="10">
        <f t="shared" si="2"/>
        <v>2097656.904</v>
      </c>
      <c r="X51" s="10">
        <f t="shared" si="3"/>
        <v>21038</v>
      </c>
      <c r="Y51" s="10">
        <f t="shared" si="9"/>
        <v>2076618.904</v>
      </c>
      <c r="Z51" s="14">
        <f t="shared" si="10"/>
        <v>0.9899707144863</v>
      </c>
      <c r="AA51" t="s">
        <v>1577</v>
      </c>
      <c r="AB51" t="str">
        <f t="shared" si="11"/>
        <v>Q4-2024</v>
      </c>
      <c r="AC51" t="str">
        <f t="shared" si="12"/>
        <v>Americas → Canada → Toronto</v>
      </c>
      <c r="AD51" t="str">
        <f t="shared" si="13"/>
        <v>Support</v>
      </c>
      <c r="AE51" s="8" t="str">
        <f t="shared" si="4"/>
        <v>High</v>
      </c>
      <c r="AF51" t="str">
        <f t="shared" si="14"/>
        <v>CANADA</v>
      </c>
      <c r="AG51" s="7">
        <f>_xlfn.MINIFS($B$2:$B$633,$AF$2:$AF$633,AF51)</f>
        <v>44928</v>
      </c>
      <c r="AH51" t="str">
        <f t="shared" si="15"/>
        <v>Jan-2023</v>
      </c>
      <c r="AI51" s="9">
        <f t="shared" si="16"/>
        <v>45626</v>
      </c>
      <c r="AJ51">
        <f t="shared" si="21"/>
        <v>0</v>
      </c>
      <c r="AK51">
        <f t="shared" si="17"/>
        <v>1</v>
      </c>
      <c r="AL51" s="17">
        <f>MIN(N51,'Scenario Modelling'!$B$2)</f>
        <v>0.25</v>
      </c>
      <c r="AM51" s="10">
        <f>L51*(1+'Scenario Modelling'!$B$3)</f>
        <v>1672.2265</v>
      </c>
      <c r="AN51">
        <f>O51*(1+'Scenario Modelling'!$B$4)</f>
        <v>9.6</v>
      </c>
      <c r="AO51" s="28">
        <f t="shared" si="18"/>
        <v>18934.2</v>
      </c>
      <c r="AP51" s="10">
        <f t="shared" si="19"/>
        <v>2880.8256</v>
      </c>
    </row>
    <row r="52" spans="1:42">
      <c r="A52" t="s">
        <v>354</v>
      </c>
      <c r="B52" s="7">
        <v>45582</v>
      </c>
      <c r="C52" s="7">
        <v>45602</v>
      </c>
      <c r="D52" t="s">
        <v>206</v>
      </c>
      <c r="E52" t="s">
        <v>221</v>
      </c>
      <c r="F52" t="s">
        <v>222</v>
      </c>
      <c r="G52" t="s">
        <v>266</v>
      </c>
      <c r="H52" t="s">
        <v>216</v>
      </c>
      <c r="I52" t="s">
        <v>229</v>
      </c>
      <c r="J52" t="s">
        <v>225</v>
      </c>
      <c r="K52" t="s">
        <v>355</v>
      </c>
      <c r="L52" s="10">
        <v>72.94</v>
      </c>
      <c r="M52" s="10">
        <v>106.3</v>
      </c>
      <c r="N52" s="17">
        <v>0.295</v>
      </c>
      <c r="O52">
        <v>8</v>
      </c>
      <c r="P52" t="str">
        <f t="shared" si="5"/>
        <v>Valid</v>
      </c>
      <c r="Q52" s="10">
        <f t="shared" si="0"/>
        <v>106.3</v>
      </c>
      <c r="R52" t="b">
        <f t="shared" si="6"/>
        <v>0</v>
      </c>
      <c r="S52" s="17">
        <f t="shared" si="7"/>
        <v>0.295</v>
      </c>
      <c r="T52">
        <f t="shared" si="20"/>
        <v>20</v>
      </c>
      <c r="U52" s="26">
        <f t="shared" si="8"/>
        <v>45602</v>
      </c>
      <c r="V52">
        <f t="shared" si="1"/>
        <v>20</v>
      </c>
      <c r="W52" s="10">
        <f t="shared" si="2"/>
        <v>84789.132</v>
      </c>
      <c r="X52" s="10">
        <f t="shared" si="3"/>
        <v>850.4</v>
      </c>
      <c r="Y52" s="10">
        <f t="shared" si="9"/>
        <v>83938.732</v>
      </c>
      <c r="Z52" s="14">
        <f t="shared" si="10"/>
        <v>0.989970412717517</v>
      </c>
      <c r="AA52" t="s">
        <v>1561</v>
      </c>
      <c r="AB52" t="str">
        <f t="shared" si="11"/>
        <v>Q4-2024</v>
      </c>
      <c r="AC52" t="str">
        <f t="shared" si="12"/>
        <v>Asia → India → Bengaluru</v>
      </c>
      <c r="AD52" t="str">
        <f t="shared" si="13"/>
        <v>Peripherals</v>
      </c>
      <c r="AE52" s="8" t="str">
        <f t="shared" si="4"/>
        <v>Medium</v>
      </c>
      <c r="AF52" t="str">
        <f t="shared" si="14"/>
        <v>INDIA</v>
      </c>
      <c r="AG52" s="7">
        <v>44955</v>
      </c>
      <c r="AH52" t="str">
        <f t="shared" si="15"/>
        <v>Jan-2023</v>
      </c>
      <c r="AI52" s="9">
        <f t="shared" si="16"/>
        <v>45596</v>
      </c>
      <c r="AJ52">
        <f t="shared" si="21"/>
        <v>0</v>
      </c>
      <c r="AK52">
        <f t="shared" si="17"/>
        <v>1</v>
      </c>
      <c r="AL52" s="17">
        <f>MIN(N52,'Scenario Modelling'!$B$2)</f>
        <v>0.25</v>
      </c>
      <c r="AM52" s="10">
        <f>L52*(1+'Scenario Modelling'!$B$3)</f>
        <v>83.881</v>
      </c>
      <c r="AN52">
        <f>O52*(1+'Scenario Modelling'!$B$4)</f>
        <v>9.6</v>
      </c>
      <c r="AO52" s="28">
        <f t="shared" si="18"/>
        <v>765.36</v>
      </c>
      <c r="AP52" s="10">
        <f t="shared" si="19"/>
        <v>-39.8975999999999</v>
      </c>
    </row>
    <row r="53" spans="1:42">
      <c r="A53" t="s">
        <v>356</v>
      </c>
      <c r="B53" s="7">
        <v>45016</v>
      </c>
      <c r="C53" s="7">
        <v>45021</v>
      </c>
      <c r="D53" t="s">
        <v>177</v>
      </c>
      <c r="E53" t="s">
        <v>178</v>
      </c>
      <c r="F53" t="s">
        <v>296</v>
      </c>
      <c r="G53" t="s">
        <v>188</v>
      </c>
      <c r="H53" t="s">
        <v>201</v>
      </c>
      <c r="I53" t="s">
        <v>217</v>
      </c>
      <c r="J53" t="s">
        <v>218</v>
      </c>
      <c r="K53" t="s">
        <v>357</v>
      </c>
      <c r="L53" s="10">
        <v>533.26</v>
      </c>
      <c r="M53" s="10">
        <v>385.72</v>
      </c>
      <c r="N53" s="17">
        <v>0</v>
      </c>
      <c r="O53">
        <v>15</v>
      </c>
      <c r="P53" t="str">
        <f t="shared" si="5"/>
        <v>Valid</v>
      </c>
      <c r="Q53" s="10">
        <f t="shared" si="0"/>
        <v>385.72</v>
      </c>
      <c r="R53" t="b">
        <f t="shared" si="6"/>
        <v>0</v>
      </c>
      <c r="S53" s="17">
        <f t="shared" si="7"/>
        <v>0</v>
      </c>
      <c r="T53">
        <f t="shared" si="20"/>
        <v>5</v>
      </c>
      <c r="U53" s="26">
        <f t="shared" si="8"/>
        <v>45021</v>
      </c>
      <c r="V53">
        <f t="shared" si="1"/>
        <v>5</v>
      </c>
      <c r="W53" s="10">
        <f t="shared" si="2"/>
        <v>578580</v>
      </c>
      <c r="X53" s="10">
        <f t="shared" si="3"/>
        <v>5785.8</v>
      </c>
      <c r="Y53" s="10">
        <f t="shared" si="9"/>
        <v>572794.2</v>
      </c>
      <c r="Z53" s="14">
        <f t="shared" si="10"/>
        <v>0.99</v>
      </c>
      <c r="AA53" t="s">
        <v>1582</v>
      </c>
      <c r="AB53" t="str">
        <f t="shared" si="11"/>
        <v>Q1-2023</v>
      </c>
      <c r="AC53" t="str">
        <f t="shared" si="12"/>
        <v>Africa → Kenya → Nakuru</v>
      </c>
      <c r="AD53" t="str">
        <f t="shared" si="13"/>
        <v>Devices</v>
      </c>
      <c r="AE53" s="8" t="str">
        <f>IF(B53&lt;=PERCENTILE($B$2:$B$632,0.33),"Low",AF24:AF24 IF(B53&lt;=PERCENTILE($B$2:$B$632,0.66),"Medium","High"))</f>
        <v>Low</v>
      </c>
      <c r="AF53" t="str">
        <f t="shared" si="14"/>
        <v>KENYA</v>
      </c>
      <c r="AG53" s="7">
        <v>44946</v>
      </c>
      <c r="AH53" t="str">
        <f t="shared" si="15"/>
        <v>Jan-2023</v>
      </c>
      <c r="AI53" s="9">
        <f t="shared" si="16"/>
        <v>45016</v>
      </c>
      <c r="AJ53">
        <f t="shared" si="21"/>
        <v>1</v>
      </c>
      <c r="AK53">
        <f t="shared" si="17"/>
        <v>0</v>
      </c>
      <c r="AL53" s="17">
        <f>MIN(N53,'Scenario Modelling'!$B$2)</f>
        <v>0</v>
      </c>
      <c r="AM53" s="10">
        <f>L53*(1+'Scenario Modelling'!$B$3)</f>
        <v>613.249</v>
      </c>
      <c r="AN53">
        <f>O53*(1+'Scenario Modelling'!$B$4)</f>
        <v>18</v>
      </c>
      <c r="AO53" s="28">
        <f t="shared" si="18"/>
        <v>6942.96</v>
      </c>
      <c r="AP53" s="10">
        <f t="shared" si="19"/>
        <v>-4095.522</v>
      </c>
    </row>
    <row r="54" spans="1:42">
      <c r="A54" t="s">
        <v>358</v>
      </c>
      <c r="B54" s="7">
        <v>45678</v>
      </c>
      <c r="C54" s="7">
        <v>45704</v>
      </c>
      <c r="D54" t="s">
        <v>239</v>
      </c>
      <c r="E54" t="s">
        <v>251</v>
      </c>
      <c r="F54" t="s">
        <v>299</v>
      </c>
      <c r="G54" t="s">
        <v>180</v>
      </c>
      <c r="H54" t="s">
        <v>216</v>
      </c>
      <c r="I54" t="s">
        <v>229</v>
      </c>
      <c r="J54" t="s">
        <v>218</v>
      </c>
      <c r="K54" t="s">
        <v>359</v>
      </c>
      <c r="L54" s="10">
        <v>204.11</v>
      </c>
      <c r="M54" s="10">
        <v>236.87</v>
      </c>
      <c r="N54" s="17">
        <v>0.182</v>
      </c>
      <c r="O54">
        <v>13</v>
      </c>
      <c r="P54" t="str">
        <f t="shared" si="5"/>
        <v>Valid</v>
      </c>
      <c r="Q54" s="10">
        <f t="shared" si="0"/>
        <v>236.87</v>
      </c>
      <c r="R54" t="b">
        <f t="shared" si="6"/>
        <v>0</v>
      </c>
      <c r="S54" s="17">
        <f t="shared" si="7"/>
        <v>0.182</v>
      </c>
      <c r="T54">
        <f t="shared" si="20"/>
        <v>26</v>
      </c>
      <c r="U54" s="26">
        <f t="shared" si="8"/>
        <v>45704</v>
      </c>
      <c r="V54">
        <f t="shared" si="1"/>
        <v>26</v>
      </c>
      <c r="W54" s="10">
        <f t="shared" si="2"/>
        <v>307370.56558</v>
      </c>
      <c r="X54" s="10">
        <f t="shared" si="3"/>
        <v>3079.31</v>
      </c>
      <c r="Y54" s="10">
        <f t="shared" si="9"/>
        <v>304291.25558</v>
      </c>
      <c r="Z54" s="14">
        <f t="shared" si="10"/>
        <v>0.989981766815604</v>
      </c>
      <c r="AA54" t="s">
        <v>1569</v>
      </c>
      <c r="AB54" t="str">
        <f t="shared" si="11"/>
        <v>Q1-2025</v>
      </c>
      <c r="AC54" t="str">
        <f t="shared" si="12"/>
        <v>Europe → France → Lyon</v>
      </c>
      <c r="AD54" t="str">
        <f t="shared" si="13"/>
        <v>Devices</v>
      </c>
      <c r="AE54" s="8" t="str">
        <f t="shared" ref="AE54:AE117" si="22">IF(B54&lt;=PERCENTILE($B$2:$B$632,0.33),"Low",IF(B54&lt;=PERCENTILE($B$2:$B$632,0.66),"Medium","High"))</f>
        <v>High</v>
      </c>
      <c r="AF54" t="str">
        <f t="shared" si="14"/>
        <v>FRANCE</v>
      </c>
      <c r="AG54" s="7">
        <v>44936</v>
      </c>
      <c r="AH54" t="str">
        <f t="shared" si="15"/>
        <v>Jan-2023</v>
      </c>
      <c r="AI54" s="9">
        <f t="shared" si="16"/>
        <v>45688</v>
      </c>
      <c r="AJ54">
        <f t="shared" si="21"/>
        <v>0</v>
      </c>
      <c r="AK54">
        <f t="shared" si="17"/>
        <v>0</v>
      </c>
      <c r="AL54" s="17">
        <f>MIN(N54,'Scenario Modelling'!$B$2)</f>
        <v>0.182</v>
      </c>
      <c r="AM54" s="10">
        <f>L54*(1+'Scenario Modelling'!$B$3)</f>
        <v>234.7265</v>
      </c>
      <c r="AN54">
        <f>O54*(1+'Scenario Modelling'!$B$4)</f>
        <v>15.6</v>
      </c>
      <c r="AO54" s="28">
        <f t="shared" si="18"/>
        <v>3022.650696</v>
      </c>
      <c r="AP54" s="10">
        <f t="shared" si="19"/>
        <v>-639.082703999999</v>
      </c>
    </row>
    <row r="55" spans="1:42">
      <c r="A55" t="s">
        <v>360</v>
      </c>
      <c r="B55" s="7">
        <v>45168</v>
      </c>
      <c r="C55" s="7">
        <v>45170</v>
      </c>
      <c r="D55" t="s">
        <v>239</v>
      </c>
      <c r="E55" t="s">
        <v>240</v>
      </c>
      <c r="F55" t="s">
        <v>320</v>
      </c>
      <c r="G55" t="s">
        <v>180</v>
      </c>
      <c r="H55" t="s">
        <v>259</v>
      </c>
      <c r="I55" t="s">
        <v>287</v>
      </c>
      <c r="J55" t="s">
        <v>196</v>
      </c>
      <c r="K55" t="s">
        <v>361</v>
      </c>
      <c r="L55" s="10">
        <v>44.42</v>
      </c>
      <c r="M55" s="10">
        <v>41.9</v>
      </c>
      <c r="N55" s="17">
        <v>0.144</v>
      </c>
      <c r="O55">
        <v>6</v>
      </c>
      <c r="P55" t="str">
        <f t="shared" si="5"/>
        <v>Valid</v>
      </c>
      <c r="Q55" s="10">
        <f t="shared" si="0"/>
        <v>41.9</v>
      </c>
      <c r="R55" t="b">
        <f t="shared" si="6"/>
        <v>0</v>
      </c>
      <c r="S55" s="17">
        <f t="shared" si="7"/>
        <v>0.144</v>
      </c>
      <c r="T55">
        <f t="shared" si="20"/>
        <v>2</v>
      </c>
      <c r="U55" s="26">
        <f t="shared" si="8"/>
        <v>45170</v>
      </c>
      <c r="V55">
        <f t="shared" si="1"/>
        <v>2</v>
      </c>
      <c r="W55" s="10">
        <f t="shared" si="2"/>
        <v>25103.7984</v>
      </c>
      <c r="X55" s="10">
        <f t="shared" si="3"/>
        <v>251.4</v>
      </c>
      <c r="Y55" s="10">
        <f t="shared" si="9"/>
        <v>24852.3984</v>
      </c>
      <c r="Z55" s="14">
        <f t="shared" si="10"/>
        <v>0.989985579234097</v>
      </c>
      <c r="AA55" t="s">
        <v>1585</v>
      </c>
      <c r="AB55" t="str">
        <f t="shared" si="11"/>
        <v>Q3-2023</v>
      </c>
      <c r="AC55" t="str">
        <f t="shared" si="12"/>
        <v>Europe → Germany → Munich</v>
      </c>
      <c r="AD55" t="str">
        <f t="shared" si="13"/>
        <v>Support</v>
      </c>
      <c r="AE55" s="8" t="str">
        <f t="shared" si="22"/>
        <v>Low</v>
      </c>
      <c r="AF55" t="str">
        <f t="shared" si="14"/>
        <v>GERMANY</v>
      </c>
      <c r="AG55" s="7">
        <v>44948</v>
      </c>
      <c r="AH55" t="str">
        <f t="shared" si="15"/>
        <v>Jan-2023</v>
      </c>
      <c r="AI55" s="9">
        <f t="shared" si="16"/>
        <v>45169</v>
      </c>
      <c r="AJ55">
        <f t="shared" si="21"/>
        <v>1</v>
      </c>
      <c r="AK55">
        <f t="shared" si="17"/>
        <v>0</v>
      </c>
      <c r="AL55" s="17">
        <f>MIN(N55,'Scenario Modelling'!$B$2)</f>
        <v>0.144</v>
      </c>
      <c r="AM55" s="10">
        <f>L55*(1+'Scenario Modelling'!$B$3)</f>
        <v>51.083</v>
      </c>
      <c r="AN55">
        <f>O55*(1+'Scenario Modelling'!$B$4)</f>
        <v>7.2</v>
      </c>
      <c r="AO55" s="28">
        <f t="shared" si="18"/>
        <v>258.23808</v>
      </c>
      <c r="AP55" s="10">
        <f t="shared" si="19"/>
        <v>-109.55952</v>
      </c>
    </row>
    <row r="56" spans="1:42">
      <c r="A56" t="s">
        <v>362</v>
      </c>
      <c r="B56" s="7">
        <v>45753</v>
      </c>
      <c r="C56" s="7">
        <v>45777</v>
      </c>
      <c r="D56" t="s">
        <v>213</v>
      </c>
      <c r="E56" t="s">
        <v>234</v>
      </c>
      <c r="F56" t="s">
        <v>248</v>
      </c>
      <c r="G56" t="s">
        <v>188</v>
      </c>
      <c r="H56" t="s">
        <v>189</v>
      </c>
      <c r="I56" t="s">
        <v>256</v>
      </c>
      <c r="J56" t="s">
        <v>225</v>
      </c>
      <c r="K56" t="s">
        <v>363</v>
      </c>
      <c r="L56" s="10">
        <v>855.78</v>
      </c>
      <c r="M56" s="10">
        <v>977.38</v>
      </c>
      <c r="N56" s="17">
        <v>0.147</v>
      </c>
      <c r="O56">
        <v>38</v>
      </c>
      <c r="P56" t="str">
        <f t="shared" si="5"/>
        <v>Valid</v>
      </c>
      <c r="Q56" s="10">
        <f t="shared" si="0"/>
        <v>977.38</v>
      </c>
      <c r="R56" t="b">
        <f t="shared" si="6"/>
        <v>0</v>
      </c>
      <c r="S56" s="17">
        <f t="shared" si="7"/>
        <v>0.147</v>
      </c>
      <c r="T56">
        <f t="shared" si="20"/>
        <v>24</v>
      </c>
      <c r="U56" s="26">
        <f t="shared" si="8"/>
        <v>45777</v>
      </c>
      <c r="V56">
        <f t="shared" si="1"/>
        <v>24</v>
      </c>
      <c r="W56" s="10">
        <f t="shared" si="2"/>
        <v>3708584.35532</v>
      </c>
      <c r="X56" s="10">
        <f t="shared" si="3"/>
        <v>37140.44</v>
      </c>
      <c r="Y56" s="10">
        <f t="shared" si="9"/>
        <v>3671443.91532</v>
      </c>
      <c r="Z56" s="14">
        <f t="shared" si="10"/>
        <v>0.989985278359188</v>
      </c>
      <c r="AA56" t="s">
        <v>1578</v>
      </c>
      <c r="AB56" t="str">
        <f t="shared" si="11"/>
        <v>Q2-2025</v>
      </c>
      <c r="AC56" t="str">
        <f t="shared" si="12"/>
        <v>Americas → Brazil → Brasília</v>
      </c>
      <c r="AD56" t="str">
        <f t="shared" si="13"/>
        <v>Peripherals</v>
      </c>
      <c r="AE56" s="8" t="str">
        <f t="shared" si="22"/>
        <v>High</v>
      </c>
      <c r="AF56" t="str">
        <f t="shared" si="14"/>
        <v>BRAZIL</v>
      </c>
      <c r="AG56" s="7">
        <f>_xlfn.MINIFS($B$2:$B$633,$AF$2:$AF$633,AF56)</f>
        <v>44955</v>
      </c>
      <c r="AH56" t="str">
        <f t="shared" si="15"/>
        <v>Jan-2023</v>
      </c>
      <c r="AI56" s="9">
        <f t="shared" si="16"/>
        <v>45777</v>
      </c>
      <c r="AJ56">
        <f t="shared" si="21"/>
        <v>0</v>
      </c>
      <c r="AK56">
        <f t="shared" si="17"/>
        <v>0</v>
      </c>
      <c r="AL56" s="17">
        <f>MIN(N56,'Scenario Modelling'!$B$2)</f>
        <v>0.147</v>
      </c>
      <c r="AM56" s="10">
        <f>L56*(1+'Scenario Modelling'!$B$3)</f>
        <v>984.147</v>
      </c>
      <c r="AN56">
        <f>O56*(1+'Scenario Modelling'!$B$4)</f>
        <v>45.6</v>
      </c>
      <c r="AO56" s="28">
        <f t="shared" si="18"/>
        <v>38016.954384</v>
      </c>
      <c r="AP56" s="10">
        <f t="shared" si="19"/>
        <v>-6860.148816</v>
      </c>
    </row>
    <row r="57" spans="1:42">
      <c r="A57" t="s">
        <v>364</v>
      </c>
      <c r="B57" s="7">
        <v>45697</v>
      </c>
      <c r="C57" s="7">
        <v>45717</v>
      </c>
      <c r="D57" t="s">
        <v>213</v>
      </c>
      <c r="E57" t="s">
        <v>234</v>
      </c>
      <c r="F57" t="s">
        <v>235</v>
      </c>
      <c r="G57" t="s">
        <v>180</v>
      </c>
      <c r="H57" t="s">
        <v>216</v>
      </c>
      <c r="I57" t="s">
        <v>217</v>
      </c>
      <c r="J57" t="s">
        <v>218</v>
      </c>
      <c r="K57" t="s">
        <v>365</v>
      </c>
      <c r="L57" s="10">
        <v>1154.64</v>
      </c>
      <c r="M57" s="10">
        <v>2794.13</v>
      </c>
      <c r="N57" s="17">
        <v>0.035</v>
      </c>
      <c r="O57">
        <v>11</v>
      </c>
      <c r="P57" t="str">
        <f t="shared" si="5"/>
        <v>Valid</v>
      </c>
      <c r="Q57" s="10">
        <f t="shared" si="0"/>
        <v>2794.13</v>
      </c>
      <c r="R57" t="b">
        <f t="shared" si="6"/>
        <v>0</v>
      </c>
      <c r="S57" s="17">
        <f t="shared" si="7"/>
        <v>0.035</v>
      </c>
      <c r="T57">
        <f t="shared" si="20"/>
        <v>20</v>
      </c>
      <c r="U57" s="26">
        <f t="shared" si="8"/>
        <v>45717</v>
      </c>
      <c r="V57">
        <f t="shared" si="1"/>
        <v>20</v>
      </c>
      <c r="W57" s="10">
        <f t="shared" si="2"/>
        <v>3072467.25995</v>
      </c>
      <c r="X57" s="10">
        <f t="shared" si="3"/>
        <v>30735.43</v>
      </c>
      <c r="Y57" s="10">
        <f t="shared" si="9"/>
        <v>3041731.82995</v>
      </c>
      <c r="Z57" s="14">
        <f t="shared" si="10"/>
        <v>0.989996498774571</v>
      </c>
      <c r="AA57" t="s">
        <v>1586</v>
      </c>
      <c r="AB57" t="str">
        <f t="shared" si="11"/>
        <v>Q1-2025</v>
      </c>
      <c r="AC57" t="str">
        <f t="shared" si="12"/>
        <v>Americas → Brazil → São Paulo</v>
      </c>
      <c r="AD57" t="str">
        <f t="shared" si="13"/>
        <v>Devices</v>
      </c>
      <c r="AE57" s="8" t="str">
        <f t="shared" si="22"/>
        <v>High</v>
      </c>
      <c r="AF57" t="str">
        <f t="shared" si="14"/>
        <v>BRAZIL</v>
      </c>
      <c r="AG57" s="7">
        <f>_xlfn.MINIFS($B$2:$B$633,$AF$2:$AF$633,AF57)</f>
        <v>44955</v>
      </c>
      <c r="AH57" t="str">
        <f t="shared" si="15"/>
        <v>Jan-2023</v>
      </c>
      <c r="AI57" s="9">
        <f t="shared" si="16"/>
        <v>45716</v>
      </c>
      <c r="AJ57">
        <f t="shared" si="21"/>
        <v>0</v>
      </c>
      <c r="AK57">
        <f t="shared" si="17"/>
        <v>0</v>
      </c>
      <c r="AL57" s="17">
        <f>MIN(N57,'Scenario Modelling'!$B$2)</f>
        <v>0.035</v>
      </c>
      <c r="AM57" s="10">
        <f>L57*(1+'Scenario Modelling'!$B$3)</f>
        <v>1327.836</v>
      </c>
      <c r="AN57">
        <f>O57*(1+'Scenario Modelling'!$B$4)</f>
        <v>13.2</v>
      </c>
      <c r="AO57" s="28">
        <f t="shared" si="18"/>
        <v>35591.62794</v>
      </c>
      <c r="AP57" s="10">
        <f t="shared" si="19"/>
        <v>18064.19274</v>
      </c>
    </row>
    <row r="58" spans="1:42">
      <c r="A58" t="s">
        <v>366</v>
      </c>
      <c r="B58" s="7">
        <v>45643</v>
      </c>
      <c r="C58" s="7">
        <v>45644</v>
      </c>
      <c r="D58" t="s">
        <v>239</v>
      </c>
      <c r="E58" t="s">
        <v>240</v>
      </c>
      <c r="F58" t="s">
        <v>320</v>
      </c>
      <c r="G58" t="s">
        <v>188</v>
      </c>
      <c r="H58" t="s">
        <v>181</v>
      </c>
      <c r="I58" t="s">
        <v>210</v>
      </c>
      <c r="J58" t="s">
        <v>242</v>
      </c>
      <c r="K58" t="s">
        <v>367</v>
      </c>
      <c r="L58" s="10">
        <v>346.82</v>
      </c>
      <c r="M58" s="10">
        <v>701.95</v>
      </c>
      <c r="N58" s="17">
        <v>0.147</v>
      </c>
      <c r="O58">
        <v>8</v>
      </c>
      <c r="P58" t="str">
        <f t="shared" si="5"/>
        <v>Valid</v>
      </c>
      <c r="Q58" s="10">
        <f t="shared" si="0"/>
        <v>701.95</v>
      </c>
      <c r="R58" t="b">
        <f t="shared" si="6"/>
        <v>0</v>
      </c>
      <c r="S58" s="17">
        <f t="shared" si="7"/>
        <v>0.147</v>
      </c>
      <c r="T58">
        <f t="shared" si="20"/>
        <v>1</v>
      </c>
      <c r="U58" s="26">
        <f t="shared" si="8"/>
        <v>45644</v>
      </c>
      <c r="V58">
        <f t="shared" si="1"/>
        <v>1</v>
      </c>
      <c r="W58" s="10">
        <f t="shared" si="2"/>
        <v>560734.5068</v>
      </c>
      <c r="X58" s="10">
        <f t="shared" si="3"/>
        <v>5615.6</v>
      </c>
      <c r="Y58" s="10">
        <f t="shared" si="9"/>
        <v>555118.9068</v>
      </c>
      <c r="Z58" s="14">
        <f t="shared" si="10"/>
        <v>0.989985278359188</v>
      </c>
      <c r="AA58" t="s">
        <v>1565</v>
      </c>
      <c r="AB58" t="str">
        <f t="shared" si="11"/>
        <v>Q4-2024</v>
      </c>
      <c r="AC58" t="str">
        <f t="shared" si="12"/>
        <v>Europe → Germany → Munich</v>
      </c>
      <c r="AD58" t="str">
        <f t="shared" si="13"/>
        <v>Support</v>
      </c>
      <c r="AE58" s="8" t="str">
        <f t="shared" si="22"/>
        <v>High</v>
      </c>
      <c r="AF58" t="str">
        <f t="shared" si="14"/>
        <v>GERMANY</v>
      </c>
      <c r="AG58" s="7">
        <v>44948</v>
      </c>
      <c r="AH58" t="str">
        <f t="shared" si="15"/>
        <v>Jan-2023</v>
      </c>
      <c r="AI58" s="9">
        <f t="shared" si="16"/>
        <v>45657</v>
      </c>
      <c r="AJ58">
        <f t="shared" si="21"/>
        <v>1</v>
      </c>
      <c r="AK58">
        <f t="shared" si="17"/>
        <v>0</v>
      </c>
      <c r="AL58" s="17">
        <f>MIN(N58,'Scenario Modelling'!$B$2)</f>
        <v>0.147</v>
      </c>
      <c r="AM58" s="10">
        <f>L58*(1+'Scenario Modelling'!$B$3)</f>
        <v>398.843</v>
      </c>
      <c r="AN58">
        <f>O58*(1+'Scenario Modelling'!$B$4)</f>
        <v>9.6</v>
      </c>
      <c r="AO58" s="28">
        <f t="shared" si="18"/>
        <v>5748.12816</v>
      </c>
      <c r="AP58" s="10">
        <f t="shared" si="19"/>
        <v>1919.23536</v>
      </c>
    </row>
    <row r="59" spans="1:42">
      <c r="A59" t="s">
        <v>368</v>
      </c>
      <c r="B59" s="7">
        <v>45817</v>
      </c>
      <c r="C59" s="7">
        <v>45826</v>
      </c>
      <c r="D59" t="s">
        <v>239</v>
      </c>
      <c r="E59" t="s">
        <v>251</v>
      </c>
      <c r="F59" t="s">
        <v>252</v>
      </c>
      <c r="G59" t="s">
        <v>223</v>
      </c>
      <c r="H59" t="s">
        <v>201</v>
      </c>
      <c r="I59" t="s">
        <v>253</v>
      </c>
      <c r="J59" t="s">
        <v>242</v>
      </c>
      <c r="K59" t="s">
        <v>369</v>
      </c>
      <c r="L59" s="10">
        <v>1225.5</v>
      </c>
      <c r="M59" s="10">
        <v>-5.27</v>
      </c>
      <c r="N59" s="17">
        <v>0.075</v>
      </c>
      <c r="O59">
        <v>56</v>
      </c>
      <c r="P59" t="b">
        <f t="shared" si="5"/>
        <v>0</v>
      </c>
      <c r="Q59" s="10">
        <f t="shared" si="0"/>
        <v>5.27</v>
      </c>
      <c r="R59" t="b">
        <f t="shared" si="6"/>
        <v>0</v>
      </c>
      <c r="S59" s="17">
        <f t="shared" si="7"/>
        <v>0.075</v>
      </c>
      <c r="T59">
        <f t="shared" si="20"/>
        <v>9</v>
      </c>
      <c r="U59" s="26">
        <f t="shared" si="8"/>
        <v>45826</v>
      </c>
      <c r="V59">
        <f t="shared" si="1"/>
        <v>9</v>
      </c>
      <c r="W59" s="10">
        <f t="shared" si="2"/>
        <v>29489.866</v>
      </c>
      <c r="X59" s="10">
        <f t="shared" si="3"/>
        <v>295.12</v>
      </c>
      <c r="Y59" s="10">
        <f t="shared" si="9"/>
        <v>29194.746</v>
      </c>
      <c r="Z59" s="14">
        <f t="shared" si="10"/>
        <v>0.989992494370778</v>
      </c>
      <c r="AA59" t="s">
        <v>1575</v>
      </c>
      <c r="AB59" t="str">
        <f t="shared" si="11"/>
        <v>Q2-2025</v>
      </c>
      <c r="AC59" t="str">
        <f t="shared" si="12"/>
        <v>Europe → France → Marseille</v>
      </c>
      <c r="AD59" t="str">
        <f t="shared" si="13"/>
        <v>Support</v>
      </c>
      <c r="AE59" s="8" t="str">
        <f t="shared" si="22"/>
        <v>High</v>
      </c>
      <c r="AF59" t="str">
        <f t="shared" si="14"/>
        <v>FRANCE</v>
      </c>
      <c r="AG59" s="7">
        <v>44936</v>
      </c>
      <c r="AH59" t="str">
        <f t="shared" si="15"/>
        <v>Jan-2023</v>
      </c>
      <c r="AI59" s="9">
        <f t="shared" si="16"/>
        <v>45838</v>
      </c>
      <c r="AJ59">
        <f t="shared" si="21"/>
        <v>0</v>
      </c>
      <c r="AK59">
        <f t="shared" si="17"/>
        <v>0</v>
      </c>
      <c r="AL59" s="17">
        <f>MIN(N59,'Scenario Modelling'!$B$2)</f>
        <v>0.075</v>
      </c>
      <c r="AM59" s="10">
        <f>L59*(1+'Scenario Modelling'!$B$3)</f>
        <v>1409.325</v>
      </c>
      <c r="AN59">
        <f>O59*(1+'Scenario Modelling'!$B$4)</f>
        <v>67.2</v>
      </c>
      <c r="AO59" s="28">
        <f t="shared" si="18"/>
        <v>-327.5832</v>
      </c>
      <c r="AP59" s="10">
        <f t="shared" si="19"/>
        <v>-95034.2232</v>
      </c>
    </row>
    <row r="60" spans="1:42">
      <c r="A60" t="s">
        <v>370</v>
      </c>
      <c r="B60" s="7">
        <v>45779</v>
      </c>
      <c r="C60" s="7">
        <v>45790</v>
      </c>
      <c r="D60" t="s">
        <v>177</v>
      </c>
      <c r="E60" t="s">
        <v>178</v>
      </c>
      <c r="F60" t="s">
        <v>296</v>
      </c>
      <c r="G60" t="s">
        <v>223</v>
      </c>
      <c r="H60" t="s">
        <v>189</v>
      </c>
      <c r="I60" t="s">
        <v>236</v>
      </c>
      <c r="J60" t="s">
        <v>242</v>
      </c>
      <c r="K60" t="s">
        <v>371</v>
      </c>
      <c r="L60" s="10">
        <v>1057.6</v>
      </c>
      <c r="M60" s="10">
        <v>1437.06</v>
      </c>
      <c r="N60" s="17">
        <v>0.205</v>
      </c>
      <c r="O60">
        <v>4</v>
      </c>
      <c r="P60" t="str">
        <f t="shared" si="5"/>
        <v>Valid</v>
      </c>
      <c r="Q60" s="10">
        <f t="shared" si="0"/>
        <v>1437.06</v>
      </c>
      <c r="R60" t="b">
        <f t="shared" si="6"/>
        <v>0</v>
      </c>
      <c r="S60" s="17">
        <f t="shared" si="7"/>
        <v>0.205</v>
      </c>
      <c r="T60">
        <f t="shared" si="20"/>
        <v>11</v>
      </c>
      <c r="U60" s="26">
        <f t="shared" si="8"/>
        <v>45790</v>
      </c>
      <c r="V60">
        <f t="shared" si="1"/>
        <v>11</v>
      </c>
      <c r="W60" s="10">
        <f t="shared" si="2"/>
        <v>573645.6108</v>
      </c>
      <c r="X60" s="10">
        <f t="shared" si="3"/>
        <v>5748.24</v>
      </c>
      <c r="Y60" s="10">
        <f t="shared" si="9"/>
        <v>567897.3708</v>
      </c>
      <c r="Z60" s="14">
        <f t="shared" si="10"/>
        <v>0.989979457888672</v>
      </c>
      <c r="AA60" t="s">
        <v>1567</v>
      </c>
      <c r="AB60" t="str">
        <f t="shared" si="11"/>
        <v>Q2-2025</v>
      </c>
      <c r="AC60" t="str">
        <f t="shared" si="12"/>
        <v>Africa → Kenya → Nakuru</v>
      </c>
      <c r="AD60" t="str">
        <f t="shared" si="13"/>
        <v>Support</v>
      </c>
      <c r="AE60" s="8" t="str">
        <f t="shared" si="22"/>
        <v>High</v>
      </c>
      <c r="AF60" t="str">
        <f t="shared" si="14"/>
        <v>KENYA</v>
      </c>
      <c r="AG60" s="7">
        <v>44946</v>
      </c>
      <c r="AH60" t="str">
        <f t="shared" si="15"/>
        <v>Jan-2023</v>
      </c>
      <c r="AI60" s="9">
        <f t="shared" si="16"/>
        <v>45808</v>
      </c>
      <c r="AJ60">
        <f t="shared" si="21"/>
        <v>0</v>
      </c>
      <c r="AK60">
        <f t="shared" si="17"/>
        <v>1</v>
      </c>
      <c r="AL60" s="17">
        <f>MIN(N60,'Scenario Modelling'!$B$2)</f>
        <v>0.205</v>
      </c>
      <c r="AM60" s="10">
        <f>L60*(1+'Scenario Modelling'!$B$3)</f>
        <v>1216.24</v>
      </c>
      <c r="AN60">
        <f>O60*(1+'Scenario Modelling'!$B$4)</f>
        <v>4.8</v>
      </c>
      <c r="AO60" s="28">
        <f t="shared" si="18"/>
        <v>5483.82096</v>
      </c>
      <c r="AP60" s="10">
        <f t="shared" si="19"/>
        <v>-354.131039999999</v>
      </c>
    </row>
    <row r="61" spans="1:42">
      <c r="A61" t="s">
        <v>372</v>
      </c>
      <c r="B61" s="7">
        <v>45361</v>
      </c>
      <c r="C61" s="7">
        <v>45391</v>
      </c>
      <c r="D61" t="s">
        <v>239</v>
      </c>
      <c r="E61" t="s">
        <v>251</v>
      </c>
      <c r="F61" t="s">
        <v>299</v>
      </c>
      <c r="G61" t="s">
        <v>180</v>
      </c>
      <c r="H61" t="s">
        <v>259</v>
      </c>
      <c r="I61" t="s">
        <v>195</v>
      </c>
      <c r="J61" t="s">
        <v>183</v>
      </c>
      <c r="K61" t="s">
        <v>373</v>
      </c>
      <c r="L61" s="10">
        <v>1176.56</v>
      </c>
      <c r="M61" s="10">
        <v>1911.89</v>
      </c>
      <c r="N61" s="17">
        <v>0.119</v>
      </c>
      <c r="O61">
        <v>20</v>
      </c>
      <c r="P61" t="str">
        <f t="shared" si="5"/>
        <v>Valid</v>
      </c>
      <c r="Q61" s="10">
        <f t="shared" si="0"/>
        <v>1911.89</v>
      </c>
      <c r="R61" t="b">
        <f t="shared" si="6"/>
        <v>0</v>
      </c>
      <c r="S61" s="17">
        <f t="shared" si="7"/>
        <v>0.119</v>
      </c>
      <c r="T61">
        <f t="shared" si="20"/>
        <v>30</v>
      </c>
      <c r="U61" s="26">
        <f t="shared" si="8"/>
        <v>45391</v>
      </c>
      <c r="V61">
        <f t="shared" si="1"/>
        <v>30</v>
      </c>
      <c r="W61" s="10">
        <f t="shared" si="2"/>
        <v>3819229.7018</v>
      </c>
      <c r="X61" s="10">
        <f t="shared" si="3"/>
        <v>38237.8</v>
      </c>
      <c r="Y61" s="10">
        <f t="shared" si="9"/>
        <v>3780991.9018</v>
      </c>
      <c r="Z61" s="14">
        <f t="shared" si="10"/>
        <v>0.989988085822128</v>
      </c>
      <c r="AA61" t="s">
        <v>1560</v>
      </c>
      <c r="AB61" t="str">
        <f t="shared" si="11"/>
        <v>Q1-2024</v>
      </c>
      <c r="AC61" t="str">
        <f t="shared" si="12"/>
        <v>Europe → France → Lyon</v>
      </c>
      <c r="AD61" t="str">
        <f t="shared" si="13"/>
        <v>Support</v>
      </c>
      <c r="AE61" s="8" t="str">
        <f t="shared" si="22"/>
        <v>Medium</v>
      </c>
      <c r="AF61" t="str">
        <f t="shared" si="14"/>
        <v>FRANCE</v>
      </c>
      <c r="AG61" s="7">
        <v>44936</v>
      </c>
      <c r="AH61" t="str">
        <f t="shared" si="15"/>
        <v>Jan-2023</v>
      </c>
      <c r="AI61" s="9">
        <f t="shared" si="16"/>
        <v>45382</v>
      </c>
      <c r="AJ61">
        <f t="shared" si="21"/>
        <v>0</v>
      </c>
      <c r="AK61">
        <f t="shared" si="17"/>
        <v>0</v>
      </c>
      <c r="AL61" s="17">
        <f>MIN(N61,'Scenario Modelling'!$B$2)</f>
        <v>0.119</v>
      </c>
      <c r="AM61" s="10">
        <f>L61*(1+'Scenario Modelling'!$B$3)</f>
        <v>1353.044</v>
      </c>
      <c r="AN61">
        <f>O61*(1+'Scenario Modelling'!$B$4)</f>
        <v>24</v>
      </c>
      <c r="AO61" s="28">
        <f t="shared" si="18"/>
        <v>40425.00216</v>
      </c>
      <c r="AP61" s="10">
        <f t="shared" si="19"/>
        <v>7951.94616</v>
      </c>
    </row>
    <row r="62" spans="1:42">
      <c r="A62" t="s">
        <v>374</v>
      </c>
      <c r="B62" s="7">
        <v>45910</v>
      </c>
      <c r="C62" s="7">
        <v>45912</v>
      </c>
      <c r="D62" t="s">
        <v>206</v>
      </c>
      <c r="E62" t="s">
        <v>207</v>
      </c>
      <c r="F62" t="s">
        <v>375</v>
      </c>
      <c r="G62" t="s">
        <v>209</v>
      </c>
      <c r="H62" t="s">
        <v>189</v>
      </c>
      <c r="I62" t="s">
        <v>229</v>
      </c>
      <c r="J62" t="s">
        <v>183</v>
      </c>
      <c r="K62" t="s">
        <v>376</v>
      </c>
      <c r="L62" s="10">
        <v>1470.15</v>
      </c>
      <c r="M62" s="10">
        <v>2593.78</v>
      </c>
      <c r="N62" s="17">
        <v>0.11</v>
      </c>
      <c r="O62">
        <v>12</v>
      </c>
      <c r="P62" t="str">
        <f t="shared" si="5"/>
        <v>Valid</v>
      </c>
      <c r="Q62" s="10">
        <f t="shared" si="0"/>
        <v>2593.78</v>
      </c>
      <c r="R62" t="b">
        <f t="shared" si="6"/>
        <v>0</v>
      </c>
      <c r="S62" s="17">
        <f t="shared" si="7"/>
        <v>0.11</v>
      </c>
      <c r="T62">
        <f t="shared" si="20"/>
        <v>2</v>
      </c>
      <c r="U62" s="26">
        <f t="shared" si="8"/>
        <v>45912</v>
      </c>
      <c r="V62">
        <f t="shared" si="1"/>
        <v>2</v>
      </c>
      <c r="W62" s="10">
        <f t="shared" si="2"/>
        <v>3109112.2104</v>
      </c>
      <c r="X62" s="10">
        <f t="shared" si="3"/>
        <v>31125.36</v>
      </c>
      <c r="Y62" s="10">
        <f t="shared" si="9"/>
        <v>3077986.8504</v>
      </c>
      <c r="Z62" s="14">
        <f t="shared" si="10"/>
        <v>0.989988987886675</v>
      </c>
      <c r="AA62" t="s">
        <v>1570</v>
      </c>
      <c r="AB62" t="str">
        <f t="shared" si="11"/>
        <v>Q3-2025</v>
      </c>
      <c r="AC62" t="str">
        <f t="shared" si="12"/>
        <v>Asia → Japan → Tokyo</v>
      </c>
      <c r="AD62" t="str">
        <f t="shared" si="13"/>
        <v>Support</v>
      </c>
      <c r="AE62" s="8" t="str">
        <f t="shared" si="22"/>
        <v>High</v>
      </c>
      <c r="AF62" t="str">
        <f t="shared" si="14"/>
        <v>JAPAN</v>
      </c>
      <c r="AG62" s="7">
        <v>44988</v>
      </c>
      <c r="AH62" t="str">
        <f t="shared" si="15"/>
        <v>Mar-2023</v>
      </c>
      <c r="AI62" s="9">
        <f t="shared" si="16"/>
        <v>45930</v>
      </c>
      <c r="AJ62">
        <f t="shared" si="21"/>
        <v>1</v>
      </c>
      <c r="AK62">
        <f t="shared" si="17"/>
        <v>0</v>
      </c>
      <c r="AL62" s="17">
        <f>MIN(N62,'Scenario Modelling'!$B$2)</f>
        <v>0.11</v>
      </c>
      <c r="AM62" s="10">
        <f>L62*(1+'Scenario Modelling'!$B$3)</f>
        <v>1690.6725</v>
      </c>
      <c r="AN62">
        <f>O62*(1+'Scenario Modelling'!$B$4)</f>
        <v>14.4</v>
      </c>
      <c r="AO62" s="28">
        <f t="shared" si="18"/>
        <v>33241.88448</v>
      </c>
      <c r="AP62" s="10">
        <f t="shared" si="19"/>
        <v>8896.20048</v>
      </c>
    </row>
    <row r="63" spans="1:42">
      <c r="A63" t="s">
        <v>377</v>
      </c>
      <c r="B63" s="7">
        <v>45774</v>
      </c>
      <c r="C63" s="7">
        <v>45802</v>
      </c>
      <c r="D63" t="s">
        <v>239</v>
      </c>
      <c r="E63" t="s">
        <v>251</v>
      </c>
      <c r="F63" t="s">
        <v>378</v>
      </c>
      <c r="G63" t="s">
        <v>223</v>
      </c>
      <c r="H63" t="s">
        <v>201</v>
      </c>
      <c r="I63" t="s">
        <v>195</v>
      </c>
      <c r="J63" t="s">
        <v>203</v>
      </c>
      <c r="K63" t="s">
        <v>379</v>
      </c>
      <c r="L63" s="10">
        <v>603.45</v>
      </c>
      <c r="M63" s="10">
        <v>1244.08</v>
      </c>
      <c r="N63" s="17">
        <v>0.2</v>
      </c>
      <c r="O63">
        <v>11</v>
      </c>
      <c r="P63" t="str">
        <f t="shared" si="5"/>
        <v>Valid</v>
      </c>
      <c r="Q63" s="10">
        <f t="shared" si="0"/>
        <v>1244.08</v>
      </c>
      <c r="R63" t="b">
        <f t="shared" si="6"/>
        <v>0</v>
      </c>
      <c r="S63" s="17">
        <f t="shared" si="7"/>
        <v>0.2</v>
      </c>
      <c r="T63">
        <f t="shared" si="20"/>
        <v>28</v>
      </c>
      <c r="U63" s="26">
        <f t="shared" si="8"/>
        <v>45802</v>
      </c>
      <c r="V63">
        <f t="shared" si="1"/>
        <v>28</v>
      </c>
      <c r="W63" s="10">
        <f t="shared" si="2"/>
        <v>1365751.024</v>
      </c>
      <c r="X63" s="10">
        <f t="shared" si="3"/>
        <v>13684.88</v>
      </c>
      <c r="Y63" s="10">
        <f t="shared" si="9"/>
        <v>1352066.144</v>
      </c>
      <c r="Z63" s="14">
        <f t="shared" si="10"/>
        <v>0.98997995991984</v>
      </c>
      <c r="AA63" t="s">
        <v>1578</v>
      </c>
      <c r="AB63" t="str">
        <f t="shared" si="11"/>
        <v>Q2-2025</v>
      </c>
      <c r="AC63" t="str">
        <f t="shared" si="12"/>
        <v>Europe → France → Paris</v>
      </c>
      <c r="AD63" t="str">
        <f t="shared" si="13"/>
        <v>Devices</v>
      </c>
      <c r="AE63" s="8" t="str">
        <f t="shared" si="22"/>
        <v>High</v>
      </c>
      <c r="AF63" t="str">
        <f t="shared" si="14"/>
        <v>FRANCE</v>
      </c>
      <c r="AG63" s="7">
        <v>44936</v>
      </c>
      <c r="AH63" t="str">
        <f t="shared" si="15"/>
        <v>Jan-2023</v>
      </c>
      <c r="AI63" s="9">
        <f t="shared" si="16"/>
        <v>45777</v>
      </c>
      <c r="AJ63">
        <f t="shared" si="21"/>
        <v>0</v>
      </c>
      <c r="AK63">
        <f t="shared" si="17"/>
        <v>0</v>
      </c>
      <c r="AL63" s="17">
        <f>MIN(N63,'Scenario Modelling'!$B$2)</f>
        <v>0.2</v>
      </c>
      <c r="AM63" s="10">
        <f>L63*(1+'Scenario Modelling'!$B$3)</f>
        <v>693.9675</v>
      </c>
      <c r="AN63">
        <f>O63*(1+'Scenario Modelling'!$B$4)</f>
        <v>13.2</v>
      </c>
      <c r="AO63" s="28">
        <f t="shared" si="18"/>
        <v>13137.4848</v>
      </c>
      <c r="AP63" s="10">
        <f t="shared" si="19"/>
        <v>3977.1138</v>
      </c>
    </row>
    <row r="64" spans="1:42">
      <c r="A64" t="s">
        <v>380</v>
      </c>
      <c r="B64" s="7">
        <v>45598</v>
      </c>
      <c r="C64" s="7">
        <v>45614</v>
      </c>
      <c r="D64" t="s">
        <v>206</v>
      </c>
      <c r="E64" t="s">
        <v>221</v>
      </c>
      <c r="F64" t="s">
        <v>381</v>
      </c>
      <c r="G64" t="s">
        <v>223</v>
      </c>
      <c r="H64" t="s">
        <v>216</v>
      </c>
      <c r="I64" t="s">
        <v>229</v>
      </c>
      <c r="J64" t="s">
        <v>225</v>
      </c>
      <c r="K64" t="s">
        <v>382</v>
      </c>
      <c r="L64" s="10">
        <v>1233.58</v>
      </c>
      <c r="M64" s="10">
        <v>1912.51</v>
      </c>
      <c r="N64" s="17">
        <v>0.255</v>
      </c>
      <c r="O64">
        <v>51</v>
      </c>
      <c r="P64" t="str">
        <f t="shared" si="5"/>
        <v>Valid</v>
      </c>
      <c r="Q64" s="10">
        <f t="shared" si="0"/>
        <v>1912.51</v>
      </c>
      <c r="R64" t="b">
        <f t="shared" si="6"/>
        <v>0</v>
      </c>
      <c r="S64" s="17">
        <f t="shared" si="7"/>
        <v>0.255</v>
      </c>
      <c r="T64">
        <f t="shared" si="20"/>
        <v>16</v>
      </c>
      <c r="U64" s="26">
        <f t="shared" si="8"/>
        <v>45614</v>
      </c>
      <c r="V64">
        <f t="shared" si="1"/>
        <v>16</v>
      </c>
      <c r="W64" s="10">
        <f t="shared" si="2"/>
        <v>9728928.80745</v>
      </c>
      <c r="X64" s="10">
        <f t="shared" si="3"/>
        <v>97538.01</v>
      </c>
      <c r="Y64" s="10">
        <f t="shared" si="9"/>
        <v>9631390.79745</v>
      </c>
      <c r="Z64" s="14">
        <f t="shared" si="10"/>
        <v>0.989974434808762</v>
      </c>
      <c r="AA64" t="s">
        <v>1577</v>
      </c>
      <c r="AB64" t="str">
        <f t="shared" si="11"/>
        <v>Q4-2024</v>
      </c>
      <c r="AC64" t="str">
        <f t="shared" si="12"/>
        <v>Asia → India → Mumbai</v>
      </c>
      <c r="AD64" t="str">
        <f t="shared" si="13"/>
        <v>Peripherals</v>
      </c>
      <c r="AE64" s="8" t="str">
        <f t="shared" si="22"/>
        <v>High</v>
      </c>
      <c r="AF64" t="str">
        <f t="shared" si="14"/>
        <v>INDIA</v>
      </c>
      <c r="AG64" s="7">
        <v>44955</v>
      </c>
      <c r="AH64" t="str">
        <f t="shared" si="15"/>
        <v>Jan-2023</v>
      </c>
      <c r="AI64" s="9">
        <f t="shared" si="16"/>
        <v>45626</v>
      </c>
      <c r="AJ64">
        <f t="shared" si="21"/>
        <v>0</v>
      </c>
      <c r="AK64">
        <f t="shared" si="17"/>
        <v>1</v>
      </c>
      <c r="AL64" s="17">
        <f>MIN(N64,'Scenario Modelling'!$B$2)</f>
        <v>0.25</v>
      </c>
      <c r="AM64" s="10">
        <f>L64*(1+'Scenario Modelling'!$B$3)</f>
        <v>1418.617</v>
      </c>
      <c r="AN64">
        <f>O64*(1+'Scenario Modelling'!$B$4)</f>
        <v>61.2</v>
      </c>
      <c r="AO64" s="28">
        <f t="shared" si="18"/>
        <v>87784.209</v>
      </c>
      <c r="AP64" s="10">
        <f t="shared" si="19"/>
        <v>964.848600000012</v>
      </c>
    </row>
    <row r="65" spans="1:42">
      <c r="A65" t="s">
        <v>383</v>
      </c>
      <c r="B65" s="7">
        <v>44972</v>
      </c>
      <c r="C65" s="7">
        <v>44983</v>
      </c>
      <c r="D65" t="s">
        <v>177</v>
      </c>
      <c r="E65" t="s">
        <v>309</v>
      </c>
      <c r="F65" t="s">
        <v>310</v>
      </c>
      <c r="G65" t="s">
        <v>200</v>
      </c>
      <c r="H65" t="s">
        <v>181</v>
      </c>
      <c r="I65" t="s">
        <v>256</v>
      </c>
      <c r="J65" t="s">
        <v>218</v>
      </c>
      <c r="K65" t="s">
        <v>384</v>
      </c>
      <c r="L65" s="10">
        <v>498.5</v>
      </c>
      <c r="M65" s="10">
        <v>755.87</v>
      </c>
      <c r="N65" s="17">
        <v>0.13</v>
      </c>
      <c r="O65">
        <v>40</v>
      </c>
      <c r="P65" t="str">
        <f t="shared" si="5"/>
        <v>Valid</v>
      </c>
      <c r="Q65" s="10">
        <f t="shared" si="0"/>
        <v>755.87</v>
      </c>
      <c r="R65" t="b">
        <f t="shared" si="6"/>
        <v>0</v>
      </c>
      <c r="S65" s="17">
        <f t="shared" si="7"/>
        <v>0.13</v>
      </c>
      <c r="T65">
        <f t="shared" si="20"/>
        <v>11</v>
      </c>
      <c r="U65" s="26">
        <f t="shared" si="8"/>
        <v>44983</v>
      </c>
      <c r="V65">
        <f t="shared" si="1"/>
        <v>11</v>
      </c>
      <c r="W65" s="10">
        <f t="shared" si="2"/>
        <v>3019549.476</v>
      </c>
      <c r="X65" s="10">
        <f t="shared" si="3"/>
        <v>30234.8</v>
      </c>
      <c r="Y65" s="10">
        <f t="shared" si="9"/>
        <v>2989314.676</v>
      </c>
      <c r="Z65" s="14">
        <f t="shared" si="10"/>
        <v>0.989986983078001</v>
      </c>
      <c r="AA65" t="s">
        <v>1562</v>
      </c>
      <c r="AB65" t="str">
        <f t="shared" si="11"/>
        <v>Q1-2023</v>
      </c>
      <c r="AC65" t="str">
        <f t="shared" si="12"/>
        <v>Africa → South Africa → Johannesburg</v>
      </c>
      <c r="AD65" t="str">
        <f t="shared" si="13"/>
        <v>Devices</v>
      </c>
      <c r="AE65" s="8" t="str">
        <f t="shared" si="22"/>
        <v>Low</v>
      </c>
      <c r="AF65" t="str">
        <f t="shared" si="14"/>
        <v>SOUTH AFRICA</v>
      </c>
      <c r="AG65" s="7">
        <f>_xlfn.MINIFS($B$2:$B$633,$AF$2:$AF$633,AF65)</f>
        <v>44933</v>
      </c>
      <c r="AH65" t="str">
        <f t="shared" si="15"/>
        <v>Jan-2023</v>
      </c>
      <c r="AI65" s="9">
        <f t="shared" si="16"/>
        <v>44985</v>
      </c>
      <c r="AJ65">
        <f t="shared" si="21"/>
        <v>0</v>
      </c>
      <c r="AK65">
        <f t="shared" si="17"/>
        <v>0</v>
      </c>
      <c r="AL65" s="17">
        <f>MIN(N65,'Scenario Modelling'!$B$2)</f>
        <v>0.13</v>
      </c>
      <c r="AM65" s="10">
        <f>L65*(1+'Scenario Modelling'!$B$3)</f>
        <v>573.275</v>
      </c>
      <c r="AN65">
        <f>O65*(1+'Scenario Modelling'!$B$4)</f>
        <v>48</v>
      </c>
      <c r="AO65" s="28">
        <f t="shared" si="18"/>
        <v>31565.1312</v>
      </c>
      <c r="AP65" s="10">
        <f t="shared" si="19"/>
        <v>4047.9312</v>
      </c>
    </row>
    <row r="66" spans="1:42">
      <c r="A66" t="s">
        <v>385</v>
      </c>
      <c r="B66" s="7">
        <v>45263</v>
      </c>
      <c r="C66" s="7">
        <v>45286</v>
      </c>
      <c r="D66" t="s">
        <v>213</v>
      </c>
      <c r="E66" t="s">
        <v>234</v>
      </c>
      <c r="F66" t="s">
        <v>386</v>
      </c>
      <c r="G66" t="s">
        <v>188</v>
      </c>
      <c r="H66" t="s">
        <v>181</v>
      </c>
      <c r="I66" t="s">
        <v>229</v>
      </c>
      <c r="J66" t="s">
        <v>203</v>
      </c>
      <c r="K66" t="s">
        <v>387</v>
      </c>
      <c r="L66" s="10">
        <v>1303.11</v>
      </c>
      <c r="M66" s="10">
        <v>1145.67</v>
      </c>
      <c r="N66" s="17">
        <v>0.184</v>
      </c>
      <c r="O66">
        <v>13</v>
      </c>
      <c r="P66" t="str">
        <f t="shared" ref="P66:P129" si="23">IF(M66&gt;0,"Valid")</f>
        <v>Valid</v>
      </c>
      <c r="Q66" s="10">
        <f t="shared" ref="Q66:Q129" si="24">ABS(M66)</f>
        <v>1145.67</v>
      </c>
      <c r="R66" t="b">
        <f t="shared" ref="R66:R129" si="25">IF(N66&gt;30%,"Excess")</f>
        <v>0</v>
      </c>
      <c r="S66" s="17">
        <f t="shared" ref="S66:S129" si="26">IF(R66="Excess",30%,N66)</f>
        <v>0.184</v>
      </c>
      <c r="T66">
        <f t="shared" ref="T66:T129" si="27">(C66-B66)</f>
        <v>23</v>
      </c>
      <c r="U66" s="26">
        <f t="shared" ref="U66:U129" si="28">IF(C66&lt;B66,B66+7,C66)</f>
        <v>45286</v>
      </c>
      <c r="V66">
        <f t="shared" ref="V66:V129" si="29">(U66-B66)</f>
        <v>23</v>
      </c>
      <c r="W66" s="10">
        <f t="shared" ref="W66:W129" si="30">(Q66*O66*(100-S66))</f>
        <v>1486630.55736</v>
      </c>
      <c r="X66" s="10">
        <f t="shared" ref="X66:X129" si="31">(Q66*O66)</f>
        <v>14893.71</v>
      </c>
      <c r="Y66" s="10">
        <f t="shared" ref="Y66:Y129" si="32">W66-X66</f>
        <v>1471736.84736</v>
      </c>
      <c r="Z66" s="14">
        <f t="shared" si="10"/>
        <v>0.98998156608159</v>
      </c>
      <c r="AA66" t="s">
        <v>1587</v>
      </c>
      <c r="AB66" t="str">
        <f t="shared" ref="AB66:AB129" si="33">"Q"&amp;ROUNDUP(MONTH(B66)/3,0)&amp;"-"&amp;YEAR(B66)</f>
        <v>Q4-2023</v>
      </c>
      <c r="AC66" t="str">
        <f t="shared" ref="AC66:AC129" si="34">D66&amp;" → "&amp;E66&amp;" → "&amp;F66</f>
        <v>Americas → Brazil → Rio de Janeiro</v>
      </c>
      <c r="AD66" t="str">
        <f t="shared" ref="AD66:AD129" si="35">IF(OR(J66="Laptops",J66="Phones"),"Devices",IF(OR(J66="Monitors",J66="Printers"),"Peripherals","Support"))</f>
        <v>Devices</v>
      </c>
      <c r="AE66" s="8" t="str">
        <f t="shared" si="22"/>
        <v>Low</v>
      </c>
      <c r="AF66" t="str">
        <f t="shared" si="14"/>
        <v>BRAZIL</v>
      </c>
      <c r="AG66" s="7">
        <f>_xlfn.MINIFS($B$2:$B$633,$AF$2:$AF$633,AF66)</f>
        <v>44955</v>
      </c>
      <c r="AH66" t="str">
        <f t="shared" si="15"/>
        <v>Jan-2023</v>
      </c>
      <c r="AI66" s="9">
        <f t="shared" si="16"/>
        <v>45291</v>
      </c>
      <c r="AJ66">
        <f t="shared" si="21"/>
        <v>0</v>
      </c>
      <c r="AK66">
        <f t="shared" si="17"/>
        <v>0</v>
      </c>
      <c r="AL66" s="17">
        <f>MIN(N66,'Scenario Modelling'!$B$2)</f>
        <v>0.184</v>
      </c>
      <c r="AM66" s="10">
        <f>L66*(1+'Scenario Modelling'!$B$3)</f>
        <v>1498.5765</v>
      </c>
      <c r="AN66">
        <f>O66*(1+'Scenario Modelling'!$B$4)</f>
        <v>15.6</v>
      </c>
      <c r="AO66" s="28">
        <f t="shared" si="18"/>
        <v>14583.920832</v>
      </c>
      <c r="AP66" s="10">
        <f t="shared" si="19"/>
        <v>-8793.87256799999</v>
      </c>
    </row>
    <row r="67" spans="1:42">
      <c r="A67" t="s">
        <v>388</v>
      </c>
      <c r="B67" s="7">
        <v>45004</v>
      </c>
      <c r="C67" s="7">
        <v>45025</v>
      </c>
      <c r="D67" t="s">
        <v>239</v>
      </c>
      <c r="E67" t="s">
        <v>269</v>
      </c>
      <c r="F67" t="s">
        <v>389</v>
      </c>
      <c r="G67" t="s">
        <v>209</v>
      </c>
      <c r="H67" t="s">
        <v>181</v>
      </c>
      <c r="I67" t="s">
        <v>210</v>
      </c>
      <c r="J67" t="s">
        <v>242</v>
      </c>
      <c r="K67" t="s">
        <v>390</v>
      </c>
      <c r="L67" s="10">
        <v>1082.17</v>
      </c>
      <c r="M67" s="10">
        <v>1234.1</v>
      </c>
      <c r="N67" s="17">
        <v>0.189</v>
      </c>
      <c r="O67">
        <v>16</v>
      </c>
      <c r="P67" t="str">
        <f t="shared" si="23"/>
        <v>Valid</v>
      </c>
      <c r="Q67" s="10">
        <f t="shared" si="24"/>
        <v>1234.1</v>
      </c>
      <c r="R67" t="b">
        <f t="shared" si="25"/>
        <v>0</v>
      </c>
      <c r="S67" s="17">
        <f t="shared" si="26"/>
        <v>0.189</v>
      </c>
      <c r="T67">
        <f t="shared" si="27"/>
        <v>21</v>
      </c>
      <c r="U67" s="26">
        <f t="shared" si="28"/>
        <v>45025</v>
      </c>
      <c r="V67">
        <f t="shared" si="29"/>
        <v>21</v>
      </c>
      <c r="W67" s="10">
        <f t="shared" si="30"/>
        <v>1970828.0816</v>
      </c>
      <c r="X67" s="10">
        <f t="shared" si="31"/>
        <v>19745.6</v>
      </c>
      <c r="Y67" s="10">
        <f t="shared" si="32"/>
        <v>1951082.4816</v>
      </c>
      <c r="Z67" s="14">
        <f t="shared" ref="Z67:Z130" si="36">Y67/W67</f>
        <v>0.989981064211359</v>
      </c>
      <c r="AA67" t="s">
        <v>1582</v>
      </c>
      <c r="AB67" t="str">
        <f t="shared" si="33"/>
        <v>Q1-2023</v>
      </c>
      <c r="AC67" t="str">
        <f t="shared" si="34"/>
        <v>Europe → United Kingdom → Manchester</v>
      </c>
      <c r="AD67" t="str">
        <f t="shared" si="35"/>
        <v>Support</v>
      </c>
      <c r="AE67" s="8" t="str">
        <f t="shared" si="22"/>
        <v>Low</v>
      </c>
      <c r="AF67" t="str">
        <f t="shared" ref="AF67:AF130" si="37">UPPER(TRIM(CLEAN(SUBSTITUTE(E67,CHAR(160),""))))</f>
        <v>UNITED KINGDOM</v>
      </c>
      <c r="AG67" s="7">
        <v>44945</v>
      </c>
      <c r="AH67" t="str">
        <f t="shared" ref="AH67:AH130" si="38">TEXT(AG67,"MMM-YYYY")</f>
        <v>Jan-2023</v>
      </c>
      <c r="AI67" s="9">
        <f t="shared" ref="AI67:AI130" si="39">EOMONTH(B67,0)</f>
        <v>45016</v>
      </c>
      <c r="AJ67">
        <f t="shared" si="21"/>
        <v>0</v>
      </c>
      <c r="AK67">
        <f t="shared" ref="AK67:AK130" si="40">IF(N67&gt;20%,1,0)</f>
        <v>0</v>
      </c>
      <c r="AL67" s="17">
        <f>MIN(N67,'Scenario Modelling'!$B$2)</f>
        <v>0.189</v>
      </c>
      <c r="AM67" s="10">
        <f>L67*(1+'Scenario Modelling'!$B$3)</f>
        <v>1244.4955</v>
      </c>
      <c r="AN67">
        <f>O67*(1+'Scenario Modelling'!$B$4)</f>
        <v>19.2</v>
      </c>
      <c r="AO67" s="28">
        <f t="shared" ref="AO67:AO130" si="41">AN67*M67*(1-AL67)</f>
        <v>19216.41792</v>
      </c>
      <c r="AP67" s="10">
        <f t="shared" ref="AP67:AP130" si="42">(M67*(1-AL67)-AM67)*AN67</f>
        <v>-4677.89568</v>
      </c>
    </row>
    <row r="68" spans="1:42">
      <c r="A68" t="s">
        <v>391</v>
      </c>
      <c r="B68" s="7">
        <v>45434</v>
      </c>
      <c r="C68" s="7">
        <v>45449</v>
      </c>
      <c r="D68" t="s">
        <v>206</v>
      </c>
      <c r="E68" t="s">
        <v>207</v>
      </c>
      <c r="F68" t="s">
        <v>392</v>
      </c>
      <c r="G68" t="s">
        <v>180</v>
      </c>
      <c r="H68" t="s">
        <v>216</v>
      </c>
      <c r="I68" t="s">
        <v>182</v>
      </c>
      <c r="J68" t="s">
        <v>225</v>
      </c>
      <c r="K68" t="s">
        <v>393</v>
      </c>
      <c r="L68" s="10">
        <v>673.88</v>
      </c>
      <c r="M68" s="10">
        <v>1228.01</v>
      </c>
      <c r="N68" s="17">
        <v>0.105</v>
      </c>
      <c r="O68">
        <v>13</v>
      </c>
      <c r="P68" t="str">
        <f t="shared" si="23"/>
        <v>Valid</v>
      </c>
      <c r="Q68" s="10">
        <f t="shared" si="24"/>
        <v>1228.01</v>
      </c>
      <c r="R68" t="b">
        <f t="shared" si="25"/>
        <v>0</v>
      </c>
      <c r="S68" s="17">
        <f t="shared" si="26"/>
        <v>0.105</v>
      </c>
      <c r="T68">
        <f t="shared" si="27"/>
        <v>15</v>
      </c>
      <c r="U68" s="26">
        <f t="shared" si="28"/>
        <v>45449</v>
      </c>
      <c r="V68">
        <f t="shared" si="29"/>
        <v>15</v>
      </c>
      <c r="W68" s="10">
        <f t="shared" si="30"/>
        <v>1594736.76635</v>
      </c>
      <c r="X68" s="10">
        <f t="shared" si="31"/>
        <v>15964.13</v>
      </c>
      <c r="Y68" s="10">
        <f t="shared" si="32"/>
        <v>1578772.63635</v>
      </c>
      <c r="Z68" s="14">
        <f t="shared" si="36"/>
        <v>0.989989488963412</v>
      </c>
      <c r="AA68" t="s">
        <v>1566</v>
      </c>
      <c r="AB68" t="str">
        <f t="shared" si="33"/>
        <v>Q2-2024</v>
      </c>
      <c r="AC68" t="str">
        <f t="shared" si="34"/>
        <v>Asia → Japan → Nagoya</v>
      </c>
      <c r="AD68" t="str">
        <f t="shared" si="35"/>
        <v>Peripherals</v>
      </c>
      <c r="AE68" s="8" t="str">
        <f t="shared" si="22"/>
        <v>Medium</v>
      </c>
      <c r="AF68" t="str">
        <f t="shared" si="37"/>
        <v>JAPAN</v>
      </c>
      <c r="AG68" s="7">
        <v>44988</v>
      </c>
      <c r="AH68" t="str">
        <f t="shared" si="38"/>
        <v>Mar-2023</v>
      </c>
      <c r="AI68" s="9">
        <f t="shared" si="39"/>
        <v>45443</v>
      </c>
      <c r="AJ68">
        <f t="shared" ref="AJ68:AJ131" si="43">IF(V68&lt;=7,1,0)</f>
        <v>0</v>
      </c>
      <c r="AK68">
        <f t="shared" si="40"/>
        <v>0</v>
      </c>
      <c r="AL68" s="17">
        <f>MIN(N68,'Scenario Modelling'!$B$2)</f>
        <v>0.105</v>
      </c>
      <c r="AM68" s="10">
        <f>L68*(1+'Scenario Modelling'!$B$3)</f>
        <v>774.962</v>
      </c>
      <c r="AN68">
        <f>O68*(1+'Scenario Modelling'!$B$4)</f>
        <v>15.6</v>
      </c>
      <c r="AO68" s="28">
        <f t="shared" si="41"/>
        <v>17145.47562</v>
      </c>
      <c r="AP68" s="10">
        <f t="shared" si="42"/>
        <v>5056.06842</v>
      </c>
    </row>
    <row r="69" spans="1:42">
      <c r="A69" t="s">
        <v>394</v>
      </c>
      <c r="B69" s="7">
        <v>45157</v>
      </c>
      <c r="C69" s="7">
        <v>45176</v>
      </c>
      <c r="D69" t="s">
        <v>177</v>
      </c>
      <c r="E69" t="s">
        <v>309</v>
      </c>
      <c r="F69" t="s">
        <v>310</v>
      </c>
      <c r="G69" t="s">
        <v>266</v>
      </c>
      <c r="H69" t="s">
        <v>181</v>
      </c>
      <c r="I69" t="s">
        <v>306</v>
      </c>
      <c r="J69" t="s">
        <v>225</v>
      </c>
      <c r="K69" t="s">
        <v>395</v>
      </c>
      <c r="L69" s="10">
        <v>494.61</v>
      </c>
      <c r="M69" s="10">
        <v>605.23</v>
      </c>
      <c r="N69" s="17">
        <v>0.204</v>
      </c>
      <c r="O69">
        <v>18</v>
      </c>
      <c r="P69" t="str">
        <f t="shared" si="23"/>
        <v>Valid</v>
      </c>
      <c r="Q69" s="10">
        <f t="shared" si="24"/>
        <v>605.23</v>
      </c>
      <c r="R69" t="b">
        <f t="shared" si="25"/>
        <v>0</v>
      </c>
      <c r="S69" s="17">
        <f t="shared" si="26"/>
        <v>0.204</v>
      </c>
      <c r="T69">
        <f t="shared" si="27"/>
        <v>19</v>
      </c>
      <c r="U69" s="26">
        <f t="shared" si="28"/>
        <v>45176</v>
      </c>
      <c r="V69">
        <f t="shared" si="29"/>
        <v>19</v>
      </c>
      <c r="W69" s="10">
        <f t="shared" si="30"/>
        <v>1087191.59544</v>
      </c>
      <c r="X69" s="10">
        <f t="shared" si="31"/>
        <v>10894.14</v>
      </c>
      <c r="Y69" s="10">
        <f t="shared" si="32"/>
        <v>1076297.45544</v>
      </c>
      <c r="Z69" s="14">
        <f t="shared" si="36"/>
        <v>0.98997955829893</v>
      </c>
      <c r="AA69" t="s">
        <v>1585</v>
      </c>
      <c r="AB69" t="str">
        <f t="shared" si="33"/>
        <v>Q3-2023</v>
      </c>
      <c r="AC69" t="str">
        <f t="shared" si="34"/>
        <v>Africa → South Africa → Johannesburg</v>
      </c>
      <c r="AD69" t="str">
        <f t="shared" si="35"/>
        <v>Peripherals</v>
      </c>
      <c r="AE69" s="8" t="str">
        <f t="shared" si="22"/>
        <v>Low</v>
      </c>
      <c r="AF69" t="str">
        <f t="shared" si="37"/>
        <v>SOUTH AFRICA</v>
      </c>
      <c r="AG69" s="7">
        <f>_xlfn.MINIFS($B$2:$B$633,$AF$2:$AF$633,AF69)</f>
        <v>44933</v>
      </c>
      <c r="AH69" t="str">
        <f t="shared" si="38"/>
        <v>Jan-2023</v>
      </c>
      <c r="AI69" s="9">
        <f t="shared" si="39"/>
        <v>45169</v>
      </c>
      <c r="AJ69">
        <f t="shared" si="43"/>
        <v>0</v>
      </c>
      <c r="AK69">
        <f t="shared" si="40"/>
        <v>1</v>
      </c>
      <c r="AL69" s="17">
        <f>MIN(N69,'Scenario Modelling'!$B$2)</f>
        <v>0.204</v>
      </c>
      <c r="AM69" s="10">
        <f>L69*(1+'Scenario Modelling'!$B$3)</f>
        <v>568.8015</v>
      </c>
      <c r="AN69">
        <f>O69*(1+'Scenario Modelling'!$B$4)</f>
        <v>21.6</v>
      </c>
      <c r="AO69" s="28">
        <f t="shared" si="41"/>
        <v>10406.082528</v>
      </c>
      <c r="AP69" s="10">
        <f t="shared" si="42"/>
        <v>-1880.029872</v>
      </c>
    </row>
    <row r="70" spans="1:42">
      <c r="A70" t="s">
        <v>396</v>
      </c>
      <c r="B70" s="7">
        <v>45037</v>
      </c>
      <c r="C70" s="7">
        <v>45056</v>
      </c>
      <c r="D70" t="s">
        <v>206</v>
      </c>
      <c r="E70" t="s">
        <v>277</v>
      </c>
      <c r="F70" t="s">
        <v>323</v>
      </c>
      <c r="G70" t="s">
        <v>180</v>
      </c>
      <c r="H70" t="s">
        <v>181</v>
      </c>
      <c r="I70" t="s">
        <v>236</v>
      </c>
      <c r="J70" t="s">
        <v>183</v>
      </c>
      <c r="K70" t="s">
        <v>397</v>
      </c>
      <c r="L70" s="10">
        <v>882.33</v>
      </c>
      <c r="M70" s="10">
        <v>1880.15</v>
      </c>
      <c r="N70" s="17">
        <v>0.05</v>
      </c>
      <c r="O70">
        <v>5</v>
      </c>
      <c r="P70" t="str">
        <f t="shared" si="23"/>
        <v>Valid</v>
      </c>
      <c r="Q70" s="10">
        <f t="shared" si="24"/>
        <v>1880.15</v>
      </c>
      <c r="R70" t="b">
        <f t="shared" si="25"/>
        <v>0</v>
      </c>
      <c r="S70" s="17">
        <f t="shared" si="26"/>
        <v>0.05</v>
      </c>
      <c r="T70">
        <f t="shared" si="27"/>
        <v>19</v>
      </c>
      <c r="U70" s="26">
        <f t="shared" si="28"/>
        <v>45056</v>
      </c>
      <c r="V70">
        <f t="shared" si="29"/>
        <v>19</v>
      </c>
      <c r="W70" s="10">
        <f t="shared" si="30"/>
        <v>939604.9625</v>
      </c>
      <c r="X70" s="10">
        <f t="shared" si="31"/>
        <v>9400.75</v>
      </c>
      <c r="Y70" s="10">
        <f t="shared" si="32"/>
        <v>930204.2125</v>
      </c>
      <c r="Z70" s="14">
        <f t="shared" si="36"/>
        <v>0.989994997498749</v>
      </c>
      <c r="AA70" t="s">
        <v>1571</v>
      </c>
      <c r="AB70" t="str">
        <f t="shared" si="33"/>
        <v>Q2-2023</v>
      </c>
      <c r="AC70" t="str">
        <f t="shared" si="34"/>
        <v>Asia → China → Shanghai</v>
      </c>
      <c r="AD70" t="str">
        <f t="shared" si="35"/>
        <v>Support</v>
      </c>
      <c r="AE70" s="8" t="str">
        <f t="shared" si="22"/>
        <v>Low</v>
      </c>
      <c r="AF70" t="str">
        <f t="shared" si="37"/>
        <v>CHINA</v>
      </c>
      <c r="AG70" s="7">
        <f>_xlfn.MINIFS($B$2:$B$633,$AF$2:$AF$633,AF70)</f>
        <v>44938</v>
      </c>
      <c r="AH70" t="str">
        <f t="shared" si="38"/>
        <v>Jan-2023</v>
      </c>
      <c r="AI70" s="9">
        <f t="shared" si="39"/>
        <v>45046</v>
      </c>
      <c r="AJ70">
        <f t="shared" si="43"/>
        <v>0</v>
      </c>
      <c r="AK70">
        <f t="shared" si="40"/>
        <v>0</v>
      </c>
      <c r="AL70" s="17">
        <f>MIN(N70,'Scenario Modelling'!$B$2)</f>
        <v>0.05</v>
      </c>
      <c r="AM70" s="10">
        <f>L70*(1+'Scenario Modelling'!$B$3)</f>
        <v>1014.6795</v>
      </c>
      <c r="AN70">
        <f>O70*(1+'Scenario Modelling'!$B$4)</f>
        <v>6</v>
      </c>
      <c r="AO70" s="28">
        <f t="shared" si="41"/>
        <v>10716.855</v>
      </c>
      <c r="AP70" s="10">
        <f t="shared" si="42"/>
        <v>4628.778</v>
      </c>
    </row>
    <row r="71" spans="1:42">
      <c r="A71" t="s">
        <v>398</v>
      </c>
      <c r="B71" s="7">
        <v>45369</v>
      </c>
      <c r="C71" s="7">
        <v>45372</v>
      </c>
      <c r="D71" t="s">
        <v>239</v>
      </c>
      <c r="E71" t="s">
        <v>240</v>
      </c>
      <c r="F71" t="s">
        <v>320</v>
      </c>
      <c r="G71" t="s">
        <v>223</v>
      </c>
      <c r="H71" t="s">
        <v>189</v>
      </c>
      <c r="I71" t="s">
        <v>271</v>
      </c>
      <c r="J71" t="s">
        <v>242</v>
      </c>
      <c r="K71" t="s">
        <v>399</v>
      </c>
      <c r="L71" s="10">
        <v>910.63</v>
      </c>
      <c r="M71" s="10">
        <v>1269.4</v>
      </c>
      <c r="N71" s="17">
        <v>0.068</v>
      </c>
      <c r="O71">
        <v>9</v>
      </c>
      <c r="P71" t="str">
        <f t="shared" si="23"/>
        <v>Valid</v>
      </c>
      <c r="Q71" s="10">
        <f t="shared" si="24"/>
        <v>1269.4</v>
      </c>
      <c r="R71" t="b">
        <f t="shared" si="25"/>
        <v>0</v>
      </c>
      <c r="S71" s="17">
        <f t="shared" si="26"/>
        <v>0.068</v>
      </c>
      <c r="T71">
        <f t="shared" si="27"/>
        <v>3</v>
      </c>
      <c r="U71" s="26">
        <f t="shared" si="28"/>
        <v>45372</v>
      </c>
      <c r="V71">
        <f t="shared" si="29"/>
        <v>3</v>
      </c>
      <c r="W71" s="10">
        <f t="shared" si="30"/>
        <v>1141683.1272</v>
      </c>
      <c r="X71" s="10">
        <f t="shared" si="31"/>
        <v>11424.6</v>
      </c>
      <c r="Y71" s="10">
        <f t="shared" si="32"/>
        <v>1130258.5272</v>
      </c>
      <c r="Z71" s="14">
        <f t="shared" si="36"/>
        <v>0.989993195372853</v>
      </c>
      <c r="AA71" t="s">
        <v>1560</v>
      </c>
      <c r="AB71" t="str">
        <f t="shared" si="33"/>
        <v>Q1-2024</v>
      </c>
      <c r="AC71" t="str">
        <f t="shared" si="34"/>
        <v>Europe → Germany → Munich</v>
      </c>
      <c r="AD71" t="str">
        <f t="shared" si="35"/>
        <v>Support</v>
      </c>
      <c r="AE71" s="8" t="str">
        <f t="shared" si="22"/>
        <v>Medium</v>
      </c>
      <c r="AF71" t="str">
        <f t="shared" si="37"/>
        <v>GERMANY</v>
      </c>
      <c r="AG71" s="7">
        <v>44948</v>
      </c>
      <c r="AH71" t="str">
        <f t="shared" si="38"/>
        <v>Jan-2023</v>
      </c>
      <c r="AI71" s="9">
        <f t="shared" si="39"/>
        <v>45382</v>
      </c>
      <c r="AJ71">
        <f t="shared" si="43"/>
        <v>1</v>
      </c>
      <c r="AK71">
        <f t="shared" si="40"/>
        <v>0</v>
      </c>
      <c r="AL71" s="17">
        <f>MIN(N71,'Scenario Modelling'!$B$2)</f>
        <v>0.068</v>
      </c>
      <c r="AM71" s="10">
        <f>L71*(1+'Scenario Modelling'!$B$3)</f>
        <v>1047.2245</v>
      </c>
      <c r="AN71">
        <f>O71*(1+'Scenario Modelling'!$B$4)</f>
        <v>10.8</v>
      </c>
      <c r="AO71" s="28">
        <f t="shared" si="41"/>
        <v>12777.27264</v>
      </c>
      <c r="AP71" s="10">
        <f t="shared" si="42"/>
        <v>1467.24804</v>
      </c>
    </row>
    <row r="72" spans="1:42">
      <c r="A72" t="s">
        <v>400</v>
      </c>
      <c r="B72" s="7">
        <v>45756</v>
      </c>
      <c r="C72" s="7">
        <v>45783</v>
      </c>
      <c r="D72" t="s">
        <v>213</v>
      </c>
      <c r="E72" t="s">
        <v>234</v>
      </c>
      <c r="F72" t="s">
        <v>248</v>
      </c>
      <c r="G72" t="s">
        <v>266</v>
      </c>
      <c r="H72" t="s">
        <v>201</v>
      </c>
      <c r="I72" t="s">
        <v>245</v>
      </c>
      <c r="J72" t="s">
        <v>218</v>
      </c>
      <c r="K72" t="s">
        <v>401</v>
      </c>
      <c r="L72" s="10">
        <v>264.19</v>
      </c>
      <c r="M72" s="10">
        <v>620.93</v>
      </c>
      <c r="N72" s="17">
        <v>0.142</v>
      </c>
      <c r="O72">
        <v>12</v>
      </c>
      <c r="P72" t="str">
        <f t="shared" si="23"/>
        <v>Valid</v>
      </c>
      <c r="Q72" s="10">
        <f t="shared" si="24"/>
        <v>620.93</v>
      </c>
      <c r="R72" t="b">
        <f t="shared" si="25"/>
        <v>0</v>
      </c>
      <c r="S72" s="17">
        <f t="shared" si="26"/>
        <v>0.142</v>
      </c>
      <c r="T72">
        <f t="shared" si="27"/>
        <v>27</v>
      </c>
      <c r="U72" s="26">
        <f t="shared" si="28"/>
        <v>45783</v>
      </c>
      <c r="V72">
        <f t="shared" si="29"/>
        <v>27</v>
      </c>
      <c r="W72" s="10">
        <f t="shared" si="30"/>
        <v>744057.93528</v>
      </c>
      <c r="X72" s="10">
        <f t="shared" si="31"/>
        <v>7451.16</v>
      </c>
      <c r="Y72" s="10">
        <f t="shared" si="32"/>
        <v>736606.77528</v>
      </c>
      <c r="Z72" s="14">
        <f t="shared" si="36"/>
        <v>0.989985779807326</v>
      </c>
      <c r="AA72" t="s">
        <v>1578</v>
      </c>
      <c r="AB72" t="str">
        <f t="shared" si="33"/>
        <v>Q2-2025</v>
      </c>
      <c r="AC72" t="str">
        <f t="shared" si="34"/>
        <v>Americas → Brazil → Brasília</v>
      </c>
      <c r="AD72" t="str">
        <f t="shared" si="35"/>
        <v>Devices</v>
      </c>
      <c r="AE72" s="8" t="str">
        <f t="shared" si="22"/>
        <v>High</v>
      </c>
      <c r="AF72" t="str">
        <f t="shared" si="37"/>
        <v>BRAZIL</v>
      </c>
      <c r="AG72" s="7">
        <f>_xlfn.MINIFS($B$2:$B$633,$AF$2:$AF$633,AF72)</f>
        <v>44955</v>
      </c>
      <c r="AH72" t="str">
        <f t="shared" si="38"/>
        <v>Jan-2023</v>
      </c>
      <c r="AI72" s="9">
        <f t="shared" si="39"/>
        <v>45777</v>
      </c>
      <c r="AJ72">
        <f t="shared" si="43"/>
        <v>0</v>
      </c>
      <c r="AK72">
        <f t="shared" si="40"/>
        <v>0</v>
      </c>
      <c r="AL72" s="17">
        <f>MIN(N72,'Scenario Modelling'!$B$2)</f>
        <v>0.142</v>
      </c>
      <c r="AM72" s="10">
        <f>L72*(1+'Scenario Modelling'!$B$3)</f>
        <v>303.8185</v>
      </c>
      <c r="AN72">
        <f>O72*(1+'Scenario Modelling'!$B$4)</f>
        <v>14.4</v>
      </c>
      <c r="AO72" s="28">
        <f t="shared" si="41"/>
        <v>7671.714336</v>
      </c>
      <c r="AP72" s="10">
        <f t="shared" si="42"/>
        <v>3296.727936</v>
      </c>
    </row>
    <row r="73" spans="1:42">
      <c r="A73" t="s">
        <v>402</v>
      </c>
      <c r="B73" s="7">
        <v>45394</v>
      </c>
      <c r="C73" s="7">
        <v>45419</v>
      </c>
      <c r="D73" t="s">
        <v>177</v>
      </c>
      <c r="E73" t="s">
        <v>309</v>
      </c>
      <c r="F73" t="s">
        <v>310</v>
      </c>
      <c r="G73" t="s">
        <v>188</v>
      </c>
      <c r="H73" t="s">
        <v>216</v>
      </c>
      <c r="I73" t="s">
        <v>236</v>
      </c>
      <c r="J73" t="s">
        <v>218</v>
      </c>
      <c r="K73" t="s">
        <v>403</v>
      </c>
      <c r="L73" s="10">
        <v>1376.51</v>
      </c>
      <c r="M73" s="10">
        <v>1455.91</v>
      </c>
      <c r="N73" s="17">
        <v>0.185</v>
      </c>
      <c r="O73">
        <v>17</v>
      </c>
      <c r="P73" t="str">
        <f t="shared" si="23"/>
        <v>Valid</v>
      </c>
      <c r="Q73" s="10">
        <f t="shared" si="24"/>
        <v>1455.91</v>
      </c>
      <c r="R73" t="b">
        <f t="shared" si="25"/>
        <v>0</v>
      </c>
      <c r="S73" s="17">
        <f t="shared" si="26"/>
        <v>0.185</v>
      </c>
      <c r="T73">
        <f t="shared" si="27"/>
        <v>25</v>
      </c>
      <c r="U73" s="26">
        <f t="shared" si="28"/>
        <v>45419</v>
      </c>
      <c r="V73">
        <f t="shared" si="29"/>
        <v>25</v>
      </c>
      <c r="W73" s="10">
        <f t="shared" si="30"/>
        <v>2470468.16305</v>
      </c>
      <c r="X73" s="10">
        <f t="shared" si="31"/>
        <v>24750.47</v>
      </c>
      <c r="Y73" s="10">
        <f t="shared" si="32"/>
        <v>2445717.69305</v>
      </c>
      <c r="Z73" s="14">
        <f t="shared" si="36"/>
        <v>0.989981465711566</v>
      </c>
      <c r="AA73" t="s">
        <v>1580</v>
      </c>
      <c r="AB73" t="str">
        <f t="shared" si="33"/>
        <v>Q2-2024</v>
      </c>
      <c r="AC73" t="str">
        <f t="shared" si="34"/>
        <v>Africa → South Africa → Johannesburg</v>
      </c>
      <c r="AD73" t="str">
        <f t="shared" si="35"/>
        <v>Devices</v>
      </c>
      <c r="AE73" s="8" t="str">
        <f t="shared" si="22"/>
        <v>Medium</v>
      </c>
      <c r="AF73" t="str">
        <f t="shared" si="37"/>
        <v>SOUTH AFRICA</v>
      </c>
      <c r="AG73" s="7">
        <f>_xlfn.MINIFS($B$2:$B$633,$AF$2:$AF$633,AF73)</f>
        <v>44933</v>
      </c>
      <c r="AH73" t="str">
        <f t="shared" si="38"/>
        <v>Jan-2023</v>
      </c>
      <c r="AI73" s="9">
        <f t="shared" si="39"/>
        <v>45412</v>
      </c>
      <c r="AJ73">
        <f t="shared" si="43"/>
        <v>0</v>
      </c>
      <c r="AK73">
        <f t="shared" si="40"/>
        <v>0</v>
      </c>
      <c r="AL73" s="17">
        <f>MIN(N73,'Scenario Modelling'!$B$2)</f>
        <v>0.185</v>
      </c>
      <c r="AM73" s="10">
        <f>L73*(1+'Scenario Modelling'!$B$3)</f>
        <v>1582.9865</v>
      </c>
      <c r="AN73">
        <f>O73*(1+'Scenario Modelling'!$B$4)</f>
        <v>20.4</v>
      </c>
      <c r="AO73" s="28">
        <f t="shared" si="41"/>
        <v>24205.95966</v>
      </c>
      <c r="AP73" s="10">
        <f t="shared" si="42"/>
        <v>-8086.96494</v>
      </c>
    </row>
    <row r="74" spans="1:42">
      <c r="A74" t="s">
        <v>404</v>
      </c>
      <c r="B74" s="7">
        <v>45641</v>
      </c>
      <c r="C74" s="7">
        <v>45646</v>
      </c>
      <c r="D74" t="s">
        <v>206</v>
      </c>
      <c r="E74" t="s">
        <v>277</v>
      </c>
      <c r="F74" t="s">
        <v>278</v>
      </c>
      <c r="G74" t="s">
        <v>223</v>
      </c>
      <c r="H74" t="s">
        <v>259</v>
      </c>
      <c r="I74" t="s">
        <v>190</v>
      </c>
      <c r="J74" t="s">
        <v>196</v>
      </c>
      <c r="K74" t="s">
        <v>405</v>
      </c>
      <c r="L74" s="10">
        <v>717.55</v>
      </c>
      <c r="M74" s="10">
        <v>546.43</v>
      </c>
      <c r="N74" s="17">
        <v>0.047</v>
      </c>
      <c r="O74">
        <v>18</v>
      </c>
      <c r="P74" t="str">
        <f t="shared" si="23"/>
        <v>Valid</v>
      </c>
      <c r="Q74" s="10">
        <f t="shared" si="24"/>
        <v>546.43</v>
      </c>
      <c r="R74" t="b">
        <f t="shared" si="25"/>
        <v>0</v>
      </c>
      <c r="S74" s="17">
        <f t="shared" si="26"/>
        <v>0.047</v>
      </c>
      <c r="T74">
        <f t="shared" si="27"/>
        <v>5</v>
      </c>
      <c r="U74" s="26">
        <f t="shared" si="28"/>
        <v>45646</v>
      </c>
      <c r="V74">
        <f t="shared" si="29"/>
        <v>5</v>
      </c>
      <c r="W74" s="10">
        <f t="shared" si="30"/>
        <v>983111.72022</v>
      </c>
      <c r="X74" s="10">
        <f t="shared" si="31"/>
        <v>9835.74</v>
      </c>
      <c r="Y74" s="10">
        <f t="shared" si="32"/>
        <v>973275.98022</v>
      </c>
      <c r="Z74" s="14">
        <f t="shared" si="36"/>
        <v>0.989995297789961</v>
      </c>
      <c r="AA74" t="s">
        <v>1565</v>
      </c>
      <c r="AB74" t="str">
        <f t="shared" si="33"/>
        <v>Q4-2024</v>
      </c>
      <c r="AC74" t="str">
        <f t="shared" si="34"/>
        <v>Asia → China → Shenzhen</v>
      </c>
      <c r="AD74" t="str">
        <f t="shared" si="35"/>
        <v>Support</v>
      </c>
      <c r="AE74" s="8" t="str">
        <f t="shared" si="22"/>
        <v>High</v>
      </c>
      <c r="AF74" t="str">
        <f t="shared" si="37"/>
        <v>CHINA</v>
      </c>
      <c r="AG74" s="7">
        <f>_xlfn.MINIFS($B$2:$B$633,$AF$2:$AF$633,AF74)</f>
        <v>44938</v>
      </c>
      <c r="AH74" t="str">
        <f t="shared" si="38"/>
        <v>Jan-2023</v>
      </c>
      <c r="AI74" s="9">
        <f t="shared" si="39"/>
        <v>45657</v>
      </c>
      <c r="AJ74">
        <f t="shared" si="43"/>
        <v>1</v>
      </c>
      <c r="AK74">
        <f t="shared" si="40"/>
        <v>0</v>
      </c>
      <c r="AL74" s="17">
        <f>MIN(N74,'Scenario Modelling'!$B$2)</f>
        <v>0.047</v>
      </c>
      <c r="AM74" s="10">
        <f>L74*(1+'Scenario Modelling'!$B$3)</f>
        <v>825.1825</v>
      </c>
      <c r="AN74">
        <f>O74*(1+'Scenario Modelling'!$B$4)</f>
        <v>21.6</v>
      </c>
      <c r="AO74" s="28">
        <f t="shared" si="41"/>
        <v>11248.152264</v>
      </c>
      <c r="AP74" s="10">
        <f t="shared" si="42"/>
        <v>-6575.789736</v>
      </c>
    </row>
    <row r="75" spans="1:42">
      <c r="A75" t="s">
        <v>406</v>
      </c>
      <c r="B75" s="7">
        <v>45066</v>
      </c>
      <c r="C75" s="7">
        <v>45064</v>
      </c>
      <c r="D75" t="s">
        <v>177</v>
      </c>
      <c r="E75" t="s">
        <v>309</v>
      </c>
      <c r="F75" t="s">
        <v>333</v>
      </c>
      <c r="G75" t="s">
        <v>180</v>
      </c>
      <c r="H75" t="s">
        <v>216</v>
      </c>
      <c r="I75" t="s">
        <v>236</v>
      </c>
      <c r="J75" t="s">
        <v>183</v>
      </c>
      <c r="K75" t="s">
        <v>407</v>
      </c>
      <c r="L75" s="10">
        <v>917.88</v>
      </c>
      <c r="M75" s="10">
        <v>1347.92</v>
      </c>
      <c r="N75" s="17">
        <v>0.343</v>
      </c>
      <c r="O75">
        <v>5</v>
      </c>
      <c r="P75" t="str">
        <f t="shared" si="23"/>
        <v>Valid</v>
      </c>
      <c r="Q75" s="10">
        <f t="shared" si="24"/>
        <v>1347.92</v>
      </c>
      <c r="R75" t="str">
        <f t="shared" si="25"/>
        <v>Excess</v>
      </c>
      <c r="S75" s="17">
        <f t="shared" si="26"/>
        <v>0.3</v>
      </c>
      <c r="T75">
        <f t="shared" si="27"/>
        <v>-2</v>
      </c>
      <c r="U75" s="26">
        <f t="shared" si="28"/>
        <v>45073</v>
      </c>
      <c r="V75">
        <f t="shared" si="29"/>
        <v>7</v>
      </c>
      <c r="W75" s="10">
        <f t="shared" si="30"/>
        <v>671938.12</v>
      </c>
      <c r="X75" s="10">
        <f t="shared" si="31"/>
        <v>6739.6</v>
      </c>
      <c r="Y75" s="10">
        <f t="shared" si="32"/>
        <v>665198.52</v>
      </c>
      <c r="Z75" s="14">
        <f t="shared" si="36"/>
        <v>0.989969909729188</v>
      </c>
      <c r="AA75" t="s">
        <v>1574</v>
      </c>
      <c r="AB75" t="str">
        <f t="shared" si="33"/>
        <v>Q2-2023</v>
      </c>
      <c r="AC75" t="str">
        <f t="shared" si="34"/>
        <v>Africa → South Africa → Durban</v>
      </c>
      <c r="AD75" t="str">
        <f t="shared" si="35"/>
        <v>Support</v>
      </c>
      <c r="AE75" s="8" t="str">
        <f t="shared" si="22"/>
        <v>Low</v>
      </c>
      <c r="AF75" t="str">
        <f t="shared" si="37"/>
        <v>SOUTH AFRICA</v>
      </c>
      <c r="AG75" s="7">
        <f>_xlfn.MINIFS($B$2:$B$633,$AF$2:$AF$633,AF75)</f>
        <v>44933</v>
      </c>
      <c r="AH75" t="str">
        <f t="shared" si="38"/>
        <v>Jan-2023</v>
      </c>
      <c r="AI75" s="9">
        <f t="shared" si="39"/>
        <v>45077</v>
      </c>
      <c r="AJ75">
        <f t="shared" si="43"/>
        <v>1</v>
      </c>
      <c r="AK75">
        <f t="shared" si="40"/>
        <v>1</v>
      </c>
      <c r="AL75" s="17">
        <f>MIN(N75,'Scenario Modelling'!$B$2)</f>
        <v>0.25</v>
      </c>
      <c r="AM75" s="10">
        <f>L75*(1+'Scenario Modelling'!$B$3)</f>
        <v>1055.562</v>
      </c>
      <c r="AN75">
        <f>O75*(1+'Scenario Modelling'!$B$4)</f>
        <v>6</v>
      </c>
      <c r="AO75" s="28">
        <f t="shared" si="41"/>
        <v>6065.64</v>
      </c>
      <c r="AP75" s="10">
        <f t="shared" si="42"/>
        <v>-267.731999999999</v>
      </c>
    </row>
    <row r="76" spans="1:42">
      <c r="A76" t="s">
        <v>408</v>
      </c>
      <c r="B76" s="7">
        <v>45187</v>
      </c>
      <c r="C76" s="7">
        <v>45207</v>
      </c>
      <c r="D76" t="s">
        <v>206</v>
      </c>
      <c r="E76" t="s">
        <v>221</v>
      </c>
      <c r="F76" t="s">
        <v>302</v>
      </c>
      <c r="G76" t="s">
        <v>223</v>
      </c>
      <c r="H76" t="s">
        <v>259</v>
      </c>
      <c r="I76" t="s">
        <v>217</v>
      </c>
      <c r="J76" t="s">
        <v>183</v>
      </c>
      <c r="K76" t="s">
        <v>409</v>
      </c>
      <c r="L76" s="10">
        <v>825.64</v>
      </c>
      <c r="M76" s="10">
        <v>1108.43</v>
      </c>
      <c r="N76" s="17">
        <v>0.114</v>
      </c>
      <c r="O76">
        <v>7</v>
      </c>
      <c r="P76" t="str">
        <f t="shared" si="23"/>
        <v>Valid</v>
      </c>
      <c r="Q76" s="10">
        <f t="shared" si="24"/>
        <v>1108.43</v>
      </c>
      <c r="R76" t="b">
        <f t="shared" si="25"/>
        <v>0</v>
      </c>
      <c r="S76" s="17">
        <f t="shared" si="26"/>
        <v>0.114</v>
      </c>
      <c r="T76">
        <f t="shared" si="27"/>
        <v>20</v>
      </c>
      <c r="U76" s="26">
        <f t="shared" si="28"/>
        <v>45207</v>
      </c>
      <c r="V76">
        <f t="shared" si="29"/>
        <v>20</v>
      </c>
      <c r="W76" s="10">
        <f t="shared" si="30"/>
        <v>775016.47286</v>
      </c>
      <c r="X76" s="10">
        <f t="shared" si="31"/>
        <v>7759.01</v>
      </c>
      <c r="Y76" s="10">
        <f t="shared" si="32"/>
        <v>767257.46286</v>
      </c>
      <c r="Z76" s="14">
        <f t="shared" si="36"/>
        <v>0.989988586989168</v>
      </c>
      <c r="AA76" t="s">
        <v>1588</v>
      </c>
      <c r="AB76" t="str">
        <f t="shared" si="33"/>
        <v>Q3-2023</v>
      </c>
      <c r="AC76" t="str">
        <f t="shared" si="34"/>
        <v>Asia → India → Delhi</v>
      </c>
      <c r="AD76" t="str">
        <f t="shared" si="35"/>
        <v>Support</v>
      </c>
      <c r="AE76" s="8" t="str">
        <f t="shared" si="22"/>
        <v>Low</v>
      </c>
      <c r="AF76" t="str">
        <f t="shared" si="37"/>
        <v>INDIA</v>
      </c>
      <c r="AG76" s="7">
        <v>44955</v>
      </c>
      <c r="AH76" t="str">
        <f t="shared" si="38"/>
        <v>Jan-2023</v>
      </c>
      <c r="AI76" s="9">
        <f t="shared" si="39"/>
        <v>45199</v>
      </c>
      <c r="AJ76">
        <f t="shared" si="43"/>
        <v>0</v>
      </c>
      <c r="AK76">
        <f t="shared" si="40"/>
        <v>0</v>
      </c>
      <c r="AL76" s="17">
        <f>MIN(N76,'Scenario Modelling'!$B$2)</f>
        <v>0.114</v>
      </c>
      <c r="AM76" s="10">
        <f>L76*(1+'Scenario Modelling'!$B$3)</f>
        <v>949.486</v>
      </c>
      <c r="AN76">
        <f>O76*(1+'Scenario Modelling'!$B$4)</f>
        <v>8.4</v>
      </c>
      <c r="AO76" s="28">
        <f t="shared" si="41"/>
        <v>8249.379432</v>
      </c>
      <c r="AP76" s="10">
        <f t="shared" si="42"/>
        <v>273.697032000001</v>
      </c>
    </row>
    <row r="77" spans="1:42">
      <c r="A77" t="s">
        <v>410</v>
      </c>
      <c r="B77" s="7">
        <v>45532</v>
      </c>
      <c r="C77" s="7">
        <v>45560</v>
      </c>
      <c r="D77" t="s">
        <v>213</v>
      </c>
      <c r="E77" t="s">
        <v>234</v>
      </c>
      <c r="F77" t="s">
        <v>386</v>
      </c>
      <c r="G77" t="s">
        <v>200</v>
      </c>
      <c r="H77" t="s">
        <v>189</v>
      </c>
      <c r="I77" t="s">
        <v>1589</v>
      </c>
      <c r="J77" t="s">
        <v>242</v>
      </c>
      <c r="K77" t="s">
        <v>411</v>
      </c>
      <c r="L77" s="10">
        <v>1394.65</v>
      </c>
      <c r="M77" s="10">
        <v>3144.1</v>
      </c>
      <c r="N77" s="17">
        <v>0.134</v>
      </c>
      <c r="O77">
        <v>13</v>
      </c>
      <c r="P77" t="str">
        <f t="shared" si="23"/>
        <v>Valid</v>
      </c>
      <c r="Q77" s="10">
        <f t="shared" si="24"/>
        <v>3144.1</v>
      </c>
      <c r="R77" t="b">
        <f t="shared" si="25"/>
        <v>0</v>
      </c>
      <c r="S77" s="17">
        <f t="shared" si="26"/>
        <v>0.134</v>
      </c>
      <c r="T77">
        <f t="shared" si="27"/>
        <v>28</v>
      </c>
      <c r="U77" s="26">
        <f t="shared" si="28"/>
        <v>45560</v>
      </c>
      <c r="V77">
        <f t="shared" si="29"/>
        <v>28</v>
      </c>
      <c r="W77" s="10">
        <f t="shared" si="30"/>
        <v>4081852.9778</v>
      </c>
      <c r="X77" s="10">
        <f t="shared" si="31"/>
        <v>40873.3</v>
      </c>
      <c r="Y77" s="10">
        <f t="shared" si="32"/>
        <v>4040979.6778</v>
      </c>
      <c r="Z77" s="14">
        <f t="shared" si="36"/>
        <v>0.989986582019907</v>
      </c>
      <c r="AA77" t="s">
        <v>1581</v>
      </c>
      <c r="AB77" t="str">
        <f t="shared" si="33"/>
        <v>Q3-2024</v>
      </c>
      <c r="AC77" t="str">
        <f t="shared" si="34"/>
        <v>Americas → Brazil → Rio de Janeiro</v>
      </c>
      <c r="AD77" t="str">
        <f t="shared" si="35"/>
        <v>Support</v>
      </c>
      <c r="AE77" s="8" t="str">
        <f t="shared" si="22"/>
        <v>Medium</v>
      </c>
      <c r="AF77" t="str">
        <f t="shared" si="37"/>
        <v>BRAZIL</v>
      </c>
      <c r="AG77" s="7">
        <f>_xlfn.MINIFS($B$2:$B$633,$AF$2:$AF$633,AF77)</f>
        <v>44955</v>
      </c>
      <c r="AH77" t="str">
        <f t="shared" si="38"/>
        <v>Jan-2023</v>
      </c>
      <c r="AI77" s="9">
        <f t="shared" si="39"/>
        <v>45535</v>
      </c>
      <c r="AJ77">
        <f t="shared" si="43"/>
        <v>0</v>
      </c>
      <c r="AK77">
        <f t="shared" si="40"/>
        <v>0</v>
      </c>
      <c r="AL77" s="17">
        <f>MIN(N77,'Scenario Modelling'!$B$2)</f>
        <v>0.134</v>
      </c>
      <c r="AM77" s="10">
        <f>L77*(1+'Scenario Modelling'!$B$3)</f>
        <v>1603.8475</v>
      </c>
      <c r="AN77">
        <f>O77*(1+'Scenario Modelling'!$B$4)</f>
        <v>15.6</v>
      </c>
      <c r="AO77" s="28">
        <f t="shared" si="41"/>
        <v>42475.53336</v>
      </c>
      <c r="AP77" s="10">
        <f t="shared" si="42"/>
        <v>17455.51236</v>
      </c>
    </row>
    <row r="78" spans="1:42">
      <c r="A78" t="s">
        <v>412</v>
      </c>
      <c r="B78" s="7">
        <v>45473</v>
      </c>
      <c r="C78" s="7">
        <v>45471</v>
      </c>
      <c r="D78" t="s">
        <v>213</v>
      </c>
      <c r="E78" t="s">
        <v>234</v>
      </c>
      <c r="F78" t="s">
        <v>386</v>
      </c>
      <c r="G78" t="s">
        <v>223</v>
      </c>
      <c r="H78" t="s">
        <v>259</v>
      </c>
      <c r="I78" t="s">
        <v>210</v>
      </c>
      <c r="J78" t="s">
        <v>242</v>
      </c>
      <c r="K78" t="s">
        <v>413</v>
      </c>
      <c r="L78" s="10">
        <v>1112.98</v>
      </c>
      <c r="M78" s="10">
        <v>2095.73</v>
      </c>
      <c r="N78" s="17">
        <v>0.072</v>
      </c>
      <c r="O78">
        <v>17</v>
      </c>
      <c r="P78" t="str">
        <f t="shared" si="23"/>
        <v>Valid</v>
      </c>
      <c r="Q78" s="10">
        <f t="shared" si="24"/>
        <v>2095.73</v>
      </c>
      <c r="R78" t="b">
        <f t="shared" si="25"/>
        <v>0</v>
      </c>
      <c r="S78" s="17">
        <f t="shared" si="26"/>
        <v>0.072</v>
      </c>
      <c r="T78">
        <f t="shared" si="27"/>
        <v>-2</v>
      </c>
      <c r="U78" s="26">
        <f t="shared" si="28"/>
        <v>45480</v>
      </c>
      <c r="V78">
        <f t="shared" si="29"/>
        <v>7</v>
      </c>
      <c r="W78" s="10">
        <f t="shared" si="30"/>
        <v>3560175.82648</v>
      </c>
      <c r="X78" s="10">
        <f t="shared" si="31"/>
        <v>35627.41</v>
      </c>
      <c r="Y78" s="10">
        <f t="shared" si="32"/>
        <v>3524548.41648</v>
      </c>
      <c r="Z78" s="14">
        <f t="shared" si="36"/>
        <v>0.989992794812265</v>
      </c>
      <c r="AA78" t="s">
        <v>1576</v>
      </c>
      <c r="AB78" t="str">
        <f t="shared" si="33"/>
        <v>Q2-2024</v>
      </c>
      <c r="AC78" t="str">
        <f t="shared" si="34"/>
        <v>Americas → Brazil → Rio de Janeiro</v>
      </c>
      <c r="AD78" t="str">
        <f t="shared" si="35"/>
        <v>Support</v>
      </c>
      <c r="AE78" s="8" t="str">
        <f t="shared" si="22"/>
        <v>Medium</v>
      </c>
      <c r="AF78" t="str">
        <f t="shared" si="37"/>
        <v>BRAZIL</v>
      </c>
      <c r="AG78" s="7">
        <f>_xlfn.MINIFS($B$2:$B$633,$AF$2:$AF$633,AF78)</f>
        <v>44955</v>
      </c>
      <c r="AH78" t="str">
        <f t="shared" si="38"/>
        <v>Jan-2023</v>
      </c>
      <c r="AI78" s="9">
        <f t="shared" si="39"/>
        <v>45473</v>
      </c>
      <c r="AJ78">
        <f t="shared" si="43"/>
        <v>1</v>
      </c>
      <c r="AK78">
        <f t="shared" si="40"/>
        <v>0</v>
      </c>
      <c r="AL78" s="17">
        <f>MIN(N78,'Scenario Modelling'!$B$2)</f>
        <v>0.072</v>
      </c>
      <c r="AM78" s="10">
        <f>L78*(1+'Scenario Modelling'!$B$3)</f>
        <v>1279.927</v>
      </c>
      <c r="AN78">
        <f>O78*(1+'Scenario Modelling'!$B$4)</f>
        <v>20.4</v>
      </c>
      <c r="AO78" s="28">
        <f t="shared" si="41"/>
        <v>39674.683776</v>
      </c>
      <c r="AP78" s="10">
        <f t="shared" si="42"/>
        <v>13564.172976</v>
      </c>
    </row>
    <row r="79" spans="1:42">
      <c r="A79" t="s">
        <v>414</v>
      </c>
      <c r="B79" s="7">
        <v>45091</v>
      </c>
      <c r="C79" s="7">
        <v>45093</v>
      </c>
      <c r="D79" t="s">
        <v>239</v>
      </c>
      <c r="E79" t="s">
        <v>269</v>
      </c>
      <c r="F79" t="s">
        <v>389</v>
      </c>
      <c r="G79" t="s">
        <v>200</v>
      </c>
      <c r="H79" t="s">
        <v>259</v>
      </c>
      <c r="I79" t="s">
        <v>256</v>
      </c>
      <c r="J79" t="s">
        <v>183</v>
      </c>
      <c r="K79" t="s">
        <v>415</v>
      </c>
      <c r="L79" s="10">
        <v>357.36</v>
      </c>
      <c r="M79" s="10">
        <v>703.62</v>
      </c>
      <c r="N79" s="17">
        <v>0.257</v>
      </c>
      <c r="O79">
        <v>20</v>
      </c>
      <c r="P79" t="str">
        <f t="shared" si="23"/>
        <v>Valid</v>
      </c>
      <c r="Q79" s="10">
        <f t="shared" si="24"/>
        <v>703.62</v>
      </c>
      <c r="R79" t="b">
        <f t="shared" si="25"/>
        <v>0</v>
      </c>
      <c r="S79" s="17">
        <f t="shared" si="26"/>
        <v>0.257</v>
      </c>
      <c r="T79">
        <f t="shared" si="27"/>
        <v>2</v>
      </c>
      <c r="U79" s="26">
        <f t="shared" si="28"/>
        <v>45093</v>
      </c>
      <c r="V79">
        <f t="shared" si="29"/>
        <v>2</v>
      </c>
      <c r="W79" s="10">
        <f t="shared" si="30"/>
        <v>1403623.3932</v>
      </c>
      <c r="X79" s="10">
        <f t="shared" si="31"/>
        <v>14072.4</v>
      </c>
      <c r="Y79" s="10">
        <f t="shared" si="32"/>
        <v>1389550.9932</v>
      </c>
      <c r="Z79" s="14">
        <f t="shared" si="36"/>
        <v>0.989974233780817</v>
      </c>
      <c r="AA79" t="s">
        <v>1583</v>
      </c>
      <c r="AB79" t="str">
        <f t="shared" si="33"/>
        <v>Q2-2023</v>
      </c>
      <c r="AC79" t="str">
        <f t="shared" si="34"/>
        <v>Europe → United Kingdom → Manchester</v>
      </c>
      <c r="AD79" t="str">
        <f t="shared" si="35"/>
        <v>Support</v>
      </c>
      <c r="AE79" s="8" t="str">
        <f t="shared" si="22"/>
        <v>Low</v>
      </c>
      <c r="AF79" t="str">
        <f t="shared" si="37"/>
        <v>UNITED KINGDOM</v>
      </c>
      <c r="AG79" s="7">
        <v>44945</v>
      </c>
      <c r="AH79" t="str">
        <f t="shared" si="38"/>
        <v>Jan-2023</v>
      </c>
      <c r="AI79" s="9">
        <f t="shared" si="39"/>
        <v>45107</v>
      </c>
      <c r="AJ79">
        <f t="shared" si="43"/>
        <v>1</v>
      </c>
      <c r="AK79">
        <f t="shared" si="40"/>
        <v>1</v>
      </c>
      <c r="AL79" s="17">
        <f>MIN(N79,'Scenario Modelling'!$B$2)</f>
        <v>0.25</v>
      </c>
      <c r="AM79" s="10">
        <f>L79*(1+'Scenario Modelling'!$B$3)</f>
        <v>410.964</v>
      </c>
      <c r="AN79">
        <f>O79*(1+'Scenario Modelling'!$B$4)</f>
        <v>24</v>
      </c>
      <c r="AO79" s="28">
        <f t="shared" si="41"/>
        <v>12665.16</v>
      </c>
      <c r="AP79" s="10">
        <f t="shared" si="42"/>
        <v>2802.024</v>
      </c>
    </row>
    <row r="80" spans="1:42">
      <c r="A80" t="s">
        <v>416</v>
      </c>
      <c r="B80" s="7">
        <v>45617</v>
      </c>
      <c r="C80" s="7">
        <v>45647</v>
      </c>
      <c r="D80" t="s">
        <v>239</v>
      </c>
      <c r="E80" t="s">
        <v>251</v>
      </c>
      <c r="F80" t="s">
        <v>252</v>
      </c>
      <c r="G80" t="s">
        <v>223</v>
      </c>
      <c r="H80" t="s">
        <v>259</v>
      </c>
      <c r="I80" t="s">
        <v>195</v>
      </c>
      <c r="J80" t="s">
        <v>225</v>
      </c>
      <c r="K80" t="s">
        <v>417</v>
      </c>
      <c r="L80" s="10">
        <v>1122.68</v>
      </c>
      <c r="M80" s="10">
        <v>1997.19</v>
      </c>
      <c r="N80" s="17">
        <v>0.186</v>
      </c>
      <c r="O80">
        <v>3</v>
      </c>
      <c r="P80" t="str">
        <f t="shared" si="23"/>
        <v>Valid</v>
      </c>
      <c r="Q80" s="10">
        <f t="shared" si="24"/>
        <v>1997.19</v>
      </c>
      <c r="R80" t="b">
        <f t="shared" si="25"/>
        <v>0</v>
      </c>
      <c r="S80" s="17">
        <f t="shared" si="26"/>
        <v>0.186</v>
      </c>
      <c r="T80">
        <f t="shared" si="27"/>
        <v>30</v>
      </c>
      <c r="U80" s="26">
        <f t="shared" si="28"/>
        <v>45647</v>
      </c>
      <c r="V80">
        <f t="shared" si="29"/>
        <v>30</v>
      </c>
      <c r="W80" s="10">
        <f t="shared" si="30"/>
        <v>598042.56798</v>
      </c>
      <c r="X80" s="10">
        <f t="shared" si="31"/>
        <v>5991.57</v>
      </c>
      <c r="Y80" s="10">
        <f t="shared" si="32"/>
        <v>592050.99798</v>
      </c>
      <c r="Z80" s="14">
        <f t="shared" si="36"/>
        <v>0.989981365339532</v>
      </c>
      <c r="AA80" t="s">
        <v>1577</v>
      </c>
      <c r="AB80" t="str">
        <f t="shared" si="33"/>
        <v>Q4-2024</v>
      </c>
      <c r="AC80" t="str">
        <f t="shared" si="34"/>
        <v>Europe → France → Marseille</v>
      </c>
      <c r="AD80" t="str">
        <f t="shared" si="35"/>
        <v>Peripherals</v>
      </c>
      <c r="AE80" s="8" t="str">
        <f t="shared" si="22"/>
        <v>High</v>
      </c>
      <c r="AF80" t="str">
        <f t="shared" si="37"/>
        <v>FRANCE</v>
      </c>
      <c r="AG80" s="7">
        <v>44936</v>
      </c>
      <c r="AH80" t="str">
        <f t="shared" si="38"/>
        <v>Jan-2023</v>
      </c>
      <c r="AI80" s="9">
        <f t="shared" si="39"/>
        <v>45626</v>
      </c>
      <c r="AJ80">
        <f t="shared" si="43"/>
        <v>0</v>
      </c>
      <c r="AK80">
        <f t="shared" si="40"/>
        <v>0</v>
      </c>
      <c r="AL80" s="17">
        <f>MIN(N80,'Scenario Modelling'!$B$2)</f>
        <v>0.186</v>
      </c>
      <c r="AM80" s="10">
        <f>L80*(1+'Scenario Modelling'!$B$3)</f>
        <v>1291.082</v>
      </c>
      <c r="AN80">
        <f>O80*(1+'Scenario Modelling'!$B$4)</f>
        <v>3.6</v>
      </c>
      <c r="AO80" s="28">
        <f t="shared" si="41"/>
        <v>5852.565576</v>
      </c>
      <c r="AP80" s="10">
        <f t="shared" si="42"/>
        <v>1204.670376</v>
      </c>
    </row>
    <row r="81" spans="1:42">
      <c r="A81" t="s">
        <v>418</v>
      </c>
      <c r="B81" s="7">
        <v>44965</v>
      </c>
      <c r="C81" s="7">
        <v>44968</v>
      </c>
      <c r="D81" t="s">
        <v>177</v>
      </c>
      <c r="E81" t="s">
        <v>309</v>
      </c>
      <c r="F81" t="s">
        <v>419</v>
      </c>
      <c r="G81" t="s">
        <v>180</v>
      </c>
      <c r="H81" t="s">
        <v>259</v>
      </c>
      <c r="I81" t="s">
        <v>271</v>
      </c>
      <c r="J81" t="s">
        <v>196</v>
      </c>
      <c r="K81" t="s">
        <v>420</v>
      </c>
      <c r="L81" s="10">
        <v>1410.05</v>
      </c>
      <c r="M81" s="10">
        <v>2763.95</v>
      </c>
      <c r="N81" s="17">
        <v>0.161</v>
      </c>
      <c r="O81">
        <v>26</v>
      </c>
      <c r="P81" t="str">
        <f t="shared" si="23"/>
        <v>Valid</v>
      </c>
      <c r="Q81" s="10">
        <f t="shared" si="24"/>
        <v>2763.95</v>
      </c>
      <c r="R81" t="b">
        <f t="shared" si="25"/>
        <v>0</v>
      </c>
      <c r="S81" s="17">
        <f t="shared" si="26"/>
        <v>0.161</v>
      </c>
      <c r="T81">
        <f t="shared" si="27"/>
        <v>3</v>
      </c>
      <c r="U81" s="26">
        <f t="shared" si="28"/>
        <v>44968</v>
      </c>
      <c r="V81">
        <f t="shared" si="29"/>
        <v>3</v>
      </c>
      <c r="W81" s="10">
        <f t="shared" si="30"/>
        <v>7174700.1053</v>
      </c>
      <c r="X81" s="10">
        <f t="shared" si="31"/>
        <v>71862.7</v>
      </c>
      <c r="Y81" s="10">
        <f t="shared" si="32"/>
        <v>7102837.4053</v>
      </c>
      <c r="Z81" s="14">
        <f t="shared" si="36"/>
        <v>0.9899838740372</v>
      </c>
      <c r="AA81" t="s">
        <v>1562</v>
      </c>
      <c r="AB81" t="str">
        <f t="shared" si="33"/>
        <v>Q1-2023</v>
      </c>
      <c r="AC81" t="str">
        <f t="shared" si="34"/>
        <v>Africa → South Africa → Cape Town</v>
      </c>
      <c r="AD81" t="str">
        <f t="shared" si="35"/>
        <v>Support</v>
      </c>
      <c r="AE81" s="8" t="str">
        <f t="shared" si="22"/>
        <v>Low</v>
      </c>
      <c r="AF81" t="str">
        <f t="shared" si="37"/>
        <v>SOUTH AFRICA</v>
      </c>
      <c r="AG81" s="7">
        <f>_xlfn.MINIFS($B$2:$B$633,$AF$2:$AF$633,AF81)</f>
        <v>44933</v>
      </c>
      <c r="AH81" t="str">
        <f t="shared" si="38"/>
        <v>Jan-2023</v>
      </c>
      <c r="AI81" s="9">
        <f t="shared" si="39"/>
        <v>44985</v>
      </c>
      <c r="AJ81">
        <f t="shared" si="43"/>
        <v>1</v>
      </c>
      <c r="AK81">
        <f t="shared" si="40"/>
        <v>0</v>
      </c>
      <c r="AL81" s="17">
        <f>MIN(N81,'Scenario Modelling'!$B$2)</f>
        <v>0.161</v>
      </c>
      <c r="AM81" s="10">
        <f>L81*(1+'Scenario Modelling'!$B$3)</f>
        <v>1621.5575</v>
      </c>
      <c r="AN81">
        <f>O81*(1+'Scenario Modelling'!$B$4)</f>
        <v>31.2</v>
      </c>
      <c r="AO81" s="28">
        <f t="shared" si="41"/>
        <v>72351.36636</v>
      </c>
      <c r="AP81" s="10">
        <f t="shared" si="42"/>
        <v>21758.77236</v>
      </c>
    </row>
    <row r="82" spans="1:42">
      <c r="A82" t="s">
        <v>421</v>
      </c>
      <c r="B82" s="7">
        <v>45157</v>
      </c>
      <c r="C82" s="7">
        <v>45181</v>
      </c>
      <c r="D82" t="s">
        <v>213</v>
      </c>
      <c r="E82" t="s">
        <v>214</v>
      </c>
      <c r="F82" t="s">
        <v>340</v>
      </c>
      <c r="G82" t="s">
        <v>266</v>
      </c>
      <c r="H82" t="s">
        <v>181</v>
      </c>
      <c r="I82" t="s">
        <v>195</v>
      </c>
      <c r="J82" t="s">
        <v>191</v>
      </c>
      <c r="K82" t="s">
        <v>422</v>
      </c>
      <c r="L82" s="10">
        <v>1183.95</v>
      </c>
      <c r="M82" s="10">
        <v>1503.53</v>
      </c>
      <c r="N82" s="17">
        <v>0.241</v>
      </c>
      <c r="O82">
        <v>16</v>
      </c>
      <c r="P82" t="str">
        <f t="shared" si="23"/>
        <v>Valid</v>
      </c>
      <c r="Q82" s="10">
        <f t="shared" si="24"/>
        <v>1503.53</v>
      </c>
      <c r="R82" t="b">
        <f t="shared" si="25"/>
        <v>0</v>
      </c>
      <c r="S82" s="17">
        <f t="shared" si="26"/>
        <v>0.241</v>
      </c>
      <c r="T82">
        <f t="shared" si="27"/>
        <v>24</v>
      </c>
      <c r="U82" s="26">
        <f t="shared" si="28"/>
        <v>45181</v>
      </c>
      <c r="V82">
        <f t="shared" si="29"/>
        <v>24</v>
      </c>
      <c r="W82" s="10">
        <f t="shared" si="30"/>
        <v>2399850.38832</v>
      </c>
      <c r="X82" s="10">
        <f t="shared" si="31"/>
        <v>24056.48</v>
      </c>
      <c r="Y82" s="10">
        <f t="shared" si="32"/>
        <v>2375793.90832</v>
      </c>
      <c r="Z82" s="14">
        <f t="shared" si="36"/>
        <v>0.989975841778687</v>
      </c>
      <c r="AA82" t="s">
        <v>1585</v>
      </c>
      <c r="AB82" t="str">
        <f t="shared" si="33"/>
        <v>Q3-2023</v>
      </c>
      <c r="AC82" t="str">
        <f t="shared" si="34"/>
        <v>Americas → Canada → Vancouver</v>
      </c>
      <c r="AD82" t="str">
        <f t="shared" si="35"/>
        <v>Peripherals</v>
      </c>
      <c r="AE82" s="8" t="str">
        <f t="shared" si="22"/>
        <v>Low</v>
      </c>
      <c r="AF82" t="str">
        <f t="shared" si="37"/>
        <v>CANADA</v>
      </c>
      <c r="AG82" s="7">
        <f>_xlfn.MINIFS($B$2:$B$633,$AF$2:$AF$633,AF82)</f>
        <v>44928</v>
      </c>
      <c r="AH82" t="str">
        <f t="shared" si="38"/>
        <v>Jan-2023</v>
      </c>
      <c r="AI82" s="9">
        <f t="shared" si="39"/>
        <v>45169</v>
      </c>
      <c r="AJ82">
        <f t="shared" si="43"/>
        <v>0</v>
      </c>
      <c r="AK82">
        <f t="shared" si="40"/>
        <v>1</v>
      </c>
      <c r="AL82" s="17">
        <f>MIN(N82,'Scenario Modelling'!$B$2)</f>
        <v>0.241</v>
      </c>
      <c r="AM82" s="10">
        <f>L82*(1+'Scenario Modelling'!$B$3)</f>
        <v>1361.5425</v>
      </c>
      <c r="AN82">
        <f>O82*(1+'Scenario Modelling'!$B$4)</f>
        <v>19.2</v>
      </c>
      <c r="AO82" s="28">
        <f t="shared" si="41"/>
        <v>21910.641984</v>
      </c>
      <c r="AP82" s="10">
        <f t="shared" si="42"/>
        <v>-4230.974016</v>
      </c>
    </row>
    <row r="83" spans="1:42">
      <c r="A83" t="s">
        <v>423</v>
      </c>
      <c r="B83" s="7">
        <v>45791</v>
      </c>
      <c r="C83" s="7">
        <v>45801</v>
      </c>
      <c r="D83" t="s">
        <v>239</v>
      </c>
      <c r="E83" t="s">
        <v>251</v>
      </c>
      <c r="F83" t="s">
        <v>378</v>
      </c>
      <c r="G83" t="s">
        <v>223</v>
      </c>
      <c r="H83" t="s">
        <v>201</v>
      </c>
      <c r="I83" t="s">
        <v>256</v>
      </c>
      <c r="J83" t="s">
        <v>183</v>
      </c>
      <c r="K83" t="s">
        <v>424</v>
      </c>
      <c r="L83" s="10">
        <v>170.39</v>
      </c>
      <c r="M83" s="10">
        <v>388.04</v>
      </c>
      <c r="N83" s="17">
        <v>0.084</v>
      </c>
      <c r="O83">
        <v>15</v>
      </c>
      <c r="P83" t="str">
        <f t="shared" si="23"/>
        <v>Valid</v>
      </c>
      <c r="Q83" s="10">
        <f t="shared" si="24"/>
        <v>388.04</v>
      </c>
      <c r="R83" t="b">
        <f t="shared" si="25"/>
        <v>0</v>
      </c>
      <c r="S83" s="17">
        <f t="shared" si="26"/>
        <v>0.084</v>
      </c>
      <c r="T83">
        <f t="shared" si="27"/>
        <v>10</v>
      </c>
      <c r="U83" s="26">
        <f t="shared" si="28"/>
        <v>45801</v>
      </c>
      <c r="V83">
        <f t="shared" si="29"/>
        <v>10</v>
      </c>
      <c r="W83" s="10">
        <f t="shared" si="30"/>
        <v>581571.0696</v>
      </c>
      <c r="X83" s="10">
        <f t="shared" si="31"/>
        <v>5820.6</v>
      </c>
      <c r="Y83" s="10">
        <f t="shared" si="32"/>
        <v>575750.4696</v>
      </c>
      <c r="Z83" s="14">
        <f t="shared" si="36"/>
        <v>0.989991592938068</v>
      </c>
      <c r="AA83" t="s">
        <v>1567</v>
      </c>
      <c r="AB83" t="str">
        <f t="shared" si="33"/>
        <v>Q2-2025</v>
      </c>
      <c r="AC83" t="str">
        <f t="shared" si="34"/>
        <v>Europe → France → Paris</v>
      </c>
      <c r="AD83" t="str">
        <f t="shared" si="35"/>
        <v>Support</v>
      </c>
      <c r="AE83" s="8" t="str">
        <f t="shared" si="22"/>
        <v>High</v>
      </c>
      <c r="AF83" t="str">
        <f t="shared" si="37"/>
        <v>FRANCE</v>
      </c>
      <c r="AG83" s="7">
        <v>44936</v>
      </c>
      <c r="AH83" t="str">
        <f t="shared" si="38"/>
        <v>Jan-2023</v>
      </c>
      <c r="AI83" s="9">
        <f t="shared" si="39"/>
        <v>45808</v>
      </c>
      <c r="AJ83">
        <f t="shared" si="43"/>
        <v>0</v>
      </c>
      <c r="AK83">
        <f t="shared" si="40"/>
        <v>0</v>
      </c>
      <c r="AL83" s="17">
        <f>MIN(N83,'Scenario Modelling'!$B$2)</f>
        <v>0.084</v>
      </c>
      <c r="AM83" s="10">
        <f>L83*(1+'Scenario Modelling'!$B$3)</f>
        <v>195.9485</v>
      </c>
      <c r="AN83">
        <f>O83*(1+'Scenario Modelling'!$B$4)</f>
        <v>18</v>
      </c>
      <c r="AO83" s="28">
        <f t="shared" si="41"/>
        <v>6398.00352</v>
      </c>
      <c r="AP83" s="10">
        <f t="shared" si="42"/>
        <v>2870.93052</v>
      </c>
    </row>
    <row r="84" spans="1:42">
      <c r="A84" t="s">
        <v>425</v>
      </c>
      <c r="B84" s="7">
        <v>45770</v>
      </c>
      <c r="C84" s="7">
        <v>45769</v>
      </c>
      <c r="D84" t="s">
        <v>213</v>
      </c>
      <c r="E84" t="s">
        <v>283</v>
      </c>
      <c r="F84" t="s">
        <v>328</v>
      </c>
      <c r="G84" t="s">
        <v>200</v>
      </c>
      <c r="H84" t="s">
        <v>216</v>
      </c>
      <c r="I84" t="s">
        <v>306</v>
      </c>
      <c r="J84" t="s">
        <v>225</v>
      </c>
      <c r="K84" t="s">
        <v>426</v>
      </c>
      <c r="L84" s="10">
        <v>23.24</v>
      </c>
      <c r="M84" s="10">
        <v>44.57</v>
      </c>
      <c r="N84" s="17">
        <v>0.215</v>
      </c>
      <c r="O84">
        <v>15</v>
      </c>
      <c r="P84" t="str">
        <f t="shared" si="23"/>
        <v>Valid</v>
      </c>
      <c r="Q84" s="10">
        <f t="shared" si="24"/>
        <v>44.57</v>
      </c>
      <c r="R84" t="b">
        <f t="shared" si="25"/>
        <v>0</v>
      </c>
      <c r="S84" s="17">
        <f t="shared" si="26"/>
        <v>0.215</v>
      </c>
      <c r="T84">
        <f t="shared" si="27"/>
        <v>-1</v>
      </c>
      <c r="U84" s="26">
        <f t="shared" si="28"/>
        <v>45777</v>
      </c>
      <c r="V84">
        <f t="shared" si="29"/>
        <v>7</v>
      </c>
      <c r="W84" s="10">
        <f t="shared" si="30"/>
        <v>66711.26175</v>
      </c>
      <c r="X84" s="10">
        <f t="shared" si="31"/>
        <v>668.55</v>
      </c>
      <c r="Y84" s="10">
        <f t="shared" si="32"/>
        <v>66042.71175</v>
      </c>
      <c r="Z84" s="14">
        <f t="shared" si="36"/>
        <v>0.989978453675402</v>
      </c>
      <c r="AA84" t="s">
        <v>1578</v>
      </c>
      <c r="AB84" t="str">
        <f t="shared" si="33"/>
        <v>Q2-2025</v>
      </c>
      <c r="AC84" t="str">
        <f t="shared" si="34"/>
        <v>Americas → USA → San Francisco</v>
      </c>
      <c r="AD84" t="str">
        <f t="shared" si="35"/>
        <v>Peripherals</v>
      </c>
      <c r="AE84" s="8" t="str">
        <f t="shared" si="22"/>
        <v>High</v>
      </c>
      <c r="AF84" t="str">
        <f t="shared" si="37"/>
        <v>USA</v>
      </c>
      <c r="AG84" s="7">
        <v>44939</v>
      </c>
      <c r="AH84" t="str">
        <f t="shared" si="38"/>
        <v>Jan-2023</v>
      </c>
      <c r="AI84" s="9">
        <f t="shared" si="39"/>
        <v>45777</v>
      </c>
      <c r="AJ84">
        <f t="shared" si="43"/>
        <v>1</v>
      </c>
      <c r="AK84">
        <f t="shared" si="40"/>
        <v>1</v>
      </c>
      <c r="AL84" s="17">
        <f>MIN(N84,'Scenario Modelling'!$B$2)</f>
        <v>0.215</v>
      </c>
      <c r="AM84" s="10">
        <f>L84*(1+'Scenario Modelling'!$B$3)</f>
        <v>26.726</v>
      </c>
      <c r="AN84">
        <f>O84*(1+'Scenario Modelling'!$B$4)</f>
        <v>18</v>
      </c>
      <c r="AO84" s="28">
        <f t="shared" si="41"/>
        <v>629.7741</v>
      </c>
      <c r="AP84" s="10">
        <f t="shared" si="42"/>
        <v>148.7061</v>
      </c>
    </row>
    <row r="85" spans="1:42">
      <c r="A85" t="s">
        <v>427</v>
      </c>
      <c r="B85" s="7">
        <v>45741</v>
      </c>
      <c r="C85" s="7">
        <v>45764</v>
      </c>
      <c r="D85" t="s">
        <v>239</v>
      </c>
      <c r="E85" t="s">
        <v>269</v>
      </c>
      <c r="F85" t="s">
        <v>313</v>
      </c>
      <c r="G85" t="s">
        <v>209</v>
      </c>
      <c r="H85" t="s">
        <v>181</v>
      </c>
      <c r="I85" t="s">
        <v>253</v>
      </c>
      <c r="J85" t="s">
        <v>196</v>
      </c>
      <c r="K85" t="s">
        <v>428</v>
      </c>
      <c r="L85" s="10">
        <v>1421.19</v>
      </c>
      <c r="M85" s="10">
        <v>1808.26</v>
      </c>
      <c r="N85" s="17">
        <v>0.104</v>
      </c>
      <c r="O85">
        <v>13</v>
      </c>
      <c r="P85" t="str">
        <f t="shared" si="23"/>
        <v>Valid</v>
      </c>
      <c r="Q85" s="10">
        <f t="shared" si="24"/>
        <v>1808.26</v>
      </c>
      <c r="R85" t="b">
        <f t="shared" si="25"/>
        <v>0</v>
      </c>
      <c r="S85" s="17">
        <f t="shared" si="26"/>
        <v>0.104</v>
      </c>
      <c r="T85">
        <f t="shared" si="27"/>
        <v>23</v>
      </c>
      <c r="U85" s="26">
        <f t="shared" si="28"/>
        <v>45764</v>
      </c>
      <c r="V85">
        <f t="shared" si="29"/>
        <v>23</v>
      </c>
      <c r="W85" s="10">
        <f t="shared" si="30"/>
        <v>2348293.23248</v>
      </c>
      <c r="X85" s="10">
        <f t="shared" si="31"/>
        <v>23507.38</v>
      </c>
      <c r="Y85" s="10">
        <f t="shared" si="32"/>
        <v>2324785.85248</v>
      </c>
      <c r="Z85" s="14">
        <f t="shared" si="36"/>
        <v>0.98998958917274</v>
      </c>
      <c r="AA85" t="s">
        <v>1563</v>
      </c>
      <c r="AB85" t="str">
        <f t="shared" si="33"/>
        <v>Q1-2025</v>
      </c>
      <c r="AC85" t="str">
        <f t="shared" si="34"/>
        <v>Europe → United Kingdom → London</v>
      </c>
      <c r="AD85" t="str">
        <f t="shared" si="35"/>
        <v>Support</v>
      </c>
      <c r="AE85" s="8" t="str">
        <f t="shared" si="22"/>
        <v>High</v>
      </c>
      <c r="AF85" t="str">
        <f t="shared" si="37"/>
        <v>UNITED KINGDOM</v>
      </c>
      <c r="AG85" s="7">
        <v>44945</v>
      </c>
      <c r="AH85" t="str">
        <f t="shared" si="38"/>
        <v>Jan-2023</v>
      </c>
      <c r="AI85" s="9">
        <f t="shared" si="39"/>
        <v>45747</v>
      </c>
      <c r="AJ85">
        <f t="shared" si="43"/>
        <v>0</v>
      </c>
      <c r="AK85">
        <f t="shared" si="40"/>
        <v>0</v>
      </c>
      <c r="AL85" s="17">
        <f>MIN(N85,'Scenario Modelling'!$B$2)</f>
        <v>0.104</v>
      </c>
      <c r="AM85" s="10">
        <f>L85*(1+'Scenario Modelling'!$B$3)</f>
        <v>1634.3685</v>
      </c>
      <c r="AN85">
        <f>O85*(1+'Scenario Modelling'!$B$4)</f>
        <v>15.6</v>
      </c>
      <c r="AO85" s="28">
        <f t="shared" si="41"/>
        <v>25275.134976</v>
      </c>
      <c r="AP85" s="10">
        <f t="shared" si="42"/>
        <v>-221.013623999999</v>
      </c>
    </row>
    <row r="86" spans="1:42">
      <c r="A86" t="s">
        <v>429</v>
      </c>
      <c r="B86" s="7">
        <v>45282</v>
      </c>
      <c r="C86" s="7">
        <v>45283</v>
      </c>
      <c r="D86" t="s">
        <v>177</v>
      </c>
      <c r="E86" t="s">
        <v>309</v>
      </c>
      <c r="F86" t="s">
        <v>419</v>
      </c>
      <c r="G86" t="s">
        <v>200</v>
      </c>
      <c r="H86" t="s">
        <v>201</v>
      </c>
      <c r="I86" t="s">
        <v>306</v>
      </c>
      <c r="J86" t="s">
        <v>183</v>
      </c>
      <c r="K86" t="s">
        <v>430</v>
      </c>
      <c r="L86" s="10">
        <v>1186.18</v>
      </c>
      <c r="M86" s="10">
        <v>1285.09</v>
      </c>
      <c r="N86" s="17">
        <v>0.07</v>
      </c>
      <c r="O86">
        <v>11</v>
      </c>
      <c r="P86" t="str">
        <f t="shared" si="23"/>
        <v>Valid</v>
      </c>
      <c r="Q86" s="10">
        <f t="shared" si="24"/>
        <v>1285.09</v>
      </c>
      <c r="R86" t="b">
        <f t="shared" si="25"/>
        <v>0</v>
      </c>
      <c r="S86" s="17">
        <f t="shared" si="26"/>
        <v>0.07</v>
      </c>
      <c r="T86">
        <f t="shared" si="27"/>
        <v>1</v>
      </c>
      <c r="U86" s="26">
        <f t="shared" si="28"/>
        <v>45283</v>
      </c>
      <c r="V86">
        <f t="shared" si="29"/>
        <v>1</v>
      </c>
      <c r="W86" s="10">
        <f t="shared" si="30"/>
        <v>1412609.4807</v>
      </c>
      <c r="X86" s="10">
        <f t="shared" si="31"/>
        <v>14135.99</v>
      </c>
      <c r="Y86" s="10">
        <f t="shared" si="32"/>
        <v>1398473.4907</v>
      </c>
      <c r="Z86" s="14">
        <f t="shared" si="36"/>
        <v>0.989992995096568</v>
      </c>
      <c r="AA86" t="s">
        <v>1587</v>
      </c>
      <c r="AB86" t="str">
        <f t="shared" si="33"/>
        <v>Q4-2023</v>
      </c>
      <c r="AC86" t="str">
        <f t="shared" si="34"/>
        <v>Africa → South Africa → Cape Town</v>
      </c>
      <c r="AD86" t="str">
        <f t="shared" si="35"/>
        <v>Support</v>
      </c>
      <c r="AE86" s="8" t="str">
        <f t="shared" si="22"/>
        <v>Medium</v>
      </c>
      <c r="AF86" t="str">
        <f t="shared" si="37"/>
        <v>SOUTH AFRICA</v>
      </c>
      <c r="AG86" s="7">
        <v>44933</v>
      </c>
      <c r="AH86" t="str">
        <f t="shared" si="38"/>
        <v>Jan-2023</v>
      </c>
      <c r="AI86" s="9">
        <f t="shared" si="39"/>
        <v>45291</v>
      </c>
      <c r="AJ86">
        <f t="shared" si="43"/>
        <v>1</v>
      </c>
      <c r="AK86">
        <f t="shared" si="40"/>
        <v>0</v>
      </c>
      <c r="AL86" s="17">
        <f>MIN(N86,'Scenario Modelling'!$B$2)</f>
        <v>0.07</v>
      </c>
      <c r="AM86" s="10">
        <f>L86*(1+'Scenario Modelling'!$B$3)</f>
        <v>1364.107</v>
      </c>
      <c r="AN86">
        <f>O86*(1+'Scenario Modelling'!$B$4)</f>
        <v>13.2</v>
      </c>
      <c r="AO86" s="28">
        <f t="shared" si="41"/>
        <v>15775.76484</v>
      </c>
      <c r="AP86" s="10">
        <f t="shared" si="42"/>
        <v>-2230.44756</v>
      </c>
    </row>
    <row r="87" spans="1:42">
      <c r="A87" t="s">
        <v>431</v>
      </c>
      <c r="B87" s="7">
        <v>45388</v>
      </c>
      <c r="C87" s="7">
        <v>45407</v>
      </c>
      <c r="D87" t="s">
        <v>206</v>
      </c>
      <c r="E87" t="s">
        <v>277</v>
      </c>
      <c r="F87" t="s">
        <v>323</v>
      </c>
      <c r="G87" t="s">
        <v>180</v>
      </c>
      <c r="H87" t="s">
        <v>181</v>
      </c>
      <c r="I87" t="s">
        <v>256</v>
      </c>
      <c r="J87" t="s">
        <v>183</v>
      </c>
      <c r="K87" t="s">
        <v>432</v>
      </c>
      <c r="L87" s="10">
        <v>1366.48</v>
      </c>
      <c r="M87" s="10">
        <v>1678.14</v>
      </c>
      <c r="N87" s="17">
        <v>0.154</v>
      </c>
      <c r="O87">
        <v>10</v>
      </c>
      <c r="P87" t="str">
        <f t="shared" si="23"/>
        <v>Valid</v>
      </c>
      <c r="Q87" s="10">
        <f t="shared" si="24"/>
        <v>1678.14</v>
      </c>
      <c r="R87" t="b">
        <f t="shared" si="25"/>
        <v>0</v>
      </c>
      <c r="S87" s="17">
        <f t="shared" si="26"/>
        <v>0.154</v>
      </c>
      <c r="T87">
        <f t="shared" si="27"/>
        <v>19</v>
      </c>
      <c r="U87" s="26">
        <f t="shared" si="28"/>
        <v>45407</v>
      </c>
      <c r="V87">
        <f t="shared" si="29"/>
        <v>19</v>
      </c>
      <c r="W87" s="10">
        <f t="shared" si="30"/>
        <v>1675555.6644</v>
      </c>
      <c r="X87" s="10">
        <f t="shared" si="31"/>
        <v>16781.4</v>
      </c>
      <c r="Y87" s="10">
        <f t="shared" si="32"/>
        <v>1658774.2644</v>
      </c>
      <c r="Z87" s="14">
        <f t="shared" si="36"/>
        <v>0.989984576247421</v>
      </c>
      <c r="AA87" t="s">
        <v>1580</v>
      </c>
      <c r="AB87" t="str">
        <f t="shared" si="33"/>
        <v>Q2-2024</v>
      </c>
      <c r="AC87" t="str">
        <f t="shared" si="34"/>
        <v>Asia → China → Shanghai</v>
      </c>
      <c r="AD87" t="str">
        <f t="shared" si="35"/>
        <v>Support</v>
      </c>
      <c r="AE87" s="8" t="str">
        <f t="shared" si="22"/>
        <v>Medium</v>
      </c>
      <c r="AF87" t="str">
        <f t="shared" si="37"/>
        <v>CHINA</v>
      </c>
      <c r="AG87" s="7">
        <f>_xlfn.MINIFS($B$2:$B$633,$AF$2:$AF$633,AF87)</f>
        <v>44938</v>
      </c>
      <c r="AH87" t="str">
        <f t="shared" si="38"/>
        <v>Jan-2023</v>
      </c>
      <c r="AI87" s="9">
        <f t="shared" si="39"/>
        <v>45412</v>
      </c>
      <c r="AJ87">
        <f t="shared" si="43"/>
        <v>0</v>
      </c>
      <c r="AK87">
        <f t="shared" si="40"/>
        <v>0</v>
      </c>
      <c r="AL87" s="17">
        <f>MIN(N87,'Scenario Modelling'!$B$2)</f>
        <v>0.154</v>
      </c>
      <c r="AM87" s="10">
        <f>L87*(1+'Scenario Modelling'!$B$3)</f>
        <v>1571.452</v>
      </c>
      <c r="AN87">
        <f>O87*(1+'Scenario Modelling'!$B$4)</f>
        <v>12</v>
      </c>
      <c r="AO87" s="28">
        <f t="shared" si="41"/>
        <v>17036.47728</v>
      </c>
      <c r="AP87" s="10">
        <f t="shared" si="42"/>
        <v>-1820.94672</v>
      </c>
    </row>
    <row r="88" spans="1:42">
      <c r="A88" t="s">
        <v>433</v>
      </c>
      <c r="B88" s="7">
        <v>45876</v>
      </c>
      <c r="C88" s="7">
        <v>45888</v>
      </c>
      <c r="D88" t="s">
        <v>177</v>
      </c>
      <c r="E88" t="s">
        <v>178</v>
      </c>
      <c r="F88" t="s">
        <v>296</v>
      </c>
      <c r="G88" t="s">
        <v>180</v>
      </c>
      <c r="H88" t="s">
        <v>1579</v>
      </c>
      <c r="I88" t="s">
        <v>271</v>
      </c>
      <c r="J88" t="s">
        <v>183</v>
      </c>
      <c r="K88" t="s">
        <v>434</v>
      </c>
      <c r="L88" s="10">
        <v>601.51</v>
      </c>
      <c r="M88" s="10">
        <v>679.35</v>
      </c>
      <c r="N88" s="17">
        <v>0.188</v>
      </c>
      <c r="O88">
        <v>3</v>
      </c>
      <c r="P88" t="str">
        <f t="shared" si="23"/>
        <v>Valid</v>
      </c>
      <c r="Q88" s="10">
        <f t="shared" si="24"/>
        <v>679.35</v>
      </c>
      <c r="R88" t="b">
        <f t="shared" si="25"/>
        <v>0</v>
      </c>
      <c r="S88" s="17">
        <f t="shared" si="26"/>
        <v>0.188</v>
      </c>
      <c r="T88">
        <f t="shared" si="27"/>
        <v>12</v>
      </c>
      <c r="U88" s="26">
        <f t="shared" si="28"/>
        <v>45888</v>
      </c>
      <c r="V88">
        <f t="shared" si="29"/>
        <v>12</v>
      </c>
      <c r="W88" s="10">
        <f t="shared" si="30"/>
        <v>203421.8466</v>
      </c>
      <c r="X88" s="10">
        <f t="shared" si="31"/>
        <v>2038.05</v>
      </c>
      <c r="Y88" s="10">
        <f t="shared" si="32"/>
        <v>201383.7966</v>
      </c>
      <c r="Z88" s="14">
        <f t="shared" si="36"/>
        <v>0.989981164589428</v>
      </c>
      <c r="AA88" t="s">
        <v>1590</v>
      </c>
      <c r="AB88" t="str">
        <f t="shared" si="33"/>
        <v>Q3-2025</v>
      </c>
      <c r="AC88" t="str">
        <f t="shared" si="34"/>
        <v>Africa → Kenya → Nakuru</v>
      </c>
      <c r="AD88" t="str">
        <f t="shared" si="35"/>
        <v>Support</v>
      </c>
      <c r="AE88" s="8" t="str">
        <f t="shared" si="22"/>
        <v>High</v>
      </c>
      <c r="AF88" t="str">
        <f t="shared" si="37"/>
        <v>KENYA</v>
      </c>
      <c r="AG88" s="7">
        <v>44946</v>
      </c>
      <c r="AH88" t="str">
        <f t="shared" si="38"/>
        <v>Jan-2023</v>
      </c>
      <c r="AI88" s="9">
        <f t="shared" si="39"/>
        <v>45900</v>
      </c>
      <c r="AJ88">
        <f t="shared" si="43"/>
        <v>0</v>
      </c>
      <c r="AK88">
        <f t="shared" si="40"/>
        <v>0</v>
      </c>
      <c r="AL88" s="17">
        <f>MIN(N88,'Scenario Modelling'!$B$2)</f>
        <v>0.188</v>
      </c>
      <c r="AM88" s="10">
        <f>L88*(1+'Scenario Modelling'!$B$3)</f>
        <v>691.7365</v>
      </c>
      <c r="AN88">
        <f>O88*(1+'Scenario Modelling'!$B$4)</f>
        <v>3.6</v>
      </c>
      <c r="AO88" s="28">
        <f t="shared" si="41"/>
        <v>1985.87592</v>
      </c>
      <c r="AP88" s="10">
        <f t="shared" si="42"/>
        <v>-504.37548</v>
      </c>
    </row>
    <row r="89" spans="1:42">
      <c r="A89" t="s">
        <v>435</v>
      </c>
      <c r="B89" s="7">
        <v>45312</v>
      </c>
      <c r="C89" s="7">
        <v>45316</v>
      </c>
      <c r="D89" t="s">
        <v>206</v>
      </c>
      <c r="E89" t="s">
        <v>221</v>
      </c>
      <c r="F89" t="s">
        <v>302</v>
      </c>
      <c r="G89" t="s">
        <v>209</v>
      </c>
      <c r="H89" t="s">
        <v>259</v>
      </c>
      <c r="I89" t="s">
        <v>182</v>
      </c>
      <c r="J89" t="s">
        <v>225</v>
      </c>
      <c r="K89" t="s">
        <v>436</v>
      </c>
      <c r="L89" s="10">
        <v>523.7</v>
      </c>
      <c r="M89" s="10">
        <v>1109.92</v>
      </c>
      <c r="N89" s="17">
        <v>0.03</v>
      </c>
      <c r="O89">
        <v>11</v>
      </c>
      <c r="P89" t="str">
        <f t="shared" si="23"/>
        <v>Valid</v>
      </c>
      <c r="Q89" s="10">
        <f t="shared" si="24"/>
        <v>1109.92</v>
      </c>
      <c r="R89" t="b">
        <f t="shared" si="25"/>
        <v>0</v>
      </c>
      <c r="S89" s="17">
        <f t="shared" si="26"/>
        <v>0.03</v>
      </c>
      <c r="T89">
        <f t="shared" si="27"/>
        <v>4</v>
      </c>
      <c r="U89" s="26">
        <f t="shared" si="28"/>
        <v>45316</v>
      </c>
      <c r="V89">
        <f t="shared" si="29"/>
        <v>4</v>
      </c>
      <c r="W89" s="10">
        <f t="shared" si="30"/>
        <v>1220545.7264</v>
      </c>
      <c r="X89" s="10">
        <f t="shared" si="31"/>
        <v>12209.12</v>
      </c>
      <c r="Y89" s="10">
        <f t="shared" si="32"/>
        <v>1208336.6064</v>
      </c>
      <c r="Z89" s="14">
        <f t="shared" si="36"/>
        <v>0.98999699909973</v>
      </c>
      <c r="AA89" t="s">
        <v>1568</v>
      </c>
      <c r="AB89" t="str">
        <f t="shared" si="33"/>
        <v>Q1-2024</v>
      </c>
      <c r="AC89" t="str">
        <f t="shared" si="34"/>
        <v>Asia → India → Delhi</v>
      </c>
      <c r="AD89" t="str">
        <f t="shared" si="35"/>
        <v>Peripherals</v>
      </c>
      <c r="AE89" s="8" t="str">
        <f t="shared" si="22"/>
        <v>Medium</v>
      </c>
      <c r="AF89" t="str">
        <f t="shared" si="37"/>
        <v>INDIA</v>
      </c>
      <c r="AG89" s="7">
        <v>44955</v>
      </c>
      <c r="AH89" t="str">
        <f t="shared" si="38"/>
        <v>Jan-2023</v>
      </c>
      <c r="AI89" s="9">
        <f t="shared" si="39"/>
        <v>45322</v>
      </c>
      <c r="AJ89">
        <f t="shared" si="43"/>
        <v>1</v>
      </c>
      <c r="AK89">
        <f t="shared" si="40"/>
        <v>0</v>
      </c>
      <c r="AL89" s="17">
        <f>MIN(N89,'Scenario Modelling'!$B$2)</f>
        <v>0.03</v>
      </c>
      <c r="AM89" s="10">
        <f>L89*(1+'Scenario Modelling'!$B$3)</f>
        <v>602.255</v>
      </c>
      <c r="AN89">
        <f>O89*(1+'Scenario Modelling'!$B$4)</f>
        <v>13.2</v>
      </c>
      <c r="AO89" s="28">
        <f t="shared" si="41"/>
        <v>14211.41568</v>
      </c>
      <c r="AP89" s="10">
        <f t="shared" si="42"/>
        <v>6261.64968</v>
      </c>
    </row>
    <row r="90" spans="1:42">
      <c r="A90" t="s">
        <v>437</v>
      </c>
      <c r="B90" s="7">
        <v>45106</v>
      </c>
      <c r="C90" s="7">
        <v>45109</v>
      </c>
      <c r="D90" t="s">
        <v>206</v>
      </c>
      <c r="E90" t="s">
        <v>207</v>
      </c>
      <c r="F90" t="s">
        <v>392</v>
      </c>
      <c r="G90" t="s">
        <v>188</v>
      </c>
      <c r="H90" t="s">
        <v>201</v>
      </c>
      <c r="I90" t="s">
        <v>245</v>
      </c>
      <c r="J90" t="s">
        <v>225</v>
      </c>
      <c r="K90" t="s">
        <v>438</v>
      </c>
      <c r="L90" s="10">
        <v>55.65</v>
      </c>
      <c r="M90" s="10">
        <v>83.57</v>
      </c>
      <c r="N90" s="17">
        <v>0.066</v>
      </c>
      <c r="O90">
        <v>8</v>
      </c>
      <c r="P90" t="str">
        <f t="shared" si="23"/>
        <v>Valid</v>
      </c>
      <c r="Q90" s="10">
        <f t="shared" si="24"/>
        <v>83.57</v>
      </c>
      <c r="R90" t="b">
        <f t="shared" si="25"/>
        <v>0</v>
      </c>
      <c r="S90" s="17">
        <f t="shared" si="26"/>
        <v>0.066</v>
      </c>
      <c r="T90">
        <f t="shared" si="27"/>
        <v>3</v>
      </c>
      <c r="U90" s="26">
        <f t="shared" si="28"/>
        <v>45109</v>
      </c>
      <c r="V90">
        <f t="shared" si="29"/>
        <v>3</v>
      </c>
      <c r="W90" s="10">
        <f t="shared" si="30"/>
        <v>66811.87504</v>
      </c>
      <c r="X90" s="10">
        <f t="shared" si="31"/>
        <v>668.56</v>
      </c>
      <c r="Y90" s="10">
        <f t="shared" si="32"/>
        <v>66143.31504</v>
      </c>
      <c r="Z90" s="14">
        <f t="shared" si="36"/>
        <v>0.989993395641123</v>
      </c>
      <c r="AA90" t="s">
        <v>1583</v>
      </c>
      <c r="AB90" t="str">
        <f t="shared" si="33"/>
        <v>Q2-2023</v>
      </c>
      <c r="AC90" t="str">
        <f t="shared" si="34"/>
        <v>Asia → Japan → Nagoya</v>
      </c>
      <c r="AD90" t="str">
        <f t="shared" si="35"/>
        <v>Peripherals</v>
      </c>
      <c r="AE90" s="8" t="str">
        <f t="shared" si="22"/>
        <v>Low</v>
      </c>
      <c r="AF90" t="str">
        <f t="shared" si="37"/>
        <v>JAPAN</v>
      </c>
      <c r="AG90" s="7">
        <v>44988</v>
      </c>
      <c r="AH90" t="str">
        <f t="shared" si="38"/>
        <v>Mar-2023</v>
      </c>
      <c r="AI90" s="9">
        <f t="shared" si="39"/>
        <v>45107</v>
      </c>
      <c r="AJ90">
        <f t="shared" si="43"/>
        <v>1</v>
      </c>
      <c r="AK90">
        <f t="shared" si="40"/>
        <v>0</v>
      </c>
      <c r="AL90" s="17">
        <f>MIN(N90,'Scenario Modelling'!$B$2)</f>
        <v>0.066</v>
      </c>
      <c r="AM90" s="10">
        <f>L90*(1+'Scenario Modelling'!$B$3)</f>
        <v>63.9975</v>
      </c>
      <c r="AN90">
        <f>O90*(1+'Scenario Modelling'!$B$4)</f>
        <v>9.6</v>
      </c>
      <c r="AO90" s="28">
        <f t="shared" si="41"/>
        <v>749.322048</v>
      </c>
      <c r="AP90" s="10">
        <f t="shared" si="42"/>
        <v>134.946048</v>
      </c>
    </row>
    <row r="91" spans="1:42">
      <c r="A91" t="s">
        <v>439</v>
      </c>
      <c r="B91" s="7">
        <v>45775</v>
      </c>
      <c r="C91" s="7">
        <v>45792</v>
      </c>
      <c r="D91" t="s">
        <v>206</v>
      </c>
      <c r="E91" t="s">
        <v>207</v>
      </c>
      <c r="F91" t="s">
        <v>392</v>
      </c>
      <c r="G91" t="s">
        <v>188</v>
      </c>
      <c r="H91" t="s">
        <v>259</v>
      </c>
      <c r="I91" t="s">
        <v>287</v>
      </c>
      <c r="J91" t="s">
        <v>196</v>
      </c>
      <c r="K91" t="s">
        <v>440</v>
      </c>
      <c r="L91" s="10">
        <v>691.19</v>
      </c>
      <c r="M91" s="10">
        <v>1284.3</v>
      </c>
      <c r="N91" s="17">
        <v>0.074</v>
      </c>
      <c r="O91">
        <v>7</v>
      </c>
      <c r="P91" t="str">
        <f t="shared" si="23"/>
        <v>Valid</v>
      </c>
      <c r="Q91" s="10">
        <f t="shared" si="24"/>
        <v>1284.3</v>
      </c>
      <c r="R91" t="b">
        <f t="shared" si="25"/>
        <v>0</v>
      </c>
      <c r="S91" s="17">
        <f t="shared" si="26"/>
        <v>0.074</v>
      </c>
      <c r="T91">
        <f t="shared" si="27"/>
        <v>17</v>
      </c>
      <c r="U91" s="26">
        <f t="shared" si="28"/>
        <v>45792</v>
      </c>
      <c r="V91">
        <f t="shared" si="29"/>
        <v>17</v>
      </c>
      <c r="W91" s="10">
        <f t="shared" si="30"/>
        <v>898344.7326</v>
      </c>
      <c r="X91" s="10">
        <f t="shared" si="31"/>
        <v>8990.1</v>
      </c>
      <c r="Y91" s="10">
        <f t="shared" si="32"/>
        <v>889354.6326</v>
      </c>
      <c r="Z91" s="14">
        <f t="shared" si="36"/>
        <v>0.989992594519945</v>
      </c>
      <c r="AA91" t="s">
        <v>1578</v>
      </c>
      <c r="AB91" t="str">
        <f t="shared" si="33"/>
        <v>Q2-2025</v>
      </c>
      <c r="AC91" t="str">
        <f t="shared" si="34"/>
        <v>Asia → Japan → Nagoya</v>
      </c>
      <c r="AD91" t="str">
        <f t="shared" si="35"/>
        <v>Support</v>
      </c>
      <c r="AE91" s="8" t="str">
        <f t="shared" si="22"/>
        <v>High</v>
      </c>
      <c r="AF91" t="str">
        <f t="shared" si="37"/>
        <v>JAPAN</v>
      </c>
      <c r="AG91" s="7">
        <v>44988</v>
      </c>
      <c r="AH91" t="str">
        <f t="shared" si="38"/>
        <v>Mar-2023</v>
      </c>
      <c r="AI91" s="9">
        <f t="shared" si="39"/>
        <v>45777</v>
      </c>
      <c r="AJ91">
        <f t="shared" si="43"/>
        <v>0</v>
      </c>
      <c r="AK91">
        <f t="shared" si="40"/>
        <v>0</v>
      </c>
      <c r="AL91" s="17">
        <f>MIN(N91,'Scenario Modelling'!$B$2)</f>
        <v>0.074</v>
      </c>
      <c r="AM91" s="10">
        <f>L91*(1+'Scenario Modelling'!$B$3)</f>
        <v>794.8685</v>
      </c>
      <c r="AN91">
        <f>O91*(1+'Scenario Modelling'!$B$4)</f>
        <v>8.4</v>
      </c>
      <c r="AO91" s="28">
        <f t="shared" si="41"/>
        <v>9989.79912</v>
      </c>
      <c r="AP91" s="10">
        <f t="shared" si="42"/>
        <v>3312.90372</v>
      </c>
    </row>
    <row r="92" spans="1:42">
      <c r="A92" t="s">
        <v>441</v>
      </c>
      <c r="B92" s="7">
        <v>45817</v>
      </c>
      <c r="C92" s="7">
        <v>45833</v>
      </c>
      <c r="D92" t="s">
        <v>206</v>
      </c>
      <c r="E92" t="s">
        <v>221</v>
      </c>
      <c r="F92" t="s">
        <v>442</v>
      </c>
      <c r="G92" t="s">
        <v>266</v>
      </c>
      <c r="H92" t="s">
        <v>216</v>
      </c>
      <c r="I92" t="s">
        <v>271</v>
      </c>
      <c r="J92" t="s">
        <v>203</v>
      </c>
      <c r="K92" t="s">
        <v>443</v>
      </c>
      <c r="L92" s="10">
        <v>527.33</v>
      </c>
      <c r="M92" s="10">
        <v>911.72</v>
      </c>
      <c r="N92" s="17">
        <v>0.144</v>
      </c>
      <c r="O92">
        <v>25</v>
      </c>
      <c r="P92" t="str">
        <f t="shared" si="23"/>
        <v>Valid</v>
      </c>
      <c r="Q92" s="10">
        <f t="shared" si="24"/>
        <v>911.72</v>
      </c>
      <c r="R92" t="b">
        <f t="shared" si="25"/>
        <v>0</v>
      </c>
      <c r="S92" s="17">
        <f t="shared" si="26"/>
        <v>0.144</v>
      </c>
      <c r="T92">
        <f t="shared" si="27"/>
        <v>16</v>
      </c>
      <c r="U92" s="26">
        <f t="shared" si="28"/>
        <v>45833</v>
      </c>
      <c r="V92">
        <f t="shared" si="29"/>
        <v>16</v>
      </c>
      <c r="W92" s="10">
        <f t="shared" si="30"/>
        <v>2276017.808</v>
      </c>
      <c r="X92" s="10">
        <f t="shared" si="31"/>
        <v>22793</v>
      </c>
      <c r="Y92" s="10">
        <f t="shared" si="32"/>
        <v>2253224.808</v>
      </c>
      <c r="Z92" s="14">
        <f t="shared" si="36"/>
        <v>0.989985579234097</v>
      </c>
      <c r="AA92" t="s">
        <v>1575</v>
      </c>
      <c r="AB92" t="str">
        <f t="shared" si="33"/>
        <v>Q2-2025</v>
      </c>
      <c r="AC92" t="str">
        <f t="shared" si="34"/>
        <v>Asia → India → Hyderabad</v>
      </c>
      <c r="AD92" t="str">
        <f t="shared" si="35"/>
        <v>Devices</v>
      </c>
      <c r="AE92" s="8" t="str">
        <f t="shared" si="22"/>
        <v>High</v>
      </c>
      <c r="AF92" t="str">
        <f t="shared" si="37"/>
        <v>INDIA</v>
      </c>
      <c r="AG92" s="7">
        <v>44955</v>
      </c>
      <c r="AH92" t="str">
        <f t="shared" si="38"/>
        <v>Jan-2023</v>
      </c>
      <c r="AI92" s="9">
        <f t="shared" si="39"/>
        <v>45838</v>
      </c>
      <c r="AJ92">
        <f t="shared" si="43"/>
        <v>0</v>
      </c>
      <c r="AK92">
        <f t="shared" si="40"/>
        <v>0</v>
      </c>
      <c r="AL92" s="17">
        <f>MIN(N92,'Scenario Modelling'!$B$2)</f>
        <v>0.144</v>
      </c>
      <c r="AM92" s="10">
        <f>L92*(1+'Scenario Modelling'!$B$3)</f>
        <v>606.4295</v>
      </c>
      <c r="AN92">
        <f>O92*(1+'Scenario Modelling'!$B$4)</f>
        <v>30</v>
      </c>
      <c r="AO92" s="28">
        <f t="shared" si="41"/>
        <v>23412.9696</v>
      </c>
      <c r="AP92" s="10">
        <f t="shared" si="42"/>
        <v>5220.0846</v>
      </c>
    </row>
    <row r="93" spans="1:42">
      <c r="A93" t="s">
        <v>444</v>
      </c>
      <c r="B93" s="7">
        <v>45101</v>
      </c>
      <c r="C93" s="7">
        <v>45100</v>
      </c>
      <c r="D93" t="s">
        <v>213</v>
      </c>
      <c r="E93" t="s">
        <v>234</v>
      </c>
      <c r="F93" t="s">
        <v>386</v>
      </c>
      <c r="G93" t="s">
        <v>200</v>
      </c>
      <c r="H93" t="s">
        <v>181</v>
      </c>
      <c r="I93" t="s">
        <v>224</v>
      </c>
      <c r="J93" t="s">
        <v>191</v>
      </c>
      <c r="K93" t="s">
        <v>445</v>
      </c>
      <c r="L93" s="10">
        <v>804.01</v>
      </c>
      <c r="M93" s="10">
        <v>1405.07</v>
      </c>
      <c r="N93" s="17">
        <v>0.096</v>
      </c>
      <c r="O93">
        <v>8</v>
      </c>
      <c r="P93" t="str">
        <f t="shared" si="23"/>
        <v>Valid</v>
      </c>
      <c r="Q93" s="10">
        <f t="shared" si="24"/>
        <v>1405.07</v>
      </c>
      <c r="R93" t="b">
        <f t="shared" si="25"/>
        <v>0</v>
      </c>
      <c r="S93" s="17">
        <f t="shared" si="26"/>
        <v>0.096</v>
      </c>
      <c r="T93">
        <f t="shared" si="27"/>
        <v>-1</v>
      </c>
      <c r="U93" s="26">
        <f t="shared" si="28"/>
        <v>45108</v>
      </c>
      <c r="V93">
        <f t="shared" si="29"/>
        <v>7</v>
      </c>
      <c r="W93" s="10">
        <f t="shared" si="30"/>
        <v>1122976.90624</v>
      </c>
      <c r="X93" s="10">
        <f t="shared" si="31"/>
        <v>11240.56</v>
      </c>
      <c r="Y93" s="10">
        <f t="shared" si="32"/>
        <v>1111736.34624</v>
      </c>
      <c r="Z93" s="14">
        <f t="shared" si="36"/>
        <v>0.989990390775144</v>
      </c>
      <c r="AA93" t="s">
        <v>1583</v>
      </c>
      <c r="AB93" t="str">
        <f t="shared" si="33"/>
        <v>Q2-2023</v>
      </c>
      <c r="AC93" t="str">
        <f t="shared" si="34"/>
        <v>Americas → Brazil → Rio de Janeiro</v>
      </c>
      <c r="AD93" t="str">
        <f t="shared" si="35"/>
        <v>Peripherals</v>
      </c>
      <c r="AE93" s="8" t="str">
        <f t="shared" si="22"/>
        <v>Low</v>
      </c>
      <c r="AF93" t="str">
        <f t="shared" si="37"/>
        <v>BRAZIL</v>
      </c>
      <c r="AG93" s="7">
        <f>_xlfn.MINIFS($B$2:$B$633,$AF$2:$AF$633,AF93)</f>
        <v>44955</v>
      </c>
      <c r="AH93" t="str">
        <f t="shared" si="38"/>
        <v>Jan-2023</v>
      </c>
      <c r="AI93" s="9">
        <f t="shared" si="39"/>
        <v>45107</v>
      </c>
      <c r="AJ93">
        <f t="shared" si="43"/>
        <v>1</v>
      </c>
      <c r="AK93">
        <f t="shared" si="40"/>
        <v>0</v>
      </c>
      <c r="AL93" s="17">
        <f>MIN(N93,'Scenario Modelling'!$B$2)</f>
        <v>0.096</v>
      </c>
      <c r="AM93" s="10">
        <f>L93*(1+'Scenario Modelling'!$B$3)</f>
        <v>924.6115</v>
      </c>
      <c r="AN93">
        <f>O93*(1+'Scenario Modelling'!$B$4)</f>
        <v>9.6</v>
      </c>
      <c r="AO93" s="28">
        <f t="shared" si="41"/>
        <v>12193.759488</v>
      </c>
      <c r="AP93" s="10">
        <f t="shared" si="42"/>
        <v>3317.489088</v>
      </c>
    </row>
    <row r="94" spans="1:42">
      <c r="A94" t="s">
        <v>446</v>
      </c>
      <c r="B94" s="7">
        <v>45569</v>
      </c>
      <c r="C94" s="7">
        <v>45598</v>
      </c>
      <c r="D94" t="s">
        <v>177</v>
      </c>
      <c r="E94" t="s">
        <v>186</v>
      </c>
      <c r="F94" t="s">
        <v>228</v>
      </c>
      <c r="G94" t="s">
        <v>180</v>
      </c>
      <c r="H94" t="s">
        <v>216</v>
      </c>
      <c r="I94" t="s">
        <v>245</v>
      </c>
      <c r="J94" t="s">
        <v>242</v>
      </c>
      <c r="K94" t="s">
        <v>447</v>
      </c>
      <c r="L94" s="10">
        <v>412.09</v>
      </c>
      <c r="M94" s="10">
        <v>968.94</v>
      </c>
      <c r="N94" s="17">
        <v>0.099</v>
      </c>
      <c r="O94">
        <v>23</v>
      </c>
      <c r="P94" t="str">
        <f t="shared" si="23"/>
        <v>Valid</v>
      </c>
      <c r="Q94" s="10">
        <f t="shared" si="24"/>
        <v>968.94</v>
      </c>
      <c r="R94" t="b">
        <f t="shared" si="25"/>
        <v>0</v>
      </c>
      <c r="S94" s="17">
        <f t="shared" si="26"/>
        <v>0.099</v>
      </c>
      <c r="T94">
        <f t="shared" si="27"/>
        <v>29</v>
      </c>
      <c r="U94" s="26">
        <f t="shared" si="28"/>
        <v>45598</v>
      </c>
      <c r="V94">
        <f t="shared" si="29"/>
        <v>29</v>
      </c>
      <c r="W94" s="10">
        <f t="shared" si="30"/>
        <v>2226355.72362</v>
      </c>
      <c r="X94" s="10">
        <f t="shared" si="31"/>
        <v>22285.62</v>
      </c>
      <c r="Y94" s="10">
        <f t="shared" si="32"/>
        <v>2204070.10362</v>
      </c>
      <c r="Z94" s="14">
        <f t="shared" si="36"/>
        <v>0.989990090189287</v>
      </c>
      <c r="AA94" t="s">
        <v>1561</v>
      </c>
      <c r="AB94" t="str">
        <f t="shared" si="33"/>
        <v>Q4-2024</v>
      </c>
      <c r="AC94" t="str">
        <f t="shared" si="34"/>
        <v>Africa → Nigeria → Abuja</v>
      </c>
      <c r="AD94" t="str">
        <f t="shared" si="35"/>
        <v>Support</v>
      </c>
      <c r="AE94" s="8" t="str">
        <f t="shared" si="22"/>
        <v>Medium</v>
      </c>
      <c r="AF94" t="str">
        <f t="shared" si="37"/>
        <v>NIGERIA</v>
      </c>
      <c r="AG94" s="7">
        <f>_xlfn.MINIFS($B$2:$B$633,$AF$2:$AF$633,AF94)</f>
        <v>44941</v>
      </c>
      <c r="AH94" t="str">
        <f t="shared" si="38"/>
        <v>Jan-2023</v>
      </c>
      <c r="AI94" s="9">
        <f t="shared" si="39"/>
        <v>45596</v>
      </c>
      <c r="AJ94">
        <f t="shared" si="43"/>
        <v>0</v>
      </c>
      <c r="AK94">
        <f t="shared" si="40"/>
        <v>0</v>
      </c>
      <c r="AL94" s="17">
        <f>MIN(N94,'Scenario Modelling'!$B$2)</f>
        <v>0.099</v>
      </c>
      <c r="AM94" s="10">
        <f>L94*(1+'Scenario Modelling'!$B$3)</f>
        <v>473.9035</v>
      </c>
      <c r="AN94">
        <f>O94*(1+'Scenario Modelling'!$B$4)</f>
        <v>27.6</v>
      </c>
      <c r="AO94" s="28">
        <f t="shared" si="41"/>
        <v>24095.212344</v>
      </c>
      <c r="AP94" s="10">
        <f t="shared" si="42"/>
        <v>11015.475744</v>
      </c>
    </row>
    <row r="95" spans="1:42">
      <c r="A95" t="s">
        <v>448</v>
      </c>
      <c r="B95" s="7">
        <v>45910</v>
      </c>
      <c r="C95" s="7">
        <v>45930</v>
      </c>
      <c r="D95" t="s">
        <v>177</v>
      </c>
      <c r="E95" t="s">
        <v>178</v>
      </c>
      <c r="F95" t="s">
        <v>274</v>
      </c>
      <c r="G95" t="s">
        <v>180</v>
      </c>
      <c r="H95" t="s">
        <v>259</v>
      </c>
      <c r="I95" t="s">
        <v>210</v>
      </c>
      <c r="J95" t="s">
        <v>203</v>
      </c>
      <c r="K95" t="s">
        <v>449</v>
      </c>
      <c r="L95" s="10">
        <v>1009.48</v>
      </c>
      <c r="M95" s="10">
        <v>1088.81</v>
      </c>
      <c r="N95" s="17">
        <v>0.16</v>
      </c>
      <c r="O95">
        <v>6</v>
      </c>
      <c r="P95" t="str">
        <f t="shared" si="23"/>
        <v>Valid</v>
      </c>
      <c r="Q95" s="10">
        <f t="shared" si="24"/>
        <v>1088.81</v>
      </c>
      <c r="R95" t="b">
        <f t="shared" si="25"/>
        <v>0</v>
      </c>
      <c r="S95" s="17">
        <f t="shared" si="26"/>
        <v>0.16</v>
      </c>
      <c r="T95">
        <f t="shared" si="27"/>
        <v>20</v>
      </c>
      <c r="U95" s="26">
        <f t="shared" si="28"/>
        <v>45930</v>
      </c>
      <c r="V95">
        <f t="shared" si="29"/>
        <v>20</v>
      </c>
      <c r="W95" s="10">
        <f t="shared" si="30"/>
        <v>652240.7424</v>
      </c>
      <c r="X95" s="10">
        <f t="shared" si="31"/>
        <v>6532.86</v>
      </c>
      <c r="Y95" s="10">
        <f t="shared" si="32"/>
        <v>645707.8824</v>
      </c>
      <c r="Z95" s="14">
        <f t="shared" si="36"/>
        <v>0.989983974358974</v>
      </c>
      <c r="AA95" t="s">
        <v>1570</v>
      </c>
      <c r="AB95" t="str">
        <f t="shared" si="33"/>
        <v>Q3-2025</v>
      </c>
      <c r="AC95" t="str">
        <f t="shared" si="34"/>
        <v>Africa → Kenya → Mombasa</v>
      </c>
      <c r="AD95" t="str">
        <f t="shared" si="35"/>
        <v>Devices</v>
      </c>
      <c r="AE95" s="8" t="str">
        <f t="shared" si="22"/>
        <v>High</v>
      </c>
      <c r="AF95" t="str">
        <f t="shared" si="37"/>
        <v>KENYA</v>
      </c>
      <c r="AG95" s="7">
        <v>44946</v>
      </c>
      <c r="AH95" t="str">
        <f t="shared" si="38"/>
        <v>Jan-2023</v>
      </c>
      <c r="AI95" s="9">
        <f t="shared" si="39"/>
        <v>45930</v>
      </c>
      <c r="AJ95">
        <f t="shared" si="43"/>
        <v>0</v>
      </c>
      <c r="AK95">
        <f t="shared" si="40"/>
        <v>0</v>
      </c>
      <c r="AL95" s="17">
        <f>MIN(N95,'Scenario Modelling'!$B$2)</f>
        <v>0.16</v>
      </c>
      <c r="AM95" s="10">
        <f>L95*(1+'Scenario Modelling'!$B$3)</f>
        <v>1160.902</v>
      </c>
      <c r="AN95">
        <f>O95*(1+'Scenario Modelling'!$B$4)</f>
        <v>7.2</v>
      </c>
      <c r="AO95" s="28">
        <f t="shared" si="41"/>
        <v>6585.12288</v>
      </c>
      <c r="AP95" s="10">
        <f t="shared" si="42"/>
        <v>-1773.37152</v>
      </c>
    </row>
    <row r="96" spans="1:42">
      <c r="A96" t="s">
        <v>450</v>
      </c>
      <c r="B96" s="7">
        <v>45022</v>
      </c>
      <c r="C96" s="7">
        <v>45043</v>
      </c>
      <c r="D96" t="s">
        <v>239</v>
      </c>
      <c r="E96" t="s">
        <v>269</v>
      </c>
      <c r="F96" t="s">
        <v>389</v>
      </c>
      <c r="G96" t="s">
        <v>266</v>
      </c>
      <c r="H96" t="s">
        <v>216</v>
      </c>
      <c r="I96" t="s">
        <v>195</v>
      </c>
      <c r="J96" t="s">
        <v>191</v>
      </c>
      <c r="K96" t="s">
        <v>451</v>
      </c>
      <c r="L96" s="10">
        <v>1084.79</v>
      </c>
      <c r="M96" s="10">
        <v>2484.99</v>
      </c>
      <c r="N96" s="17">
        <v>0.034</v>
      </c>
      <c r="O96">
        <v>18</v>
      </c>
      <c r="P96" t="str">
        <f t="shared" si="23"/>
        <v>Valid</v>
      </c>
      <c r="Q96" s="10">
        <f t="shared" si="24"/>
        <v>2484.99</v>
      </c>
      <c r="R96" t="b">
        <f t="shared" si="25"/>
        <v>0</v>
      </c>
      <c r="S96" s="17">
        <f t="shared" si="26"/>
        <v>0.034</v>
      </c>
      <c r="T96">
        <f t="shared" si="27"/>
        <v>21</v>
      </c>
      <c r="U96" s="26">
        <f t="shared" si="28"/>
        <v>45043</v>
      </c>
      <c r="V96">
        <f t="shared" si="29"/>
        <v>21</v>
      </c>
      <c r="W96" s="10">
        <f t="shared" si="30"/>
        <v>4471461.18612</v>
      </c>
      <c r="X96" s="10">
        <f t="shared" si="31"/>
        <v>44729.82</v>
      </c>
      <c r="Y96" s="10">
        <f t="shared" si="32"/>
        <v>4426731.36612</v>
      </c>
      <c r="Z96" s="14">
        <f t="shared" si="36"/>
        <v>0.989996598843607</v>
      </c>
      <c r="AA96" t="s">
        <v>1571</v>
      </c>
      <c r="AB96" t="str">
        <f t="shared" si="33"/>
        <v>Q2-2023</v>
      </c>
      <c r="AC96" t="str">
        <f t="shared" si="34"/>
        <v>Europe → United Kingdom → Manchester</v>
      </c>
      <c r="AD96" t="str">
        <f t="shared" si="35"/>
        <v>Peripherals</v>
      </c>
      <c r="AE96" s="8" t="str">
        <f t="shared" si="22"/>
        <v>Low</v>
      </c>
      <c r="AF96" t="str">
        <f t="shared" si="37"/>
        <v>UNITED KINGDOM</v>
      </c>
      <c r="AG96" s="7">
        <v>44945</v>
      </c>
      <c r="AH96" t="str">
        <f t="shared" si="38"/>
        <v>Jan-2023</v>
      </c>
      <c r="AI96" s="9">
        <f t="shared" si="39"/>
        <v>45046</v>
      </c>
      <c r="AJ96">
        <f t="shared" si="43"/>
        <v>0</v>
      </c>
      <c r="AK96">
        <f t="shared" si="40"/>
        <v>0</v>
      </c>
      <c r="AL96" s="17">
        <f>MIN(N96,'Scenario Modelling'!$B$2)</f>
        <v>0.034</v>
      </c>
      <c r="AM96" s="10">
        <f>L96*(1+'Scenario Modelling'!$B$3)</f>
        <v>1247.5085</v>
      </c>
      <c r="AN96">
        <f>O96*(1+'Scenario Modelling'!$B$4)</f>
        <v>21.6</v>
      </c>
      <c r="AO96" s="28">
        <f t="shared" si="41"/>
        <v>51850.807344</v>
      </c>
      <c r="AP96" s="10">
        <f t="shared" si="42"/>
        <v>24904.623744</v>
      </c>
    </row>
    <row r="97" spans="1:42">
      <c r="A97" t="s">
        <v>452</v>
      </c>
      <c r="B97" s="7">
        <v>45870</v>
      </c>
      <c r="C97" s="7">
        <v>45885</v>
      </c>
      <c r="D97" t="s">
        <v>206</v>
      </c>
      <c r="E97" t="s">
        <v>221</v>
      </c>
      <c r="F97" t="s">
        <v>1591</v>
      </c>
      <c r="G97" t="s">
        <v>266</v>
      </c>
      <c r="H97" t="s">
        <v>259</v>
      </c>
      <c r="I97" t="s">
        <v>229</v>
      </c>
      <c r="J97" t="s">
        <v>225</v>
      </c>
      <c r="K97" t="s">
        <v>453</v>
      </c>
      <c r="L97" s="10">
        <v>24.44</v>
      </c>
      <c r="M97" s="10">
        <v>28.69</v>
      </c>
      <c r="N97" s="17">
        <v>0.146</v>
      </c>
      <c r="O97">
        <v>6</v>
      </c>
      <c r="P97" t="str">
        <f t="shared" si="23"/>
        <v>Valid</v>
      </c>
      <c r="Q97" s="10">
        <f t="shared" si="24"/>
        <v>28.69</v>
      </c>
      <c r="R97" t="b">
        <f t="shared" si="25"/>
        <v>0</v>
      </c>
      <c r="S97" s="17">
        <f t="shared" si="26"/>
        <v>0.146</v>
      </c>
      <c r="T97">
        <f t="shared" si="27"/>
        <v>15</v>
      </c>
      <c r="U97" s="26">
        <f t="shared" si="28"/>
        <v>45885</v>
      </c>
      <c r="V97">
        <f t="shared" si="29"/>
        <v>15</v>
      </c>
      <c r="W97" s="10">
        <f t="shared" si="30"/>
        <v>17188.86756</v>
      </c>
      <c r="X97" s="10">
        <f t="shared" si="31"/>
        <v>172.14</v>
      </c>
      <c r="Y97" s="10">
        <f t="shared" si="32"/>
        <v>17016.72756</v>
      </c>
      <c r="Z97" s="14">
        <f t="shared" si="36"/>
        <v>0.989985378652833</v>
      </c>
      <c r="AA97" t="s">
        <v>1590</v>
      </c>
      <c r="AB97" t="str">
        <f t="shared" si="33"/>
        <v>Q3-2025</v>
      </c>
      <c r="AC97" t="str">
        <f t="shared" si="34"/>
        <v>Asia → India → Unknown City </v>
      </c>
      <c r="AD97" t="str">
        <f t="shared" si="35"/>
        <v>Peripherals</v>
      </c>
      <c r="AE97" s="8" t="str">
        <f t="shared" si="22"/>
        <v>High</v>
      </c>
      <c r="AF97" t="str">
        <f t="shared" si="37"/>
        <v>INDIA</v>
      </c>
      <c r="AG97" s="7">
        <v>44955</v>
      </c>
      <c r="AH97" t="str">
        <f t="shared" si="38"/>
        <v>Jan-2023</v>
      </c>
      <c r="AI97" s="9">
        <f t="shared" si="39"/>
        <v>45900</v>
      </c>
      <c r="AJ97">
        <f t="shared" si="43"/>
        <v>0</v>
      </c>
      <c r="AK97">
        <f t="shared" si="40"/>
        <v>0</v>
      </c>
      <c r="AL97" s="17">
        <f>MIN(N97,'Scenario Modelling'!$B$2)</f>
        <v>0.146</v>
      </c>
      <c r="AM97" s="10">
        <f>L97*(1+'Scenario Modelling'!$B$3)</f>
        <v>28.106</v>
      </c>
      <c r="AN97">
        <f>O97*(1+'Scenario Modelling'!$B$4)</f>
        <v>7.2</v>
      </c>
      <c r="AO97" s="28">
        <f t="shared" si="41"/>
        <v>176.409072</v>
      </c>
      <c r="AP97" s="10">
        <f t="shared" si="42"/>
        <v>-25.954128</v>
      </c>
    </row>
    <row r="98" spans="1:42">
      <c r="A98" t="s">
        <v>454</v>
      </c>
      <c r="B98" s="7">
        <v>45440</v>
      </c>
      <c r="C98" s="7">
        <v>45438</v>
      </c>
      <c r="D98" t="s">
        <v>177</v>
      </c>
      <c r="E98" t="s">
        <v>186</v>
      </c>
      <c r="F98" t="s">
        <v>228</v>
      </c>
      <c r="G98" t="s">
        <v>266</v>
      </c>
      <c r="H98" t="s">
        <v>189</v>
      </c>
      <c r="I98" t="s">
        <v>245</v>
      </c>
      <c r="J98" t="s">
        <v>242</v>
      </c>
      <c r="K98" t="s">
        <v>455</v>
      </c>
      <c r="L98" s="10">
        <v>1227.08</v>
      </c>
      <c r="M98" s="10">
        <v>1896.62</v>
      </c>
      <c r="N98" s="17">
        <v>0</v>
      </c>
      <c r="O98">
        <v>18</v>
      </c>
      <c r="P98" t="str">
        <f t="shared" si="23"/>
        <v>Valid</v>
      </c>
      <c r="Q98" s="10">
        <f t="shared" si="24"/>
        <v>1896.62</v>
      </c>
      <c r="R98" t="b">
        <f t="shared" si="25"/>
        <v>0</v>
      </c>
      <c r="S98" s="17">
        <f t="shared" si="26"/>
        <v>0</v>
      </c>
      <c r="T98">
        <f t="shared" si="27"/>
        <v>-2</v>
      </c>
      <c r="U98" s="26">
        <f t="shared" si="28"/>
        <v>45447</v>
      </c>
      <c r="V98">
        <f t="shared" si="29"/>
        <v>7</v>
      </c>
      <c r="W98" s="10">
        <f t="shared" si="30"/>
        <v>3413916</v>
      </c>
      <c r="X98" s="10">
        <f t="shared" si="31"/>
        <v>34139.16</v>
      </c>
      <c r="Y98" s="10">
        <f t="shared" si="32"/>
        <v>3379776.84</v>
      </c>
      <c r="Z98" s="14">
        <f t="shared" si="36"/>
        <v>0.99</v>
      </c>
      <c r="AA98" t="s">
        <v>1566</v>
      </c>
      <c r="AB98" t="str">
        <f t="shared" si="33"/>
        <v>Q2-2024</v>
      </c>
      <c r="AC98" t="str">
        <f t="shared" si="34"/>
        <v>Africa → Nigeria → Abuja</v>
      </c>
      <c r="AD98" t="str">
        <f t="shared" si="35"/>
        <v>Support</v>
      </c>
      <c r="AE98" s="8" t="str">
        <f t="shared" si="22"/>
        <v>Medium</v>
      </c>
      <c r="AF98" t="str">
        <f t="shared" si="37"/>
        <v>NIGERIA</v>
      </c>
      <c r="AG98" s="7">
        <v>44941</v>
      </c>
      <c r="AH98" t="str">
        <f t="shared" si="38"/>
        <v>Jan-2023</v>
      </c>
      <c r="AI98" s="9">
        <f t="shared" si="39"/>
        <v>45443</v>
      </c>
      <c r="AJ98">
        <f t="shared" si="43"/>
        <v>1</v>
      </c>
      <c r="AK98">
        <f t="shared" si="40"/>
        <v>0</v>
      </c>
      <c r="AL98" s="17">
        <f>MIN(N98,'Scenario Modelling'!$B$2)</f>
        <v>0</v>
      </c>
      <c r="AM98" s="10">
        <f>L98*(1+'Scenario Modelling'!$B$3)</f>
        <v>1411.142</v>
      </c>
      <c r="AN98">
        <f>O98*(1+'Scenario Modelling'!$B$4)</f>
        <v>21.6</v>
      </c>
      <c r="AO98" s="28">
        <f t="shared" si="41"/>
        <v>40966.992</v>
      </c>
      <c r="AP98" s="10">
        <f t="shared" si="42"/>
        <v>10486.3248</v>
      </c>
    </row>
    <row r="99" spans="1:42">
      <c r="A99" t="s">
        <v>456</v>
      </c>
      <c r="B99" s="7">
        <v>45860</v>
      </c>
      <c r="C99" s="7">
        <v>45887</v>
      </c>
      <c r="D99" t="s">
        <v>206</v>
      </c>
      <c r="E99" t="s">
        <v>277</v>
      </c>
      <c r="F99" t="s">
        <v>278</v>
      </c>
      <c r="G99" t="s">
        <v>200</v>
      </c>
      <c r="H99" t="s">
        <v>201</v>
      </c>
      <c r="I99" t="s">
        <v>271</v>
      </c>
      <c r="J99" t="s">
        <v>196</v>
      </c>
      <c r="K99" t="s">
        <v>457</v>
      </c>
      <c r="L99" s="10">
        <v>547.32</v>
      </c>
      <c r="M99" s="10">
        <v>419.17</v>
      </c>
      <c r="N99" s="17">
        <v>0.092</v>
      </c>
      <c r="O99">
        <v>14</v>
      </c>
      <c r="P99" t="str">
        <f t="shared" si="23"/>
        <v>Valid</v>
      </c>
      <c r="Q99" s="10">
        <f t="shared" si="24"/>
        <v>419.17</v>
      </c>
      <c r="R99" t="b">
        <f t="shared" si="25"/>
        <v>0</v>
      </c>
      <c r="S99" s="17">
        <f t="shared" si="26"/>
        <v>0.092</v>
      </c>
      <c r="T99">
        <f t="shared" si="27"/>
        <v>27</v>
      </c>
      <c r="U99" s="26">
        <f t="shared" si="28"/>
        <v>45887</v>
      </c>
      <c r="V99">
        <f t="shared" si="29"/>
        <v>27</v>
      </c>
      <c r="W99" s="10">
        <f t="shared" si="30"/>
        <v>586298.10904</v>
      </c>
      <c r="X99" s="10">
        <f t="shared" si="31"/>
        <v>5868.38</v>
      </c>
      <c r="Y99" s="10">
        <f t="shared" si="32"/>
        <v>580429.72904</v>
      </c>
      <c r="Z99" s="14">
        <f t="shared" si="36"/>
        <v>0.989990791528206</v>
      </c>
      <c r="AA99" t="s">
        <v>1572</v>
      </c>
      <c r="AB99" t="str">
        <f t="shared" si="33"/>
        <v>Q3-2025</v>
      </c>
      <c r="AC99" t="str">
        <f t="shared" si="34"/>
        <v>Asia → China → Shenzhen</v>
      </c>
      <c r="AD99" t="str">
        <f t="shared" si="35"/>
        <v>Support</v>
      </c>
      <c r="AE99" s="8" t="str">
        <f t="shared" si="22"/>
        <v>High</v>
      </c>
      <c r="AF99" t="str">
        <f t="shared" si="37"/>
        <v>CHINA</v>
      </c>
      <c r="AG99" s="7">
        <f>_xlfn.MINIFS($B$2:$B$633,$AF$2:$AF$633,AF99)</f>
        <v>44938</v>
      </c>
      <c r="AH99" t="str">
        <f t="shared" si="38"/>
        <v>Jan-2023</v>
      </c>
      <c r="AI99" s="9">
        <f t="shared" si="39"/>
        <v>45869</v>
      </c>
      <c r="AJ99">
        <f t="shared" si="43"/>
        <v>0</v>
      </c>
      <c r="AK99">
        <f t="shared" si="40"/>
        <v>0</v>
      </c>
      <c r="AL99" s="17">
        <f>MIN(N99,'Scenario Modelling'!$B$2)</f>
        <v>0.092</v>
      </c>
      <c r="AM99" s="10">
        <f>L99*(1+'Scenario Modelling'!$B$3)</f>
        <v>629.418</v>
      </c>
      <c r="AN99">
        <f>O99*(1+'Scenario Modelling'!$B$4)</f>
        <v>16.8</v>
      </c>
      <c r="AO99" s="28">
        <f t="shared" si="41"/>
        <v>6394.186848</v>
      </c>
      <c r="AP99" s="10">
        <f t="shared" si="42"/>
        <v>-4180.035552</v>
      </c>
    </row>
    <row r="100" spans="1:42">
      <c r="A100" t="s">
        <v>458</v>
      </c>
      <c r="B100" s="7">
        <v>44985</v>
      </c>
      <c r="C100" s="7">
        <v>45005</v>
      </c>
      <c r="D100" t="s">
        <v>239</v>
      </c>
      <c r="E100" t="s">
        <v>240</v>
      </c>
      <c r="F100" t="s">
        <v>241</v>
      </c>
      <c r="G100" t="s">
        <v>223</v>
      </c>
      <c r="H100" t="s">
        <v>259</v>
      </c>
      <c r="I100" t="s">
        <v>253</v>
      </c>
      <c r="J100" t="s">
        <v>218</v>
      </c>
      <c r="K100" t="s">
        <v>459</v>
      </c>
      <c r="L100" s="10">
        <v>1200.78</v>
      </c>
      <c r="M100" s="10">
        <v>2001.17</v>
      </c>
      <c r="N100" s="17">
        <v>0.292</v>
      </c>
      <c r="O100">
        <v>18</v>
      </c>
      <c r="P100" t="str">
        <f t="shared" si="23"/>
        <v>Valid</v>
      </c>
      <c r="Q100" s="10">
        <f t="shared" si="24"/>
        <v>2001.17</v>
      </c>
      <c r="R100" t="b">
        <f t="shared" si="25"/>
        <v>0</v>
      </c>
      <c r="S100" s="17">
        <f t="shared" si="26"/>
        <v>0.292</v>
      </c>
      <c r="T100">
        <f t="shared" si="27"/>
        <v>20</v>
      </c>
      <c r="U100" s="26">
        <f t="shared" si="28"/>
        <v>45005</v>
      </c>
      <c r="V100">
        <f t="shared" si="29"/>
        <v>20</v>
      </c>
      <c r="W100" s="10">
        <f t="shared" si="30"/>
        <v>3591587.85048</v>
      </c>
      <c r="X100" s="10">
        <f t="shared" si="31"/>
        <v>36021.06</v>
      </c>
      <c r="Y100" s="10">
        <f t="shared" si="32"/>
        <v>3555566.79048</v>
      </c>
      <c r="Z100" s="14">
        <f t="shared" si="36"/>
        <v>0.9899707144863</v>
      </c>
      <c r="AA100" t="s">
        <v>1562</v>
      </c>
      <c r="AB100" t="str">
        <f t="shared" si="33"/>
        <v>Q1-2023</v>
      </c>
      <c r="AC100" t="str">
        <f t="shared" si="34"/>
        <v>Europe → Germany → Berlin</v>
      </c>
      <c r="AD100" t="str">
        <f t="shared" si="35"/>
        <v>Devices</v>
      </c>
      <c r="AE100" s="8" t="str">
        <f t="shared" si="22"/>
        <v>Low</v>
      </c>
      <c r="AF100" t="str">
        <f t="shared" si="37"/>
        <v>GERMANY</v>
      </c>
      <c r="AG100" s="7">
        <v>44948</v>
      </c>
      <c r="AH100" t="str">
        <f t="shared" si="38"/>
        <v>Jan-2023</v>
      </c>
      <c r="AI100" s="9">
        <f t="shared" si="39"/>
        <v>44985</v>
      </c>
      <c r="AJ100">
        <f t="shared" si="43"/>
        <v>0</v>
      </c>
      <c r="AK100">
        <f t="shared" si="40"/>
        <v>1</v>
      </c>
      <c r="AL100" s="17">
        <f>MIN(N100,'Scenario Modelling'!$B$2)</f>
        <v>0.25</v>
      </c>
      <c r="AM100" s="10">
        <f>L100*(1+'Scenario Modelling'!$B$3)</f>
        <v>1380.897</v>
      </c>
      <c r="AN100">
        <f>O100*(1+'Scenario Modelling'!$B$4)</f>
        <v>21.6</v>
      </c>
      <c r="AO100" s="28">
        <f t="shared" si="41"/>
        <v>32418.954</v>
      </c>
      <c r="AP100" s="10">
        <f t="shared" si="42"/>
        <v>2591.5788</v>
      </c>
    </row>
    <row r="101" spans="1:42">
      <c r="A101" t="s">
        <v>460</v>
      </c>
      <c r="B101" s="7">
        <v>45684</v>
      </c>
      <c r="C101" s="7">
        <v>45703</v>
      </c>
      <c r="D101" t="s">
        <v>206</v>
      </c>
      <c r="E101" t="s">
        <v>277</v>
      </c>
      <c r="F101" t="s">
        <v>278</v>
      </c>
      <c r="G101" t="s">
        <v>200</v>
      </c>
      <c r="H101" t="s">
        <v>259</v>
      </c>
      <c r="I101" t="s">
        <v>210</v>
      </c>
      <c r="J101" t="s">
        <v>203</v>
      </c>
      <c r="K101" t="s">
        <v>461</v>
      </c>
      <c r="L101" s="10">
        <v>1253.22</v>
      </c>
      <c r="M101" s="10">
        <v>3104.71</v>
      </c>
      <c r="N101" s="17">
        <v>0</v>
      </c>
      <c r="O101">
        <v>17</v>
      </c>
      <c r="P101" t="str">
        <f t="shared" si="23"/>
        <v>Valid</v>
      </c>
      <c r="Q101" s="10">
        <f t="shared" si="24"/>
        <v>3104.71</v>
      </c>
      <c r="R101" t="b">
        <f t="shared" si="25"/>
        <v>0</v>
      </c>
      <c r="S101" s="17">
        <f t="shared" si="26"/>
        <v>0</v>
      </c>
      <c r="T101">
        <f t="shared" si="27"/>
        <v>19</v>
      </c>
      <c r="U101" s="26">
        <f t="shared" si="28"/>
        <v>45703</v>
      </c>
      <c r="V101">
        <f t="shared" si="29"/>
        <v>19</v>
      </c>
      <c r="W101" s="10">
        <f t="shared" si="30"/>
        <v>5278007</v>
      </c>
      <c r="X101" s="10">
        <f t="shared" si="31"/>
        <v>52780.07</v>
      </c>
      <c r="Y101" s="10">
        <f t="shared" si="32"/>
        <v>5225226.93</v>
      </c>
      <c r="Z101" s="14">
        <f t="shared" si="36"/>
        <v>0.99</v>
      </c>
      <c r="AA101" t="s">
        <v>1569</v>
      </c>
      <c r="AB101" t="str">
        <f t="shared" si="33"/>
        <v>Q1-2025</v>
      </c>
      <c r="AC101" t="str">
        <f t="shared" si="34"/>
        <v>Asia → China → Shenzhen</v>
      </c>
      <c r="AD101" t="str">
        <f t="shared" si="35"/>
        <v>Devices</v>
      </c>
      <c r="AE101" s="8" t="str">
        <f t="shared" si="22"/>
        <v>High</v>
      </c>
      <c r="AF101" t="str">
        <f t="shared" si="37"/>
        <v>CHINA</v>
      </c>
      <c r="AG101" s="7">
        <f>_xlfn.MINIFS($B$2:$B$633,$AF$2:$AF$633,AF101)</f>
        <v>44938</v>
      </c>
      <c r="AH101" t="str">
        <f t="shared" si="38"/>
        <v>Jan-2023</v>
      </c>
      <c r="AI101" s="9">
        <f t="shared" si="39"/>
        <v>45688</v>
      </c>
      <c r="AJ101">
        <f t="shared" si="43"/>
        <v>0</v>
      </c>
      <c r="AK101">
        <f t="shared" si="40"/>
        <v>0</v>
      </c>
      <c r="AL101" s="17">
        <f>MIN(N101,'Scenario Modelling'!$B$2)</f>
        <v>0</v>
      </c>
      <c r="AM101" s="10">
        <f>L101*(1+'Scenario Modelling'!$B$3)</f>
        <v>1441.203</v>
      </c>
      <c r="AN101">
        <f>O101*(1+'Scenario Modelling'!$B$4)</f>
        <v>20.4</v>
      </c>
      <c r="AO101" s="28">
        <f t="shared" si="41"/>
        <v>63336.084</v>
      </c>
      <c r="AP101" s="10">
        <f t="shared" si="42"/>
        <v>33935.5428</v>
      </c>
    </row>
    <row r="102" spans="1:42">
      <c r="A102" t="s">
        <v>462</v>
      </c>
      <c r="B102" s="7">
        <v>45304</v>
      </c>
      <c r="C102" s="7">
        <v>45313</v>
      </c>
      <c r="D102" t="s">
        <v>206</v>
      </c>
      <c r="E102" t="s">
        <v>221</v>
      </c>
      <c r="F102" t="s">
        <v>381</v>
      </c>
      <c r="G102" t="s">
        <v>266</v>
      </c>
      <c r="H102" t="s">
        <v>201</v>
      </c>
      <c r="I102" t="s">
        <v>190</v>
      </c>
      <c r="J102" t="s">
        <v>183</v>
      </c>
      <c r="K102" t="s">
        <v>463</v>
      </c>
      <c r="L102" s="10">
        <v>313.6</v>
      </c>
      <c r="M102" s="10">
        <v>334.28</v>
      </c>
      <c r="N102" s="17">
        <v>0.14</v>
      </c>
      <c r="O102">
        <v>22</v>
      </c>
      <c r="P102" t="str">
        <f t="shared" si="23"/>
        <v>Valid</v>
      </c>
      <c r="Q102" s="10">
        <f t="shared" si="24"/>
        <v>334.28</v>
      </c>
      <c r="R102" t="b">
        <f t="shared" si="25"/>
        <v>0</v>
      </c>
      <c r="S102" s="17">
        <f t="shared" si="26"/>
        <v>0.14</v>
      </c>
      <c r="T102">
        <f t="shared" si="27"/>
        <v>9</v>
      </c>
      <c r="U102" s="26">
        <f t="shared" si="28"/>
        <v>45313</v>
      </c>
      <c r="V102">
        <f t="shared" si="29"/>
        <v>9</v>
      </c>
      <c r="W102" s="10">
        <f t="shared" si="30"/>
        <v>734386.4176</v>
      </c>
      <c r="X102" s="10">
        <f t="shared" si="31"/>
        <v>7354.16</v>
      </c>
      <c r="Y102" s="10">
        <f t="shared" si="32"/>
        <v>727032.2576</v>
      </c>
      <c r="Z102" s="14">
        <f t="shared" si="36"/>
        <v>0.989985980372522</v>
      </c>
      <c r="AA102" t="s">
        <v>1568</v>
      </c>
      <c r="AB102" t="str">
        <f t="shared" si="33"/>
        <v>Q1-2024</v>
      </c>
      <c r="AC102" t="str">
        <f t="shared" si="34"/>
        <v>Asia → India → Mumbai</v>
      </c>
      <c r="AD102" t="str">
        <f t="shared" si="35"/>
        <v>Support</v>
      </c>
      <c r="AE102" s="8" t="str">
        <f t="shared" si="22"/>
        <v>Medium</v>
      </c>
      <c r="AF102" t="str">
        <f t="shared" si="37"/>
        <v>INDIA</v>
      </c>
      <c r="AG102" s="7">
        <v>44955</v>
      </c>
      <c r="AH102" t="str">
        <f t="shared" si="38"/>
        <v>Jan-2023</v>
      </c>
      <c r="AI102" s="9">
        <f t="shared" si="39"/>
        <v>45322</v>
      </c>
      <c r="AJ102">
        <f t="shared" si="43"/>
        <v>0</v>
      </c>
      <c r="AK102">
        <f t="shared" si="40"/>
        <v>0</v>
      </c>
      <c r="AL102" s="17">
        <f>MIN(N102,'Scenario Modelling'!$B$2)</f>
        <v>0.14</v>
      </c>
      <c r="AM102" s="10">
        <f>L102*(1+'Scenario Modelling'!$B$3)</f>
        <v>360.64</v>
      </c>
      <c r="AN102">
        <f>O102*(1+'Scenario Modelling'!$B$4)</f>
        <v>26.4</v>
      </c>
      <c r="AO102" s="28">
        <f t="shared" si="41"/>
        <v>7589.49312</v>
      </c>
      <c r="AP102" s="10">
        <f t="shared" si="42"/>
        <v>-1931.40288</v>
      </c>
    </row>
    <row r="103" spans="1:42">
      <c r="A103" t="s">
        <v>464</v>
      </c>
      <c r="B103" s="7">
        <v>45747</v>
      </c>
      <c r="C103" s="7">
        <v>45751</v>
      </c>
      <c r="D103" t="s">
        <v>177</v>
      </c>
      <c r="E103" t="s">
        <v>178</v>
      </c>
      <c r="F103" t="s">
        <v>296</v>
      </c>
      <c r="G103" t="s">
        <v>180</v>
      </c>
      <c r="H103" t="s">
        <v>259</v>
      </c>
      <c r="I103" t="s">
        <v>182</v>
      </c>
      <c r="J103" t="s">
        <v>218</v>
      </c>
      <c r="K103" t="s">
        <v>465</v>
      </c>
      <c r="L103" s="10">
        <v>862.08</v>
      </c>
      <c r="M103" s="10">
        <v>1952.83</v>
      </c>
      <c r="N103" s="17">
        <v>0</v>
      </c>
      <c r="O103">
        <v>7</v>
      </c>
      <c r="P103" t="str">
        <f t="shared" si="23"/>
        <v>Valid</v>
      </c>
      <c r="Q103" s="10">
        <f t="shared" si="24"/>
        <v>1952.83</v>
      </c>
      <c r="R103" t="b">
        <f t="shared" si="25"/>
        <v>0</v>
      </c>
      <c r="S103" s="17">
        <f t="shared" si="26"/>
        <v>0</v>
      </c>
      <c r="T103">
        <f t="shared" si="27"/>
        <v>4</v>
      </c>
      <c r="U103" s="26">
        <f t="shared" si="28"/>
        <v>45751</v>
      </c>
      <c r="V103">
        <f t="shared" si="29"/>
        <v>4</v>
      </c>
      <c r="W103" s="10">
        <f t="shared" si="30"/>
        <v>1366981</v>
      </c>
      <c r="X103" s="10">
        <f t="shared" si="31"/>
        <v>13669.81</v>
      </c>
      <c r="Y103" s="10">
        <f t="shared" si="32"/>
        <v>1353311.19</v>
      </c>
      <c r="Z103" s="14">
        <f t="shared" si="36"/>
        <v>0.99</v>
      </c>
      <c r="AA103" t="s">
        <v>1563</v>
      </c>
      <c r="AB103" t="str">
        <f t="shared" si="33"/>
        <v>Q1-2025</v>
      </c>
      <c r="AC103" t="str">
        <f t="shared" si="34"/>
        <v>Africa → Kenya → Nakuru</v>
      </c>
      <c r="AD103" t="str">
        <f t="shared" si="35"/>
        <v>Devices</v>
      </c>
      <c r="AE103" s="8" t="str">
        <f t="shared" si="22"/>
        <v>High</v>
      </c>
      <c r="AF103" t="str">
        <f t="shared" si="37"/>
        <v>KENYA</v>
      </c>
      <c r="AG103" s="7">
        <v>44946</v>
      </c>
      <c r="AH103" t="str">
        <f t="shared" si="38"/>
        <v>Jan-2023</v>
      </c>
      <c r="AI103" s="9">
        <f t="shared" si="39"/>
        <v>45747</v>
      </c>
      <c r="AJ103">
        <f t="shared" si="43"/>
        <v>1</v>
      </c>
      <c r="AK103">
        <f t="shared" si="40"/>
        <v>0</v>
      </c>
      <c r="AL103" s="17">
        <f>MIN(N103,'Scenario Modelling'!$B$2)</f>
        <v>0</v>
      </c>
      <c r="AM103" s="10">
        <f>L103*(1+'Scenario Modelling'!$B$3)</f>
        <v>991.392</v>
      </c>
      <c r="AN103">
        <f>O103*(1+'Scenario Modelling'!$B$4)</f>
        <v>8.4</v>
      </c>
      <c r="AO103" s="28">
        <f t="shared" si="41"/>
        <v>16403.772</v>
      </c>
      <c r="AP103" s="10">
        <f t="shared" si="42"/>
        <v>8076.0792</v>
      </c>
    </row>
    <row r="104" spans="1:42">
      <c r="A104" t="s">
        <v>466</v>
      </c>
      <c r="B104" s="7">
        <v>45631</v>
      </c>
      <c r="C104" s="7">
        <v>45654</v>
      </c>
      <c r="D104" t="s">
        <v>213</v>
      </c>
      <c r="E104" t="s">
        <v>214</v>
      </c>
      <c r="F104" t="s">
        <v>340</v>
      </c>
      <c r="G104" t="s">
        <v>180</v>
      </c>
      <c r="H104" t="s">
        <v>259</v>
      </c>
      <c r="I104" t="s">
        <v>245</v>
      </c>
      <c r="J104" t="s">
        <v>242</v>
      </c>
      <c r="K104" t="s">
        <v>467</v>
      </c>
      <c r="L104" s="10">
        <v>107.03</v>
      </c>
      <c r="M104" s="10">
        <v>242.29</v>
      </c>
      <c r="N104" s="17">
        <v>0.18</v>
      </c>
      <c r="O104">
        <v>30</v>
      </c>
      <c r="P104" t="str">
        <f t="shared" si="23"/>
        <v>Valid</v>
      </c>
      <c r="Q104" s="10">
        <f t="shared" si="24"/>
        <v>242.29</v>
      </c>
      <c r="R104" t="b">
        <f t="shared" si="25"/>
        <v>0</v>
      </c>
      <c r="S104" s="17">
        <f t="shared" si="26"/>
        <v>0.18</v>
      </c>
      <c r="T104">
        <f t="shared" si="27"/>
        <v>23</v>
      </c>
      <c r="U104" s="26">
        <f t="shared" si="28"/>
        <v>45654</v>
      </c>
      <c r="V104">
        <f t="shared" si="29"/>
        <v>23</v>
      </c>
      <c r="W104" s="10">
        <f t="shared" si="30"/>
        <v>725561.634</v>
      </c>
      <c r="X104" s="10">
        <f t="shared" si="31"/>
        <v>7268.7</v>
      </c>
      <c r="Y104" s="10">
        <f t="shared" si="32"/>
        <v>718292.934</v>
      </c>
      <c r="Z104" s="14">
        <f t="shared" si="36"/>
        <v>0.989981967541575</v>
      </c>
      <c r="AA104" t="s">
        <v>1565</v>
      </c>
      <c r="AB104" t="str">
        <f t="shared" si="33"/>
        <v>Q4-2024</v>
      </c>
      <c r="AC104" t="str">
        <f t="shared" si="34"/>
        <v>Americas → Canada → Vancouver</v>
      </c>
      <c r="AD104" t="str">
        <f t="shared" si="35"/>
        <v>Support</v>
      </c>
      <c r="AE104" s="8" t="str">
        <f t="shared" si="22"/>
        <v>High</v>
      </c>
      <c r="AF104" t="str">
        <f t="shared" si="37"/>
        <v>CANADA</v>
      </c>
      <c r="AG104" s="7">
        <f>_xlfn.MINIFS($B$2:$B$633,$AF$2:$AF$633,AF104)</f>
        <v>44928</v>
      </c>
      <c r="AH104" t="str">
        <f t="shared" si="38"/>
        <v>Jan-2023</v>
      </c>
      <c r="AI104" s="9">
        <f t="shared" si="39"/>
        <v>45657</v>
      </c>
      <c r="AJ104">
        <f t="shared" si="43"/>
        <v>0</v>
      </c>
      <c r="AK104">
        <f t="shared" si="40"/>
        <v>0</v>
      </c>
      <c r="AL104" s="17">
        <f>MIN(N104,'Scenario Modelling'!$B$2)</f>
        <v>0.18</v>
      </c>
      <c r="AM104" s="10">
        <f>L104*(1+'Scenario Modelling'!$B$3)</f>
        <v>123.0845</v>
      </c>
      <c r="AN104">
        <f>O104*(1+'Scenario Modelling'!$B$4)</f>
        <v>36</v>
      </c>
      <c r="AO104" s="28">
        <f t="shared" si="41"/>
        <v>7152.4008</v>
      </c>
      <c r="AP104" s="10">
        <f t="shared" si="42"/>
        <v>2721.3588</v>
      </c>
    </row>
    <row r="105" spans="1:42">
      <c r="A105" t="s">
        <v>468</v>
      </c>
      <c r="B105" s="7">
        <v>45549</v>
      </c>
      <c r="C105" s="7">
        <v>45570</v>
      </c>
      <c r="D105" t="s">
        <v>206</v>
      </c>
      <c r="E105" t="s">
        <v>277</v>
      </c>
      <c r="F105" t="s">
        <v>323</v>
      </c>
      <c r="G105" t="s">
        <v>223</v>
      </c>
      <c r="H105" t="s">
        <v>189</v>
      </c>
      <c r="I105" t="s">
        <v>253</v>
      </c>
      <c r="J105" t="s">
        <v>218</v>
      </c>
      <c r="K105" t="s">
        <v>469</v>
      </c>
      <c r="L105" s="10">
        <v>1405.56</v>
      </c>
      <c r="M105" s="10">
        <v>2968.87</v>
      </c>
      <c r="N105" s="17">
        <v>0.169</v>
      </c>
      <c r="O105">
        <v>5</v>
      </c>
      <c r="P105" t="str">
        <f t="shared" si="23"/>
        <v>Valid</v>
      </c>
      <c r="Q105" s="10">
        <f t="shared" si="24"/>
        <v>2968.87</v>
      </c>
      <c r="R105" t="b">
        <f t="shared" si="25"/>
        <v>0</v>
      </c>
      <c r="S105" s="17">
        <f t="shared" si="26"/>
        <v>0.169</v>
      </c>
      <c r="T105">
        <f t="shared" si="27"/>
        <v>21</v>
      </c>
      <c r="U105" s="26">
        <f t="shared" si="28"/>
        <v>45570</v>
      </c>
      <c r="V105">
        <f t="shared" si="29"/>
        <v>21</v>
      </c>
      <c r="W105" s="10">
        <f t="shared" si="30"/>
        <v>1481926.30485</v>
      </c>
      <c r="X105" s="10">
        <f t="shared" si="31"/>
        <v>14844.35</v>
      </c>
      <c r="Y105" s="10">
        <f t="shared" si="32"/>
        <v>1467081.95485</v>
      </c>
      <c r="Z105" s="14">
        <f t="shared" si="36"/>
        <v>0.98998307139065</v>
      </c>
      <c r="AA105" t="s">
        <v>1592</v>
      </c>
      <c r="AB105" t="str">
        <f t="shared" si="33"/>
        <v>Q3-2024</v>
      </c>
      <c r="AC105" t="str">
        <f t="shared" si="34"/>
        <v>Asia → China → Shanghai</v>
      </c>
      <c r="AD105" t="str">
        <f t="shared" si="35"/>
        <v>Devices</v>
      </c>
      <c r="AE105" s="8" t="str">
        <f t="shared" si="22"/>
        <v>Medium</v>
      </c>
      <c r="AF105" t="str">
        <f t="shared" si="37"/>
        <v>CHINA</v>
      </c>
      <c r="AG105" s="7">
        <f>_xlfn.MINIFS($B$2:$B$633,$AF$2:$AF$633,AF105)</f>
        <v>44938</v>
      </c>
      <c r="AH105" t="str">
        <f t="shared" si="38"/>
        <v>Jan-2023</v>
      </c>
      <c r="AI105" s="9">
        <f t="shared" si="39"/>
        <v>45565</v>
      </c>
      <c r="AJ105">
        <f t="shared" si="43"/>
        <v>0</v>
      </c>
      <c r="AK105">
        <f t="shared" si="40"/>
        <v>0</v>
      </c>
      <c r="AL105" s="17">
        <f>MIN(N105,'Scenario Modelling'!$B$2)</f>
        <v>0.169</v>
      </c>
      <c r="AM105" s="10">
        <f>L105*(1+'Scenario Modelling'!$B$3)</f>
        <v>1616.394</v>
      </c>
      <c r="AN105">
        <f>O105*(1+'Scenario Modelling'!$B$4)</f>
        <v>6</v>
      </c>
      <c r="AO105" s="28">
        <f t="shared" si="41"/>
        <v>14802.78582</v>
      </c>
      <c r="AP105" s="10">
        <f t="shared" si="42"/>
        <v>5104.42182</v>
      </c>
    </row>
    <row r="106" spans="1:42">
      <c r="A106" t="s">
        <v>470</v>
      </c>
      <c r="B106" s="7">
        <v>45433</v>
      </c>
      <c r="C106" s="7">
        <v>45439</v>
      </c>
      <c r="D106" t="s">
        <v>177</v>
      </c>
      <c r="E106" t="s">
        <v>309</v>
      </c>
      <c r="F106" t="s">
        <v>310</v>
      </c>
      <c r="G106" t="s">
        <v>200</v>
      </c>
      <c r="H106" t="s">
        <v>189</v>
      </c>
      <c r="I106" t="s">
        <v>271</v>
      </c>
      <c r="J106" t="s">
        <v>183</v>
      </c>
      <c r="K106" t="s">
        <v>471</v>
      </c>
      <c r="L106" s="10">
        <v>1157.51</v>
      </c>
      <c r="M106" s="10">
        <v>1394.3</v>
      </c>
      <c r="N106" s="17">
        <v>0.278</v>
      </c>
      <c r="O106">
        <v>12</v>
      </c>
      <c r="P106" t="str">
        <f t="shared" si="23"/>
        <v>Valid</v>
      </c>
      <c r="Q106" s="10">
        <f t="shared" si="24"/>
        <v>1394.3</v>
      </c>
      <c r="R106" t="b">
        <f t="shared" si="25"/>
        <v>0</v>
      </c>
      <c r="S106" s="17">
        <f t="shared" si="26"/>
        <v>0.278</v>
      </c>
      <c r="T106">
        <f t="shared" si="27"/>
        <v>6</v>
      </c>
      <c r="U106" s="26">
        <f t="shared" si="28"/>
        <v>45439</v>
      </c>
      <c r="V106">
        <f t="shared" si="29"/>
        <v>6</v>
      </c>
      <c r="W106" s="10">
        <f t="shared" si="30"/>
        <v>1668508.6152</v>
      </c>
      <c r="X106" s="10">
        <f t="shared" si="31"/>
        <v>16731.6</v>
      </c>
      <c r="Y106" s="10">
        <f t="shared" si="32"/>
        <v>1651777.0152</v>
      </c>
      <c r="Z106" s="14">
        <f t="shared" si="36"/>
        <v>0.989972122500551</v>
      </c>
      <c r="AA106" t="s">
        <v>1566</v>
      </c>
      <c r="AB106" t="str">
        <f t="shared" si="33"/>
        <v>Q2-2024</v>
      </c>
      <c r="AC106" t="str">
        <f t="shared" si="34"/>
        <v>Africa → South Africa → Johannesburg</v>
      </c>
      <c r="AD106" t="str">
        <f t="shared" si="35"/>
        <v>Support</v>
      </c>
      <c r="AE106" s="8" t="str">
        <f t="shared" si="22"/>
        <v>Medium</v>
      </c>
      <c r="AF106" t="str">
        <f t="shared" si="37"/>
        <v>SOUTH AFRICA</v>
      </c>
      <c r="AG106" s="7">
        <v>44933</v>
      </c>
      <c r="AH106" t="str">
        <f t="shared" si="38"/>
        <v>Jan-2023</v>
      </c>
      <c r="AI106" s="9">
        <f t="shared" si="39"/>
        <v>45443</v>
      </c>
      <c r="AJ106">
        <f t="shared" si="43"/>
        <v>1</v>
      </c>
      <c r="AK106">
        <f t="shared" si="40"/>
        <v>1</v>
      </c>
      <c r="AL106" s="17">
        <f>MIN(N106,'Scenario Modelling'!$B$2)</f>
        <v>0.25</v>
      </c>
      <c r="AM106" s="10">
        <f>L106*(1+'Scenario Modelling'!$B$3)</f>
        <v>1331.1365</v>
      </c>
      <c r="AN106">
        <f>O106*(1+'Scenario Modelling'!$B$4)</f>
        <v>14.4</v>
      </c>
      <c r="AO106" s="28">
        <f t="shared" si="41"/>
        <v>15058.44</v>
      </c>
      <c r="AP106" s="10">
        <f t="shared" si="42"/>
        <v>-4109.9256</v>
      </c>
    </row>
    <row r="107" spans="1:42">
      <c r="A107" t="s">
        <v>472</v>
      </c>
      <c r="B107" s="7">
        <v>45057</v>
      </c>
      <c r="C107" s="7">
        <v>45084</v>
      </c>
      <c r="D107" t="s">
        <v>177</v>
      </c>
      <c r="E107" t="s">
        <v>178</v>
      </c>
      <c r="F107" t="s">
        <v>274</v>
      </c>
      <c r="G107" t="s">
        <v>180</v>
      </c>
      <c r="H107" t="s">
        <v>189</v>
      </c>
      <c r="I107" t="s">
        <v>190</v>
      </c>
      <c r="J107" t="s">
        <v>203</v>
      </c>
      <c r="K107" t="s">
        <v>473</v>
      </c>
      <c r="L107" s="10">
        <v>12.85</v>
      </c>
      <c r="M107" s="10">
        <v>15.41</v>
      </c>
      <c r="N107" s="17">
        <v>0.137</v>
      </c>
      <c r="O107">
        <v>39</v>
      </c>
      <c r="P107" t="str">
        <f t="shared" si="23"/>
        <v>Valid</v>
      </c>
      <c r="Q107" s="10">
        <f t="shared" si="24"/>
        <v>15.41</v>
      </c>
      <c r="R107" t="b">
        <f t="shared" si="25"/>
        <v>0</v>
      </c>
      <c r="S107" s="17">
        <f t="shared" si="26"/>
        <v>0.137</v>
      </c>
      <c r="T107">
        <f t="shared" si="27"/>
        <v>27</v>
      </c>
      <c r="U107" s="26">
        <f t="shared" si="28"/>
        <v>45084</v>
      </c>
      <c r="V107">
        <f t="shared" si="29"/>
        <v>27</v>
      </c>
      <c r="W107" s="10">
        <f t="shared" si="30"/>
        <v>60016.66437</v>
      </c>
      <c r="X107" s="10">
        <f t="shared" si="31"/>
        <v>600.99</v>
      </c>
      <c r="Y107" s="10">
        <f t="shared" si="32"/>
        <v>59415.67437</v>
      </c>
      <c r="Z107" s="14">
        <f t="shared" si="36"/>
        <v>0.989986281205251</v>
      </c>
      <c r="AA107" t="s">
        <v>1574</v>
      </c>
      <c r="AB107" t="str">
        <f t="shared" si="33"/>
        <v>Q2-2023</v>
      </c>
      <c r="AC107" t="str">
        <f t="shared" si="34"/>
        <v>Africa → Kenya → Mombasa</v>
      </c>
      <c r="AD107" t="str">
        <f t="shared" si="35"/>
        <v>Devices</v>
      </c>
      <c r="AE107" s="8" t="str">
        <f t="shared" si="22"/>
        <v>Low</v>
      </c>
      <c r="AF107" t="str">
        <f t="shared" si="37"/>
        <v>KENYA</v>
      </c>
      <c r="AG107" s="7">
        <v>44946</v>
      </c>
      <c r="AH107" t="str">
        <f t="shared" si="38"/>
        <v>Jan-2023</v>
      </c>
      <c r="AI107" s="9">
        <f t="shared" si="39"/>
        <v>45077</v>
      </c>
      <c r="AJ107">
        <f t="shared" si="43"/>
        <v>0</v>
      </c>
      <c r="AK107">
        <f t="shared" si="40"/>
        <v>0</v>
      </c>
      <c r="AL107" s="17">
        <f>MIN(N107,'Scenario Modelling'!$B$2)</f>
        <v>0.137</v>
      </c>
      <c r="AM107" s="10">
        <f>L107*(1+'Scenario Modelling'!$B$3)</f>
        <v>14.7775</v>
      </c>
      <c r="AN107">
        <f>O107*(1+'Scenario Modelling'!$B$4)</f>
        <v>46.8</v>
      </c>
      <c r="AO107" s="28">
        <f t="shared" si="41"/>
        <v>622.385244</v>
      </c>
      <c r="AP107" s="10">
        <f t="shared" si="42"/>
        <v>-69.2017559999999</v>
      </c>
    </row>
    <row r="108" spans="1:42">
      <c r="A108" t="s">
        <v>474</v>
      </c>
      <c r="B108" s="7">
        <v>45518</v>
      </c>
      <c r="C108" s="7">
        <v>45539</v>
      </c>
      <c r="D108" t="s">
        <v>239</v>
      </c>
      <c r="E108" t="s">
        <v>269</v>
      </c>
      <c r="F108" t="s">
        <v>389</v>
      </c>
      <c r="G108" t="s">
        <v>200</v>
      </c>
      <c r="H108" t="s">
        <v>189</v>
      </c>
      <c r="I108" t="s">
        <v>190</v>
      </c>
      <c r="J108" t="s">
        <v>203</v>
      </c>
      <c r="K108" t="s">
        <v>475</v>
      </c>
      <c r="L108" s="10">
        <v>1138.8</v>
      </c>
      <c r="M108" s="10">
        <v>2250.81</v>
      </c>
      <c r="N108" s="17">
        <v>0.123</v>
      </c>
      <c r="O108">
        <v>12</v>
      </c>
      <c r="P108" t="str">
        <f t="shared" si="23"/>
        <v>Valid</v>
      </c>
      <c r="Q108" s="10">
        <f t="shared" si="24"/>
        <v>2250.81</v>
      </c>
      <c r="R108" t="b">
        <f t="shared" si="25"/>
        <v>0</v>
      </c>
      <c r="S108" s="17">
        <f t="shared" si="26"/>
        <v>0.123</v>
      </c>
      <c r="T108">
        <f t="shared" si="27"/>
        <v>21</v>
      </c>
      <c r="U108" s="26">
        <f t="shared" si="28"/>
        <v>45539</v>
      </c>
      <c r="V108">
        <f t="shared" si="29"/>
        <v>21</v>
      </c>
      <c r="W108" s="10">
        <f t="shared" si="30"/>
        <v>2697649.80444</v>
      </c>
      <c r="X108" s="10">
        <f t="shared" si="31"/>
        <v>27009.72</v>
      </c>
      <c r="Y108" s="10">
        <f t="shared" si="32"/>
        <v>2670640.08444</v>
      </c>
      <c r="Z108" s="14">
        <f t="shared" si="36"/>
        <v>0.989987684852368</v>
      </c>
      <c r="AA108" t="s">
        <v>1581</v>
      </c>
      <c r="AB108" t="str">
        <f t="shared" si="33"/>
        <v>Q3-2024</v>
      </c>
      <c r="AC108" t="str">
        <f t="shared" si="34"/>
        <v>Europe → United Kingdom → Manchester</v>
      </c>
      <c r="AD108" t="str">
        <f t="shared" si="35"/>
        <v>Devices</v>
      </c>
      <c r="AE108" s="8" t="str">
        <f t="shared" si="22"/>
        <v>Medium</v>
      </c>
      <c r="AF108" t="str">
        <f t="shared" si="37"/>
        <v>UNITED KINGDOM</v>
      </c>
      <c r="AG108" s="7">
        <v>44945</v>
      </c>
      <c r="AH108" t="str">
        <f t="shared" si="38"/>
        <v>Jan-2023</v>
      </c>
      <c r="AI108" s="9">
        <f t="shared" si="39"/>
        <v>45535</v>
      </c>
      <c r="AJ108">
        <f t="shared" si="43"/>
        <v>0</v>
      </c>
      <c r="AK108">
        <f t="shared" si="40"/>
        <v>0</v>
      </c>
      <c r="AL108" s="17">
        <f>MIN(N108,'Scenario Modelling'!$B$2)</f>
        <v>0.123</v>
      </c>
      <c r="AM108" s="10">
        <f>L108*(1+'Scenario Modelling'!$B$3)</f>
        <v>1309.62</v>
      </c>
      <c r="AN108">
        <f>O108*(1+'Scenario Modelling'!$B$4)</f>
        <v>14.4</v>
      </c>
      <c r="AO108" s="28">
        <f t="shared" si="41"/>
        <v>28425.029328</v>
      </c>
      <c r="AP108" s="10">
        <f t="shared" si="42"/>
        <v>9566.501328</v>
      </c>
    </row>
    <row r="109" spans="1:42">
      <c r="A109" t="s">
        <v>476</v>
      </c>
      <c r="B109" s="7">
        <v>45581</v>
      </c>
      <c r="C109" s="7">
        <v>45604</v>
      </c>
      <c r="D109" t="s">
        <v>206</v>
      </c>
      <c r="E109" t="s">
        <v>207</v>
      </c>
      <c r="F109" t="s">
        <v>208</v>
      </c>
      <c r="G109" t="s">
        <v>223</v>
      </c>
      <c r="H109" t="s">
        <v>181</v>
      </c>
      <c r="I109" t="s">
        <v>190</v>
      </c>
      <c r="J109" t="s">
        <v>196</v>
      </c>
      <c r="K109" t="s">
        <v>477</v>
      </c>
      <c r="L109" s="10">
        <v>82.14</v>
      </c>
      <c r="M109" s="10">
        <v>166.04</v>
      </c>
      <c r="N109" s="17">
        <v>0</v>
      </c>
      <c r="O109">
        <v>10</v>
      </c>
      <c r="P109" t="str">
        <f t="shared" si="23"/>
        <v>Valid</v>
      </c>
      <c r="Q109" s="10">
        <f t="shared" si="24"/>
        <v>166.04</v>
      </c>
      <c r="R109" t="b">
        <f t="shared" si="25"/>
        <v>0</v>
      </c>
      <c r="S109" s="17">
        <f t="shared" si="26"/>
        <v>0</v>
      </c>
      <c r="T109">
        <f t="shared" si="27"/>
        <v>23</v>
      </c>
      <c r="U109" s="26">
        <f t="shared" si="28"/>
        <v>45604</v>
      </c>
      <c r="V109">
        <f t="shared" si="29"/>
        <v>23</v>
      </c>
      <c r="W109" s="10">
        <f t="shared" si="30"/>
        <v>166040</v>
      </c>
      <c r="X109" s="10">
        <f t="shared" si="31"/>
        <v>1660.4</v>
      </c>
      <c r="Y109" s="10">
        <f t="shared" si="32"/>
        <v>164379.6</v>
      </c>
      <c r="Z109" s="14">
        <f t="shared" si="36"/>
        <v>0.99</v>
      </c>
      <c r="AA109" t="s">
        <v>1561</v>
      </c>
      <c r="AB109" t="str">
        <f t="shared" si="33"/>
        <v>Q4-2024</v>
      </c>
      <c r="AC109" t="str">
        <f t="shared" si="34"/>
        <v>Asia → Japan → Osaka</v>
      </c>
      <c r="AD109" t="str">
        <f t="shared" si="35"/>
        <v>Support</v>
      </c>
      <c r="AE109" s="8" t="str">
        <f t="shared" si="22"/>
        <v>Medium</v>
      </c>
      <c r="AF109" t="str">
        <f t="shared" si="37"/>
        <v>JAPAN</v>
      </c>
      <c r="AG109" s="7">
        <v>44988</v>
      </c>
      <c r="AH109" t="str">
        <f t="shared" si="38"/>
        <v>Mar-2023</v>
      </c>
      <c r="AI109" s="9">
        <f t="shared" si="39"/>
        <v>45596</v>
      </c>
      <c r="AJ109">
        <f t="shared" si="43"/>
        <v>0</v>
      </c>
      <c r="AK109">
        <f t="shared" si="40"/>
        <v>0</v>
      </c>
      <c r="AL109" s="17">
        <f>MIN(N109,'Scenario Modelling'!$B$2)</f>
        <v>0</v>
      </c>
      <c r="AM109" s="10">
        <f>L109*(1+'Scenario Modelling'!$B$3)</f>
        <v>94.461</v>
      </c>
      <c r="AN109">
        <f>O109*(1+'Scenario Modelling'!$B$4)</f>
        <v>12</v>
      </c>
      <c r="AO109" s="28">
        <f t="shared" si="41"/>
        <v>1992.48</v>
      </c>
      <c r="AP109" s="10">
        <f t="shared" si="42"/>
        <v>858.948</v>
      </c>
    </row>
    <row r="110" spans="1:42">
      <c r="A110" t="s">
        <v>478</v>
      </c>
      <c r="B110" s="7">
        <v>45445</v>
      </c>
      <c r="C110" s="7">
        <v>45451</v>
      </c>
      <c r="D110" t="s">
        <v>177</v>
      </c>
      <c r="E110" t="s">
        <v>178</v>
      </c>
      <c r="F110" t="s">
        <v>179</v>
      </c>
      <c r="G110" t="s">
        <v>209</v>
      </c>
      <c r="H110" t="s">
        <v>201</v>
      </c>
      <c r="I110" t="s">
        <v>236</v>
      </c>
      <c r="J110" t="s">
        <v>242</v>
      </c>
      <c r="K110" t="s">
        <v>479</v>
      </c>
      <c r="L110" s="10">
        <v>292.94</v>
      </c>
      <c r="M110" s="10">
        <v>356.55</v>
      </c>
      <c r="N110" s="17">
        <v>0.229</v>
      </c>
      <c r="O110">
        <v>2</v>
      </c>
      <c r="P110" t="str">
        <f t="shared" si="23"/>
        <v>Valid</v>
      </c>
      <c r="Q110" s="10">
        <f t="shared" si="24"/>
        <v>356.55</v>
      </c>
      <c r="R110" t="b">
        <f t="shared" si="25"/>
        <v>0</v>
      </c>
      <c r="S110" s="17">
        <f t="shared" si="26"/>
        <v>0.229</v>
      </c>
      <c r="T110">
        <f t="shared" si="27"/>
        <v>6</v>
      </c>
      <c r="U110" s="26">
        <f t="shared" si="28"/>
        <v>45451</v>
      </c>
      <c r="V110">
        <f t="shared" si="29"/>
        <v>6</v>
      </c>
      <c r="W110" s="10">
        <f t="shared" si="30"/>
        <v>71146.7001</v>
      </c>
      <c r="X110" s="10">
        <f t="shared" si="31"/>
        <v>713.1</v>
      </c>
      <c r="Y110" s="10">
        <f t="shared" si="32"/>
        <v>70433.6001</v>
      </c>
      <c r="Z110" s="14">
        <f t="shared" si="36"/>
        <v>0.989977047438634</v>
      </c>
      <c r="AA110" t="s">
        <v>1576</v>
      </c>
      <c r="AB110" t="str">
        <f t="shared" si="33"/>
        <v>Q2-2024</v>
      </c>
      <c r="AC110" t="str">
        <f t="shared" si="34"/>
        <v>Africa → Kenya → Kisumu</v>
      </c>
      <c r="AD110" t="str">
        <f t="shared" si="35"/>
        <v>Support</v>
      </c>
      <c r="AE110" s="8" t="str">
        <f t="shared" si="22"/>
        <v>Medium</v>
      </c>
      <c r="AF110" t="str">
        <f t="shared" si="37"/>
        <v>KENYA</v>
      </c>
      <c r="AG110" s="7">
        <v>44946</v>
      </c>
      <c r="AH110" t="str">
        <f t="shared" si="38"/>
        <v>Jan-2023</v>
      </c>
      <c r="AI110" s="9">
        <f t="shared" si="39"/>
        <v>45473</v>
      </c>
      <c r="AJ110">
        <f t="shared" si="43"/>
        <v>1</v>
      </c>
      <c r="AK110">
        <f t="shared" si="40"/>
        <v>1</v>
      </c>
      <c r="AL110" s="17">
        <f>MIN(N110,'Scenario Modelling'!$B$2)</f>
        <v>0.229</v>
      </c>
      <c r="AM110" s="10">
        <f>L110*(1+'Scenario Modelling'!$B$3)</f>
        <v>336.881</v>
      </c>
      <c r="AN110">
        <f>O110*(1+'Scenario Modelling'!$B$4)</f>
        <v>2.4</v>
      </c>
      <c r="AO110" s="28">
        <f t="shared" si="41"/>
        <v>659.76012</v>
      </c>
      <c r="AP110" s="10">
        <f t="shared" si="42"/>
        <v>-148.75428</v>
      </c>
    </row>
    <row r="111" spans="1:42">
      <c r="A111" t="s">
        <v>480</v>
      </c>
      <c r="B111" s="7">
        <v>45452</v>
      </c>
      <c r="C111" s="7">
        <v>45480</v>
      </c>
      <c r="D111" t="s">
        <v>206</v>
      </c>
      <c r="E111" t="s">
        <v>277</v>
      </c>
      <c r="F111" t="s">
        <v>278</v>
      </c>
      <c r="G111" t="s">
        <v>180</v>
      </c>
      <c r="H111" t="s">
        <v>189</v>
      </c>
      <c r="I111" t="s">
        <v>190</v>
      </c>
      <c r="J111" t="s">
        <v>183</v>
      </c>
      <c r="K111" t="s">
        <v>481</v>
      </c>
      <c r="L111" s="10">
        <v>550.22</v>
      </c>
      <c r="M111" s="10">
        <v>1025.05</v>
      </c>
      <c r="N111" s="17">
        <v>0</v>
      </c>
      <c r="O111">
        <v>27</v>
      </c>
      <c r="P111" t="str">
        <f t="shared" si="23"/>
        <v>Valid</v>
      </c>
      <c r="Q111" s="10">
        <f t="shared" si="24"/>
        <v>1025.05</v>
      </c>
      <c r="R111" t="b">
        <f t="shared" si="25"/>
        <v>0</v>
      </c>
      <c r="S111" s="17">
        <f t="shared" si="26"/>
        <v>0</v>
      </c>
      <c r="T111">
        <f t="shared" si="27"/>
        <v>28</v>
      </c>
      <c r="U111" s="26">
        <f t="shared" si="28"/>
        <v>45480</v>
      </c>
      <c r="V111">
        <f t="shared" si="29"/>
        <v>28</v>
      </c>
      <c r="W111" s="10">
        <f t="shared" si="30"/>
        <v>2767635</v>
      </c>
      <c r="X111" s="10">
        <f t="shared" si="31"/>
        <v>27676.35</v>
      </c>
      <c r="Y111" s="10">
        <f t="shared" si="32"/>
        <v>2739958.65</v>
      </c>
      <c r="Z111" s="14">
        <f t="shared" si="36"/>
        <v>0.99</v>
      </c>
      <c r="AA111" t="s">
        <v>1576</v>
      </c>
      <c r="AB111" t="str">
        <f t="shared" si="33"/>
        <v>Q2-2024</v>
      </c>
      <c r="AC111" t="str">
        <f t="shared" si="34"/>
        <v>Asia → China → Shenzhen</v>
      </c>
      <c r="AD111" t="str">
        <f t="shared" si="35"/>
        <v>Support</v>
      </c>
      <c r="AE111" s="8" t="str">
        <f t="shared" si="22"/>
        <v>Medium</v>
      </c>
      <c r="AF111" t="str">
        <f t="shared" si="37"/>
        <v>CHINA</v>
      </c>
      <c r="AG111" s="7">
        <f>_xlfn.MINIFS($B$2:$B$633,$AF$2:$AF$633,AF111)</f>
        <v>44938</v>
      </c>
      <c r="AH111" t="str">
        <f t="shared" si="38"/>
        <v>Jan-2023</v>
      </c>
      <c r="AI111" s="9">
        <f t="shared" si="39"/>
        <v>45473</v>
      </c>
      <c r="AJ111">
        <f t="shared" si="43"/>
        <v>0</v>
      </c>
      <c r="AK111">
        <f t="shared" si="40"/>
        <v>0</v>
      </c>
      <c r="AL111" s="17">
        <f>MIN(N111,'Scenario Modelling'!$B$2)</f>
        <v>0</v>
      </c>
      <c r="AM111" s="10">
        <f>L111*(1+'Scenario Modelling'!$B$3)</f>
        <v>632.753</v>
      </c>
      <c r="AN111">
        <f>O111*(1+'Scenario Modelling'!$B$4)</f>
        <v>32.4</v>
      </c>
      <c r="AO111" s="28">
        <f t="shared" si="41"/>
        <v>33211.62</v>
      </c>
      <c r="AP111" s="10">
        <f t="shared" si="42"/>
        <v>12710.4228</v>
      </c>
    </row>
    <row r="112" spans="1:42">
      <c r="A112" t="s">
        <v>482</v>
      </c>
      <c r="B112" s="7">
        <v>45453</v>
      </c>
      <c r="C112" s="7">
        <v>45454</v>
      </c>
      <c r="D112" t="s">
        <v>239</v>
      </c>
      <c r="E112" t="s">
        <v>269</v>
      </c>
      <c r="F112" t="s">
        <v>270</v>
      </c>
      <c r="G112" t="s">
        <v>223</v>
      </c>
      <c r="H112" t="s">
        <v>201</v>
      </c>
      <c r="I112" t="s">
        <v>271</v>
      </c>
      <c r="J112" t="s">
        <v>218</v>
      </c>
      <c r="K112" t="s">
        <v>483</v>
      </c>
      <c r="L112" s="10">
        <v>1187.13</v>
      </c>
      <c r="M112" s="10">
        <v>1795.17</v>
      </c>
      <c r="N112" s="17">
        <v>0.012</v>
      </c>
      <c r="O112">
        <v>17</v>
      </c>
      <c r="P112" t="str">
        <f t="shared" si="23"/>
        <v>Valid</v>
      </c>
      <c r="Q112" s="10">
        <f t="shared" si="24"/>
        <v>1795.17</v>
      </c>
      <c r="R112" t="b">
        <f t="shared" si="25"/>
        <v>0</v>
      </c>
      <c r="S112" s="17">
        <f t="shared" si="26"/>
        <v>0.012</v>
      </c>
      <c r="T112">
        <f t="shared" si="27"/>
        <v>1</v>
      </c>
      <c r="U112" s="26">
        <f t="shared" si="28"/>
        <v>45454</v>
      </c>
      <c r="V112">
        <f t="shared" si="29"/>
        <v>1</v>
      </c>
      <c r="W112" s="10">
        <f t="shared" si="30"/>
        <v>3051422.78532</v>
      </c>
      <c r="X112" s="10">
        <f t="shared" si="31"/>
        <v>30517.89</v>
      </c>
      <c r="Y112" s="10">
        <f t="shared" si="32"/>
        <v>3020904.89532</v>
      </c>
      <c r="Z112" s="14">
        <f t="shared" si="36"/>
        <v>0.989998799855983</v>
      </c>
      <c r="AA112" t="s">
        <v>1576</v>
      </c>
      <c r="AB112" t="str">
        <f t="shared" si="33"/>
        <v>Q2-2024</v>
      </c>
      <c r="AC112" t="str">
        <f t="shared" si="34"/>
        <v>Europe → United Kingdom → Birmingham</v>
      </c>
      <c r="AD112" t="str">
        <f t="shared" si="35"/>
        <v>Devices</v>
      </c>
      <c r="AE112" s="8" t="str">
        <f t="shared" si="22"/>
        <v>Medium</v>
      </c>
      <c r="AF112" t="str">
        <f t="shared" si="37"/>
        <v>UNITED KINGDOM</v>
      </c>
      <c r="AG112" s="7">
        <v>44945</v>
      </c>
      <c r="AH112" t="str">
        <f t="shared" si="38"/>
        <v>Jan-2023</v>
      </c>
      <c r="AI112" s="9">
        <f t="shared" si="39"/>
        <v>45473</v>
      </c>
      <c r="AJ112">
        <f t="shared" si="43"/>
        <v>1</v>
      </c>
      <c r="AK112">
        <f t="shared" si="40"/>
        <v>0</v>
      </c>
      <c r="AL112" s="17">
        <f>MIN(N112,'Scenario Modelling'!$B$2)</f>
        <v>0.012</v>
      </c>
      <c r="AM112" s="10">
        <f>L112*(1+'Scenario Modelling'!$B$3)</f>
        <v>1365.1995</v>
      </c>
      <c r="AN112">
        <f>O112*(1+'Scenario Modelling'!$B$4)</f>
        <v>20.4</v>
      </c>
      <c r="AO112" s="28">
        <f t="shared" si="41"/>
        <v>36182.010384</v>
      </c>
      <c r="AP112" s="10">
        <f t="shared" si="42"/>
        <v>8331.940584</v>
      </c>
    </row>
    <row r="113" spans="1:42">
      <c r="A113" t="s">
        <v>484</v>
      </c>
      <c r="B113" s="7">
        <v>45472</v>
      </c>
      <c r="C113" s="7">
        <v>45499</v>
      </c>
      <c r="D113" t="s">
        <v>177</v>
      </c>
      <c r="E113" t="s">
        <v>309</v>
      </c>
      <c r="F113" t="s">
        <v>333</v>
      </c>
      <c r="G113" t="s">
        <v>266</v>
      </c>
      <c r="H113" t="s">
        <v>216</v>
      </c>
      <c r="I113" t="s">
        <v>217</v>
      </c>
      <c r="J113" t="s">
        <v>196</v>
      </c>
      <c r="K113" t="s">
        <v>485</v>
      </c>
      <c r="L113" s="10">
        <v>5.36</v>
      </c>
      <c r="M113" s="10">
        <v>4.37</v>
      </c>
      <c r="N113" s="17">
        <v>0.118</v>
      </c>
      <c r="O113">
        <v>9</v>
      </c>
      <c r="P113" t="str">
        <f t="shared" si="23"/>
        <v>Valid</v>
      </c>
      <c r="Q113" s="10">
        <f t="shared" si="24"/>
        <v>4.37</v>
      </c>
      <c r="R113" t="b">
        <f t="shared" si="25"/>
        <v>0</v>
      </c>
      <c r="S113" s="17">
        <f t="shared" si="26"/>
        <v>0.118</v>
      </c>
      <c r="T113">
        <f t="shared" si="27"/>
        <v>27</v>
      </c>
      <c r="U113" s="26">
        <f t="shared" si="28"/>
        <v>45499</v>
      </c>
      <c r="V113">
        <f t="shared" si="29"/>
        <v>27</v>
      </c>
      <c r="W113" s="10">
        <f t="shared" si="30"/>
        <v>3928.35906</v>
      </c>
      <c r="X113" s="10">
        <f t="shared" si="31"/>
        <v>39.33</v>
      </c>
      <c r="Y113" s="10">
        <f t="shared" si="32"/>
        <v>3889.02906</v>
      </c>
      <c r="Z113" s="14">
        <f t="shared" si="36"/>
        <v>0.98998818605955</v>
      </c>
      <c r="AA113" t="s">
        <v>1576</v>
      </c>
      <c r="AB113" t="str">
        <f t="shared" si="33"/>
        <v>Q2-2024</v>
      </c>
      <c r="AC113" t="str">
        <f t="shared" si="34"/>
        <v>Africa → South Africa → Durban</v>
      </c>
      <c r="AD113" t="str">
        <f t="shared" si="35"/>
        <v>Support</v>
      </c>
      <c r="AE113" s="8" t="str">
        <f t="shared" si="22"/>
        <v>Medium</v>
      </c>
      <c r="AF113" t="str">
        <f t="shared" si="37"/>
        <v>SOUTH AFRICA</v>
      </c>
      <c r="AG113" s="7">
        <v>44933</v>
      </c>
      <c r="AH113" t="str">
        <f t="shared" si="38"/>
        <v>Jan-2023</v>
      </c>
      <c r="AI113" s="9">
        <f t="shared" si="39"/>
        <v>45473</v>
      </c>
      <c r="AJ113">
        <f t="shared" si="43"/>
        <v>0</v>
      </c>
      <c r="AK113">
        <f t="shared" si="40"/>
        <v>0</v>
      </c>
      <c r="AL113" s="17">
        <f>MIN(N113,'Scenario Modelling'!$B$2)</f>
        <v>0.118</v>
      </c>
      <c r="AM113" s="10">
        <f>L113*(1+'Scenario Modelling'!$B$3)</f>
        <v>6.164</v>
      </c>
      <c r="AN113">
        <f>O113*(1+'Scenario Modelling'!$B$4)</f>
        <v>10.8</v>
      </c>
      <c r="AO113" s="28">
        <f t="shared" si="41"/>
        <v>41.626872</v>
      </c>
      <c r="AP113" s="10">
        <f t="shared" si="42"/>
        <v>-24.944328</v>
      </c>
    </row>
    <row r="114" spans="1:42">
      <c r="A114" t="s">
        <v>486</v>
      </c>
      <c r="B114" s="7">
        <v>45674</v>
      </c>
      <c r="C114" s="7">
        <v>45681</v>
      </c>
      <c r="D114" t="s">
        <v>213</v>
      </c>
      <c r="E114" t="s">
        <v>283</v>
      </c>
      <c r="F114" t="s">
        <v>487</v>
      </c>
      <c r="G114" t="s">
        <v>266</v>
      </c>
      <c r="H114" t="s">
        <v>189</v>
      </c>
      <c r="I114" t="s">
        <v>202</v>
      </c>
      <c r="J114" t="s">
        <v>242</v>
      </c>
      <c r="K114" t="s">
        <v>488</v>
      </c>
      <c r="L114" s="10">
        <v>142.09</v>
      </c>
      <c r="M114" s="10">
        <v>218.5</v>
      </c>
      <c r="N114" s="17">
        <v>0.119</v>
      </c>
      <c r="O114">
        <v>11</v>
      </c>
      <c r="P114" t="str">
        <f t="shared" si="23"/>
        <v>Valid</v>
      </c>
      <c r="Q114" s="10">
        <f t="shared" si="24"/>
        <v>218.5</v>
      </c>
      <c r="R114" t="b">
        <f t="shared" si="25"/>
        <v>0</v>
      </c>
      <c r="S114" s="17">
        <f t="shared" si="26"/>
        <v>0.119</v>
      </c>
      <c r="T114">
        <f t="shared" si="27"/>
        <v>7</v>
      </c>
      <c r="U114" s="26">
        <f t="shared" si="28"/>
        <v>45681</v>
      </c>
      <c r="V114">
        <f t="shared" si="29"/>
        <v>7</v>
      </c>
      <c r="W114" s="10">
        <f t="shared" si="30"/>
        <v>240063.9835</v>
      </c>
      <c r="X114" s="10">
        <f t="shared" si="31"/>
        <v>2403.5</v>
      </c>
      <c r="Y114" s="10">
        <f t="shared" si="32"/>
        <v>237660.4835</v>
      </c>
      <c r="Z114" s="14">
        <f t="shared" si="36"/>
        <v>0.989988085822128</v>
      </c>
      <c r="AA114" t="s">
        <v>1569</v>
      </c>
      <c r="AB114" t="str">
        <f t="shared" si="33"/>
        <v>Q1-2025</v>
      </c>
      <c r="AC114" t="str">
        <f t="shared" si="34"/>
        <v>Americas → USA → Austin</v>
      </c>
      <c r="AD114" t="str">
        <f t="shared" si="35"/>
        <v>Support</v>
      </c>
      <c r="AE114" s="8" t="str">
        <f t="shared" si="22"/>
        <v>High</v>
      </c>
      <c r="AF114" t="str">
        <f t="shared" si="37"/>
        <v>USA</v>
      </c>
      <c r="AG114" s="7">
        <v>44939</v>
      </c>
      <c r="AH114" t="str">
        <f t="shared" si="38"/>
        <v>Jan-2023</v>
      </c>
      <c r="AI114" s="9">
        <f t="shared" si="39"/>
        <v>45688</v>
      </c>
      <c r="AJ114">
        <f t="shared" si="43"/>
        <v>1</v>
      </c>
      <c r="AK114">
        <f t="shared" si="40"/>
        <v>0</v>
      </c>
      <c r="AL114" s="17">
        <f>MIN(N114,'Scenario Modelling'!$B$2)</f>
        <v>0.119</v>
      </c>
      <c r="AM114" s="10">
        <f>L114*(1+'Scenario Modelling'!$B$3)</f>
        <v>163.4035</v>
      </c>
      <c r="AN114">
        <f>O114*(1+'Scenario Modelling'!$B$4)</f>
        <v>13.2</v>
      </c>
      <c r="AO114" s="28">
        <f t="shared" si="41"/>
        <v>2540.9802</v>
      </c>
      <c r="AP114" s="10">
        <f t="shared" si="42"/>
        <v>384.054</v>
      </c>
    </row>
    <row r="115" spans="1:42">
      <c r="A115" t="s">
        <v>489</v>
      </c>
      <c r="B115" s="7">
        <v>45250</v>
      </c>
      <c r="C115" s="7">
        <v>45265</v>
      </c>
      <c r="D115" t="s">
        <v>206</v>
      </c>
      <c r="E115" t="s">
        <v>207</v>
      </c>
      <c r="F115" t="s">
        <v>375</v>
      </c>
      <c r="G115" t="s">
        <v>266</v>
      </c>
      <c r="H115" t="s">
        <v>181</v>
      </c>
      <c r="I115" t="s">
        <v>210</v>
      </c>
      <c r="J115" t="s">
        <v>196</v>
      </c>
      <c r="K115" t="s">
        <v>490</v>
      </c>
      <c r="L115" s="10">
        <v>354.24</v>
      </c>
      <c r="M115" s="10">
        <v>249.87</v>
      </c>
      <c r="N115" s="17">
        <v>0</v>
      </c>
      <c r="O115">
        <v>6</v>
      </c>
      <c r="P115" t="str">
        <f t="shared" si="23"/>
        <v>Valid</v>
      </c>
      <c r="Q115" s="10">
        <f t="shared" si="24"/>
        <v>249.87</v>
      </c>
      <c r="R115" t="b">
        <f t="shared" si="25"/>
        <v>0</v>
      </c>
      <c r="S115" s="17">
        <f t="shared" si="26"/>
        <v>0</v>
      </c>
      <c r="T115">
        <f t="shared" si="27"/>
        <v>15</v>
      </c>
      <c r="U115" s="26">
        <f t="shared" si="28"/>
        <v>45265</v>
      </c>
      <c r="V115">
        <f t="shared" si="29"/>
        <v>15</v>
      </c>
      <c r="W115" s="10">
        <f t="shared" si="30"/>
        <v>149922</v>
      </c>
      <c r="X115" s="10">
        <f t="shared" si="31"/>
        <v>1499.22</v>
      </c>
      <c r="Y115" s="10">
        <f t="shared" si="32"/>
        <v>148422.78</v>
      </c>
      <c r="Z115" s="14">
        <f t="shared" si="36"/>
        <v>0.99</v>
      </c>
      <c r="AA115" t="s">
        <v>1593</v>
      </c>
      <c r="AB115" t="str">
        <f t="shared" si="33"/>
        <v>Q4-2023</v>
      </c>
      <c r="AC115" t="str">
        <f t="shared" si="34"/>
        <v>Asia → Japan → Tokyo</v>
      </c>
      <c r="AD115" t="str">
        <f t="shared" si="35"/>
        <v>Support</v>
      </c>
      <c r="AE115" s="8" t="str">
        <f t="shared" si="22"/>
        <v>Low</v>
      </c>
      <c r="AF115" t="str">
        <f t="shared" si="37"/>
        <v>JAPAN</v>
      </c>
      <c r="AG115" s="7">
        <v>44988</v>
      </c>
      <c r="AH115" t="str">
        <f t="shared" si="38"/>
        <v>Mar-2023</v>
      </c>
      <c r="AI115" s="9">
        <f t="shared" si="39"/>
        <v>45260</v>
      </c>
      <c r="AJ115">
        <f t="shared" si="43"/>
        <v>0</v>
      </c>
      <c r="AK115">
        <f t="shared" si="40"/>
        <v>0</v>
      </c>
      <c r="AL115" s="17">
        <f>MIN(N115,'Scenario Modelling'!$B$2)</f>
        <v>0</v>
      </c>
      <c r="AM115" s="10">
        <f>L115*(1+'Scenario Modelling'!$B$3)</f>
        <v>407.376</v>
      </c>
      <c r="AN115">
        <f>O115*(1+'Scenario Modelling'!$B$4)</f>
        <v>7.2</v>
      </c>
      <c r="AO115" s="28">
        <f t="shared" si="41"/>
        <v>1799.064</v>
      </c>
      <c r="AP115" s="10">
        <f t="shared" si="42"/>
        <v>-1134.0432</v>
      </c>
    </row>
    <row r="116" spans="1:42">
      <c r="A116" t="s">
        <v>491</v>
      </c>
      <c r="B116" s="7">
        <v>44987</v>
      </c>
      <c r="C116" s="7">
        <v>44990</v>
      </c>
      <c r="D116" t="s">
        <v>213</v>
      </c>
      <c r="E116" t="s">
        <v>234</v>
      </c>
      <c r="F116" t="s">
        <v>248</v>
      </c>
      <c r="G116" t="s">
        <v>266</v>
      </c>
      <c r="H116" t="s">
        <v>259</v>
      </c>
      <c r="I116" t="s">
        <v>202</v>
      </c>
      <c r="J116" t="s">
        <v>225</v>
      </c>
      <c r="K116" t="s">
        <v>492</v>
      </c>
      <c r="L116" s="10">
        <v>1473.58</v>
      </c>
      <c r="M116" s="10">
        <v>3436.52</v>
      </c>
      <c r="N116" s="17">
        <v>0.108</v>
      </c>
      <c r="O116">
        <v>8</v>
      </c>
      <c r="P116" t="str">
        <f t="shared" si="23"/>
        <v>Valid</v>
      </c>
      <c r="Q116" s="10">
        <f t="shared" si="24"/>
        <v>3436.52</v>
      </c>
      <c r="R116" t="b">
        <f t="shared" si="25"/>
        <v>0</v>
      </c>
      <c r="S116" s="17">
        <f t="shared" si="26"/>
        <v>0.108</v>
      </c>
      <c r="T116">
        <f t="shared" si="27"/>
        <v>3</v>
      </c>
      <c r="U116" s="26">
        <f t="shared" si="28"/>
        <v>44990</v>
      </c>
      <c r="V116">
        <f t="shared" si="29"/>
        <v>3</v>
      </c>
      <c r="W116" s="10">
        <f t="shared" si="30"/>
        <v>2746246.84672</v>
      </c>
      <c r="X116" s="10">
        <f t="shared" si="31"/>
        <v>27492.16</v>
      </c>
      <c r="Y116" s="10">
        <f t="shared" si="32"/>
        <v>2718754.68672</v>
      </c>
      <c r="Z116" s="14">
        <f t="shared" si="36"/>
        <v>0.989989188323389</v>
      </c>
      <c r="AA116" t="s">
        <v>1582</v>
      </c>
      <c r="AB116" t="str">
        <f t="shared" si="33"/>
        <v>Q1-2023</v>
      </c>
      <c r="AC116" t="str">
        <f t="shared" si="34"/>
        <v>Americas → Brazil → Brasília</v>
      </c>
      <c r="AD116" t="str">
        <f t="shared" si="35"/>
        <v>Peripherals</v>
      </c>
      <c r="AE116" s="8" t="str">
        <f t="shared" si="22"/>
        <v>Low</v>
      </c>
      <c r="AF116" t="str">
        <f t="shared" si="37"/>
        <v>BRAZIL</v>
      </c>
      <c r="AG116" s="7">
        <f>_xlfn.MINIFS($B$2:$B$633,$AF$2:$AF$633,AF116)</f>
        <v>44955</v>
      </c>
      <c r="AH116" t="str">
        <f t="shared" si="38"/>
        <v>Jan-2023</v>
      </c>
      <c r="AI116" s="9">
        <f t="shared" si="39"/>
        <v>45016</v>
      </c>
      <c r="AJ116">
        <f t="shared" si="43"/>
        <v>1</v>
      </c>
      <c r="AK116">
        <f t="shared" si="40"/>
        <v>0</v>
      </c>
      <c r="AL116" s="17">
        <f>MIN(N116,'Scenario Modelling'!$B$2)</f>
        <v>0.108</v>
      </c>
      <c r="AM116" s="10">
        <f>L116*(1+'Scenario Modelling'!$B$3)</f>
        <v>1694.617</v>
      </c>
      <c r="AN116">
        <f>O116*(1+'Scenario Modelling'!$B$4)</f>
        <v>9.6</v>
      </c>
      <c r="AO116" s="28">
        <f t="shared" si="41"/>
        <v>29427.608064</v>
      </c>
      <c r="AP116" s="10">
        <f t="shared" si="42"/>
        <v>13159.284864</v>
      </c>
    </row>
    <row r="117" spans="1:42">
      <c r="A117" t="s">
        <v>493</v>
      </c>
      <c r="B117" s="7">
        <v>45811</v>
      </c>
      <c r="C117" s="7">
        <v>45818</v>
      </c>
      <c r="D117" t="s">
        <v>213</v>
      </c>
      <c r="E117" t="s">
        <v>214</v>
      </c>
      <c r="F117" t="s">
        <v>215</v>
      </c>
      <c r="G117" t="s">
        <v>209</v>
      </c>
      <c r="H117" t="s">
        <v>216</v>
      </c>
      <c r="I117" t="s">
        <v>229</v>
      </c>
      <c r="J117" t="s">
        <v>191</v>
      </c>
      <c r="K117" t="s">
        <v>494</v>
      </c>
      <c r="L117" s="10">
        <v>75.18</v>
      </c>
      <c r="M117" s="10">
        <v>53.45</v>
      </c>
      <c r="N117" s="17">
        <v>0.157</v>
      </c>
      <c r="O117">
        <v>17</v>
      </c>
      <c r="P117" t="str">
        <f t="shared" si="23"/>
        <v>Valid</v>
      </c>
      <c r="Q117" s="10">
        <f t="shared" si="24"/>
        <v>53.45</v>
      </c>
      <c r="R117" t="b">
        <f t="shared" si="25"/>
        <v>0</v>
      </c>
      <c r="S117" s="17">
        <f t="shared" si="26"/>
        <v>0.157</v>
      </c>
      <c r="T117">
        <f t="shared" si="27"/>
        <v>7</v>
      </c>
      <c r="U117" s="26">
        <f t="shared" si="28"/>
        <v>45818</v>
      </c>
      <c r="V117">
        <f t="shared" si="29"/>
        <v>7</v>
      </c>
      <c r="W117" s="10">
        <f t="shared" si="30"/>
        <v>90722.34195</v>
      </c>
      <c r="X117" s="10">
        <f t="shared" si="31"/>
        <v>908.65</v>
      </c>
      <c r="Y117" s="10">
        <f t="shared" si="32"/>
        <v>89813.69195</v>
      </c>
      <c r="Z117" s="14">
        <f t="shared" si="36"/>
        <v>0.98998427531224</v>
      </c>
      <c r="AA117" t="s">
        <v>1575</v>
      </c>
      <c r="AB117" t="str">
        <f t="shared" si="33"/>
        <v>Q2-2025</v>
      </c>
      <c r="AC117" t="str">
        <f t="shared" si="34"/>
        <v>Americas → Canada → Toronto</v>
      </c>
      <c r="AD117" t="str">
        <f t="shared" si="35"/>
        <v>Peripherals</v>
      </c>
      <c r="AE117" s="8" t="str">
        <f t="shared" si="22"/>
        <v>High</v>
      </c>
      <c r="AF117" t="str">
        <f t="shared" si="37"/>
        <v>CANADA</v>
      </c>
      <c r="AG117" s="7">
        <f>_xlfn.MINIFS($B$2:$B$633,$AF$2:$AF$633,AF117)</f>
        <v>44928</v>
      </c>
      <c r="AH117" t="str">
        <f t="shared" si="38"/>
        <v>Jan-2023</v>
      </c>
      <c r="AI117" s="9">
        <f t="shared" si="39"/>
        <v>45838</v>
      </c>
      <c r="AJ117">
        <f t="shared" si="43"/>
        <v>1</v>
      </c>
      <c r="AK117">
        <f t="shared" si="40"/>
        <v>0</v>
      </c>
      <c r="AL117" s="17">
        <f>MIN(N117,'Scenario Modelling'!$B$2)</f>
        <v>0.157</v>
      </c>
      <c r="AM117" s="10">
        <f>L117*(1+'Scenario Modelling'!$B$3)</f>
        <v>86.457</v>
      </c>
      <c r="AN117">
        <f>O117*(1+'Scenario Modelling'!$B$4)</f>
        <v>20.4</v>
      </c>
      <c r="AO117" s="28">
        <f t="shared" si="41"/>
        <v>919.19034</v>
      </c>
      <c r="AP117" s="10">
        <f t="shared" si="42"/>
        <v>-844.53246</v>
      </c>
    </row>
    <row r="118" spans="1:42">
      <c r="A118" t="s">
        <v>495</v>
      </c>
      <c r="B118" s="7">
        <v>45653</v>
      </c>
      <c r="C118" s="7">
        <v>45659</v>
      </c>
      <c r="D118" t="s">
        <v>239</v>
      </c>
      <c r="E118" t="s">
        <v>240</v>
      </c>
      <c r="F118" t="s">
        <v>496</v>
      </c>
      <c r="G118" t="s">
        <v>188</v>
      </c>
      <c r="H118" t="s">
        <v>259</v>
      </c>
      <c r="I118" t="s">
        <v>245</v>
      </c>
      <c r="J118" t="s">
        <v>218</v>
      </c>
      <c r="K118" t="s">
        <v>497</v>
      </c>
      <c r="L118" s="10">
        <v>1391.99</v>
      </c>
      <c r="M118" s="10">
        <v>3469.7</v>
      </c>
      <c r="N118" s="17">
        <v>0.184</v>
      </c>
      <c r="O118">
        <v>23</v>
      </c>
      <c r="P118" t="str">
        <f t="shared" si="23"/>
        <v>Valid</v>
      </c>
      <c r="Q118" s="10">
        <f t="shared" si="24"/>
        <v>3469.7</v>
      </c>
      <c r="R118" t="b">
        <f t="shared" si="25"/>
        <v>0</v>
      </c>
      <c r="S118" s="17">
        <f t="shared" si="26"/>
        <v>0.184</v>
      </c>
      <c r="T118">
        <f t="shared" si="27"/>
        <v>6</v>
      </c>
      <c r="U118" s="26">
        <f t="shared" si="28"/>
        <v>45659</v>
      </c>
      <c r="V118">
        <f t="shared" si="29"/>
        <v>6</v>
      </c>
      <c r="W118" s="10">
        <f t="shared" si="30"/>
        <v>7965626.2296</v>
      </c>
      <c r="X118" s="10">
        <f t="shared" si="31"/>
        <v>79803.1</v>
      </c>
      <c r="Y118" s="10">
        <f t="shared" si="32"/>
        <v>7885823.1296</v>
      </c>
      <c r="Z118" s="14">
        <f t="shared" si="36"/>
        <v>0.98998156608159</v>
      </c>
      <c r="AA118" t="s">
        <v>1565</v>
      </c>
      <c r="AB118" t="str">
        <f t="shared" si="33"/>
        <v>Q4-2024</v>
      </c>
      <c r="AC118" t="str">
        <f t="shared" si="34"/>
        <v>Europe → Germany → Frankfurt</v>
      </c>
      <c r="AD118" t="str">
        <f t="shared" si="35"/>
        <v>Devices</v>
      </c>
      <c r="AE118" s="8" t="str">
        <f t="shared" ref="AE118:AE181" si="44">IF(B118&lt;=PERCENTILE($B$2:$B$632,0.33),"Low",IF(B118&lt;=PERCENTILE($B$2:$B$632,0.66),"Medium","High"))</f>
        <v>High</v>
      </c>
      <c r="AF118" t="str">
        <f t="shared" si="37"/>
        <v>GERMANY</v>
      </c>
      <c r="AG118" s="7">
        <v>44948</v>
      </c>
      <c r="AH118" t="str">
        <f t="shared" si="38"/>
        <v>Jan-2023</v>
      </c>
      <c r="AI118" s="9">
        <f t="shared" si="39"/>
        <v>45657</v>
      </c>
      <c r="AJ118">
        <f t="shared" si="43"/>
        <v>1</v>
      </c>
      <c r="AK118">
        <f t="shared" si="40"/>
        <v>0</v>
      </c>
      <c r="AL118" s="17">
        <f>MIN(N118,'Scenario Modelling'!$B$2)</f>
        <v>0.184</v>
      </c>
      <c r="AM118" s="10">
        <f>L118*(1+'Scenario Modelling'!$B$3)</f>
        <v>1600.7885</v>
      </c>
      <c r="AN118">
        <f>O118*(1+'Scenario Modelling'!$B$4)</f>
        <v>27.6</v>
      </c>
      <c r="AO118" s="28">
        <f t="shared" si="41"/>
        <v>78143.19552</v>
      </c>
      <c r="AP118" s="10">
        <f t="shared" si="42"/>
        <v>33961.43292</v>
      </c>
    </row>
    <row r="119" spans="1:42">
      <c r="A119" t="s">
        <v>498</v>
      </c>
      <c r="B119" s="7">
        <v>45086</v>
      </c>
      <c r="C119" s="7">
        <v>45096</v>
      </c>
      <c r="D119" t="s">
        <v>206</v>
      </c>
      <c r="E119" t="s">
        <v>277</v>
      </c>
      <c r="F119" t="s">
        <v>499</v>
      </c>
      <c r="G119" t="s">
        <v>266</v>
      </c>
      <c r="H119" t="s">
        <v>181</v>
      </c>
      <c r="I119" t="s">
        <v>245</v>
      </c>
      <c r="J119" t="s">
        <v>225</v>
      </c>
      <c r="K119" t="s">
        <v>500</v>
      </c>
      <c r="L119" s="10">
        <v>339.61</v>
      </c>
      <c r="M119" s="10">
        <v>621.02</v>
      </c>
      <c r="N119" s="17">
        <v>0.071</v>
      </c>
      <c r="O119">
        <v>10</v>
      </c>
      <c r="P119" t="str">
        <f t="shared" si="23"/>
        <v>Valid</v>
      </c>
      <c r="Q119" s="10">
        <f t="shared" si="24"/>
        <v>621.02</v>
      </c>
      <c r="R119" t="b">
        <f t="shared" si="25"/>
        <v>0</v>
      </c>
      <c r="S119" s="17">
        <f t="shared" si="26"/>
        <v>0.071</v>
      </c>
      <c r="T119">
        <f t="shared" si="27"/>
        <v>10</v>
      </c>
      <c r="U119" s="26">
        <f t="shared" si="28"/>
        <v>45096</v>
      </c>
      <c r="V119">
        <f t="shared" si="29"/>
        <v>10</v>
      </c>
      <c r="W119" s="10">
        <f t="shared" si="30"/>
        <v>620579.0758</v>
      </c>
      <c r="X119" s="10">
        <f t="shared" si="31"/>
        <v>6210.2</v>
      </c>
      <c r="Y119" s="10">
        <f t="shared" si="32"/>
        <v>614368.8758</v>
      </c>
      <c r="Z119" s="14">
        <f t="shared" si="36"/>
        <v>0.989992894955418</v>
      </c>
      <c r="AA119" t="s">
        <v>1583</v>
      </c>
      <c r="AB119" t="str">
        <f t="shared" si="33"/>
        <v>Q2-2023</v>
      </c>
      <c r="AC119" t="str">
        <f t="shared" si="34"/>
        <v>Asia → China → Beijing</v>
      </c>
      <c r="AD119" t="str">
        <f t="shared" si="35"/>
        <v>Peripherals</v>
      </c>
      <c r="AE119" s="8" t="str">
        <f t="shared" si="44"/>
        <v>Low</v>
      </c>
      <c r="AF119" t="str">
        <f t="shared" si="37"/>
        <v>CHINA</v>
      </c>
      <c r="AG119" s="7">
        <f>_xlfn.MINIFS($B$2:$B$633,$AF$2:$AF$633,AF119)</f>
        <v>44938</v>
      </c>
      <c r="AH119" t="str">
        <f t="shared" si="38"/>
        <v>Jan-2023</v>
      </c>
      <c r="AI119" s="9">
        <f t="shared" si="39"/>
        <v>45107</v>
      </c>
      <c r="AJ119">
        <f t="shared" si="43"/>
        <v>0</v>
      </c>
      <c r="AK119">
        <f t="shared" si="40"/>
        <v>0</v>
      </c>
      <c r="AL119" s="17">
        <f>MIN(N119,'Scenario Modelling'!$B$2)</f>
        <v>0.071</v>
      </c>
      <c r="AM119" s="10">
        <f>L119*(1+'Scenario Modelling'!$B$3)</f>
        <v>390.5515</v>
      </c>
      <c r="AN119">
        <f>O119*(1+'Scenario Modelling'!$B$4)</f>
        <v>12</v>
      </c>
      <c r="AO119" s="28">
        <f t="shared" si="41"/>
        <v>6923.13096</v>
      </c>
      <c r="AP119" s="10">
        <f t="shared" si="42"/>
        <v>2236.51296</v>
      </c>
    </row>
    <row r="120" spans="1:42">
      <c r="A120" t="s">
        <v>501</v>
      </c>
      <c r="B120" s="7">
        <v>45847</v>
      </c>
      <c r="C120" s="7">
        <v>45856</v>
      </c>
      <c r="D120" t="s">
        <v>213</v>
      </c>
      <c r="E120" t="s">
        <v>214</v>
      </c>
      <c r="F120" t="s">
        <v>340</v>
      </c>
      <c r="G120" t="s">
        <v>188</v>
      </c>
      <c r="H120" t="s">
        <v>216</v>
      </c>
      <c r="I120" t="s">
        <v>195</v>
      </c>
      <c r="J120" t="s">
        <v>218</v>
      </c>
      <c r="K120" t="s">
        <v>502</v>
      </c>
      <c r="L120" s="10">
        <v>57.96</v>
      </c>
      <c r="M120" s="10">
        <v>88.51</v>
      </c>
      <c r="N120" s="17">
        <v>0.043</v>
      </c>
      <c r="O120">
        <v>7</v>
      </c>
      <c r="P120" t="str">
        <f t="shared" si="23"/>
        <v>Valid</v>
      </c>
      <c r="Q120" s="10">
        <f t="shared" si="24"/>
        <v>88.51</v>
      </c>
      <c r="R120" t="b">
        <f t="shared" si="25"/>
        <v>0</v>
      </c>
      <c r="S120" s="17">
        <f t="shared" si="26"/>
        <v>0.043</v>
      </c>
      <c r="T120">
        <f t="shared" si="27"/>
        <v>9</v>
      </c>
      <c r="U120" s="26">
        <f t="shared" si="28"/>
        <v>45856</v>
      </c>
      <c r="V120">
        <f t="shared" si="29"/>
        <v>9</v>
      </c>
      <c r="W120" s="10">
        <f t="shared" si="30"/>
        <v>61930.35849</v>
      </c>
      <c r="X120" s="10">
        <f t="shared" si="31"/>
        <v>619.57</v>
      </c>
      <c r="Y120" s="10">
        <f t="shared" si="32"/>
        <v>61310.78849</v>
      </c>
      <c r="Z120" s="14">
        <f t="shared" si="36"/>
        <v>0.989995698150205</v>
      </c>
      <c r="AA120" t="s">
        <v>1572</v>
      </c>
      <c r="AB120" t="str">
        <f t="shared" si="33"/>
        <v>Q3-2025</v>
      </c>
      <c r="AC120" t="str">
        <f t="shared" si="34"/>
        <v>Americas → Canada → Vancouver</v>
      </c>
      <c r="AD120" t="str">
        <f t="shared" si="35"/>
        <v>Devices</v>
      </c>
      <c r="AE120" s="8" t="str">
        <f t="shared" si="44"/>
        <v>High</v>
      </c>
      <c r="AF120" t="str">
        <f t="shared" si="37"/>
        <v>CANADA</v>
      </c>
      <c r="AG120" s="7">
        <f>_xlfn.MINIFS($B$2:$B$633,$AF$2:$AF$633,AF120)</f>
        <v>44928</v>
      </c>
      <c r="AH120" t="str">
        <f t="shared" si="38"/>
        <v>Jan-2023</v>
      </c>
      <c r="AI120" s="9">
        <f t="shared" si="39"/>
        <v>45869</v>
      </c>
      <c r="AJ120">
        <f t="shared" si="43"/>
        <v>0</v>
      </c>
      <c r="AK120">
        <f t="shared" si="40"/>
        <v>0</v>
      </c>
      <c r="AL120" s="17">
        <f>MIN(N120,'Scenario Modelling'!$B$2)</f>
        <v>0.043</v>
      </c>
      <c r="AM120" s="10">
        <f>L120*(1+'Scenario Modelling'!$B$3)</f>
        <v>66.654</v>
      </c>
      <c r="AN120">
        <f>O120*(1+'Scenario Modelling'!$B$4)</f>
        <v>8.4</v>
      </c>
      <c r="AO120" s="28">
        <f t="shared" si="41"/>
        <v>711.514188</v>
      </c>
      <c r="AP120" s="10">
        <f t="shared" si="42"/>
        <v>151.620588</v>
      </c>
    </row>
    <row r="121" spans="1:42">
      <c r="A121" t="s">
        <v>503</v>
      </c>
      <c r="B121" s="7">
        <v>45827</v>
      </c>
      <c r="C121" s="7">
        <v>45850</v>
      </c>
      <c r="D121" t="s">
        <v>239</v>
      </c>
      <c r="E121" t="s">
        <v>269</v>
      </c>
      <c r="F121" t="s">
        <v>1591</v>
      </c>
      <c r="G121" t="s">
        <v>200</v>
      </c>
      <c r="H121" t="s">
        <v>259</v>
      </c>
      <c r="I121" t="s">
        <v>1589</v>
      </c>
      <c r="J121" t="s">
        <v>196</v>
      </c>
      <c r="K121" t="s">
        <v>504</v>
      </c>
      <c r="L121" s="10">
        <v>801.24</v>
      </c>
      <c r="M121" s="10">
        <v>1959.09</v>
      </c>
      <c r="N121" s="17">
        <v>0.123</v>
      </c>
      <c r="O121">
        <v>23</v>
      </c>
      <c r="P121" t="str">
        <f t="shared" si="23"/>
        <v>Valid</v>
      </c>
      <c r="Q121" s="10">
        <f t="shared" si="24"/>
        <v>1959.09</v>
      </c>
      <c r="R121" t="b">
        <f t="shared" si="25"/>
        <v>0</v>
      </c>
      <c r="S121" s="17">
        <f t="shared" si="26"/>
        <v>0.123</v>
      </c>
      <c r="T121">
        <f t="shared" si="27"/>
        <v>23</v>
      </c>
      <c r="U121" s="26">
        <f t="shared" si="28"/>
        <v>45850</v>
      </c>
      <c r="V121">
        <f t="shared" si="29"/>
        <v>23</v>
      </c>
      <c r="W121" s="10">
        <f t="shared" si="30"/>
        <v>4500364.73439</v>
      </c>
      <c r="X121" s="10">
        <f t="shared" si="31"/>
        <v>45059.07</v>
      </c>
      <c r="Y121" s="10">
        <f t="shared" si="32"/>
        <v>4455305.66439</v>
      </c>
      <c r="Z121" s="14">
        <f t="shared" si="36"/>
        <v>0.989987684852368</v>
      </c>
      <c r="AA121" t="s">
        <v>1575</v>
      </c>
      <c r="AB121" t="str">
        <f t="shared" si="33"/>
        <v>Q2-2025</v>
      </c>
      <c r="AC121" t="str">
        <f t="shared" si="34"/>
        <v>Europe → United Kingdom → Unknown City </v>
      </c>
      <c r="AD121" t="str">
        <f t="shared" si="35"/>
        <v>Support</v>
      </c>
      <c r="AE121" s="8" t="str">
        <f t="shared" si="44"/>
        <v>High</v>
      </c>
      <c r="AF121" t="str">
        <f t="shared" si="37"/>
        <v>UNITED KINGDOM</v>
      </c>
      <c r="AG121" s="7">
        <v>44945</v>
      </c>
      <c r="AH121" t="str">
        <f t="shared" si="38"/>
        <v>Jan-2023</v>
      </c>
      <c r="AI121" s="9">
        <f t="shared" si="39"/>
        <v>45838</v>
      </c>
      <c r="AJ121">
        <f t="shared" si="43"/>
        <v>0</v>
      </c>
      <c r="AK121">
        <f t="shared" si="40"/>
        <v>0</v>
      </c>
      <c r="AL121" s="17">
        <f>MIN(N121,'Scenario Modelling'!$B$2)</f>
        <v>0.123</v>
      </c>
      <c r="AM121" s="10">
        <f>L121*(1+'Scenario Modelling'!$B$3)</f>
        <v>921.426</v>
      </c>
      <c r="AN121">
        <f>O121*(1+'Scenario Modelling'!$B$4)</f>
        <v>27.6</v>
      </c>
      <c r="AO121" s="28">
        <f t="shared" si="41"/>
        <v>47420.165268</v>
      </c>
      <c r="AP121" s="10">
        <f t="shared" si="42"/>
        <v>21988.807668</v>
      </c>
    </row>
    <row r="122" spans="1:42">
      <c r="A122" t="s">
        <v>505</v>
      </c>
      <c r="B122" s="7">
        <v>45249</v>
      </c>
      <c r="C122" s="7">
        <v>45273</v>
      </c>
      <c r="D122" t="s">
        <v>239</v>
      </c>
      <c r="E122" t="s">
        <v>251</v>
      </c>
      <c r="F122" t="s">
        <v>299</v>
      </c>
      <c r="G122" t="s">
        <v>200</v>
      </c>
      <c r="H122" t="s">
        <v>259</v>
      </c>
      <c r="I122" t="s">
        <v>253</v>
      </c>
      <c r="J122" t="s">
        <v>225</v>
      </c>
      <c r="K122" t="s">
        <v>506</v>
      </c>
      <c r="L122" s="10">
        <v>1297.42</v>
      </c>
      <c r="M122" s="10">
        <v>2742.97</v>
      </c>
      <c r="N122" s="17">
        <v>0.069</v>
      </c>
      <c r="O122">
        <v>9</v>
      </c>
      <c r="P122" t="str">
        <f t="shared" si="23"/>
        <v>Valid</v>
      </c>
      <c r="Q122" s="10">
        <f t="shared" si="24"/>
        <v>2742.97</v>
      </c>
      <c r="R122" t="b">
        <f t="shared" si="25"/>
        <v>0</v>
      </c>
      <c r="S122" s="17">
        <f t="shared" si="26"/>
        <v>0.069</v>
      </c>
      <c r="T122">
        <f t="shared" si="27"/>
        <v>24</v>
      </c>
      <c r="U122" s="26">
        <f t="shared" si="28"/>
        <v>45273</v>
      </c>
      <c r="V122">
        <f t="shared" si="29"/>
        <v>24</v>
      </c>
      <c r="W122" s="10">
        <f t="shared" si="30"/>
        <v>2466969.61563</v>
      </c>
      <c r="X122" s="10">
        <f t="shared" si="31"/>
        <v>24686.73</v>
      </c>
      <c r="Y122" s="10">
        <f t="shared" si="32"/>
        <v>2442282.88563</v>
      </c>
      <c r="Z122" s="14">
        <f t="shared" si="36"/>
        <v>0.989993095235713</v>
      </c>
      <c r="AA122" t="s">
        <v>1593</v>
      </c>
      <c r="AB122" t="str">
        <f t="shared" si="33"/>
        <v>Q4-2023</v>
      </c>
      <c r="AC122" t="str">
        <f t="shared" si="34"/>
        <v>Europe → France → Lyon</v>
      </c>
      <c r="AD122" t="str">
        <f t="shared" si="35"/>
        <v>Peripherals</v>
      </c>
      <c r="AE122" s="8" t="str">
        <f t="shared" si="44"/>
        <v>Low</v>
      </c>
      <c r="AF122" t="str">
        <f t="shared" si="37"/>
        <v>FRANCE</v>
      </c>
      <c r="AG122" s="7">
        <v>44936</v>
      </c>
      <c r="AH122" t="str">
        <f t="shared" si="38"/>
        <v>Jan-2023</v>
      </c>
      <c r="AI122" s="9">
        <f t="shared" si="39"/>
        <v>45260</v>
      </c>
      <c r="AJ122">
        <f t="shared" si="43"/>
        <v>0</v>
      </c>
      <c r="AK122">
        <f t="shared" si="40"/>
        <v>0</v>
      </c>
      <c r="AL122" s="17">
        <f>MIN(N122,'Scenario Modelling'!$B$2)</f>
        <v>0.069</v>
      </c>
      <c r="AM122" s="10">
        <f>L122*(1+'Scenario Modelling'!$B$3)</f>
        <v>1492.033</v>
      </c>
      <c r="AN122">
        <f>O122*(1+'Scenario Modelling'!$B$4)</f>
        <v>10.8</v>
      </c>
      <c r="AO122" s="28">
        <f t="shared" si="41"/>
        <v>27580.014756</v>
      </c>
      <c r="AP122" s="10">
        <f t="shared" si="42"/>
        <v>11466.058356</v>
      </c>
    </row>
    <row r="123" spans="1:42">
      <c r="A123" t="s">
        <v>507</v>
      </c>
      <c r="B123" s="7">
        <v>45289</v>
      </c>
      <c r="C123" s="7">
        <v>45311</v>
      </c>
      <c r="D123" t="s">
        <v>177</v>
      </c>
      <c r="E123" t="s">
        <v>178</v>
      </c>
      <c r="F123" t="s">
        <v>179</v>
      </c>
      <c r="G123" t="s">
        <v>180</v>
      </c>
      <c r="H123" t="s">
        <v>259</v>
      </c>
      <c r="I123" t="s">
        <v>210</v>
      </c>
      <c r="J123" t="s">
        <v>203</v>
      </c>
      <c r="K123" t="s">
        <v>508</v>
      </c>
      <c r="L123" s="10">
        <v>1395.49</v>
      </c>
      <c r="M123" s="10">
        <v>1679.42</v>
      </c>
      <c r="N123" s="17">
        <v>0.203</v>
      </c>
      <c r="O123">
        <v>12</v>
      </c>
      <c r="P123" t="str">
        <f t="shared" si="23"/>
        <v>Valid</v>
      </c>
      <c r="Q123" s="10">
        <f t="shared" si="24"/>
        <v>1679.42</v>
      </c>
      <c r="R123" t="b">
        <f t="shared" si="25"/>
        <v>0</v>
      </c>
      <c r="S123" s="17">
        <f t="shared" si="26"/>
        <v>0.203</v>
      </c>
      <c r="T123">
        <f t="shared" si="27"/>
        <v>22</v>
      </c>
      <c r="U123" s="26">
        <f t="shared" si="28"/>
        <v>45311</v>
      </c>
      <c r="V123">
        <f t="shared" si="29"/>
        <v>22</v>
      </c>
      <c r="W123" s="10">
        <f t="shared" si="30"/>
        <v>2011212.93288</v>
      </c>
      <c r="X123" s="10">
        <f t="shared" si="31"/>
        <v>20153.04</v>
      </c>
      <c r="Y123" s="10">
        <f t="shared" si="32"/>
        <v>1991059.89288</v>
      </c>
      <c r="Z123" s="14">
        <f t="shared" si="36"/>
        <v>0.989979658707176</v>
      </c>
      <c r="AA123" t="s">
        <v>1587</v>
      </c>
      <c r="AB123" t="str">
        <f t="shared" si="33"/>
        <v>Q4-2023</v>
      </c>
      <c r="AC123" t="str">
        <f t="shared" si="34"/>
        <v>Africa → Kenya → Kisumu</v>
      </c>
      <c r="AD123" t="str">
        <f t="shared" si="35"/>
        <v>Devices</v>
      </c>
      <c r="AE123" s="8" t="str">
        <f t="shared" si="44"/>
        <v>Medium</v>
      </c>
      <c r="AF123" t="str">
        <f t="shared" si="37"/>
        <v>KENYA</v>
      </c>
      <c r="AG123" s="7">
        <v>44946</v>
      </c>
      <c r="AH123" t="str">
        <f t="shared" si="38"/>
        <v>Jan-2023</v>
      </c>
      <c r="AI123" s="9">
        <f t="shared" si="39"/>
        <v>45291</v>
      </c>
      <c r="AJ123">
        <f t="shared" si="43"/>
        <v>0</v>
      </c>
      <c r="AK123">
        <f t="shared" si="40"/>
        <v>1</v>
      </c>
      <c r="AL123" s="17">
        <f>MIN(N123,'Scenario Modelling'!$B$2)</f>
        <v>0.203</v>
      </c>
      <c r="AM123" s="10">
        <f>L123*(1+'Scenario Modelling'!$B$3)</f>
        <v>1604.8135</v>
      </c>
      <c r="AN123">
        <f>O123*(1+'Scenario Modelling'!$B$4)</f>
        <v>14.4</v>
      </c>
      <c r="AO123" s="28">
        <f t="shared" si="41"/>
        <v>19274.367456</v>
      </c>
      <c r="AP123" s="10">
        <f t="shared" si="42"/>
        <v>-3834.946944</v>
      </c>
    </row>
    <row r="124" spans="1:42">
      <c r="A124" t="s">
        <v>509</v>
      </c>
      <c r="B124" s="7">
        <v>45598</v>
      </c>
      <c r="C124" s="7">
        <v>45625</v>
      </c>
      <c r="D124" t="s">
        <v>213</v>
      </c>
      <c r="E124" t="s">
        <v>234</v>
      </c>
      <c r="F124" t="s">
        <v>248</v>
      </c>
      <c r="G124" t="s">
        <v>223</v>
      </c>
      <c r="H124" t="s">
        <v>259</v>
      </c>
      <c r="I124" t="s">
        <v>195</v>
      </c>
      <c r="J124" t="s">
        <v>196</v>
      </c>
      <c r="K124" t="s">
        <v>510</v>
      </c>
      <c r="L124" s="10">
        <v>1363.51</v>
      </c>
      <c r="M124" s="10">
        <v>1433.9</v>
      </c>
      <c r="N124" s="17">
        <v>0.057</v>
      </c>
      <c r="O124">
        <v>8</v>
      </c>
      <c r="P124" t="str">
        <f t="shared" si="23"/>
        <v>Valid</v>
      </c>
      <c r="Q124" s="10">
        <f t="shared" si="24"/>
        <v>1433.9</v>
      </c>
      <c r="R124" t="b">
        <f t="shared" si="25"/>
        <v>0</v>
      </c>
      <c r="S124" s="17">
        <f t="shared" si="26"/>
        <v>0.057</v>
      </c>
      <c r="T124">
        <f t="shared" si="27"/>
        <v>27</v>
      </c>
      <c r="U124" s="26">
        <f t="shared" si="28"/>
        <v>45625</v>
      </c>
      <c r="V124">
        <f t="shared" si="29"/>
        <v>27</v>
      </c>
      <c r="W124" s="10">
        <f t="shared" si="30"/>
        <v>1146466.1416</v>
      </c>
      <c r="X124" s="10">
        <f t="shared" si="31"/>
        <v>11471.2</v>
      </c>
      <c r="Y124" s="10">
        <f t="shared" si="32"/>
        <v>1134994.9416</v>
      </c>
      <c r="Z124" s="14">
        <f t="shared" si="36"/>
        <v>0.989994296749147</v>
      </c>
      <c r="AA124" t="s">
        <v>1577</v>
      </c>
      <c r="AB124" t="str">
        <f t="shared" si="33"/>
        <v>Q4-2024</v>
      </c>
      <c r="AC124" t="str">
        <f t="shared" si="34"/>
        <v>Americas → Brazil → Brasília</v>
      </c>
      <c r="AD124" t="str">
        <f t="shared" si="35"/>
        <v>Support</v>
      </c>
      <c r="AE124" s="8" t="str">
        <f t="shared" si="44"/>
        <v>High</v>
      </c>
      <c r="AF124" t="str">
        <f t="shared" si="37"/>
        <v>BRAZIL</v>
      </c>
      <c r="AG124" s="7">
        <f>_xlfn.MINIFS($B$2:$B$633,$AF$2:$AF$633,AF124)</f>
        <v>44955</v>
      </c>
      <c r="AH124" t="str">
        <f t="shared" si="38"/>
        <v>Jan-2023</v>
      </c>
      <c r="AI124" s="9">
        <f t="shared" si="39"/>
        <v>45626</v>
      </c>
      <c r="AJ124">
        <f t="shared" si="43"/>
        <v>0</v>
      </c>
      <c r="AK124">
        <f t="shared" si="40"/>
        <v>0</v>
      </c>
      <c r="AL124" s="17">
        <f>MIN(N124,'Scenario Modelling'!$B$2)</f>
        <v>0.057</v>
      </c>
      <c r="AM124" s="10">
        <f>L124*(1+'Scenario Modelling'!$B$3)</f>
        <v>1568.0365</v>
      </c>
      <c r="AN124">
        <f>O124*(1+'Scenario Modelling'!$B$4)</f>
        <v>9.6</v>
      </c>
      <c r="AO124" s="28">
        <f t="shared" si="41"/>
        <v>12980.80992</v>
      </c>
      <c r="AP124" s="10">
        <f t="shared" si="42"/>
        <v>-2072.34048</v>
      </c>
    </row>
    <row r="125" spans="1:42">
      <c r="A125" t="s">
        <v>511</v>
      </c>
      <c r="B125" s="7">
        <v>45159</v>
      </c>
      <c r="C125" s="7">
        <v>45173</v>
      </c>
      <c r="D125" t="s">
        <v>213</v>
      </c>
      <c r="E125" t="s">
        <v>214</v>
      </c>
      <c r="F125" t="s">
        <v>305</v>
      </c>
      <c r="G125" t="s">
        <v>188</v>
      </c>
      <c r="H125" t="s">
        <v>216</v>
      </c>
      <c r="I125" t="s">
        <v>245</v>
      </c>
      <c r="J125" t="s">
        <v>183</v>
      </c>
      <c r="K125" t="s">
        <v>512</v>
      </c>
      <c r="L125" s="10">
        <v>178.19</v>
      </c>
      <c r="M125" s="10">
        <v>284.43</v>
      </c>
      <c r="N125" s="17">
        <v>0.089</v>
      </c>
      <c r="O125">
        <v>8</v>
      </c>
      <c r="P125" t="str">
        <f t="shared" si="23"/>
        <v>Valid</v>
      </c>
      <c r="Q125" s="10">
        <f t="shared" si="24"/>
        <v>284.43</v>
      </c>
      <c r="R125" t="b">
        <f t="shared" si="25"/>
        <v>0</v>
      </c>
      <c r="S125" s="17">
        <f t="shared" si="26"/>
        <v>0.089</v>
      </c>
      <c r="T125">
        <f t="shared" si="27"/>
        <v>14</v>
      </c>
      <c r="U125" s="26">
        <f t="shared" si="28"/>
        <v>45173</v>
      </c>
      <c r="V125">
        <f t="shared" si="29"/>
        <v>14</v>
      </c>
      <c r="W125" s="10">
        <f t="shared" si="30"/>
        <v>227341.48584</v>
      </c>
      <c r="X125" s="10">
        <f t="shared" si="31"/>
        <v>2275.44</v>
      </c>
      <c r="Y125" s="10">
        <f t="shared" si="32"/>
        <v>225066.04584</v>
      </c>
      <c r="Z125" s="14">
        <f t="shared" si="36"/>
        <v>0.989991092071944</v>
      </c>
      <c r="AA125" t="s">
        <v>1585</v>
      </c>
      <c r="AB125" t="str">
        <f t="shared" si="33"/>
        <v>Q3-2023</v>
      </c>
      <c r="AC125" t="str">
        <f t="shared" si="34"/>
        <v>Americas → Canada → Montreal</v>
      </c>
      <c r="AD125" t="str">
        <f t="shared" si="35"/>
        <v>Support</v>
      </c>
      <c r="AE125" s="8" t="str">
        <f t="shared" si="44"/>
        <v>Low</v>
      </c>
      <c r="AF125" t="str">
        <f t="shared" si="37"/>
        <v>CANADA</v>
      </c>
      <c r="AG125" s="7">
        <f>_xlfn.MINIFS($B$2:$B$633,$AF$2:$AF$633,AF125)</f>
        <v>44928</v>
      </c>
      <c r="AH125" t="str">
        <f t="shared" si="38"/>
        <v>Jan-2023</v>
      </c>
      <c r="AI125" s="9">
        <f t="shared" si="39"/>
        <v>45169</v>
      </c>
      <c r="AJ125">
        <f t="shared" si="43"/>
        <v>0</v>
      </c>
      <c r="AK125">
        <f t="shared" si="40"/>
        <v>0</v>
      </c>
      <c r="AL125" s="17">
        <f>MIN(N125,'Scenario Modelling'!$B$2)</f>
        <v>0.089</v>
      </c>
      <c r="AM125" s="10">
        <f>L125*(1+'Scenario Modelling'!$B$3)</f>
        <v>204.9185</v>
      </c>
      <c r="AN125">
        <f>O125*(1+'Scenario Modelling'!$B$4)</f>
        <v>9.6</v>
      </c>
      <c r="AO125" s="28">
        <f t="shared" si="41"/>
        <v>2487.511008</v>
      </c>
      <c r="AP125" s="10">
        <f t="shared" si="42"/>
        <v>520.293408</v>
      </c>
    </row>
    <row r="126" spans="1:42">
      <c r="A126" t="s">
        <v>513</v>
      </c>
      <c r="B126" s="7">
        <v>45150</v>
      </c>
      <c r="C126" s="7">
        <v>45175</v>
      </c>
      <c r="D126" t="s">
        <v>206</v>
      </c>
      <c r="E126" t="s">
        <v>277</v>
      </c>
      <c r="F126" t="s">
        <v>323</v>
      </c>
      <c r="G126" t="s">
        <v>223</v>
      </c>
      <c r="H126" t="s">
        <v>181</v>
      </c>
      <c r="I126" t="s">
        <v>217</v>
      </c>
      <c r="J126" t="s">
        <v>183</v>
      </c>
      <c r="K126" t="s">
        <v>514</v>
      </c>
      <c r="L126" s="10">
        <v>950.77</v>
      </c>
      <c r="M126" s="10">
        <v>694.78</v>
      </c>
      <c r="N126" s="17">
        <v>0.084</v>
      </c>
      <c r="O126">
        <v>14</v>
      </c>
      <c r="P126" t="str">
        <f t="shared" si="23"/>
        <v>Valid</v>
      </c>
      <c r="Q126" s="10">
        <f t="shared" si="24"/>
        <v>694.78</v>
      </c>
      <c r="R126" t="b">
        <f t="shared" si="25"/>
        <v>0</v>
      </c>
      <c r="S126" s="17">
        <f t="shared" si="26"/>
        <v>0.084</v>
      </c>
      <c r="T126">
        <f t="shared" si="27"/>
        <v>25</v>
      </c>
      <c r="U126" s="26">
        <f t="shared" si="28"/>
        <v>45175</v>
      </c>
      <c r="V126">
        <f t="shared" si="29"/>
        <v>25</v>
      </c>
      <c r="W126" s="10">
        <f t="shared" si="30"/>
        <v>971874.93872</v>
      </c>
      <c r="X126" s="10">
        <f t="shared" si="31"/>
        <v>9726.92</v>
      </c>
      <c r="Y126" s="10">
        <f t="shared" si="32"/>
        <v>962148.01872</v>
      </c>
      <c r="Z126" s="14">
        <f t="shared" si="36"/>
        <v>0.989991592938068</v>
      </c>
      <c r="AA126" t="s">
        <v>1585</v>
      </c>
      <c r="AB126" t="str">
        <f t="shared" si="33"/>
        <v>Q3-2023</v>
      </c>
      <c r="AC126" t="str">
        <f t="shared" si="34"/>
        <v>Asia → China → Shanghai</v>
      </c>
      <c r="AD126" t="str">
        <f t="shared" si="35"/>
        <v>Support</v>
      </c>
      <c r="AE126" s="8" t="str">
        <f t="shared" si="44"/>
        <v>Low</v>
      </c>
      <c r="AF126" t="str">
        <f t="shared" si="37"/>
        <v>CHINA</v>
      </c>
      <c r="AG126" s="7">
        <f>_xlfn.MINIFS($B$2:$B$633,$AF$2:$AF$633,AF126)</f>
        <v>44938</v>
      </c>
      <c r="AH126" t="str">
        <f t="shared" si="38"/>
        <v>Jan-2023</v>
      </c>
      <c r="AI126" s="9">
        <f t="shared" si="39"/>
        <v>45169</v>
      </c>
      <c r="AJ126">
        <f t="shared" si="43"/>
        <v>0</v>
      </c>
      <c r="AK126">
        <f t="shared" si="40"/>
        <v>0</v>
      </c>
      <c r="AL126" s="17">
        <f>MIN(N126,'Scenario Modelling'!$B$2)</f>
        <v>0.084</v>
      </c>
      <c r="AM126" s="10">
        <f>L126*(1+'Scenario Modelling'!$B$3)</f>
        <v>1093.3855</v>
      </c>
      <c r="AN126">
        <f>O126*(1+'Scenario Modelling'!$B$4)</f>
        <v>16.8</v>
      </c>
      <c r="AO126" s="28">
        <f t="shared" si="41"/>
        <v>10691.830464</v>
      </c>
      <c r="AP126" s="10">
        <f t="shared" si="42"/>
        <v>-7677.045936</v>
      </c>
    </row>
    <row r="127" spans="1:42">
      <c r="A127" t="s">
        <v>515</v>
      </c>
      <c r="B127" s="7">
        <v>45450</v>
      </c>
      <c r="C127" s="7">
        <v>45469</v>
      </c>
      <c r="D127" t="s">
        <v>239</v>
      </c>
      <c r="E127" t="s">
        <v>240</v>
      </c>
      <c r="F127" t="s">
        <v>241</v>
      </c>
      <c r="G127" t="s">
        <v>200</v>
      </c>
      <c r="H127" t="s">
        <v>201</v>
      </c>
      <c r="I127" t="s">
        <v>271</v>
      </c>
      <c r="J127" t="s">
        <v>183</v>
      </c>
      <c r="K127" t="s">
        <v>516</v>
      </c>
      <c r="L127" s="10">
        <v>1064.32</v>
      </c>
      <c r="M127" s="10">
        <v>1848.39</v>
      </c>
      <c r="N127" s="17">
        <v>0.073</v>
      </c>
      <c r="O127">
        <v>38</v>
      </c>
      <c r="P127" t="str">
        <f t="shared" si="23"/>
        <v>Valid</v>
      </c>
      <c r="Q127" s="10">
        <f t="shared" si="24"/>
        <v>1848.39</v>
      </c>
      <c r="R127" t="b">
        <f t="shared" si="25"/>
        <v>0</v>
      </c>
      <c r="S127" s="17">
        <f t="shared" si="26"/>
        <v>0.073</v>
      </c>
      <c r="T127">
        <f t="shared" si="27"/>
        <v>19</v>
      </c>
      <c r="U127" s="26">
        <f t="shared" si="28"/>
        <v>45469</v>
      </c>
      <c r="V127">
        <f t="shared" si="29"/>
        <v>19</v>
      </c>
      <c r="W127" s="10">
        <f t="shared" si="30"/>
        <v>7018754.56614</v>
      </c>
      <c r="X127" s="10">
        <f t="shared" si="31"/>
        <v>70238.82</v>
      </c>
      <c r="Y127" s="10">
        <f t="shared" si="32"/>
        <v>6948515.74614</v>
      </c>
      <c r="Z127" s="14">
        <f t="shared" si="36"/>
        <v>0.989992694667107</v>
      </c>
      <c r="AA127" t="s">
        <v>1576</v>
      </c>
      <c r="AB127" t="str">
        <f t="shared" si="33"/>
        <v>Q2-2024</v>
      </c>
      <c r="AC127" t="str">
        <f t="shared" si="34"/>
        <v>Europe → Germany → Berlin</v>
      </c>
      <c r="AD127" t="str">
        <f t="shared" si="35"/>
        <v>Support</v>
      </c>
      <c r="AE127" s="8" t="str">
        <f t="shared" si="44"/>
        <v>Medium</v>
      </c>
      <c r="AF127" t="str">
        <f t="shared" si="37"/>
        <v>GERMANY</v>
      </c>
      <c r="AG127" s="7">
        <v>44948</v>
      </c>
      <c r="AH127" t="str">
        <f t="shared" si="38"/>
        <v>Jan-2023</v>
      </c>
      <c r="AI127" s="9">
        <f t="shared" si="39"/>
        <v>45473</v>
      </c>
      <c r="AJ127">
        <f t="shared" si="43"/>
        <v>0</v>
      </c>
      <c r="AK127">
        <f t="shared" si="40"/>
        <v>0</v>
      </c>
      <c r="AL127" s="17">
        <f>MIN(N127,'Scenario Modelling'!$B$2)</f>
        <v>0.073</v>
      </c>
      <c r="AM127" s="10">
        <f>L127*(1+'Scenario Modelling'!$B$3)</f>
        <v>1223.968</v>
      </c>
      <c r="AN127">
        <f>O127*(1+'Scenario Modelling'!$B$4)</f>
        <v>45.6</v>
      </c>
      <c r="AO127" s="28">
        <f t="shared" si="41"/>
        <v>78133.663368</v>
      </c>
      <c r="AP127" s="10">
        <f t="shared" si="42"/>
        <v>22320.722568</v>
      </c>
    </row>
    <row r="128" spans="1:42">
      <c r="A128" t="s">
        <v>517</v>
      </c>
      <c r="B128" s="7">
        <v>45874</v>
      </c>
      <c r="C128" s="7">
        <v>45883</v>
      </c>
      <c r="D128" t="s">
        <v>239</v>
      </c>
      <c r="E128" t="s">
        <v>269</v>
      </c>
      <c r="F128" t="s">
        <v>313</v>
      </c>
      <c r="G128" t="s">
        <v>200</v>
      </c>
      <c r="H128" t="s">
        <v>259</v>
      </c>
      <c r="I128" t="s">
        <v>224</v>
      </c>
      <c r="J128" t="s">
        <v>183</v>
      </c>
      <c r="K128" t="s">
        <v>518</v>
      </c>
      <c r="L128" s="10">
        <v>41.76</v>
      </c>
      <c r="M128" s="10">
        <v>45.19</v>
      </c>
      <c r="N128" s="17">
        <v>0.179</v>
      </c>
      <c r="O128">
        <v>23</v>
      </c>
      <c r="P128" t="str">
        <f t="shared" si="23"/>
        <v>Valid</v>
      </c>
      <c r="Q128" s="10">
        <f t="shared" si="24"/>
        <v>45.19</v>
      </c>
      <c r="R128" t="b">
        <f t="shared" si="25"/>
        <v>0</v>
      </c>
      <c r="S128" s="17">
        <f t="shared" si="26"/>
        <v>0.179</v>
      </c>
      <c r="T128">
        <f t="shared" si="27"/>
        <v>9</v>
      </c>
      <c r="U128" s="26">
        <f t="shared" si="28"/>
        <v>45883</v>
      </c>
      <c r="V128">
        <f t="shared" si="29"/>
        <v>9</v>
      </c>
      <c r="W128" s="10">
        <f t="shared" si="30"/>
        <v>103750.95277</v>
      </c>
      <c r="X128" s="10">
        <f t="shared" si="31"/>
        <v>1039.37</v>
      </c>
      <c r="Y128" s="10">
        <f t="shared" si="32"/>
        <v>102711.58277</v>
      </c>
      <c r="Z128" s="14">
        <f t="shared" si="36"/>
        <v>0.989982067901544</v>
      </c>
      <c r="AA128" t="s">
        <v>1590</v>
      </c>
      <c r="AB128" t="str">
        <f t="shared" si="33"/>
        <v>Q3-2025</v>
      </c>
      <c r="AC128" t="str">
        <f t="shared" si="34"/>
        <v>Europe → United Kingdom → London</v>
      </c>
      <c r="AD128" t="str">
        <f t="shared" si="35"/>
        <v>Support</v>
      </c>
      <c r="AE128" s="8" t="str">
        <f t="shared" si="44"/>
        <v>High</v>
      </c>
      <c r="AF128" t="str">
        <f t="shared" si="37"/>
        <v>UNITED KINGDOM</v>
      </c>
      <c r="AG128" s="7">
        <v>44945</v>
      </c>
      <c r="AH128" t="str">
        <f t="shared" si="38"/>
        <v>Jan-2023</v>
      </c>
      <c r="AI128" s="9">
        <f t="shared" si="39"/>
        <v>45900</v>
      </c>
      <c r="AJ128">
        <f t="shared" si="43"/>
        <v>0</v>
      </c>
      <c r="AK128">
        <f t="shared" si="40"/>
        <v>0</v>
      </c>
      <c r="AL128" s="17">
        <f>MIN(N128,'Scenario Modelling'!$B$2)</f>
        <v>0.179</v>
      </c>
      <c r="AM128" s="10">
        <f>L128*(1+'Scenario Modelling'!$B$3)</f>
        <v>48.024</v>
      </c>
      <c r="AN128">
        <f>O128*(1+'Scenario Modelling'!$B$4)</f>
        <v>27.6</v>
      </c>
      <c r="AO128" s="28">
        <f t="shared" si="41"/>
        <v>1023.987324</v>
      </c>
      <c r="AP128" s="10">
        <f t="shared" si="42"/>
        <v>-301.475076</v>
      </c>
    </row>
    <row r="129" spans="1:42">
      <c r="A129" t="s">
        <v>519</v>
      </c>
      <c r="B129" s="7">
        <v>45442</v>
      </c>
      <c r="C129" s="7">
        <v>45456</v>
      </c>
      <c r="D129" t="s">
        <v>213</v>
      </c>
      <c r="E129" t="s">
        <v>283</v>
      </c>
      <c r="F129" t="s">
        <v>328</v>
      </c>
      <c r="G129" t="s">
        <v>223</v>
      </c>
      <c r="H129" t="s">
        <v>181</v>
      </c>
      <c r="I129" t="s">
        <v>245</v>
      </c>
      <c r="J129" t="s">
        <v>203</v>
      </c>
      <c r="K129" t="s">
        <v>520</v>
      </c>
      <c r="L129" s="10">
        <v>157.78</v>
      </c>
      <c r="M129" s="10">
        <v>361.1</v>
      </c>
      <c r="N129" s="17">
        <v>0.187</v>
      </c>
      <c r="O129">
        <v>9</v>
      </c>
      <c r="P129" t="str">
        <f t="shared" si="23"/>
        <v>Valid</v>
      </c>
      <c r="Q129" s="10">
        <f t="shared" si="24"/>
        <v>361.1</v>
      </c>
      <c r="R129" t="b">
        <f t="shared" si="25"/>
        <v>0</v>
      </c>
      <c r="S129" s="17">
        <f t="shared" si="26"/>
        <v>0.187</v>
      </c>
      <c r="T129">
        <f t="shared" si="27"/>
        <v>14</v>
      </c>
      <c r="U129" s="26">
        <f t="shared" si="28"/>
        <v>45456</v>
      </c>
      <c r="V129">
        <f t="shared" si="29"/>
        <v>14</v>
      </c>
      <c r="W129" s="10">
        <f t="shared" si="30"/>
        <v>324382.2687</v>
      </c>
      <c r="X129" s="10">
        <f t="shared" si="31"/>
        <v>3249.9</v>
      </c>
      <c r="Y129" s="10">
        <f t="shared" si="32"/>
        <v>321132.3687</v>
      </c>
      <c r="Z129" s="14">
        <f t="shared" si="36"/>
        <v>0.989981264965485</v>
      </c>
      <c r="AA129" t="s">
        <v>1566</v>
      </c>
      <c r="AB129" t="str">
        <f t="shared" si="33"/>
        <v>Q2-2024</v>
      </c>
      <c r="AC129" t="str">
        <f t="shared" si="34"/>
        <v>Americas → USA → San Francisco</v>
      </c>
      <c r="AD129" t="str">
        <f t="shared" si="35"/>
        <v>Devices</v>
      </c>
      <c r="AE129" s="8" t="str">
        <f t="shared" si="44"/>
        <v>Medium</v>
      </c>
      <c r="AF129" t="str">
        <f t="shared" si="37"/>
        <v>USA</v>
      </c>
      <c r="AG129" s="7">
        <v>44939</v>
      </c>
      <c r="AH129" t="str">
        <f t="shared" si="38"/>
        <v>Jan-2023</v>
      </c>
      <c r="AI129" s="9">
        <f t="shared" si="39"/>
        <v>45443</v>
      </c>
      <c r="AJ129">
        <f t="shared" si="43"/>
        <v>0</v>
      </c>
      <c r="AK129">
        <f t="shared" si="40"/>
        <v>0</v>
      </c>
      <c r="AL129" s="17">
        <f>MIN(N129,'Scenario Modelling'!$B$2)</f>
        <v>0.187</v>
      </c>
      <c r="AM129" s="10">
        <f>L129*(1+'Scenario Modelling'!$B$3)</f>
        <v>181.447</v>
      </c>
      <c r="AN129">
        <f>O129*(1+'Scenario Modelling'!$B$4)</f>
        <v>10.8</v>
      </c>
      <c r="AO129" s="28">
        <f t="shared" si="41"/>
        <v>3170.60244</v>
      </c>
      <c r="AP129" s="10">
        <f t="shared" si="42"/>
        <v>1210.97484</v>
      </c>
    </row>
    <row r="130" spans="1:42">
      <c r="A130" t="s">
        <v>521</v>
      </c>
      <c r="B130" s="7">
        <v>44948</v>
      </c>
      <c r="C130" s="7">
        <v>44956</v>
      </c>
      <c r="D130" t="s">
        <v>213</v>
      </c>
      <c r="E130" t="s">
        <v>283</v>
      </c>
      <c r="F130" t="s">
        <v>328</v>
      </c>
      <c r="G130" t="s">
        <v>223</v>
      </c>
      <c r="H130" t="s">
        <v>189</v>
      </c>
      <c r="I130" t="s">
        <v>236</v>
      </c>
      <c r="J130" t="s">
        <v>196</v>
      </c>
      <c r="K130" t="s">
        <v>522</v>
      </c>
      <c r="L130" s="10">
        <v>413.52</v>
      </c>
      <c r="M130" s="10">
        <v>1004.34</v>
      </c>
      <c r="N130" s="17">
        <v>0.111</v>
      </c>
      <c r="O130">
        <v>18</v>
      </c>
      <c r="P130" t="str">
        <f t="shared" ref="P130:P193" si="45">IF(M130&gt;0,"Valid")</f>
        <v>Valid</v>
      </c>
      <c r="Q130" s="10">
        <f t="shared" ref="Q130:Q193" si="46">ABS(M130)</f>
        <v>1004.34</v>
      </c>
      <c r="R130" t="b">
        <f t="shared" ref="R130:R193" si="47">IF(N130&gt;30%,"Excess")</f>
        <v>0</v>
      </c>
      <c r="S130" s="17">
        <f t="shared" ref="S130:S193" si="48">IF(R130="Excess",30%,N130)</f>
        <v>0.111</v>
      </c>
      <c r="T130">
        <f t="shared" ref="T130:T193" si="49">(C130-B130)</f>
        <v>8</v>
      </c>
      <c r="U130" s="26">
        <f t="shared" ref="U130:U193" si="50">IF(C130&lt;B130,B130+7,C130)</f>
        <v>44956</v>
      </c>
      <c r="V130">
        <f t="shared" ref="V130:V193" si="51">(U130-B130)</f>
        <v>8</v>
      </c>
      <c r="W130" s="10">
        <f t="shared" ref="W130:W193" si="52">(Q130*O130*(100-S130))</f>
        <v>1805805.32868</v>
      </c>
      <c r="X130" s="10">
        <f t="shared" ref="X130:X193" si="53">(Q130*O130)</f>
        <v>18078.12</v>
      </c>
      <c r="Y130" s="10">
        <f t="shared" ref="Y130:Y193" si="54">W130-X130</f>
        <v>1787727.20868</v>
      </c>
      <c r="Z130" s="14">
        <f t="shared" si="36"/>
        <v>0.989988887665308</v>
      </c>
      <c r="AA130" t="s">
        <v>1564</v>
      </c>
      <c r="AB130" t="str">
        <f t="shared" ref="AB130:AB193" si="55">"Q"&amp;ROUNDUP(MONTH(B130)/3,0)&amp;"-"&amp;YEAR(B130)</f>
        <v>Q1-2023</v>
      </c>
      <c r="AC130" t="str">
        <f t="shared" ref="AC130:AC193" si="56">D130&amp;" → "&amp;E130&amp;" → "&amp;F130</f>
        <v>Americas → USA → San Francisco</v>
      </c>
      <c r="AD130" t="str">
        <f t="shared" ref="AD130:AD193" si="57">IF(OR(J130="Laptops",J130="Phones"),"Devices",IF(OR(J130="Monitors",J130="Printers"),"Peripherals","Support"))</f>
        <v>Support</v>
      </c>
      <c r="AE130" s="8" t="str">
        <f t="shared" si="44"/>
        <v>Low</v>
      </c>
      <c r="AF130" t="str">
        <f t="shared" si="37"/>
        <v>USA</v>
      </c>
      <c r="AG130" s="7">
        <v>44939</v>
      </c>
      <c r="AH130" t="str">
        <f t="shared" si="38"/>
        <v>Jan-2023</v>
      </c>
      <c r="AI130" s="9">
        <f t="shared" si="39"/>
        <v>44957</v>
      </c>
      <c r="AJ130">
        <f t="shared" si="43"/>
        <v>0</v>
      </c>
      <c r="AK130">
        <f t="shared" si="40"/>
        <v>0</v>
      </c>
      <c r="AL130" s="17">
        <f>MIN(N130,'Scenario Modelling'!$B$2)</f>
        <v>0.111</v>
      </c>
      <c r="AM130" s="10">
        <f>L130*(1+'Scenario Modelling'!$B$3)</f>
        <v>475.548</v>
      </c>
      <c r="AN130">
        <f>O130*(1+'Scenario Modelling'!$B$4)</f>
        <v>21.6</v>
      </c>
      <c r="AO130" s="28">
        <f t="shared" si="41"/>
        <v>19285.738416</v>
      </c>
      <c r="AP130" s="10">
        <f t="shared" si="42"/>
        <v>9013.901616</v>
      </c>
    </row>
    <row r="131" spans="1:42">
      <c r="A131" t="s">
        <v>523</v>
      </c>
      <c r="B131" s="7">
        <v>45700</v>
      </c>
      <c r="C131" s="7">
        <v>45716</v>
      </c>
      <c r="D131" t="s">
        <v>213</v>
      </c>
      <c r="E131" t="s">
        <v>234</v>
      </c>
      <c r="F131" t="s">
        <v>235</v>
      </c>
      <c r="G131" t="s">
        <v>200</v>
      </c>
      <c r="H131" t="s">
        <v>259</v>
      </c>
      <c r="I131" t="s">
        <v>217</v>
      </c>
      <c r="J131" t="s">
        <v>225</v>
      </c>
      <c r="K131" t="s">
        <v>524</v>
      </c>
      <c r="L131" s="10">
        <v>414.95</v>
      </c>
      <c r="M131" s="10">
        <v>1027.73</v>
      </c>
      <c r="N131" s="17">
        <v>0.063</v>
      </c>
      <c r="O131">
        <v>8</v>
      </c>
      <c r="P131" t="str">
        <f t="shared" si="45"/>
        <v>Valid</v>
      </c>
      <c r="Q131" s="10">
        <f t="shared" si="46"/>
        <v>1027.73</v>
      </c>
      <c r="R131" t="b">
        <f t="shared" si="47"/>
        <v>0</v>
      </c>
      <c r="S131" s="17">
        <f t="shared" si="48"/>
        <v>0.063</v>
      </c>
      <c r="T131">
        <f t="shared" si="49"/>
        <v>16</v>
      </c>
      <c r="U131" s="26">
        <f t="shared" si="50"/>
        <v>45716</v>
      </c>
      <c r="V131">
        <f t="shared" si="51"/>
        <v>16</v>
      </c>
      <c r="W131" s="10">
        <f t="shared" si="52"/>
        <v>821666.02408</v>
      </c>
      <c r="X131" s="10">
        <f t="shared" si="53"/>
        <v>8221.84</v>
      </c>
      <c r="Y131" s="10">
        <f t="shared" si="54"/>
        <v>813444.18408</v>
      </c>
      <c r="Z131" s="14">
        <f t="shared" ref="Z131:Z194" si="58">Y131/W131</f>
        <v>0.989993696028498</v>
      </c>
      <c r="AA131" t="s">
        <v>1586</v>
      </c>
      <c r="AB131" t="str">
        <f t="shared" si="55"/>
        <v>Q1-2025</v>
      </c>
      <c r="AC131" t="str">
        <f t="shared" si="56"/>
        <v>Americas → Brazil → São Paulo</v>
      </c>
      <c r="AD131" t="str">
        <f t="shared" si="57"/>
        <v>Peripherals</v>
      </c>
      <c r="AE131" s="8" t="str">
        <f t="shared" si="44"/>
        <v>High</v>
      </c>
      <c r="AF131" t="str">
        <f t="shared" ref="AF131:AF194" si="59">UPPER(TRIM(CLEAN(SUBSTITUTE(E131,CHAR(160),""))))</f>
        <v>BRAZIL</v>
      </c>
      <c r="AG131" s="7">
        <f>_xlfn.MINIFS($B$2:$B$633,$AF$2:$AF$633,AF131)</f>
        <v>44955</v>
      </c>
      <c r="AH131" t="str">
        <f t="shared" ref="AH131:AH194" si="60">TEXT(AG131,"MMM-YYYY")</f>
        <v>Jan-2023</v>
      </c>
      <c r="AI131" s="9">
        <f t="shared" ref="AI131:AI194" si="61">EOMONTH(B131,0)</f>
        <v>45716</v>
      </c>
      <c r="AJ131">
        <f t="shared" si="43"/>
        <v>0</v>
      </c>
      <c r="AK131">
        <f t="shared" ref="AK131:AK194" si="62">IF(N131&gt;20%,1,0)</f>
        <v>0</v>
      </c>
      <c r="AL131" s="17">
        <f>MIN(N131,'Scenario Modelling'!$B$2)</f>
        <v>0.063</v>
      </c>
      <c r="AM131" s="10">
        <f>L131*(1+'Scenario Modelling'!$B$3)</f>
        <v>477.1925</v>
      </c>
      <c r="AN131">
        <f>O131*(1+'Scenario Modelling'!$B$4)</f>
        <v>9.6</v>
      </c>
      <c r="AO131" s="28">
        <f t="shared" ref="AO131:AO194" si="63">AN131*M131*(1-AL131)</f>
        <v>9244.636896</v>
      </c>
      <c r="AP131" s="10">
        <f t="shared" ref="AP131:AP194" si="64">(M131*(1-AL131)-AM131)*AN131</f>
        <v>4663.588896</v>
      </c>
    </row>
    <row r="132" spans="1:42">
      <c r="A132" t="s">
        <v>525</v>
      </c>
      <c r="B132" s="7">
        <v>45719</v>
      </c>
      <c r="C132" s="7">
        <v>45740</v>
      </c>
      <c r="D132" t="s">
        <v>177</v>
      </c>
      <c r="E132" t="s">
        <v>186</v>
      </c>
      <c r="F132" t="s">
        <v>228</v>
      </c>
      <c r="G132" t="s">
        <v>266</v>
      </c>
      <c r="H132" t="s">
        <v>259</v>
      </c>
      <c r="I132" t="s">
        <v>253</v>
      </c>
      <c r="J132" t="s">
        <v>242</v>
      </c>
      <c r="K132" t="s">
        <v>526</v>
      </c>
      <c r="L132" s="10">
        <v>555.95</v>
      </c>
      <c r="M132" s="10">
        <v>468.09</v>
      </c>
      <c r="N132" s="17">
        <v>0.142</v>
      </c>
      <c r="O132">
        <v>11</v>
      </c>
      <c r="P132" t="str">
        <f t="shared" si="45"/>
        <v>Valid</v>
      </c>
      <c r="Q132" s="10">
        <f t="shared" si="46"/>
        <v>468.09</v>
      </c>
      <c r="R132" t="b">
        <f t="shared" si="47"/>
        <v>0</v>
      </c>
      <c r="S132" s="17">
        <f t="shared" si="48"/>
        <v>0.142</v>
      </c>
      <c r="T132">
        <f t="shared" si="49"/>
        <v>21</v>
      </c>
      <c r="U132" s="26">
        <f t="shared" si="50"/>
        <v>45740</v>
      </c>
      <c r="V132">
        <f t="shared" si="51"/>
        <v>21</v>
      </c>
      <c r="W132" s="10">
        <f t="shared" si="52"/>
        <v>514167.84342</v>
      </c>
      <c r="X132" s="10">
        <f t="shared" si="53"/>
        <v>5148.99</v>
      </c>
      <c r="Y132" s="10">
        <f t="shared" si="54"/>
        <v>509018.85342</v>
      </c>
      <c r="Z132" s="14">
        <f t="shared" si="58"/>
        <v>0.989985779807326</v>
      </c>
      <c r="AA132" t="s">
        <v>1563</v>
      </c>
      <c r="AB132" t="str">
        <f t="shared" si="55"/>
        <v>Q1-2025</v>
      </c>
      <c r="AC132" t="str">
        <f t="shared" si="56"/>
        <v>Africa → Nigeria → Abuja</v>
      </c>
      <c r="AD132" t="str">
        <f t="shared" si="57"/>
        <v>Support</v>
      </c>
      <c r="AE132" s="8" t="str">
        <f t="shared" si="44"/>
        <v>High</v>
      </c>
      <c r="AF132" t="str">
        <f t="shared" si="59"/>
        <v>NIGERIA</v>
      </c>
      <c r="AG132" s="7">
        <v>44941</v>
      </c>
      <c r="AH132" t="str">
        <f t="shared" si="60"/>
        <v>Jan-2023</v>
      </c>
      <c r="AI132" s="9">
        <f t="shared" si="61"/>
        <v>45747</v>
      </c>
      <c r="AJ132">
        <f t="shared" ref="AJ132:AJ195" si="65">IF(V132&lt;=7,1,0)</f>
        <v>0</v>
      </c>
      <c r="AK132">
        <f t="shared" si="62"/>
        <v>0</v>
      </c>
      <c r="AL132" s="17">
        <f>MIN(N132,'Scenario Modelling'!$B$2)</f>
        <v>0.142</v>
      </c>
      <c r="AM132" s="10">
        <f>L132*(1+'Scenario Modelling'!$B$3)</f>
        <v>639.3425</v>
      </c>
      <c r="AN132">
        <f>O132*(1+'Scenario Modelling'!$B$4)</f>
        <v>13.2</v>
      </c>
      <c r="AO132" s="28">
        <f t="shared" si="63"/>
        <v>5301.400104</v>
      </c>
      <c r="AP132" s="10">
        <f t="shared" si="64"/>
        <v>-3137.920896</v>
      </c>
    </row>
    <row r="133" spans="1:42">
      <c r="A133" t="s">
        <v>527</v>
      </c>
      <c r="B133" s="7">
        <v>44953</v>
      </c>
      <c r="C133" s="7">
        <v>44957</v>
      </c>
      <c r="D133" t="s">
        <v>239</v>
      </c>
      <c r="E133" t="s">
        <v>269</v>
      </c>
      <c r="F133" t="s">
        <v>389</v>
      </c>
      <c r="G133" t="s">
        <v>266</v>
      </c>
      <c r="H133" t="s">
        <v>189</v>
      </c>
      <c r="I133" t="s">
        <v>287</v>
      </c>
      <c r="J133" t="s">
        <v>218</v>
      </c>
      <c r="K133" t="s">
        <v>528</v>
      </c>
      <c r="L133" s="10">
        <v>941.2</v>
      </c>
      <c r="M133" s="10">
        <v>668.02</v>
      </c>
      <c r="N133" s="17">
        <v>0.22</v>
      </c>
      <c r="O133">
        <v>16</v>
      </c>
      <c r="P133" t="str">
        <f t="shared" si="45"/>
        <v>Valid</v>
      </c>
      <c r="Q133" s="10">
        <f t="shared" si="46"/>
        <v>668.02</v>
      </c>
      <c r="R133" t="b">
        <f t="shared" si="47"/>
        <v>0</v>
      </c>
      <c r="S133" s="17">
        <f t="shared" si="48"/>
        <v>0.22</v>
      </c>
      <c r="T133">
        <f t="shared" si="49"/>
        <v>4</v>
      </c>
      <c r="U133" s="26">
        <f t="shared" si="50"/>
        <v>44957</v>
      </c>
      <c r="V133">
        <f t="shared" si="51"/>
        <v>4</v>
      </c>
      <c r="W133" s="10">
        <f t="shared" si="52"/>
        <v>1066480.5696</v>
      </c>
      <c r="X133" s="10">
        <f t="shared" si="53"/>
        <v>10688.32</v>
      </c>
      <c r="Y133" s="10">
        <f t="shared" si="54"/>
        <v>1055792.2496</v>
      </c>
      <c r="Z133" s="14">
        <f t="shared" si="58"/>
        <v>0.989977951493285</v>
      </c>
      <c r="AA133" t="s">
        <v>1564</v>
      </c>
      <c r="AB133" t="str">
        <f t="shared" si="55"/>
        <v>Q1-2023</v>
      </c>
      <c r="AC133" t="str">
        <f t="shared" si="56"/>
        <v>Europe → United Kingdom → Manchester</v>
      </c>
      <c r="AD133" t="str">
        <f t="shared" si="57"/>
        <v>Devices</v>
      </c>
      <c r="AE133" s="8" t="str">
        <f t="shared" si="44"/>
        <v>Low</v>
      </c>
      <c r="AF133" t="str">
        <f t="shared" si="59"/>
        <v>UNITED KINGDOM</v>
      </c>
      <c r="AG133" s="7">
        <v>44945</v>
      </c>
      <c r="AH133" t="str">
        <f t="shared" si="60"/>
        <v>Jan-2023</v>
      </c>
      <c r="AI133" s="9">
        <f t="shared" si="61"/>
        <v>44957</v>
      </c>
      <c r="AJ133">
        <f t="shared" si="65"/>
        <v>1</v>
      </c>
      <c r="AK133">
        <f t="shared" si="62"/>
        <v>1</v>
      </c>
      <c r="AL133" s="17">
        <f>MIN(N133,'Scenario Modelling'!$B$2)</f>
        <v>0.22</v>
      </c>
      <c r="AM133" s="10">
        <f>L133*(1+'Scenario Modelling'!$B$3)</f>
        <v>1082.38</v>
      </c>
      <c r="AN133">
        <f>O133*(1+'Scenario Modelling'!$B$4)</f>
        <v>19.2</v>
      </c>
      <c r="AO133" s="28">
        <f t="shared" si="63"/>
        <v>10004.26752</v>
      </c>
      <c r="AP133" s="10">
        <f t="shared" si="64"/>
        <v>-10777.42848</v>
      </c>
    </row>
    <row r="134" spans="1:42">
      <c r="A134" t="s">
        <v>529</v>
      </c>
      <c r="B134" s="7">
        <v>45666</v>
      </c>
      <c r="C134" s="7">
        <v>45672</v>
      </c>
      <c r="D134" t="s">
        <v>206</v>
      </c>
      <c r="E134" t="s">
        <v>277</v>
      </c>
      <c r="F134" t="s">
        <v>499</v>
      </c>
      <c r="G134" t="s">
        <v>188</v>
      </c>
      <c r="H134" t="s">
        <v>189</v>
      </c>
      <c r="I134" t="s">
        <v>182</v>
      </c>
      <c r="J134" t="s">
        <v>203</v>
      </c>
      <c r="K134" t="s">
        <v>530</v>
      </c>
      <c r="L134" s="10">
        <v>304.78</v>
      </c>
      <c r="M134" s="10">
        <v>537.27</v>
      </c>
      <c r="N134" s="17">
        <v>0.187</v>
      </c>
      <c r="O134">
        <v>8</v>
      </c>
      <c r="P134" t="str">
        <f t="shared" si="45"/>
        <v>Valid</v>
      </c>
      <c r="Q134" s="10">
        <f t="shared" si="46"/>
        <v>537.27</v>
      </c>
      <c r="R134" t="b">
        <f t="shared" si="47"/>
        <v>0</v>
      </c>
      <c r="S134" s="17">
        <f t="shared" si="48"/>
        <v>0.187</v>
      </c>
      <c r="T134">
        <f t="shared" si="49"/>
        <v>6</v>
      </c>
      <c r="U134" s="26">
        <f t="shared" si="50"/>
        <v>45672</v>
      </c>
      <c r="V134">
        <f t="shared" si="51"/>
        <v>6</v>
      </c>
      <c r="W134" s="10">
        <f t="shared" si="52"/>
        <v>429012.24408</v>
      </c>
      <c r="X134" s="10">
        <f t="shared" si="53"/>
        <v>4298.16</v>
      </c>
      <c r="Y134" s="10">
        <f t="shared" si="54"/>
        <v>424714.08408</v>
      </c>
      <c r="Z134" s="14">
        <f t="shared" si="58"/>
        <v>0.989981264965486</v>
      </c>
      <c r="AA134" t="s">
        <v>1569</v>
      </c>
      <c r="AB134" t="str">
        <f t="shared" si="55"/>
        <v>Q1-2025</v>
      </c>
      <c r="AC134" t="str">
        <f t="shared" si="56"/>
        <v>Asia → China → Beijing</v>
      </c>
      <c r="AD134" t="str">
        <f t="shared" si="57"/>
        <v>Devices</v>
      </c>
      <c r="AE134" s="8" t="str">
        <f t="shared" si="44"/>
        <v>High</v>
      </c>
      <c r="AF134" t="str">
        <f t="shared" si="59"/>
        <v>CHINA</v>
      </c>
      <c r="AG134" s="7">
        <f>_xlfn.MINIFS($B$2:$B$633,$AF$2:$AF$633,AF134)</f>
        <v>44938</v>
      </c>
      <c r="AH134" t="str">
        <f t="shared" si="60"/>
        <v>Jan-2023</v>
      </c>
      <c r="AI134" s="9">
        <f t="shared" si="61"/>
        <v>45688</v>
      </c>
      <c r="AJ134">
        <f t="shared" si="65"/>
        <v>1</v>
      </c>
      <c r="AK134">
        <f t="shared" si="62"/>
        <v>0</v>
      </c>
      <c r="AL134" s="17">
        <f>MIN(N134,'Scenario Modelling'!$B$2)</f>
        <v>0.187</v>
      </c>
      <c r="AM134" s="10">
        <f>L134*(1+'Scenario Modelling'!$B$3)</f>
        <v>350.497</v>
      </c>
      <c r="AN134">
        <f>O134*(1+'Scenario Modelling'!$B$4)</f>
        <v>9.6</v>
      </c>
      <c r="AO134" s="28">
        <f t="shared" si="63"/>
        <v>4193.284896</v>
      </c>
      <c r="AP134" s="10">
        <f t="shared" si="64"/>
        <v>828.513696</v>
      </c>
    </row>
    <row r="135" spans="1:42">
      <c r="A135" t="s">
        <v>531</v>
      </c>
      <c r="B135" s="7">
        <v>45647</v>
      </c>
      <c r="C135" s="7">
        <v>45652</v>
      </c>
      <c r="D135" t="s">
        <v>213</v>
      </c>
      <c r="E135" t="s">
        <v>283</v>
      </c>
      <c r="F135" t="s">
        <v>328</v>
      </c>
      <c r="G135" t="s">
        <v>209</v>
      </c>
      <c r="H135" t="s">
        <v>201</v>
      </c>
      <c r="I135" t="s">
        <v>271</v>
      </c>
      <c r="J135" t="s">
        <v>191</v>
      </c>
      <c r="K135" t="s">
        <v>532</v>
      </c>
      <c r="L135" s="10">
        <v>699.57</v>
      </c>
      <c r="M135" s="10">
        <v>572.71</v>
      </c>
      <c r="N135" s="17">
        <v>0.192</v>
      </c>
      <c r="O135">
        <v>26</v>
      </c>
      <c r="P135" t="str">
        <f t="shared" si="45"/>
        <v>Valid</v>
      </c>
      <c r="Q135" s="10">
        <f t="shared" si="46"/>
        <v>572.71</v>
      </c>
      <c r="R135" t="b">
        <f t="shared" si="47"/>
        <v>0</v>
      </c>
      <c r="S135" s="17">
        <f t="shared" si="48"/>
        <v>0.192</v>
      </c>
      <c r="T135">
        <f t="shared" si="49"/>
        <v>5</v>
      </c>
      <c r="U135" s="26">
        <f t="shared" si="50"/>
        <v>45652</v>
      </c>
      <c r="V135">
        <f t="shared" si="51"/>
        <v>5</v>
      </c>
      <c r="W135" s="10">
        <f t="shared" si="52"/>
        <v>1486187.03168</v>
      </c>
      <c r="X135" s="10">
        <f t="shared" si="53"/>
        <v>14890.46</v>
      </c>
      <c r="Y135" s="10">
        <f t="shared" si="54"/>
        <v>1471296.57168</v>
      </c>
      <c r="Z135" s="14">
        <f t="shared" si="58"/>
        <v>0.989980763065085</v>
      </c>
      <c r="AA135" t="s">
        <v>1565</v>
      </c>
      <c r="AB135" t="str">
        <f t="shared" si="55"/>
        <v>Q4-2024</v>
      </c>
      <c r="AC135" t="str">
        <f t="shared" si="56"/>
        <v>Americas → USA → San Francisco</v>
      </c>
      <c r="AD135" t="str">
        <f t="shared" si="57"/>
        <v>Peripherals</v>
      </c>
      <c r="AE135" s="8" t="str">
        <f t="shared" si="44"/>
        <v>High</v>
      </c>
      <c r="AF135" t="str">
        <f t="shared" si="59"/>
        <v>USA</v>
      </c>
      <c r="AG135" s="7">
        <v>44939</v>
      </c>
      <c r="AH135" t="str">
        <f t="shared" si="60"/>
        <v>Jan-2023</v>
      </c>
      <c r="AI135" s="9">
        <f t="shared" si="61"/>
        <v>45657</v>
      </c>
      <c r="AJ135">
        <f t="shared" si="65"/>
        <v>1</v>
      </c>
      <c r="AK135">
        <f t="shared" si="62"/>
        <v>0</v>
      </c>
      <c r="AL135" s="17">
        <f>MIN(N135,'Scenario Modelling'!$B$2)</f>
        <v>0.192</v>
      </c>
      <c r="AM135" s="10">
        <f>L135*(1+'Scenario Modelling'!$B$3)</f>
        <v>804.5055</v>
      </c>
      <c r="AN135">
        <f>O135*(1+'Scenario Modelling'!$B$4)</f>
        <v>31.2</v>
      </c>
      <c r="AO135" s="28">
        <f t="shared" si="63"/>
        <v>14437.790016</v>
      </c>
      <c r="AP135" s="10">
        <f t="shared" si="64"/>
        <v>-10662.781584</v>
      </c>
    </row>
    <row r="136" spans="1:42">
      <c r="A136" t="s">
        <v>533</v>
      </c>
      <c r="B136" s="7">
        <v>45028</v>
      </c>
      <c r="C136" s="7">
        <v>45033</v>
      </c>
      <c r="D136" t="s">
        <v>239</v>
      </c>
      <c r="E136" t="s">
        <v>251</v>
      </c>
      <c r="F136" t="s">
        <v>299</v>
      </c>
      <c r="G136" t="s">
        <v>266</v>
      </c>
      <c r="H136" t="s">
        <v>259</v>
      </c>
      <c r="I136" t="s">
        <v>224</v>
      </c>
      <c r="J136" t="s">
        <v>225</v>
      </c>
      <c r="K136" t="s">
        <v>534</v>
      </c>
      <c r="L136" s="10">
        <v>1087.81</v>
      </c>
      <c r="M136" s="10">
        <v>2323.87</v>
      </c>
      <c r="N136" s="17">
        <v>0.094</v>
      </c>
      <c r="O136">
        <v>13</v>
      </c>
      <c r="P136" t="str">
        <f t="shared" si="45"/>
        <v>Valid</v>
      </c>
      <c r="Q136" s="10">
        <f t="shared" si="46"/>
        <v>2323.87</v>
      </c>
      <c r="R136" t="b">
        <f t="shared" si="47"/>
        <v>0</v>
      </c>
      <c r="S136" s="17">
        <f t="shared" si="48"/>
        <v>0.094</v>
      </c>
      <c r="T136">
        <f t="shared" si="49"/>
        <v>5</v>
      </c>
      <c r="U136" s="26">
        <f t="shared" si="50"/>
        <v>45033</v>
      </c>
      <c r="V136">
        <f t="shared" si="51"/>
        <v>5</v>
      </c>
      <c r="W136" s="10">
        <f t="shared" si="52"/>
        <v>3018191.23086</v>
      </c>
      <c r="X136" s="10">
        <f t="shared" si="53"/>
        <v>30210.31</v>
      </c>
      <c r="Y136" s="10">
        <f t="shared" si="54"/>
        <v>2987980.92086</v>
      </c>
      <c r="Z136" s="14">
        <f t="shared" si="58"/>
        <v>0.989990591155686</v>
      </c>
      <c r="AA136" t="s">
        <v>1571</v>
      </c>
      <c r="AB136" t="str">
        <f t="shared" si="55"/>
        <v>Q2-2023</v>
      </c>
      <c r="AC136" t="str">
        <f t="shared" si="56"/>
        <v>Europe → France → Lyon</v>
      </c>
      <c r="AD136" t="str">
        <f t="shared" si="57"/>
        <v>Peripherals</v>
      </c>
      <c r="AE136" s="8" t="str">
        <f t="shared" si="44"/>
        <v>Low</v>
      </c>
      <c r="AF136" t="str">
        <f t="shared" si="59"/>
        <v>FRANCE</v>
      </c>
      <c r="AG136" s="7">
        <v>44936</v>
      </c>
      <c r="AH136" t="str">
        <f t="shared" si="60"/>
        <v>Jan-2023</v>
      </c>
      <c r="AI136" s="9">
        <f t="shared" si="61"/>
        <v>45046</v>
      </c>
      <c r="AJ136">
        <f t="shared" si="65"/>
        <v>1</v>
      </c>
      <c r="AK136">
        <f t="shared" si="62"/>
        <v>0</v>
      </c>
      <c r="AL136" s="17">
        <f>MIN(N136,'Scenario Modelling'!$B$2)</f>
        <v>0.094</v>
      </c>
      <c r="AM136" s="10">
        <f>L136*(1+'Scenario Modelling'!$B$3)</f>
        <v>1250.9815</v>
      </c>
      <c r="AN136">
        <f>O136*(1+'Scenario Modelling'!$B$4)</f>
        <v>15.6</v>
      </c>
      <c r="AO136" s="28">
        <f t="shared" si="63"/>
        <v>32844.649032</v>
      </c>
      <c r="AP136" s="10">
        <f t="shared" si="64"/>
        <v>13329.337632</v>
      </c>
    </row>
    <row r="137" spans="1:42">
      <c r="A137" t="s">
        <v>535</v>
      </c>
      <c r="B137" s="7">
        <v>45640</v>
      </c>
      <c r="C137" s="7">
        <v>45669</v>
      </c>
      <c r="D137" t="s">
        <v>206</v>
      </c>
      <c r="E137" t="s">
        <v>277</v>
      </c>
      <c r="F137" t="s">
        <v>278</v>
      </c>
      <c r="G137" t="s">
        <v>188</v>
      </c>
      <c r="H137" t="s">
        <v>189</v>
      </c>
      <c r="I137" t="s">
        <v>190</v>
      </c>
      <c r="J137" t="s">
        <v>183</v>
      </c>
      <c r="K137" t="s">
        <v>536</v>
      </c>
      <c r="L137" s="10">
        <v>1412.15</v>
      </c>
      <c r="M137" s="10">
        <v>1631.04</v>
      </c>
      <c r="N137" s="17">
        <v>0.009</v>
      </c>
      <c r="O137">
        <v>6</v>
      </c>
      <c r="P137" t="str">
        <f t="shared" si="45"/>
        <v>Valid</v>
      </c>
      <c r="Q137" s="10">
        <f t="shared" si="46"/>
        <v>1631.04</v>
      </c>
      <c r="R137" t="b">
        <f t="shared" si="47"/>
        <v>0</v>
      </c>
      <c r="S137" s="17">
        <f t="shared" si="48"/>
        <v>0.009</v>
      </c>
      <c r="T137">
        <f t="shared" si="49"/>
        <v>29</v>
      </c>
      <c r="U137" s="26">
        <f t="shared" si="50"/>
        <v>45669</v>
      </c>
      <c r="V137">
        <f t="shared" si="51"/>
        <v>29</v>
      </c>
      <c r="W137" s="10">
        <f t="shared" si="52"/>
        <v>978535.92384</v>
      </c>
      <c r="X137" s="10">
        <f t="shared" si="53"/>
        <v>9786.24</v>
      </c>
      <c r="Y137" s="10">
        <f t="shared" si="54"/>
        <v>968749.68384</v>
      </c>
      <c r="Z137" s="14">
        <f t="shared" si="58"/>
        <v>0.989999099918993</v>
      </c>
      <c r="AA137" t="s">
        <v>1565</v>
      </c>
      <c r="AB137" t="str">
        <f t="shared" si="55"/>
        <v>Q4-2024</v>
      </c>
      <c r="AC137" t="str">
        <f t="shared" si="56"/>
        <v>Asia → China → Shenzhen</v>
      </c>
      <c r="AD137" t="str">
        <f t="shared" si="57"/>
        <v>Support</v>
      </c>
      <c r="AE137" s="8" t="str">
        <f t="shared" si="44"/>
        <v>High</v>
      </c>
      <c r="AF137" t="str">
        <f t="shared" si="59"/>
        <v>CHINA</v>
      </c>
      <c r="AG137" s="7">
        <f>_xlfn.MINIFS($B$2:$B$633,$AF$2:$AF$633,AF137)</f>
        <v>44938</v>
      </c>
      <c r="AH137" t="str">
        <f t="shared" si="60"/>
        <v>Jan-2023</v>
      </c>
      <c r="AI137" s="9">
        <f t="shared" si="61"/>
        <v>45657</v>
      </c>
      <c r="AJ137">
        <f t="shared" si="65"/>
        <v>0</v>
      </c>
      <c r="AK137">
        <f t="shared" si="62"/>
        <v>0</v>
      </c>
      <c r="AL137" s="17">
        <f>MIN(N137,'Scenario Modelling'!$B$2)</f>
        <v>0.009</v>
      </c>
      <c r="AM137" s="10">
        <f>L137*(1+'Scenario Modelling'!$B$3)</f>
        <v>1623.9725</v>
      </c>
      <c r="AN137">
        <f>O137*(1+'Scenario Modelling'!$B$4)</f>
        <v>7.2</v>
      </c>
      <c r="AO137" s="28">
        <f t="shared" si="63"/>
        <v>11637.796608</v>
      </c>
      <c r="AP137" s="10">
        <f t="shared" si="64"/>
        <v>-54.8053920000015</v>
      </c>
    </row>
    <row r="138" spans="1:42">
      <c r="A138" t="s">
        <v>537</v>
      </c>
      <c r="B138" s="7">
        <v>45016</v>
      </c>
      <c r="C138" s="7">
        <v>45028</v>
      </c>
      <c r="D138" t="s">
        <v>177</v>
      </c>
      <c r="E138" t="s">
        <v>178</v>
      </c>
      <c r="F138" t="s">
        <v>274</v>
      </c>
      <c r="G138" t="s">
        <v>223</v>
      </c>
      <c r="H138" t="s">
        <v>189</v>
      </c>
      <c r="I138" t="s">
        <v>182</v>
      </c>
      <c r="J138" t="s">
        <v>203</v>
      </c>
      <c r="K138" t="s">
        <v>538</v>
      </c>
      <c r="L138" s="10">
        <v>304.22</v>
      </c>
      <c r="M138" s="10">
        <v>393.31</v>
      </c>
      <c r="N138" s="17">
        <v>0.265</v>
      </c>
      <c r="O138">
        <v>15</v>
      </c>
      <c r="P138" t="str">
        <f t="shared" si="45"/>
        <v>Valid</v>
      </c>
      <c r="Q138" s="10">
        <f t="shared" si="46"/>
        <v>393.31</v>
      </c>
      <c r="R138" t="b">
        <f t="shared" si="47"/>
        <v>0</v>
      </c>
      <c r="S138" s="17">
        <f t="shared" si="48"/>
        <v>0.265</v>
      </c>
      <c r="T138">
        <f t="shared" si="49"/>
        <v>12</v>
      </c>
      <c r="U138" s="26">
        <f t="shared" si="50"/>
        <v>45028</v>
      </c>
      <c r="V138">
        <f t="shared" si="51"/>
        <v>12</v>
      </c>
      <c r="W138" s="10">
        <f t="shared" si="52"/>
        <v>588401.59275</v>
      </c>
      <c r="X138" s="10">
        <f t="shared" si="53"/>
        <v>5899.65</v>
      </c>
      <c r="Y138" s="10">
        <f t="shared" si="54"/>
        <v>582501.94275</v>
      </c>
      <c r="Z138" s="14">
        <f t="shared" si="58"/>
        <v>0.989973429588409</v>
      </c>
      <c r="AA138" t="s">
        <v>1582</v>
      </c>
      <c r="AB138" t="str">
        <f t="shared" si="55"/>
        <v>Q1-2023</v>
      </c>
      <c r="AC138" t="str">
        <f t="shared" si="56"/>
        <v>Africa → Kenya → Mombasa</v>
      </c>
      <c r="AD138" t="str">
        <f t="shared" si="57"/>
        <v>Devices</v>
      </c>
      <c r="AE138" s="8" t="str">
        <f t="shared" si="44"/>
        <v>Low</v>
      </c>
      <c r="AF138" t="str">
        <f t="shared" si="59"/>
        <v>KENYA</v>
      </c>
      <c r="AG138" s="7">
        <v>44946</v>
      </c>
      <c r="AH138" t="str">
        <f t="shared" si="60"/>
        <v>Jan-2023</v>
      </c>
      <c r="AI138" s="9">
        <f t="shared" si="61"/>
        <v>45016</v>
      </c>
      <c r="AJ138">
        <f t="shared" si="65"/>
        <v>0</v>
      </c>
      <c r="AK138">
        <f t="shared" si="62"/>
        <v>1</v>
      </c>
      <c r="AL138" s="17">
        <f>MIN(N138,'Scenario Modelling'!$B$2)</f>
        <v>0.25</v>
      </c>
      <c r="AM138" s="10">
        <f>L138*(1+'Scenario Modelling'!$B$3)</f>
        <v>349.853</v>
      </c>
      <c r="AN138">
        <f>O138*(1+'Scenario Modelling'!$B$4)</f>
        <v>18</v>
      </c>
      <c r="AO138" s="28">
        <f t="shared" si="63"/>
        <v>5309.685</v>
      </c>
      <c r="AP138" s="10">
        <f t="shared" si="64"/>
        <v>-987.669</v>
      </c>
    </row>
    <row r="139" spans="1:42">
      <c r="A139" t="s">
        <v>539</v>
      </c>
      <c r="B139" s="7">
        <v>45616</v>
      </c>
      <c r="C139" s="7">
        <v>45641</v>
      </c>
      <c r="D139" t="s">
        <v>239</v>
      </c>
      <c r="E139" t="s">
        <v>251</v>
      </c>
      <c r="F139" t="s">
        <v>378</v>
      </c>
      <c r="G139" t="s">
        <v>180</v>
      </c>
      <c r="H139" t="s">
        <v>189</v>
      </c>
      <c r="I139" t="s">
        <v>202</v>
      </c>
      <c r="J139" t="s">
        <v>191</v>
      </c>
      <c r="K139" t="s">
        <v>540</v>
      </c>
      <c r="L139" s="10">
        <v>1203.58</v>
      </c>
      <c r="M139" s="10">
        <v>1856.16</v>
      </c>
      <c r="N139" s="17">
        <v>0.129</v>
      </c>
      <c r="O139">
        <v>22</v>
      </c>
      <c r="P139" t="str">
        <f t="shared" si="45"/>
        <v>Valid</v>
      </c>
      <c r="Q139" s="10">
        <f t="shared" si="46"/>
        <v>1856.16</v>
      </c>
      <c r="R139" t="b">
        <f t="shared" si="47"/>
        <v>0</v>
      </c>
      <c r="S139" s="17">
        <f t="shared" si="48"/>
        <v>0.129</v>
      </c>
      <c r="T139">
        <f t="shared" si="49"/>
        <v>25</v>
      </c>
      <c r="U139" s="26">
        <f t="shared" si="50"/>
        <v>45641</v>
      </c>
      <c r="V139">
        <f t="shared" si="51"/>
        <v>25</v>
      </c>
      <c r="W139" s="10">
        <f t="shared" si="52"/>
        <v>4078284.21792</v>
      </c>
      <c r="X139" s="10">
        <f t="shared" si="53"/>
        <v>40835.52</v>
      </c>
      <c r="Y139" s="10">
        <f t="shared" si="54"/>
        <v>4037448.69792</v>
      </c>
      <c r="Z139" s="14">
        <f t="shared" si="58"/>
        <v>0.989987083337505</v>
      </c>
      <c r="AA139" t="s">
        <v>1577</v>
      </c>
      <c r="AB139" t="str">
        <f t="shared" si="55"/>
        <v>Q4-2024</v>
      </c>
      <c r="AC139" t="str">
        <f t="shared" si="56"/>
        <v>Europe → France → Paris</v>
      </c>
      <c r="AD139" t="str">
        <f t="shared" si="57"/>
        <v>Peripherals</v>
      </c>
      <c r="AE139" s="8" t="str">
        <f t="shared" si="44"/>
        <v>High</v>
      </c>
      <c r="AF139" t="str">
        <f t="shared" si="59"/>
        <v>FRANCE</v>
      </c>
      <c r="AG139" s="7">
        <v>44936</v>
      </c>
      <c r="AH139" t="str">
        <f t="shared" si="60"/>
        <v>Jan-2023</v>
      </c>
      <c r="AI139" s="9">
        <f t="shared" si="61"/>
        <v>45626</v>
      </c>
      <c r="AJ139">
        <f t="shared" si="65"/>
        <v>0</v>
      </c>
      <c r="AK139">
        <f t="shared" si="62"/>
        <v>0</v>
      </c>
      <c r="AL139" s="17">
        <f>MIN(N139,'Scenario Modelling'!$B$2)</f>
        <v>0.129</v>
      </c>
      <c r="AM139" s="10">
        <f>L139*(1+'Scenario Modelling'!$B$3)</f>
        <v>1384.117</v>
      </c>
      <c r="AN139">
        <f>O139*(1+'Scenario Modelling'!$B$4)</f>
        <v>26.4</v>
      </c>
      <c r="AO139" s="28">
        <f t="shared" si="63"/>
        <v>42681.285504</v>
      </c>
      <c r="AP139" s="10">
        <f t="shared" si="64"/>
        <v>6140.59670400001</v>
      </c>
    </row>
    <row r="140" spans="1:42">
      <c r="A140" t="s">
        <v>541</v>
      </c>
      <c r="B140" s="7">
        <v>45336</v>
      </c>
      <c r="C140" s="7">
        <v>45336</v>
      </c>
      <c r="D140" t="s">
        <v>206</v>
      </c>
      <c r="E140" t="s">
        <v>277</v>
      </c>
      <c r="F140" t="s">
        <v>499</v>
      </c>
      <c r="G140" t="s">
        <v>180</v>
      </c>
      <c r="H140" t="s">
        <v>216</v>
      </c>
      <c r="I140" t="s">
        <v>210</v>
      </c>
      <c r="J140" t="s">
        <v>242</v>
      </c>
      <c r="K140" t="s">
        <v>542</v>
      </c>
      <c r="L140" s="10">
        <v>65.93</v>
      </c>
      <c r="M140" s="10">
        <v>84.9</v>
      </c>
      <c r="N140" s="17">
        <v>0.259</v>
      </c>
      <c r="O140">
        <v>23</v>
      </c>
      <c r="P140" t="str">
        <f t="shared" si="45"/>
        <v>Valid</v>
      </c>
      <c r="Q140" s="10">
        <f t="shared" si="46"/>
        <v>84.9</v>
      </c>
      <c r="R140" t="b">
        <f t="shared" si="47"/>
        <v>0</v>
      </c>
      <c r="S140" s="17">
        <f t="shared" si="48"/>
        <v>0.259</v>
      </c>
      <c r="T140">
        <f t="shared" si="49"/>
        <v>0</v>
      </c>
      <c r="U140" s="26">
        <f t="shared" si="50"/>
        <v>45336</v>
      </c>
      <c r="V140">
        <f t="shared" si="51"/>
        <v>0</v>
      </c>
      <c r="W140" s="10">
        <f t="shared" si="52"/>
        <v>194764.2507</v>
      </c>
      <c r="X140" s="10">
        <f t="shared" si="53"/>
        <v>1952.7</v>
      </c>
      <c r="Y140" s="10">
        <f t="shared" si="54"/>
        <v>192811.5507</v>
      </c>
      <c r="Z140" s="14">
        <f t="shared" si="58"/>
        <v>0.989974032744809</v>
      </c>
      <c r="AA140" t="s">
        <v>1594</v>
      </c>
      <c r="AB140" t="str">
        <f t="shared" si="55"/>
        <v>Q1-2024</v>
      </c>
      <c r="AC140" t="str">
        <f t="shared" si="56"/>
        <v>Asia → China → Beijing</v>
      </c>
      <c r="AD140" t="str">
        <f t="shared" si="57"/>
        <v>Support</v>
      </c>
      <c r="AE140" s="8" t="str">
        <f t="shared" si="44"/>
        <v>Medium</v>
      </c>
      <c r="AF140" t="str">
        <f t="shared" si="59"/>
        <v>CHINA</v>
      </c>
      <c r="AG140" s="7">
        <v>44938</v>
      </c>
      <c r="AH140" t="str">
        <f t="shared" si="60"/>
        <v>Jan-2023</v>
      </c>
      <c r="AI140" s="9">
        <f t="shared" si="61"/>
        <v>45351</v>
      </c>
      <c r="AJ140">
        <f t="shared" si="65"/>
        <v>1</v>
      </c>
      <c r="AK140">
        <f t="shared" si="62"/>
        <v>1</v>
      </c>
      <c r="AL140" s="17">
        <f>MIN(N140,'Scenario Modelling'!$B$2)</f>
        <v>0.25</v>
      </c>
      <c r="AM140" s="10">
        <f>L140*(1+'Scenario Modelling'!$B$3)</f>
        <v>75.8195</v>
      </c>
      <c r="AN140">
        <f>O140*(1+'Scenario Modelling'!$B$4)</f>
        <v>27.6</v>
      </c>
      <c r="AO140" s="28">
        <f t="shared" si="63"/>
        <v>1757.43</v>
      </c>
      <c r="AP140" s="10">
        <f t="shared" si="64"/>
        <v>-335.1882</v>
      </c>
    </row>
    <row r="141" spans="1:42">
      <c r="A141" t="s">
        <v>543</v>
      </c>
      <c r="B141" s="7">
        <v>45048</v>
      </c>
      <c r="C141" s="7">
        <v>45064</v>
      </c>
      <c r="D141" t="s">
        <v>206</v>
      </c>
      <c r="E141" t="s">
        <v>221</v>
      </c>
      <c r="F141" t="s">
        <v>302</v>
      </c>
      <c r="G141" t="s">
        <v>223</v>
      </c>
      <c r="H141" t="s">
        <v>201</v>
      </c>
      <c r="I141" t="s">
        <v>256</v>
      </c>
      <c r="J141" t="s">
        <v>225</v>
      </c>
      <c r="K141" t="s">
        <v>544</v>
      </c>
      <c r="L141" s="10">
        <v>1463.92</v>
      </c>
      <c r="M141" s="10">
        <v>2252.24</v>
      </c>
      <c r="N141" s="17">
        <v>0.118</v>
      </c>
      <c r="O141">
        <v>44</v>
      </c>
      <c r="P141" t="str">
        <f t="shared" si="45"/>
        <v>Valid</v>
      </c>
      <c r="Q141" s="10">
        <f t="shared" si="46"/>
        <v>2252.24</v>
      </c>
      <c r="R141" t="b">
        <f t="shared" si="47"/>
        <v>0</v>
      </c>
      <c r="S141" s="17">
        <f t="shared" si="48"/>
        <v>0.118</v>
      </c>
      <c r="T141">
        <f t="shared" si="49"/>
        <v>16</v>
      </c>
      <c r="U141" s="26">
        <f t="shared" si="50"/>
        <v>45064</v>
      </c>
      <c r="V141">
        <f t="shared" si="51"/>
        <v>16</v>
      </c>
      <c r="W141" s="10">
        <f t="shared" si="52"/>
        <v>9898162.36992</v>
      </c>
      <c r="X141" s="10">
        <f t="shared" si="53"/>
        <v>99098.56</v>
      </c>
      <c r="Y141" s="10">
        <f t="shared" si="54"/>
        <v>9799063.80992</v>
      </c>
      <c r="Z141" s="14">
        <f t="shared" si="58"/>
        <v>0.98998818605955</v>
      </c>
      <c r="AA141" t="s">
        <v>1574</v>
      </c>
      <c r="AB141" t="str">
        <f t="shared" si="55"/>
        <v>Q2-2023</v>
      </c>
      <c r="AC141" t="str">
        <f t="shared" si="56"/>
        <v>Asia → India → Delhi</v>
      </c>
      <c r="AD141" t="str">
        <f t="shared" si="57"/>
        <v>Peripherals</v>
      </c>
      <c r="AE141" s="8" t="str">
        <f t="shared" si="44"/>
        <v>Low</v>
      </c>
      <c r="AF141" t="str">
        <f t="shared" si="59"/>
        <v>INDIA</v>
      </c>
      <c r="AG141" s="7">
        <v>44955</v>
      </c>
      <c r="AH141" t="str">
        <f t="shared" si="60"/>
        <v>Jan-2023</v>
      </c>
      <c r="AI141" s="9">
        <f t="shared" si="61"/>
        <v>45077</v>
      </c>
      <c r="AJ141">
        <f t="shared" si="65"/>
        <v>0</v>
      </c>
      <c r="AK141">
        <f t="shared" si="62"/>
        <v>0</v>
      </c>
      <c r="AL141" s="17">
        <f>MIN(N141,'Scenario Modelling'!$B$2)</f>
        <v>0.118</v>
      </c>
      <c r="AM141" s="10">
        <f>L141*(1+'Scenario Modelling'!$B$3)</f>
        <v>1683.508</v>
      </c>
      <c r="AN141">
        <f>O141*(1+'Scenario Modelling'!$B$4)</f>
        <v>52.8</v>
      </c>
      <c r="AO141" s="28">
        <f t="shared" si="63"/>
        <v>104885.915904</v>
      </c>
      <c r="AP141" s="10">
        <f t="shared" si="64"/>
        <v>15996.693504</v>
      </c>
    </row>
    <row r="142" spans="1:42">
      <c r="A142" t="s">
        <v>545</v>
      </c>
      <c r="B142" s="7">
        <v>45649</v>
      </c>
      <c r="C142" s="7">
        <v>45668</v>
      </c>
      <c r="D142" t="s">
        <v>239</v>
      </c>
      <c r="E142" t="s">
        <v>240</v>
      </c>
      <c r="F142" t="s">
        <v>241</v>
      </c>
      <c r="G142" t="s">
        <v>188</v>
      </c>
      <c r="H142" t="s">
        <v>181</v>
      </c>
      <c r="I142" t="s">
        <v>256</v>
      </c>
      <c r="J142" t="s">
        <v>203</v>
      </c>
      <c r="K142" t="s">
        <v>546</v>
      </c>
      <c r="L142" s="10">
        <v>501.81</v>
      </c>
      <c r="M142" s="10">
        <v>921.62</v>
      </c>
      <c r="N142" s="17">
        <v>0.01</v>
      </c>
      <c r="O142">
        <v>9</v>
      </c>
      <c r="P142" t="str">
        <f t="shared" si="45"/>
        <v>Valid</v>
      </c>
      <c r="Q142" s="10">
        <f t="shared" si="46"/>
        <v>921.62</v>
      </c>
      <c r="R142" t="b">
        <f t="shared" si="47"/>
        <v>0</v>
      </c>
      <c r="S142" s="17">
        <f t="shared" si="48"/>
        <v>0.01</v>
      </c>
      <c r="T142">
        <f t="shared" si="49"/>
        <v>19</v>
      </c>
      <c r="U142" s="26">
        <f t="shared" si="50"/>
        <v>45668</v>
      </c>
      <c r="V142">
        <f t="shared" si="51"/>
        <v>19</v>
      </c>
      <c r="W142" s="10">
        <f t="shared" si="52"/>
        <v>829375.0542</v>
      </c>
      <c r="X142" s="10">
        <f t="shared" si="53"/>
        <v>8294.58</v>
      </c>
      <c r="Y142" s="10">
        <f t="shared" si="54"/>
        <v>821080.4742</v>
      </c>
      <c r="Z142" s="14">
        <f t="shared" si="58"/>
        <v>0.98999899989999</v>
      </c>
      <c r="AA142" t="s">
        <v>1565</v>
      </c>
      <c r="AB142" t="str">
        <f t="shared" si="55"/>
        <v>Q4-2024</v>
      </c>
      <c r="AC142" t="str">
        <f t="shared" si="56"/>
        <v>Europe → Germany → Berlin</v>
      </c>
      <c r="AD142" t="str">
        <f t="shared" si="57"/>
        <v>Devices</v>
      </c>
      <c r="AE142" s="8" t="str">
        <f t="shared" si="44"/>
        <v>High</v>
      </c>
      <c r="AF142" t="str">
        <f t="shared" si="59"/>
        <v>GERMANY</v>
      </c>
      <c r="AG142" s="7">
        <v>44948</v>
      </c>
      <c r="AH142" t="str">
        <f t="shared" si="60"/>
        <v>Jan-2023</v>
      </c>
      <c r="AI142" s="9">
        <f t="shared" si="61"/>
        <v>45657</v>
      </c>
      <c r="AJ142">
        <f t="shared" si="65"/>
        <v>0</v>
      </c>
      <c r="AK142">
        <f t="shared" si="62"/>
        <v>0</v>
      </c>
      <c r="AL142" s="17">
        <f>MIN(N142,'Scenario Modelling'!$B$2)</f>
        <v>0.01</v>
      </c>
      <c r="AM142" s="10">
        <f>L142*(1+'Scenario Modelling'!$B$3)</f>
        <v>577.0815</v>
      </c>
      <c r="AN142">
        <f>O142*(1+'Scenario Modelling'!$B$4)</f>
        <v>10.8</v>
      </c>
      <c r="AO142" s="28">
        <f t="shared" si="63"/>
        <v>9853.96104</v>
      </c>
      <c r="AP142" s="10">
        <f t="shared" si="64"/>
        <v>3621.48084</v>
      </c>
    </row>
    <row r="143" spans="1:42">
      <c r="A143" t="s">
        <v>547</v>
      </c>
      <c r="B143" s="7">
        <v>45133</v>
      </c>
      <c r="C143" s="7">
        <v>45163</v>
      </c>
      <c r="D143" t="s">
        <v>213</v>
      </c>
      <c r="E143" t="s">
        <v>283</v>
      </c>
      <c r="F143" t="s">
        <v>548</v>
      </c>
      <c r="G143" t="s">
        <v>209</v>
      </c>
      <c r="H143" t="s">
        <v>181</v>
      </c>
      <c r="I143" t="s">
        <v>271</v>
      </c>
      <c r="J143" t="s">
        <v>242</v>
      </c>
      <c r="K143" t="s">
        <v>549</v>
      </c>
      <c r="L143" s="10">
        <v>1261.48</v>
      </c>
      <c r="M143" s="10">
        <v>1643.18</v>
      </c>
      <c r="N143" s="17">
        <v>0.151</v>
      </c>
      <c r="O143">
        <v>23</v>
      </c>
      <c r="P143" t="str">
        <f t="shared" si="45"/>
        <v>Valid</v>
      </c>
      <c r="Q143" s="10">
        <f t="shared" si="46"/>
        <v>1643.18</v>
      </c>
      <c r="R143" t="b">
        <f t="shared" si="47"/>
        <v>0</v>
      </c>
      <c r="S143" s="17">
        <f t="shared" si="48"/>
        <v>0.151</v>
      </c>
      <c r="T143">
        <f t="shared" si="49"/>
        <v>30</v>
      </c>
      <c r="U143" s="26">
        <f t="shared" si="50"/>
        <v>45163</v>
      </c>
      <c r="V143">
        <f t="shared" si="51"/>
        <v>30</v>
      </c>
      <c r="W143" s="10">
        <f t="shared" si="52"/>
        <v>3773607.23586</v>
      </c>
      <c r="X143" s="10">
        <f t="shared" si="53"/>
        <v>37793.14</v>
      </c>
      <c r="Y143" s="10">
        <f t="shared" si="54"/>
        <v>3735814.09586</v>
      </c>
      <c r="Z143" s="14">
        <f t="shared" si="58"/>
        <v>0.989984877164518</v>
      </c>
      <c r="AA143" t="s">
        <v>1584</v>
      </c>
      <c r="AB143" t="str">
        <f t="shared" si="55"/>
        <v>Q3-2023</v>
      </c>
      <c r="AC143" t="str">
        <f t="shared" si="56"/>
        <v>Americas → USA → New York</v>
      </c>
      <c r="AD143" t="str">
        <f t="shared" si="57"/>
        <v>Support</v>
      </c>
      <c r="AE143" s="8" t="str">
        <f t="shared" si="44"/>
        <v>Low</v>
      </c>
      <c r="AF143" t="str">
        <f t="shared" si="59"/>
        <v>USA</v>
      </c>
      <c r="AG143" s="7">
        <v>44939</v>
      </c>
      <c r="AH143" t="str">
        <f t="shared" si="60"/>
        <v>Jan-2023</v>
      </c>
      <c r="AI143" s="9">
        <f t="shared" si="61"/>
        <v>45138</v>
      </c>
      <c r="AJ143">
        <f t="shared" si="65"/>
        <v>0</v>
      </c>
      <c r="AK143">
        <f t="shared" si="62"/>
        <v>0</v>
      </c>
      <c r="AL143" s="17">
        <f>MIN(N143,'Scenario Modelling'!$B$2)</f>
        <v>0.151</v>
      </c>
      <c r="AM143" s="10">
        <f>L143*(1+'Scenario Modelling'!$B$3)</f>
        <v>1450.702</v>
      </c>
      <c r="AN143">
        <f>O143*(1+'Scenario Modelling'!$B$4)</f>
        <v>27.6</v>
      </c>
      <c r="AO143" s="28">
        <f t="shared" si="63"/>
        <v>38503.651032</v>
      </c>
      <c r="AP143" s="10">
        <f t="shared" si="64"/>
        <v>-1535.724168</v>
      </c>
    </row>
    <row r="144" spans="1:42">
      <c r="A144" t="s">
        <v>550</v>
      </c>
      <c r="B144" s="7">
        <v>45458</v>
      </c>
      <c r="C144" s="7">
        <v>45479</v>
      </c>
      <c r="D144" t="s">
        <v>213</v>
      </c>
      <c r="E144" t="s">
        <v>214</v>
      </c>
      <c r="F144" t="s">
        <v>215</v>
      </c>
      <c r="G144" t="s">
        <v>266</v>
      </c>
      <c r="H144" t="s">
        <v>216</v>
      </c>
      <c r="I144" t="s">
        <v>210</v>
      </c>
      <c r="J144" t="s">
        <v>191</v>
      </c>
      <c r="K144" t="s">
        <v>551</v>
      </c>
      <c r="L144" s="10">
        <v>817.23</v>
      </c>
      <c r="M144" s="10">
        <v>1467.17</v>
      </c>
      <c r="N144" s="17">
        <v>0.245</v>
      </c>
      <c r="O144">
        <v>9</v>
      </c>
      <c r="P144" t="str">
        <f t="shared" si="45"/>
        <v>Valid</v>
      </c>
      <c r="Q144" s="10">
        <f t="shared" si="46"/>
        <v>1467.17</v>
      </c>
      <c r="R144" t="b">
        <f t="shared" si="47"/>
        <v>0</v>
      </c>
      <c r="S144" s="17">
        <f t="shared" si="48"/>
        <v>0.245</v>
      </c>
      <c r="T144">
        <f t="shared" si="49"/>
        <v>21</v>
      </c>
      <c r="U144" s="26">
        <f t="shared" si="50"/>
        <v>45479</v>
      </c>
      <c r="V144">
        <f t="shared" si="51"/>
        <v>21</v>
      </c>
      <c r="W144" s="10">
        <f t="shared" si="52"/>
        <v>1317217.89015</v>
      </c>
      <c r="X144" s="10">
        <f t="shared" si="53"/>
        <v>13204.53</v>
      </c>
      <c r="Y144" s="10">
        <f t="shared" si="54"/>
        <v>1304013.36015</v>
      </c>
      <c r="Z144" s="14">
        <f t="shared" si="58"/>
        <v>0.989975439827578</v>
      </c>
      <c r="AA144" t="s">
        <v>1576</v>
      </c>
      <c r="AB144" t="str">
        <f t="shared" si="55"/>
        <v>Q2-2024</v>
      </c>
      <c r="AC144" t="str">
        <f t="shared" si="56"/>
        <v>Americas → Canada → Toronto</v>
      </c>
      <c r="AD144" t="str">
        <f t="shared" si="57"/>
        <v>Peripherals</v>
      </c>
      <c r="AE144" s="8" t="str">
        <f t="shared" si="44"/>
        <v>Medium</v>
      </c>
      <c r="AF144" t="str">
        <f t="shared" si="59"/>
        <v>CANADA</v>
      </c>
      <c r="AG144" s="7">
        <v>44928</v>
      </c>
      <c r="AH144" t="str">
        <f t="shared" si="60"/>
        <v>Jan-2023</v>
      </c>
      <c r="AI144" s="9">
        <f t="shared" si="61"/>
        <v>45473</v>
      </c>
      <c r="AJ144">
        <f t="shared" si="65"/>
        <v>0</v>
      </c>
      <c r="AK144">
        <f t="shared" si="62"/>
        <v>1</v>
      </c>
      <c r="AL144" s="17">
        <f>MIN(N144,'Scenario Modelling'!$B$2)</f>
        <v>0.245</v>
      </c>
      <c r="AM144" s="10">
        <f>L144*(1+'Scenario Modelling'!$B$3)</f>
        <v>939.8145</v>
      </c>
      <c r="AN144">
        <f>O144*(1+'Scenario Modelling'!$B$4)</f>
        <v>10.8</v>
      </c>
      <c r="AO144" s="28">
        <f t="shared" si="63"/>
        <v>11963.30418</v>
      </c>
      <c r="AP144" s="10">
        <f t="shared" si="64"/>
        <v>1813.30758</v>
      </c>
    </row>
    <row r="145" spans="1:42">
      <c r="A145" t="s">
        <v>552</v>
      </c>
      <c r="B145" s="7">
        <v>45112</v>
      </c>
      <c r="C145" s="7">
        <v>45121</v>
      </c>
      <c r="D145" t="s">
        <v>213</v>
      </c>
      <c r="E145" t="s">
        <v>234</v>
      </c>
      <c r="F145" t="s">
        <v>248</v>
      </c>
      <c r="G145" t="s">
        <v>266</v>
      </c>
      <c r="H145" t="s">
        <v>259</v>
      </c>
      <c r="I145" t="s">
        <v>217</v>
      </c>
      <c r="J145" t="s">
        <v>196</v>
      </c>
      <c r="K145" t="s">
        <v>553</v>
      </c>
      <c r="L145" s="10">
        <v>578.85</v>
      </c>
      <c r="M145" s="10">
        <v>998.76</v>
      </c>
      <c r="N145" s="17">
        <v>0.082</v>
      </c>
      <c r="O145">
        <v>28</v>
      </c>
      <c r="P145" t="str">
        <f t="shared" si="45"/>
        <v>Valid</v>
      </c>
      <c r="Q145" s="10">
        <f t="shared" si="46"/>
        <v>998.76</v>
      </c>
      <c r="R145" t="b">
        <f t="shared" si="47"/>
        <v>0</v>
      </c>
      <c r="S145" s="17">
        <f t="shared" si="48"/>
        <v>0.082</v>
      </c>
      <c r="T145">
        <f t="shared" si="49"/>
        <v>9</v>
      </c>
      <c r="U145" s="26">
        <f t="shared" si="50"/>
        <v>45121</v>
      </c>
      <c r="V145">
        <f t="shared" si="51"/>
        <v>9</v>
      </c>
      <c r="W145" s="10">
        <f t="shared" si="52"/>
        <v>2794234.84704</v>
      </c>
      <c r="X145" s="10">
        <f t="shared" si="53"/>
        <v>27965.28</v>
      </c>
      <c r="Y145" s="10">
        <f t="shared" si="54"/>
        <v>2766269.56704</v>
      </c>
      <c r="Z145" s="14">
        <f t="shared" si="58"/>
        <v>0.989991793270482</v>
      </c>
      <c r="AA145" t="s">
        <v>1584</v>
      </c>
      <c r="AB145" t="str">
        <f t="shared" si="55"/>
        <v>Q3-2023</v>
      </c>
      <c r="AC145" t="str">
        <f t="shared" si="56"/>
        <v>Americas → Brazil → Brasília</v>
      </c>
      <c r="AD145" t="str">
        <f t="shared" si="57"/>
        <v>Support</v>
      </c>
      <c r="AE145" s="8" t="str">
        <f t="shared" si="44"/>
        <v>Low</v>
      </c>
      <c r="AF145" t="str">
        <f t="shared" si="59"/>
        <v>BRAZIL</v>
      </c>
      <c r="AG145" s="7">
        <v>44955</v>
      </c>
      <c r="AH145" t="str">
        <f t="shared" si="60"/>
        <v>Jan-2023</v>
      </c>
      <c r="AI145" s="9">
        <f t="shared" si="61"/>
        <v>45138</v>
      </c>
      <c r="AJ145">
        <f t="shared" si="65"/>
        <v>0</v>
      </c>
      <c r="AK145">
        <f t="shared" si="62"/>
        <v>0</v>
      </c>
      <c r="AL145" s="17">
        <f>MIN(N145,'Scenario Modelling'!$B$2)</f>
        <v>0.082</v>
      </c>
      <c r="AM145" s="10">
        <f>L145*(1+'Scenario Modelling'!$B$3)</f>
        <v>665.6775</v>
      </c>
      <c r="AN145">
        <f>O145*(1+'Scenario Modelling'!$B$4)</f>
        <v>33.6</v>
      </c>
      <c r="AO145" s="28">
        <f t="shared" si="63"/>
        <v>30806.552448</v>
      </c>
      <c r="AP145" s="10">
        <f t="shared" si="64"/>
        <v>8439.788448</v>
      </c>
    </row>
    <row r="146" spans="1:42">
      <c r="A146" t="s">
        <v>554</v>
      </c>
      <c r="B146" s="7">
        <v>45260</v>
      </c>
      <c r="C146" s="7">
        <v>45259</v>
      </c>
      <c r="D146" t="s">
        <v>177</v>
      </c>
      <c r="E146" t="s">
        <v>309</v>
      </c>
      <c r="F146" t="s">
        <v>333</v>
      </c>
      <c r="G146" t="s">
        <v>223</v>
      </c>
      <c r="H146" t="s">
        <v>201</v>
      </c>
      <c r="I146" t="s">
        <v>224</v>
      </c>
      <c r="J146" t="s">
        <v>218</v>
      </c>
      <c r="K146" t="s">
        <v>555</v>
      </c>
      <c r="L146" s="10">
        <v>275.56</v>
      </c>
      <c r="M146" s="10">
        <v>630.72</v>
      </c>
      <c r="N146" s="17">
        <v>0.107</v>
      </c>
      <c r="O146">
        <v>23</v>
      </c>
      <c r="P146" t="str">
        <f t="shared" si="45"/>
        <v>Valid</v>
      </c>
      <c r="Q146" s="10">
        <f t="shared" si="46"/>
        <v>630.72</v>
      </c>
      <c r="R146" t="b">
        <f t="shared" si="47"/>
        <v>0</v>
      </c>
      <c r="S146" s="17">
        <f t="shared" si="48"/>
        <v>0.107</v>
      </c>
      <c r="T146">
        <f t="shared" si="49"/>
        <v>-1</v>
      </c>
      <c r="U146" s="26">
        <f t="shared" si="50"/>
        <v>45267</v>
      </c>
      <c r="V146">
        <f t="shared" si="51"/>
        <v>7</v>
      </c>
      <c r="W146" s="10">
        <f t="shared" si="52"/>
        <v>1449103.79808</v>
      </c>
      <c r="X146" s="10">
        <f t="shared" si="53"/>
        <v>14506.56</v>
      </c>
      <c r="Y146" s="10">
        <f t="shared" si="54"/>
        <v>1434597.23808</v>
      </c>
      <c r="Z146" s="14">
        <f t="shared" si="58"/>
        <v>0.989989288538736</v>
      </c>
      <c r="AA146" t="s">
        <v>1593</v>
      </c>
      <c r="AB146" t="str">
        <f t="shared" si="55"/>
        <v>Q4-2023</v>
      </c>
      <c r="AC146" t="str">
        <f t="shared" si="56"/>
        <v>Africa → South Africa → Durban</v>
      </c>
      <c r="AD146" t="str">
        <f t="shared" si="57"/>
        <v>Devices</v>
      </c>
      <c r="AE146" s="8" t="str">
        <f t="shared" si="44"/>
        <v>Low</v>
      </c>
      <c r="AF146" t="str">
        <f t="shared" si="59"/>
        <v>SOUTH AFRICA</v>
      </c>
      <c r="AG146" s="7">
        <v>44933</v>
      </c>
      <c r="AH146" t="str">
        <f t="shared" si="60"/>
        <v>Jan-2023</v>
      </c>
      <c r="AI146" s="9">
        <f t="shared" si="61"/>
        <v>45260</v>
      </c>
      <c r="AJ146">
        <f t="shared" si="65"/>
        <v>1</v>
      </c>
      <c r="AK146">
        <f t="shared" si="62"/>
        <v>0</v>
      </c>
      <c r="AL146" s="17">
        <f>MIN(N146,'Scenario Modelling'!$B$2)</f>
        <v>0.107</v>
      </c>
      <c r="AM146" s="10">
        <f>L146*(1+'Scenario Modelling'!$B$3)</f>
        <v>316.894</v>
      </c>
      <c r="AN146">
        <f>O146*(1+'Scenario Modelling'!$B$4)</f>
        <v>27.6</v>
      </c>
      <c r="AO146" s="28">
        <f t="shared" si="63"/>
        <v>15545.229696</v>
      </c>
      <c r="AP146" s="10">
        <f t="shared" si="64"/>
        <v>6798.955296</v>
      </c>
    </row>
    <row r="147" spans="1:42">
      <c r="A147" t="s">
        <v>556</v>
      </c>
      <c r="B147" s="7">
        <v>45911</v>
      </c>
      <c r="C147" s="7">
        <v>45928</v>
      </c>
      <c r="D147" t="s">
        <v>177</v>
      </c>
      <c r="E147" t="s">
        <v>178</v>
      </c>
      <c r="F147" t="s">
        <v>194</v>
      </c>
      <c r="G147" t="s">
        <v>200</v>
      </c>
      <c r="H147" t="s">
        <v>216</v>
      </c>
      <c r="I147" t="s">
        <v>190</v>
      </c>
      <c r="J147" t="s">
        <v>218</v>
      </c>
      <c r="K147" t="s">
        <v>557</v>
      </c>
      <c r="L147" s="10">
        <v>891.46</v>
      </c>
      <c r="M147" s="10">
        <v>728.61</v>
      </c>
      <c r="N147" s="17">
        <v>0.185</v>
      </c>
      <c r="O147">
        <v>6</v>
      </c>
      <c r="P147" t="str">
        <f t="shared" si="45"/>
        <v>Valid</v>
      </c>
      <c r="Q147" s="10">
        <f t="shared" si="46"/>
        <v>728.61</v>
      </c>
      <c r="R147" t="b">
        <f t="shared" si="47"/>
        <v>0</v>
      </c>
      <c r="S147" s="17">
        <f t="shared" si="48"/>
        <v>0.185</v>
      </c>
      <c r="T147">
        <f t="shared" si="49"/>
        <v>17</v>
      </c>
      <c r="U147" s="26">
        <f t="shared" si="50"/>
        <v>45928</v>
      </c>
      <c r="V147">
        <f t="shared" si="51"/>
        <v>17</v>
      </c>
      <c r="W147" s="10">
        <f t="shared" si="52"/>
        <v>436357.2429</v>
      </c>
      <c r="X147" s="10">
        <f t="shared" si="53"/>
        <v>4371.66</v>
      </c>
      <c r="Y147" s="10">
        <f t="shared" si="54"/>
        <v>431985.5829</v>
      </c>
      <c r="Z147" s="14">
        <f t="shared" si="58"/>
        <v>0.989981465711566</v>
      </c>
      <c r="AA147" t="s">
        <v>1570</v>
      </c>
      <c r="AB147" t="str">
        <f t="shared" si="55"/>
        <v>Q3-2025</v>
      </c>
      <c r="AC147" t="str">
        <f t="shared" si="56"/>
        <v>Africa → Kenya → Nairobi</v>
      </c>
      <c r="AD147" t="str">
        <f t="shared" si="57"/>
        <v>Devices</v>
      </c>
      <c r="AE147" s="8" t="str">
        <f t="shared" si="44"/>
        <v>High</v>
      </c>
      <c r="AF147" t="str">
        <f t="shared" si="59"/>
        <v>KENYA</v>
      </c>
      <c r="AG147" s="7">
        <v>44946</v>
      </c>
      <c r="AH147" t="str">
        <f t="shared" si="60"/>
        <v>Jan-2023</v>
      </c>
      <c r="AI147" s="9">
        <f t="shared" si="61"/>
        <v>45930</v>
      </c>
      <c r="AJ147">
        <f t="shared" si="65"/>
        <v>0</v>
      </c>
      <c r="AK147">
        <f t="shared" si="62"/>
        <v>0</v>
      </c>
      <c r="AL147" s="17">
        <f>MIN(N147,'Scenario Modelling'!$B$2)</f>
        <v>0.185</v>
      </c>
      <c r="AM147" s="10">
        <f>L147*(1+'Scenario Modelling'!$B$3)</f>
        <v>1025.179</v>
      </c>
      <c r="AN147">
        <f>O147*(1+'Scenario Modelling'!$B$4)</f>
        <v>7.2</v>
      </c>
      <c r="AO147" s="28">
        <f t="shared" si="63"/>
        <v>4275.48348</v>
      </c>
      <c r="AP147" s="10">
        <f t="shared" si="64"/>
        <v>-3105.80532</v>
      </c>
    </row>
    <row r="148" spans="1:42">
      <c r="A148" t="s">
        <v>558</v>
      </c>
      <c r="B148" s="7">
        <v>45386</v>
      </c>
      <c r="C148" s="7">
        <v>45406</v>
      </c>
      <c r="D148" t="s">
        <v>239</v>
      </c>
      <c r="E148" t="s">
        <v>240</v>
      </c>
      <c r="F148" t="s">
        <v>496</v>
      </c>
      <c r="G148" t="s">
        <v>200</v>
      </c>
      <c r="H148" t="s">
        <v>259</v>
      </c>
      <c r="I148" t="s">
        <v>229</v>
      </c>
      <c r="J148" t="s">
        <v>242</v>
      </c>
      <c r="K148" t="s">
        <v>559</v>
      </c>
      <c r="L148" s="10">
        <v>683.42</v>
      </c>
      <c r="M148" s="10">
        <v>951.51</v>
      </c>
      <c r="N148" s="17">
        <v>0</v>
      </c>
      <c r="O148">
        <v>14</v>
      </c>
      <c r="P148" t="str">
        <f t="shared" si="45"/>
        <v>Valid</v>
      </c>
      <c r="Q148" s="10">
        <f t="shared" si="46"/>
        <v>951.51</v>
      </c>
      <c r="R148" t="b">
        <f t="shared" si="47"/>
        <v>0</v>
      </c>
      <c r="S148" s="17">
        <f t="shared" si="48"/>
        <v>0</v>
      </c>
      <c r="T148">
        <f t="shared" si="49"/>
        <v>20</v>
      </c>
      <c r="U148" s="26">
        <f t="shared" si="50"/>
        <v>45406</v>
      </c>
      <c r="V148">
        <f t="shared" si="51"/>
        <v>20</v>
      </c>
      <c r="W148" s="10">
        <f t="shared" si="52"/>
        <v>1332114</v>
      </c>
      <c r="X148" s="10">
        <f t="shared" si="53"/>
        <v>13321.14</v>
      </c>
      <c r="Y148" s="10">
        <f t="shared" si="54"/>
        <v>1318792.86</v>
      </c>
      <c r="Z148" s="14">
        <f t="shared" si="58"/>
        <v>0.99</v>
      </c>
      <c r="AA148" t="s">
        <v>1580</v>
      </c>
      <c r="AB148" t="str">
        <f t="shared" si="55"/>
        <v>Q2-2024</v>
      </c>
      <c r="AC148" t="str">
        <f t="shared" si="56"/>
        <v>Europe → Germany → Frankfurt</v>
      </c>
      <c r="AD148" t="str">
        <f t="shared" si="57"/>
        <v>Support</v>
      </c>
      <c r="AE148" s="8" t="str">
        <f t="shared" si="44"/>
        <v>Medium</v>
      </c>
      <c r="AF148" t="str">
        <f t="shared" si="59"/>
        <v>GERMANY</v>
      </c>
      <c r="AG148" s="7">
        <v>44948</v>
      </c>
      <c r="AH148" t="str">
        <f t="shared" si="60"/>
        <v>Jan-2023</v>
      </c>
      <c r="AI148" s="9">
        <f t="shared" si="61"/>
        <v>45412</v>
      </c>
      <c r="AJ148">
        <f t="shared" si="65"/>
        <v>0</v>
      </c>
      <c r="AK148">
        <f t="shared" si="62"/>
        <v>0</v>
      </c>
      <c r="AL148" s="17">
        <f>MIN(N148,'Scenario Modelling'!$B$2)</f>
        <v>0</v>
      </c>
      <c r="AM148" s="10">
        <f>L148*(1+'Scenario Modelling'!$B$3)</f>
        <v>785.933</v>
      </c>
      <c r="AN148">
        <f>O148*(1+'Scenario Modelling'!$B$4)</f>
        <v>16.8</v>
      </c>
      <c r="AO148" s="28">
        <f t="shared" si="63"/>
        <v>15985.368</v>
      </c>
      <c r="AP148" s="10">
        <f t="shared" si="64"/>
        <v>2781.6936</v>
      </c>
    </row>
    <row r="149" spans="1:42">
      <c r="A149" t="s">
        <v>560</v>
      </c>
      <c r="B149" s="7">
        <v>45183</v>
      </c>
      <c r="C149" s="7">
        <v>45185</v>
      </c>
      <c r="D149" t="s">
        <v>239</v>
      </c>
      <c r="E149" t="s">
        <v>251</v>
      </c>
      <c r="F149" t="s">
        <v>299</v>
      </c>
      <c r="G149" t="s">
        <v>200</v>
      </c>
      <c r="H149" t="s">
        <v>259</v>
      </c>
      <c r="I149" t="s">
        <v>217</v>
      </c>
      <c r="J149" t="s">
        <v>191</v>
      </c>
      <c r="K149" t="s">
        <v>561</v>
      </c>
      <c r="L149" s="10">
        <v>376.83</v>
      </c>
      <c r="M149" s="10">
        <v>732.88</v>
      </c>
      <c r="N149" s="17">
        <v>0.188</v>
      </c>
      <c r="O149">
        <v>25</v>
      </c>
      <c r="P149" t="str">
        <f t="shared" si="45"/>
        <v>Valid</v>
      </c>
      <c r="Q149" s="10">
        <f t="shared" si="46"/>
        <v>732.88</v>
      </c>
      <c r="R149" t="b">
        <f t="shared" si="47"/>
        <v>0</v>
      </c>
      <c r="S149" s="17">
        <f t="shared" si="48"/>
        <v>0.188</v>
      </c>
      <c r="T149">
        <f t="shared" si="49"/>
        <v>2</v>
      </c>
      <c r="U149" s="26">
        <f t="shared" si="50"/>
        <v>45185</v>
      </c>
      <c r="V149">
        <f t="shared" si="51"/>
        <v>2</v>
      </c>
      <c r="W149" s="10">
        <f t="shared" si="52"/>
        <v>1828755.464</v>
      </c>
      <c r="X149" s="10">
        <f t="shared" si="53"/>
        <v>18322</v>
      </c>
      <c r="Y149" s="10">
        <f t="shared" si="54"/>
        <v>1810433.464</v>
      </c>
      <c r="Z149" s="14">
        <f t="shared" si="58"/>
        <v>0.989981164589428</v>
      </c>
      <c r="AA149" t="s">
        <v>1588</v>
      </c>
      <c r="AB149" t="str">
        <f t="shared" si="55"/>
        <v>Q3-2023</v>
      </c>
      <c r="AC149" t="str">
        <f t="shared" si="56"/>
        <v>Europe → France → Lyon</v>
      </c>
      <c r="AD149" t="str">
        <f t="shared" si="57"/>
        <v>Peripherals</v>
      </c>
      <c r="AE149" s="8" t="str">
        <f t="shared" si="44"/>
        <v>Low</v>
      </c>
      <c r="AF149" t="str">
        <f t="shared" si="59"/>
        <v>FRANCE</v>
      </c>
      <c r="AG149" s="7">
        <v>44936</v>
      </c>
      <c r="AH149" t="str">
        <f t="shared" si="60"/>
        <v>Jan-2023</v>
      </c>
      <c r="AI149" s="9">
        <f t="shared" si="61"/>
        <v>45199</v>
      </c>
      <c r="AJ149">
        <f t="shared" si="65"/>
        <v>1</v>
      </c>
      <c r="AK149">
        <f t="shared" si="62"/>
        <v>0</v>
      </c>
      <c r="AL149" s="17">
        <f>MIN(N149,'Scenario Modelling'!$B$2)</f>
        <v>0.188</v>
      </c>
      <c r="AM149" s="10">
        <f>L149*(1+'Scenario Modelling'!$B$3)</f>
        <v>433.3545</v>
      </c>
      <c r="AN149">
        <f>O149*(1+'Scenario Modelling'!$B$4)</f>
        <v>30</v>
      </c>
      <c r="AO149" s="28">
        <f t="shared" si="63"/>
        <v>17852.9568</v>
      </c>
      <c r="AP149" s="10">
        <f t="shared" si="64"/>
        <v>4852.3218</v>
      </c>
    </row>
    <row r="150" spans="1:42">
      <c r="A150" t="s">
        <v>562</v>
      </c>
      <c r="B150" s="7">
        <v>45558</v>
      </c>
      <c r="C150" s="7">
        <v>45583</v>
      </c>
      <c r="D150" t="s">
        <v>213</v>
      </c>
      <c r="E150" t="s">
        <v>214</v>
      </c>
      <c r="F150" t="s">
        <v>340</v>
      </c>
      <c r="G150" t="s">
        <v>223</v>
      </c>
      <c r="H150" t="s">
        <v>189</v>
      </c>
      <c r="I150" t="s">
        <v>287</v>
      </c>
      <c r="J150" t="s">
        <v>203</v>
      </c>
      <c r="K150" t="s">
        <v>563</v>
      </c>
      <c r="L150" s="10">
        <v>1297</v>
      </c>
      <c r="M150" s="10">
        <v>2411.52</v>
      </c>
      <c r="N150" s="17">
        <v>0.021</v>
      </c>
      <c r="O150">
        <v>18</v>
      </c>
      <c r="P150" t="str">
        <f t="shared" si="45"/>
        <v>Valid</v>
      </c>
      <c r="Q150" s="10">
        <f t="shared" si="46"/>
        <v>2411.52</v>
      </c>
      <c r="R150" t="b">
        <f t="shared" si="47"/>
        <v>0</v>
      </c>
      <c r="S150" s="17">
        <f t="shared" si="48"/>
        <v>0.021</v>
      </c>
      <c r="T150">
        <f t="shared" si="49"/>
        <v>25</v>
      </c>
      <c r="U150" s="26">
        <f t="shared" si="50"/>
        <v>45583</v>
      </c>
      <c r="V150">
        <f t="shared" si="51"/>
        <v>25</v>
      </c>
      <c r="W150" s="10">
        <f t="shared" si="52"/>
        <v>4339824.44544</v>
      </c>
      <c r="X150" s="10">
        <f t="shared" si="53"/>
        <v>43407.36</v>
      </c>
      <c r="Y150" s="10">
        <f t="shared" si="54"/>
        <v>4296417.08544</v>
      </c>
      <c r="Z150" s="14">
        <f t="shared" si="58"/>
        <v>0.989997899558907</v>
      </c>
      <c r="AA150" t="s">
        <v>1592</v>
      </c>
      <c r="AB150" t="str">
        <f t="shared" si="55"/>
        <v>Q3-2024</v>
      </c>
      <c r="AC150" t="str">
        <f t="shared" si="56"/>
        <v>Americas → Canada → Vancouver</v>
      </c>
      <c r="AD150" t="str">
        <f t="shared" si="57"/>
        <v>Devices</v>
      </c>
      <c r="AE150" s="8" t="str">
        <f t="shared" si="44"/>
        <v>Medium</v>
      </c>
      <c r="AF150" t="str">
        <f t="shared" si="59"/>
        <v>CANADA</v>
      </c>
      <c r="AG150" s="7">
        <v>44928</v>
      </c>
      <c r="AH150" t="str">
        <f t="shared" si="60"/>
        <v>Jan-2023</v>
      </c>
      <c r="AI150" s="9">
        <f t="shared" si="61"/>
        <v>45565</v>
      </c>
      <c r="AJ150">
        <f t="shared" si="65"/>
        <v>0</v>
      </c>
      <c r="AK150">
        <f t="shared" si="62"/>
        <v>0</v>
      </c>
      <c r="AL150" s="17">
        <f>MIN(N150,'Scenario Modelling'!$B$2)</f>
        <v>0.021</v>
      </c>
      <c r="AM150" s="10">
        <f>L150*(1+'Scenario Modelling'!$B$3)</f>
        <v>1491.55</v>
      </c>
      <c r="AN150">
        <f>O150*(1+'Scenario Modelling'!$B$4)</f>
        <v>21.6</v>
      </c>
      <c r="AO150" s="28">
        <f t="shared" si="63"/>
        <v>50994.966528</v>
      </c>
      <c r="AP150" s="10">
        <f t="shared" si="64"/>
        <v>18777.486528</v>
      </c>
    </row>
    <row r="151" spans="1:42">
      <c r="A151" t="s">
        <v>564</v>
      </c>
      <c r="B151" s="7">
        <v>45763</v>
      </c>
      <c r="C151" s="7">
        <v>45793</v>
      </c>
      <c r="D151" t="s">
        <v>213</v>
      </c>
      <c r="E151" t="s">
        <v>214</v>
      </c>
      <c r="F151" t="s">
        <v>305</v>
      </c>
      <c r="G151" t="s">
        <v>266</v>
      </c>
      <c r="H151" t="s">
        <v>216</v>
      </c>
      <c r="I151" t="s">
        <v>256</v>
      </c>
      <c r="J151" t="s">
        <v>191</v>
      </c>
      <c r="K151" t="s">
        <v>565</v>
      </c>
      <c r="L151" s="10">
        <v>763.32</v>
      </c>
      <c r="M151" s="10">
        <v>568.29</v>
      </c>
      <c r="N151" s="17">
        <v>0.131</v>
      </c>
      <c r="O151">
        <v>16</v>
      </c>
      <c r="P151" t="str">
        <f t="shared" si="45"/>
        <v>Valid</v>
      </c>
      <c r="Q151" s="10">
        <f t="shared" si="46"/>
        <v>568.29</v>
      </c>
      <c r="R151" t="b">
        <f t="shared" si="47"/>
        <v>0</v>
      </c>
      <c r="S151" s="17">
        <f t="shared" si="48"/>
        <v>0.131</v>
      </c>
      <c r="T151">
        <f t="shared" si="49"/>
        <v>30</v>
      </c>
      <c r="U151" s="26">
        <f t="shared" si="50"/>
        <v>45793</v>
      </c>
      <c r="V151">
        <f t="shared" si="51"/>
        <v>30</v>
      </c>
      <c r="W151" s="10">
        <f t="shared" si="52"/>
        <v>908072.86416</v>
      </c>
      <c r="X151" s="10">
        <f t="shared" si="53"/>
        <v>9092.64</v>
      </c>
      <c r="Y151" s="10">
        <f t="shared" si="54"/>
        <v>898980.22416</v>
      </c>
      <c r="Z151" s="14">
        <f t="shared" si="58"/>
        <v>0.98998688281649</v>
      </c>
      <c r="AA151" t="s">
        <v>1578</v>
      </c>
      <c r="AB151" t="str">
        <f t="shared" si="55"/>
        <v>Q2-2025</v>
      </c>
      <c r="AC151" t="str">
        <f t="shared" si="56"/>
        <v>Americas → Canada → Montreal</v>
      </c>
      <c r="AD151" t="str">
        <f t="shared" si="57"/>
        <v>Peripherals</v>
      </c>
      <c r="AE151" s="8" t="str">
        <f t="shared" si="44"/>
        <v>High</v>
      </c>
      <c r="AF151" t="str">
        <f t="shared" si="59"/>
        <v>CANADA</v>
      </c>
      <c r="AG151" s="7">
        <v>44928</v>
      </c>
      <c r="AH151" t="str">
        <f t="shared" si="60"/>
        <v>Jan-2023</v>
      </c>
      <c r="AI151" s="9">
        <f t="shared" si="61"/>
        <v>45777</v>
      </c>
      <c r="AJ151">
        <f t="shared" si="65"/>
        <v>0</v>
      </c>
      <c r="AK151">
        <f t="shared" si="62"/>
        <v>0</v>
      </c>
      <c r="AL151" s="17">
        <f>MIN(N151,'Scenario Modelling'!$B$2)</f>
        <v>0.131</v>
      </c>
      <c r="AM151" s="10">
        <f>L151*(1+'Scenario Modelling'!$B$3)</f>
        <v>877.818</v>
      </c>
      <c r="AN151">
        <f>O151*(1+'Scenario Modelling'!$B$4)</f>
        <v>19.2</v>
      </c>
      <c r="AO151" s="28">
        <f t="shared" si="63"/>
        <v>9481.804992</v>
      </c>
      <c r="AP151" s="10">
        <f t="shared" si="64"/>
        <v>-7372.300608</v>
      </c>
    </row>
    <row r="152" spans="1:42">
      <c r="A152" t="s">
        <v>566</v>
      </c>
      <c r="B152" s="7">
        <v>45110</v>
      </c>
      <c r="C152" s="7">
        <v>45130</v>
      </c>
      <c r="D152" t="s">
        <v>177</v>
      </c>
      <c r="E152" t="s">
        <v>309</v>
      </c>
      <c r="F152" t="s">
        <v>310</v>
      </c>
      <c r="G152" t="s">
        <v>223</v>
      </c>
      <c r="H152" t="s">
        <v>216</v>
      </c>
      <c r="I152" t="s">
        <v>245</v>
      </c>
      <c r="J152" t="s">
        <v>218</v>
      </c>
      <c r="K152" t="s">
        <v>567</v>
      </c>
      <c r="L152" s="10">
        <v>1001.96</v>
      </c>
      <c r="M152" s="10">
        <v>1254.95</v>
      </c>
      <c r="N152" s="17">
        <v>0.045</v>
      </c>
      <c r="O152">
        <v>18</v>
      </c>
      <c r="P152" t="str">
        <f t="shared" si="45"/>
        <v>Valid</v>
      </c>
      <c r="Q152" s="10">
        <f t="shared" si="46"/>
        <v>1254.95</v>
      </c>
      <c r="R152" t="b">
        <f t="shared" si="47"/>
        <v>0</v>
      </c>
      <c r="S152" s="17">
        <f t="shared" si="48"/>
        <v>0.045</v>
      </c>
      <c r="T152">
        <f t="shared" si="49"/>
        <v>20</v>
      </c>
      <c r="U152" s="26">
        <f t="shared" si="50"/>
        <v>45130</v>
      </c>
      <c r="V152">
        <f t="shared" si="51"/>
        <v>20</v>
      </c>
      <c r="W152" s="10">
        <f t="shared" si="52"/>
        <v>2257893.4905</v>
      </c>
      <c r="X152" s="10">
        <f t="shared" si="53"/>
        <v>22589.1</v>
      </c>
      <c r="Y152" s="10">
        <f t="shared" si="54"/>
        <v>2235304.3905</v>
      </c>
      <c r="Z152" s="14">
        <f t="shared" si="58"/>
        <v>0.989995497974088</v>
      </c>
      <c r="AA152" t="s">
        <v>1584</v>
      </c>
      <c r="AB152" t="str">
        <f t="shared" si="55"/>
        <v>Q3-2023</v>
      </c>
      <c r="AC152" t="str">
        <f t="shared" si="56"/>
        <v>Africa → South Africa → Johannesburg</v>
      </c>
      <c r="AD152" t="str">
        <f t="shared" si="57"/>
        <v>Devices</v>
      </c>
      <c r="AE152" s="8" t="str">
        <f t="shared" si="44"/>
        <v>Low</v>
      </c>
      <c r="AF152" t="str">
        <f t="shared" si="59"/>
        <v>SOUTH AFRICA</v>
      </c>
      <c r="AG152" s="7">
        <v>44933</v>
      </c>
      <c r="AH152" t="str">
        <f t="shared" si="60"/>
        <v>Jan-2023</v>
      </c>
      <c r="AI152" s="9">
        <f t="shared" si="61"/>
        <v>45138</v>
      </c>
      <c r="AJ152">
        <f t="shared" si="65"/>
        <v>0</v>
      </c>
      <c r="AK152">
        <f t="shared" si="62"/>
        <v>0</v>
      </c>
      <c r="AL152" s="17">
        <f>MIN(N152,'Scenario Modelling'!$B$2)</f>
        <v>0.045</v>
      </c>
      <c r="AM152" s="10">
        <f>L152*(1+'Scenario Modelling'!$B$3)</f>
        <v>1152.254</v>
      </c>
      <c r="AN152">
        <f>O152*(1+'Scenario Modelling'!$B$4)</f>
        <v>21.6</v>
      </c>
      <c r="AO152" s="28">
        <f t="shared" si="63"/>
        <v>25887.1086</v>
      </c>
      <c r="AP152" s="10">
        <f t="shared" si="64"/>
        <v>998.4222</v>
      </c>
    </row>
    <row r="153" spans="1:42">
      <c r="A153" t="s">
        <v>568</v>
      </c>
      <c r="B153" s="7">
        <v>45267</v>
      </c>
      <c r="C153" s="7">
        <v>45265</v>
      </c>
      <c r="D153" t="s">
        <v>206</v>
      </c>
      <c r="E153" t="s">
        <v>207</v>
      </c>
      <c r="F153" t="s">
        <v>375</v>
      </c>
      <c r="G153" t="s">
        <v>200</v>
      </c>
      <c r="H153" t="s">
        <v>201</v>
      </c>
      <c r="I153" t="s">
        <v>253</v>
      </c>
      <c r="J153" t="s">
        <v>191</v>
      </c>
      <c r="K153" t="s">
        <v>569</v>
      </c>
      <c r="L153" s="10">
        <v>1097.59</v>
      </c>
      <c r="M153" s="10">
        <v>845.55</v>
      </c>
      <c r="N153" s="17">
        <v>0.184</v>
      </c>
      <c r="O153">
        <v>6</v>
      </c>
      <c r="P153" t="str">
        <f t="shared" si="45"/>
        <v>Valid</v>
      </c>
      <c r="Q153" s="10">
        <f t="shared" si="46"/>
        <v>845.55</v>
      </c>
      <c r="R153" t="b">
        <f t="shared" si="47"/>
        <v>0</v>
      </c>
      <c r="S153" s="17">
        <f t="shared" si="48"/>
        <v>0.184</v>
      </c>
      <c r="T153">
        <f t="shared" si="49"/>
        <v>-2</v>
      </c>
      <c r="U153" s="26">
        <f t="shared" si="50"/>
        <v>45274</v>
      </c>
      <c r="V153">
        <f t="shared" si="51"/>
        <v>7</v>
      </c>
      <c r="W153" s="10">
        <f t="shared" si="52"/>
        <v>506396.5128</v>
      </c>
      <c r="X153" s="10">
        <f t="shared" si="53"/>
        <v>5073.3</v>
      </c>
      <c r="Y153" s="10">
        <f t="shared" si="54"/>
        <v>501323.2128</v>
      </c>
      <c r="Z153" s="14">
        <f t="shared" si="58"/>
        <v>0.98998156608159</v>
      </c>
      <c r="AA153" t="s">
        <v>1587</v>
      </c>
      <c r="AB153" t="str">
        <f t="shared" si="55"/>
        <v>Q4-2023</v>
      </c>
      <c r="AC153" t="str">
        <f t="shared" si="56"/>
        <v>Asia → Japan → Tokyo</v>
      </c>
      <c r="AD153" t="str">
        <f t="shared" si="57"/>
        <v>Peripherals</v>
      </c>
      <c r="AE153" s="8" t="str">
        <f t="shared" si="44"/>
        <v>Medium</v>
      </c>
      <c r="AF153" t="str">
        <f t="shared" si="59"/>
        <v>JAPAN</v>
      </c>
      <c r="AG153" s="7">
        <v>44988</v>
      </c>
      <c r="AH153" t="str">
        <f t="shared" si="60"/>
        <v>Mar-2023</v>
      </c>
      <c r="AI153" s="9">
        <f t="shared" si="61"/>
        <v>45291</v>
      </c>
      <c r="AJ153">
        <f t="shared" si="65"/>
        <v>1</v>
      </c>
      <c r="AK153">
        <f t="shared" si="62"/>
        <v>0</v>
      </c>
      <c r="AL153" s="17">
        <f>MIN(N153,'Scenario Modelling'!$B$2)</f>
        <v>0.184</v>
      </c>
      <c r="AM153" s="10">
        <f>L153*(1+'Scenario Modelling'!$B$3)</f>
        <v>1262.2285</v>
      </c>
      <c r="AN153">
        <f>O153*(1+'Scenario Modelling'!$B$4)</f>
        <v>7.2</v>
      </c>
      <c r="AO153" s="28">
        <f t="shared" si="63"/>
        <v>4967.77536</v>
      </c>
      <c r="AP153" s="10">
        <f t="shared" si="64"/>
        <v>-4120.26984</v>
      </c>
    </row>
    <row r="154" spans="1:42">
      <c r="A154" t="s">
        <v>570</v>
      </c>
      <c r="B154" s="7">
        <v>45340</v>
      </c>
      <c r="C154" s="7">
        <v>45355</v>
      </c>
      <c r="D154" t="s">
        <v>177</v>
      </c>
      <c r="E154" t="s">
        <v>178</v>
      </c>
      <c r="F154" t="s">
        <v>179</v>
      </c>
      <c r="G154" t="s">
        <v>188</v>
      </c>
      <c r="H154" t="s">
        <v>259</v>
      </c>
      <c r="I154" t="s">
        <v>256</v>
      </c>
      <c r="J154" t="s">
        <v>191</v>
      </c>
      <c r="K154" t="s">
        <v>571</v>
      </c>
      <c r="L154" s="10">
        <v>928.68</v>
      </c>
      <c r="M154" s="10">
        <v>2145.17</v>
      </c>
      <c r="N154" s="17">
        <v>0.136</v>
      </c>
      <c r="O154">
        <v>16</v>
      </c>
      <c r="P154" t="str">
        <f t="shared" si="45"/>
        <v>Valid</v>
      </c>
      <c r="Q154" s="10">
        <f t="shared" si="46"/>
        <v>2145.17</v>
      </c>
      <c r="R154" t="b">
        <f t="shared" si="47"/>
        <v>0</v>
      </c>
      <c r="S154" s="17">
        <f t="shared" si="48"/>
        <v>0.136</v>
      </c>
      <c r="T154">
        <f t="shared" si="49"/>
        <v>15</v>
      </c>
      <c r="U154" s="26">
        <f t="shared" si="50"/>
        <v>45355</v>
      </c>
      <c r="V154">
        <f t="shared" si="51"/>
        <v>15</v>
      </c>
      <c r="W154" s="10">
        <f t="shared" si="52"/>
        <v>3427604.11008</v>
      </c>
      <c r="X154" s="10">
        <f t="shared" si="53"/>
        <v>34322.72</v>
      </c>
      <c r="Y154" s="10">
        <f t="shared" si="54"/>
        <v>3393281.39008</v>
      </c>
      <c r="Z154" s="14">
        <f t="shared" si="58"/>
        <v>0.989986381478811</v>
      </c>
      <c r="AA154" t="s">
        <v>1594</v>
      </c>
      <c r="AB154" t="str">
        <f t="shared" si="55"/>
        <v>Q1-2024</v>
      </c>
      <c r="AC154" t="str">
        <f t="shared" si="56"/>
        <v>Africa → Kenya → Kisumu</v>
      </c>
      <c r="AD154" t="str">
        <f t="shared" si="57"/>
        <v>Peripherals</v>
      </c>
      <c r="AE154" s="8" t="str">
        <f t="shared" si="44"/>
        <v>Medium</v>
      </c>
      <c r="AF154" t="str">
        <f t="shared" si="59"/>
        <v>KENYA</v>
      </c>
      <c r="AG154" s="7">
        <v>44946</v>
      </c>
      <c r="AH154" t="str">
        <f t="shared" si="60"/>
        <v>Jan-2023</v>
      </c>
      <c r="AI154" s="9">
        <f t="shared" si="61"/>
        <v>45351</v>
      </c>
      <c r="AJ154">
        <f t="shared" si="65"/>
        <v>0</v>
      </c>
      <c r="AK154">
        <f t="shared" si="62"/>
        <v>0</v>
      </c>
      <c r="AL154" s="17">
        <f>MIN(N154,'Scenario Modelling'!$B$2)</f>
        <v>0.136</v>
      </c>
      <c r="AM154" s="10">
        <f>L154*(1+'Scenario Modelling'!$B$3)</f>
        <v>1067.982</v>
      </c>
      <c r="AN154">
        <f>O154*(1+'Scenario Modelling'!$B$4)</f>
        <v>19.2</v>
      </c>
      <c r="AO154" s="28">
        <f t="shared" si="63"/>
        <v>35585.796096</v>
      </c>
      <c r="AP154" s="10">
        <f t="shared" si="64"/>
        <v>15080.541696</v>
      </c>
    </row>
    <row r="155" spans="1:42">
      <c r="A155" t="s">
        <v>572</v>
      </c>
      <c r="B155" s="7">
        <v>45230</v>
      </c>
      <c r="C155" s="7">
        <v>45232</v>
      </c>
      <c r="D155" t="s">
        <v>177</v>
      </c>
      <c r="E155" t="s">
        <v>178</v>
      </c>
      <c r="F155" t="s">
        <v>179</v>
      </c>
      <c r="G155" t="s">
        <v>188</v>
      </c>
      <c r="H155" t="s">
        <v>181</v>
      </c>
      <c r="I155" t="s">
        <v>229</v>
      </c>
      <c r="J155" t="s">
        <v>242</v>
      </c>
      <c r="K155" t="s">
        <v>573</v>
      </c>
      <c r="L155" s="10">
        <v>867.89</v>
      </c>
      <c r="M155" s="10">
        <v>1349.94</v>
      </c>
      <c r="N155" s="17">
        <v>0.184</v>
      </c>
      <c r="O155">
        <v>10</v>
      </c>
      <c r="P155" t="str">
        <f t="shared" si="45"/>
        <v>Valid</v>
      </c>
      <c r="Q155" s="10">
        <f t="shared" si="46"/>
        <v>1349.94</v>
      </c>
      <c r="R155" t="b">
        <f t="shared" si="47"/>
        <v>0</v>
      </c>
      <c r="S155" s="17">
        <f t="shared" si="48"/>
        <v>0.184</v>
      </c>
      <c r="T155">
        <f t="shared" si="49"/>
        <v>2</v>
      </c>
      <c r="U155" s="26">
        <f t="shared" si="50"/>
        <v>45232</v>
      </c>
      <c r="V155">
        <f t="shared" si="51"/>
        <v>2</v>
      </c>
      <c r="W155" s="10">
        <f t="shared" si="52"/>
        <v>1347456.1104</v>
      </c>
      <c r="X155" s="10">
        <f t="shared" si="53"/>
        <v>13499.4</v>
      </c>
      <c r="Y155" s="10">
        <f t="shared" si="54"/>
        <v>1333956.7104</v>
      </c>
      <c r="Z155" s="14">
        <f t="shared" si="58"/>
        <v>0.98998156608159</v>
      </c>
      <c r="AA155" t="s">
        <v>1595</v>
      </c>
      <c r="AB155" t="str">
        <f t="shared" si="55"/>
        <v>Q4-2023</v>
      </c>
      <c r="AC155" t="str">
        <f t="shared" si="56"/>
        <v>Africa → Kenya → Kisumu</v>
      </c>
      <c r="AD155" t="str">
        <f t="shared" si="57"/>
        <v>Support</v>
      </c>
      <c r="AE155" s="8" t="str">
        <f t="shared" si="44"/>
        <v>Low</v>
      </c>
      <c r="AF155" t="str">
        <f t="shared" si="59"/>
        <v>KENYA</v>
      </c>
      <c r="AG155" s="7">
        <v>44946</v>
      </c>
      <c r="AH155" t="str">
        <f t="shared" si="60"/>
        <v>Jan-2023</v>
      </c>
      <c r="AI155" s="9">
        <f t="shared" si="61"/>
        <v>45230</v>
      </c>
      <c r="AJ155">
        <f t="shared" si="65"/>
        <v>1</v>
      </c>
      <c r="AK155">
        <f t="shared" si="62"/>
        <v>0</v>
      </c>
      <c r="AL155" s="17">
        <f>MIN(N155,'Scenario Modelling'!$B$2)</f>
        <v>0.184</v>
      </c>
      <c r="AM155" s="10">
        <f>L155*(1+'Scenario Modelling'!$B$3)</f>
        <v>998.0735</v>
      </c>
      <c r="AN155">
        <f>O155*(1+'Scenario Modelling'!$B$4)</f>
        <v>12</v>
      </c>
      <c r="AO155" s="28">
        <f t="shared" si="63"/>
        <v>13218.61248</v>
      </c>
      <c r="AP155" s="10">
        <f t="shared" si="64"/>
        <v>1241.73048</v>
      </c>
    </row>
    <row r="156" spans="1:42">
      <c r="A156" t="s">
        <v>574</v>
      </c>
      <c r="B156" s="7">
        <v>45511</v>
      </c>
      <c r="C156" s="7">
        <v>45521</v>
      </c>
      <c r="D156" t="s">
        <v>206</v>
      </c>
      <c r="E156" t="s">
        <v>207</v>
      </c>
      <c r="F156" t="s">
        <v>208</v>
      </c>
      <c r="G156" t="s">
        <v>209</v>
      </c>
      <c r="H156" t="s">
        <v>189</v>
      </c>
      <c r="I156" t="s">
        <v>256</v>
      </c>
      <c r="J156" t="s">
        <v>196</v>
      </c>
      <c r="K156" t="s">
        <v>575</v>
      </c>
      <c r="L156" s="10">
        <v>436.58</v>
      </c>
      <c r="M156" s="10">
        <v>527.48</v>
      </c>
      <c r="N156" s="17">
        <v>0.111</v>
      </c>
      <c r="O156">
        <v>19</v>
      </c>
      <c r="P156" t="str">
        <f t="shared" si="45"/>
        <v>Valid</v>
      </c>
      <c r="Q156" s="10">
        <f t="shared" si="46"/>
        <v>527.48</v>
      </c>
      <c r="R156" t="b">
        <f t="shared" si="47"/>
        <v>0</v>
      </c>
      <c r="S156" s="17">
        <f t="shared" si="48"/>
        <v>0.111</v>
      </c>
      <c r="T156">
        <f t="shared" si="49"/>
        <v>10</v>
      </c>
      <c r="U156" s="26">
        <f t="shared" si="50"/>
        <v>45521</v>
      </c>
      <c r="V156">
        <f t="shared" si="51"/>
        <v>10</v>
      </c>
      <c r="W156" s="10">
        <f t="shared" si="52"/>
        <v>1001099.54468</v>
      </c>
      <c r="X156" s="10">
        <f t="shared" si="53"/>
        <v>10022.12</v>
      </c>
      <c r="Y156" s="10">
        <f t="shared" si="54"/>
        <v>991077.42468</v>
      </c>
      <c r="Z156" s="14">
        <f t="shared" si="58"/>
        <v>0.989988887665308</v>
      </c>
      <c r="AA156" t="s">
        <v>1581</v>
      </c>
      <c r="AB156" t="str">
        <f t="shared" si="55"/>
        <v>Q3-2024</v>
      </c>
      <c r="AC156" t="str">
        <f t="shared" si="56"/>
        <v>Asia → Japan → Osaka</v>
      </c>
      <c r="AD156" t="str">
        <f t="shared" si="57"/>
        <v>Support</v>
      </c>
      <c r="AE156" s="8" t="str">
        <f t="shared" si="44"/>
        <v>Medium</v>
      </c>
      <c r="AF156" t="str">
        <f t="shared" si="59"/>
        <v>JAPAN</v>
      </c>
      <c r="AG156" s="7">
        <v>44988</v>
      </c>
      <c r="AH156" t="str">
        <f t="shared" si="60"/>
        <v>Mar-2023</v>
      </c>
      <c r="AI156" s="9">
        <f t="shared" si="61"/>
        <v>45535</v>
      </c>
      <c r="AJ156">
        <f t="shared" si="65"/>
        <v>0</v>
      </c>
      <c r="AK156">
        <f t="shared" si="62"/>
        <v>0</v>
      </c>
      <c r="AL156" s="17">
        <f>MIN(N156,'Scenario Modelling'!$B$2)</f>
        <v>0.111</v>
      </c>
      <c r="AM156" s="10">
        <f>L156*(1+'Scenario Modelling'!$B$3)</f>
        <v>502.067</v>
      </c>
      <c r="AN156">
        <f>O156*(1+'Scenario Modelling'!$B$4)</f>
        <v>22.8</v>
      </c>
      <c r="AO156" s="28">
        <f t="shared" si="63"/>
        <v>10691.597616</v>
      </c>
      <c r="AP156" s="10">
        <f t="shared" si="64"/>
        <v>-755.529983999998</v>
      </c>
    </row>
    <row r="157" spans="1:42">
      <c r="A157" t="s">
        <v>576</v>
      </c>
      <c r="B157" s="7">
        <v>45323</v>
      </c>
      <c r="C157" s="7">
        <v>45343</v>
      </c>
      <c r="D157" t="s">
        <v>239</v>
      </c>
      <c r="E157" t="s">
        <v>251</v>
      </c>
      <c r="F157" t="s">
        <v>378</v>
      </c>
      <c r="G157" t="s">
        <v>223</v>
      </c>
      <c r="H157" t="s">
        <v>201</v>
      </c>
      <c r="I157" t="s">
        <v>236</v>
      </c>
      <c r="J157" t="s">
        <v>196</v>
      </c>
      <c r="K157" t="s">
        <v>577</v>
      </c>
      <c r="L157" s="10">
        <v>656.2</v>
      </c>
      <c r="M157" s="10">
        <v>1467.17</v>
      </c>
      <c r="N157" s="17">
        <v>0.018</v>
      </c>
      <c r="O157">
        <v>5</v>
      </c>
      <c r="P157" t="str">
        <f t="shared" si="45"/>
        <v>Valid</v>
      </c>
      <c r="Q157" s="10">
        <f t="shared" si="46"/>
        <v>1467.17</v>
      </c>
      <c r="R157" t="b">
        <f t="shared" si="47"/>
        <v>0</v>
      </c>
      <c r="S157" s="17">
        <f t="shared" si="48"/>
        <v>0.018</v>
      </c>
      <c r="T157">
        <f t="shared" si="49"/>
        <v>20</v>
      </c>
      <c r="U157" s="26">
        <f t="shared" si="50"/>
        <v>45343</v>
      </c>
      <c r="V157">
        <f t="shared" si="51"/>
        <v>20</v>
      </c>
      <c r="W157" s="10">
        <f t="shared" si="52"/>
        <v>733452.9547</v>
      </c>
      <c r="X157" s="10">
        <f t="shared" si="53"/>
        <v>7335.85</v>
      </c>
      <c r="Y157" s="10">
        <f t="shared" si="54"/>
        <v>726117.1047</v>
      </c>
      <c r="Z157" s="14">
        <f t="shared" si="58"/>
        <v>0.989998199675942</v>
      </c>
      <c r="AA157" t="s">
        <v>1594</v>
      </c>
      <c r="AB157" t="str">
        <f t="shared" si="55"/>
        <v>Q1-2024</v>
      </c>
      <c r="AC157" t="str">
        <f t="shared" si="56"/>
        <v>Europe → France → Paris</v>
      </c>
      <c r="AD157" t="str">
        <f t="shared" si="57"/>
        <v>Support</v>
      </c>
      <c r="AE157" s="8" t="str">
        <f t="shared" si="44"/>
        <v>Medium</v>
      </c>
      <c r="AF157" t="str">
        <f t="shared" si="59"/>
        <v>FRANCE</v>
      </c>
      <c r="AG157" s="7">
        <v>44936</v>
      </c>
      <c r="AH157" t="str">
        <f t="shared" si="60"/>
        <v>Jan-2023</v>
      </c>
      <c r="AI157" s="9">
        <f t="shared" si="61"/>
        <v>45351</v>
      </c>
      <c r="AJ157">
        <f t="shared" si="65"/>
        <v>0</v>
      </c>
      <c r="AK157">
        <f t="shared" si="62"/>
        <v>0</v>
      </c>
      <c r="AL157" s="17">
        <f>MIN(N157,'Scenario Modelling'!$B$2)</f>
        <v>0.018</v>
      </c>
      <c r="AM157" s="10">
        <f>L157*(1+'Scenario Modelling'!$B$3)</f>
        <v>754.63</v>
      </c>
      <c r="AN157">
        <f>O157*(1+'Scenario Modelling'!$B$4)</f>
        <v>6</v>
      </c>
      <c r="AO157" s="28">
        <f t="shared" si="63"/>
        <v>8644.56564</v>
      </c>
      <c r="AP157" s="10">
        <f t="shared" si="64"/>
        <v>4116.78564</v>
      </c>
    </row>
    <row r="158" spans="1:42">
      <c r="A158" t="s">
        <v>578</v>
      </c>
      <c r="B158" s="7">
        <v>45531</v>
      </c>
      <c r="C158" s="7">
        <v>45553</v>
      </c>
      <c r="D158" t="s">
        <v>206</v>
      </c>
      <c r="E158" t="s">
        <v>221</v>
      </c>
      <c r="F158" t="s">
        <v>302</v>
      </c>
      <c r="G158" t="s">
        <v>209</v>
      </c>
      <c r="H158" t="s">
        <v>259</v>
      </c>
      <c r="I158" t="s">
        <v>217</v>
      </c>
      <c r="J158" t="s">
        <v>183</v>
      </c>
      <c r="K158" t="s">
        <v>579</v>
      </c>
      <c r="L158" s="10">
        <v>896.75</v>
      </c>
      <c r="M158" s="10">
        <v>1651.14</v>
      </c>
      <c r="N158" s="17">
        <v>0.025</v>
      </c>
      <c r="O158">
        <v>15</v>
      </c>
      <c r="P158" t="str">
        <f t="shared" si="45"/>
        <v>Valid</v>
      </c>
      <c r="Q158" s="10">
        <f t="shared" si="46"/>
        <v>1651.14</v>
      </c>
      <c r="R158" t="b">
        <f t="shared" si="47"/>
        <v>0</v>
      </c>
      <c r="S158" s="17">
        <f t="shared" si="48"/>
        <v>0.025</v>
      </c>
      <c r="T158">
        <f t="shared" si="49"/>
        <v>22</v>
      </c>
      <c r="U158" s="26">
        <f t="shared" si="50"/>
        <v>45553</v>
      </c>
      <c r="V158">
        <f t="shared" si="51"/>
        <v>22</v>
      </c>
      <c r="W158" s="10">
        <f t="shared" si="52"/>
        <v>2476090.8225</v>
      </c>
      <c r="X158" s="10">
        <f t="shared" si="53"/>
        <v>24767.1</v>
      </c>
      <c r="Y158" s="10">
        <f t="shared" si="54"/>
        <v>2451323.7225</v>
      </c>
      <c r="Z158" s="14">
        <f t="shared" si="58"/>
        <v>0.989997499374844</v>
      </c>
      <c r="AA158" t="s">
        <v>1581</v>
      </c>
      <c r="AB158" t="str">
        <f t="shared" si="55"/>
        <v>Q3-2024</v>
      </c>
      <c r="AC158" t="str">
        <f t="shared" si="56"/>
        <v>Asia → India → Delhi</v>
      </c>
      <c r="AD158" t="str">
        <f t="shared" si="57"/>
        <v>Support</v>
      </c>
      <c r="AE158" s="8" t="str">
        <f t="shared" si="44"/>
        <v>Medium</v>
      </c>
      <c r="AF158" t="str">
        <f t="shared" si="59"/>
        <v>INDIA</v>
      </c>
      <c r="AG158" s="7">
        <v>44955</v>
      </c>
      <c r="AH158" t="str">
        <f t="shared" si="60"/>
        <v>Jan-2023</v>
      </c>
      <c r="AI158" s="9">
        <f t="shared" si="61"/>
        <v>45535</v>
      </c>
      <c r="AJ158">
        <f t="shared" si="65"/>
        <v>0</v>
      </c>
      <c r="AK158">
        <f t="shared" si="62"/>
        <v>0</v>
      </c>
      <c r="AL158" s="17">
        <f>MIN(N158,'Scenario Modelling'!$B$2)</f>
        <v>0.025</v>
      </c>
      <c r="AM158" s="10">
        <f>L158*(1+'Scenario Modelling'!$B$3)</f>
        <v>1031.2625</v>
      </c>
      <c r="AN158">
        <f>O158*(1+'Scenario Modelling'!$B$4)</f>
        <v>18</v>
      </c>
      <c r="AO158" s="28">
        <f t="shared" si="63"/>
        <v>28977.507</v>
      </c>
      <c r="AP158" s="10">
        <f t="shared" si="64"/>
        <v>10414.782</v>
      </c>
    </row>
    <row r="159" spans="1:42">
      <c r="A159" t="s">
        <v>580</v>
      </c>
      <c r="B159" s="7">
        <v>45703</v>
      </c>
      <c r="C159" s="7">
        <v>45703</v>
      </c>
      <c r="D159" t="s">
        <v>239</v>
      </c>
      <c r="E159" t="s">
        <v>240</v>
      </c>
      <c r="F159" t="s">
        <v>496</v>
      </c>
      <c r="G159" t="s">
        <v>223</v>
      </c>
      <c r="H159" t="s">
        <v>201</v>
      </c>
      <c r="I159" t="s">
        <v>210</v>
      </c>
      <c r="J159" t="s">
        <v>242</v>
      </c>
      <c r="K159" t="s">
        <v>581</v>
      </c>
      <c r="L159" s="10">
        <v>815.83</v>
      </c>
      <c r="M159" s="10">
        <v>1982.18</v>
      </c>
      <c r="N159" s="17">
        <v>0.127</v>
      </c>
      <c r="O159">
        <v>6</v>
      </c>
      <c r="P159" t="str">
        <f t="shared" si="45"/>
        <v>Valid</v>
      </c>
      <c r="Q159" s="10">
        <f t="shared" si="46"/>
        <v>1982.18</v>
      </c>
      <c r="R159" t="b">
        <f t="shared" si="47"/>
        <v>0</v>
      </c>
      <c r="S159" s="17">
        <f t="shared" si="48"/>
        <v>0.127</v>
      </c>
      <c r="T159">
        <f t="shared" si="49"/>
        <v>0</v>
      </c>
      <c r="U159" s="26">
        <f t="shared" si="50"/>
        <v>45703</v>
      </c>
      <c r="V159">
        <f t="shared" si="51"/>
        <v>0</v>
      </c>
      <c r="W159" s="10">
        <f t="shared" si="52"/>
        <v>1187797.57884</v>
      </c>
      <c r="X159" s="10">
        <f t="shared" si="53"/>
        <v>11893.08</v>
      </c>
      <c r="Y159" s="10">
        <f t="shared" si="54"/>
        <v>1175904.49884</v>
      </c>
      <c r="Z159" s="14">
        <f t="shared" si="58"/>
        <v>0.98998728385049</v>
      </c>
      <c r="AA159" t="s">
        <v>1586</v>
      </c>
      <c r="AB159" t="str">
        <f t="shared" si="55"/>
        <v>Q1-2025</v>
      </c>
      <c r="AC159" t="str">
        <f t="shared" si="56"/>
        <v>Europe → Germany → Frankfurt</v>
      </c>
      <c r="AD159" t="str">
        <f t="shared" si="57"/>
        <v>Support</v>
      </c>
      <c r="AE159" s="8" t="str">
        <f t="shared" si="44"/>
        <v>High</v>
      </c>
      <c r="AF159" t="str">
        <f t="shared" si="59"/>
        <v>GERMANY</v>
      </c>
      <c r="AG159" s="7">
        <v>44948</v>
      </c>
      <c r="AH159" t="str">
        <f t="shared" si="60"/>
        <v>Jan-2023</v>
      </c>
      <c r="AI159" s="9">
        <f t="shared" si="61"/>
        <v>45716</v>
      </c>
      <c r="AJ159">
        <f t="shared" si="65"/>
        <v>1</v>
      </c>
      <c r="AK159">
        <f t="shared" si="62"/>
        <v>0</v>
      </c>
      <c r="AL159" s="17">
        <f>MIN(N159,'Scenario Modelling'!$B$2)</f>
        <v>0.127</v>
      </c>
      <c r="AM159" s="10">
        <f>L159*(1+'Scenario Modelling'!$B$3)</f>
        <v>938.2045</v>
      </c>
      <c r="AN159">
        <f>O159*(1+'Scenario Modelling'!$B$4)</f>
        <v>7.2</v>
      </c>
      <c r="AO159" s="28">
        <f t="shared" si="63"/>
        <v>12459.190608</v>
      </c>
      <c r="AP159" s="10">
        <f t="shared" si="64"/>
        <v>5704.118208</v>
      </c>
    </row>
    <row r="160" spans="1:42">
      <c r="A160" t="s">
        <v>582</v>
      </c>
      <c r="B160" s="7">
        <v>45870</v>
      </c>
      <c r="C160" s="7">
        <v>45890</v>
      </c>
      <c r="D160" t="s">
        <v>206</v>
      </c>
      <c r="E160" t="s">
        <v>277</v>
      </c>
      <c r="F160" t="s">
        <v>323</v>
      </c>
      <c r="G160" t="s">
        <v>180</v>
      </c>
      <c r="H160" t="s">
        <v>259</v>
      </c>
      <c r="I160" t="s">
        <v>195</v>
      </c>
      <c r="J160" t="s">
        <v>203</v>
      </c>
      <c r="K160" t="s">
        <v>583</v>
      </c>
      <c r="L160" s="10">
        <v>1220.41</v>
      </c>
      <c r="M160" s="10">
        <v>2552.22</v>
      </c>
      <c r="N160" s="17">
        <v>0.181</v>
      </c>
      <c r="O160">
        <v>14</v>
      </c>
      <c r="P160" t="str">
        <f t="shared" si="45"/>
        <v>Valid</v>
      </c>
      <c r="Q160" s="10">
        <f t="shared" si="46"/>
        <v>2552.22</v>
      </c>
      <c r="R160" t="b">
        <f t="shared" si="47"/>
        <v>0</v>
      </c>
      <c r="S160" s="17">
        <f t="shared" si="48"/>
        <v>0.181</v>
      </c>
      <c r="T160">
        <f t="shared" si="49"/>
        <v>20</v>
      </c>
      <c r="U160" s="26">
        <f t="shared" si="50"/>
        <v>45890</v>
      </c>
      <c r="V160">
        <f t="shared" si="51"/>
        <v>20</v>
      </c>
      <c r="W160" s="10">
        <f t="shared" si="52"/>
        <v>3566640.67452</v>
      </c>
      <c r="X160" s="10">
        <f t="shared" si="53"/>
        <v>35731.08</v>
      </c>
      <c r="Y160" s="10">
        <f t="shared" si="54"/>
        <v>3530909.59452</v>
      </c>
      <c r="Z160" s="14">
        <f t="shared" si="58"/>
        <v>0.989981867179595</v>
      </c>
      <c r="AA160" t="s">
        <v>1590</v>
      </c>
      <c r="AB160" t="str">
        <f t="shared" si="55"/>
        <v>Q3-2025</v>
      </c>
      <c r="AC160" t="str">
        <f t="shared" si="56"/>
        <v>Asia → China → Shanghai</v>
      </c>
      <c r="AD160" t="str">
        <f t="shared" si="57"/>
        <v>Devices</v>
      </c>
      <c r="AE160" s="8" t="str">
        <f t="shared" si="44"/>
        <v>High</v>
      </c>
      <c r="AF160" t="str">
        <f t="shared" si="59"/>
        <v>CHINA</v>
      </c>
      <c r="AG160" s="7">
        <v>44938</v>
      </c>
      <c r="AH160" t="str">
        <f t="shared" si="60"/>
        <v>Jan-2023</v>
      </c>
      <c r="AI160" s="9">
        <f t="shared" si="61"/>
        <v>45900</v>
      </c>
      <c r="AJ160">
        <f t="shared" si="65"/>
        <v>0</v>
      </c>
      <c r="AK160">
        <f t="shared" si="62"/>
        <v>0</v>
      </c>
      <c r="AL160" s="17">
        <f>MIN(N160,'Scenario Modelling'!$B$2)</f>
        <v>0.181</v>
      </c>
      <c r="AM160" s="10">
        <f>L160*(1+'Scenario Modelling'!$B$3)</f>
        <v>1403.4715</v>
      </c>
      <c r="AN160">
        <f>O160*(1+'Scenario Modelling'!$B$4)</f>
        <v>16.8</v>
      </c>
      <c r="AO160" s="28">
        <f t="shared" si="63"/>
        <v>35116.505424</v>
      </c>
      <c r="AP160" s="10">
        <f t="shared" si="64"/>
        <v>11538.184224</v>
      </c>
    </row>
    <row r="161" spans="1:42">
      <c r="A161" t="s">
        <v>584</v>
      </c>
      <c r="B161" s="7">
        <v>44977</v>
      </c>
      <c r="C161" s="7">
        <v>44989</v>
      </c>
      <c r="D161" t="s">
        <v>206</v>
      </c>
      <c r="E161" t="s">
        <v>221</v>
      </c>
      <c r="F161" t="s">
        <v>302</v>
      </c>
      <c r="G161" t="s">
        <v>209</v>
      </c>
      <c r="H161" t="s">
        <v>216</v>
      </c>
      <c r="I161" t="s">
        <v>271</v>
      </c>
      <c r="J161" t="s">
        <v>225</v>
      </c>
      <c r="K161" t="s">
        <v>585</v>
      </c>
      <c r="L161" s="10">
        <v>299.75</v>
      </c>
      <c r="M161" s="10">
        <v>523.01</v>
      </c>
      <c r="N161" s="17">
        <v>0.157</v>
      </c>
      <c r="O161">
        <v>50</v>
      </c>
      <c r="P161" t="str">
        <f t="shared" si="45"/>
        <v>Valid</v>
      </c>
      <c r="Q161" s="10">
        <f t="shared" si="46"/>
        <v>523.01</v>
      </c>
      <c r="R161" t="b">
        <f t="shared" si="47"/>
        <v>0</v>
      </c>
      <c r="S161" s="17">
        <f t="shared" si="48"/>
        <v>0.157</v>
      </c>
      <c r="T161">
        <f t="shared" si="49"/>
        <v>12</v>
      </c>
      <c r="U161" s="26">
        <f t="shared" si="50"/>
        <v>44989</v>
      </c>
      <c r="V161">
        <f t="shared" si="51"/>
        <v>12</v>
      </c>
      <c r="W161" s="10">
        <f t="shared" si="52"/>
        <v>2610944.3715</v>
      </c>
      <c r="X161" s="10">
        <f t="shared" si="53"/>
        <v>26150.5</v>
      </c>
      <c r="Y161" s="10">
        <f t="shared" si="54"/>
        <v>2584793.8715</v>
      </c>
      <c r="Z161" s="14">
        <f t="shared" si="58"/>
        <v>0.98998427531224</v>
      </c>
      <c r="AA161" t="s">
        <v>1562</v>
      </c>
      <c r="AB161" t="str">
        <f t="shared" si="55"/>
        <v>Q1-2023</v>
      </c>
      <c r="AC161" t="str">
        <f t="shared" si="56"/>
        <v>Asia → India → Delhi</v>
      </c>
      <c r="AD161" t="str">
        <f t="shared" si="57"/>
        <v>Peripherals</v>
      </c>
      <c r="AE161" s="8" t="str">
        <f t="shared" si="44"/>
        <v>Low</v>
      </c>
      <c r="AF161" t="str">
        <f t="shared" si="59"/>
        <v>INDIA</v>
      </c>
      <c r="AG161" s="7">
        <v>44955</v>
      </c>
      <c r="AH161" t="str">
        <f t="shared" si="60"/>
        <v>Jan-2023</v>
      </c>
      <c r="AI161" s="9">
        <f t="shared" si="61"/>
        <v>44985</v>
      </c>
      <c r="AJ161">
        <f t="shared" si="65"/>
        <v>0</v>
      </c>
      <c r="AK161">
        <f t="shared" si="62"/>
        <v>0</v>
      </c>
      <c r="AL161" s="17">
        <f>MIN(N161,'Scenario Modelling'!$B$2)</f>
        <v>0.157</v>
      </c>
      <c r="AM161" s="10">
        <f>L161*(1+'Scenario Modelling'!$B$3)</f>
        <v>344.7125</v>
      </c>
      <c r="AN161">
        <f>O161*(1+'Scenario Modelling'!$B$4)</f>
        <v>60</v>
      </c>
      <c r="AO161" s="28">
        <f t="shared" si="63"/>
        <v>26453.8458</v>
      </c>
      <c r="AP161" s="10">
        <f t="shared" si="64"/>
        <v>5771.0958</v>
      </c>
    </row>
    <row r="162" spans="1:42">
      <c r="A162" t="s">
        <v>586</v>
      </c>
      <c r="B162" s="7">
        <v>45595</v>
      </c>
      <c r="C162" s="7">
        <v>45620</v>
      </c>
      <c r="D162" t="s">
        <v>206</v>
      </c>
      <c r="E162" t="s">
        <v>277</v>
      </c>
      <c r="F162" t="s">
        <v>278</v>
      </c>
      <c r="G162" t="s">
        <v>223</v>
      </c>
      <c r="H162" t="s">
        <v>189</v>
      </c>
      <c r="I162" t="s">
        <v>224</v>
      </c>
      <c r="J162" t="s">
        <v>183</v>
      </c>
      <c r="K162" t="s">
        <v>587</v>
      </c>
      <c r="L162" s="10">
        <v>811.05</v>
      </c>
      <c r="M162" s="10">
        <v>1217.71</v>
      </c>
      <c r="N162" s="17">
        <v>0.072</v>
      </c>
      <c r="O162">
        <v>5</v>
      </c>
      <c r="P162" t="str">
        <f t="shared" si="45"/>
        <v>Valid</v>
      </c>
      <c r="Q162" s="10">
        <f t="shared" si="46"/>
        <v>1217.71</v>
      </c>
      <c r="R162" t="b">
        <f t="shared" si="47"/>
        <v>0</v>
      </c>
      <c r="S162" s="17">
        <f t="shared" si="48"/>
        <v>0.072</v>
      </c>
      <c r="T162">
        <f t="shared" si="49"/>
        <v>25</v>
      </c>
      <c r="U162" s="26">
        <f t="shared" si="50"/>
        <v>45620</v>
      </c>
      <c r="V162">
        <f t="shared" si="51"/>
        <v>25</v>
      </c>
      <c r="W162" s="10">
        <f t="shared" si="52"/>
        <v>608416.6244</v>
      </c>
      <c r="X162" s="10">
        <f t="shared" si="53"/>
        <v>6088.55</v>
      </c>
      <c r="Y162" s="10">
        <f t="shared" si="54"/>
        <v>602328.0744</v>
      </c>
      <c r="Z162" s="14">
        <f t="shared" si="58"/>
        <v>0.989992794812265</v>
      </c>
      <c r="AA162" t="s">
        <v>1561</v>
      </c>
      <c r="AB162" t="str">
        <f t="shared" si="55"/>
        <v>Q4-2024</v>
      </c>
      <c r="AC162" t="str">
        <f t="shared" si="56"/>
        <v>Asia → China → Shenzhen</v>
      </c>
      <c r="AD162" t="str">
        <f t="shared" si="57"/>
        <v>Support</v>
      </c>
      <c r="AE162" s="8" t="str">
        <f t="shared" si="44"/>
        <v>High</v>
      </c>
      <c r="AF162" t="str">
        <f t="shared" si="59"/>
        <v>CHINA</v>
      </c>
      <c r="AG162" s="7">
        <v>44938</v>
      </c>
      <c r="AH162" t="str">
        <f t="shared" si="60"/>
        <v>Jan-2023</v>
      </c>
      <c r="AI162" s="9">
        <f t="shared" si="61"/>
        <v>45596</v>
      </c>
      <c r="AJ162">
        <f t="shared" si="65"/>
        <v>0</v>
      </c>
      <c r="AK162">
        <f t="shared" si="62"/>
        <v>0</v>
      </c>
      <c r="AL162" s="17">
        <f>MIN(N162,'Scenario Modelling'!$B$2)</f>
        <v>0.072</v>
      </c>
      <c r="AM162" s="10">
        <f>L162*(1+'Scenario Modelling'!$B$3)</f>
        <v>932.7075</v>
      </c>
      <c r="AN162">
        <f>O162*(1+'Scenario Modelling'!$B$4)</f>
        <v>6</v>
      </c>
      <c r="AO162" s="28">
        <f t="shared" si="63"/>
        <v>6780.20928</v>
      </c>
      <c r="AP162" s="10">
        <f t="shared" si="64"/>
        <v>1183.96428</v>
      </c>
    </row>
    <row r="163" spans="1:42">
      <c r="A163" t="s">
        <v>588</v>
      </c>
      <c r="B163" s="7">
        <v>45385</v>
      </c>
      <c r="C163" s="7">
        <v>45389</v>
      </c>
      <c r="D163" t="s">
        <v>213</v>
      </c>
      <c r="E163" t="s">
        <v>234</v>
      </c>
      <c r="F163" t="s">
        <v>248</v>
      </c>
      <c r="G163" t="s">
        <v>200</v>
      </c>
      <c r="H163" t="s">
        <v>259</v>
      </c>
      <c r="I163" t="s">
        <v>287</v>
      </c>
      <c r="J163" t="s">
        <v>203</v>
      </c>
      <c r="K163" t="s">
        <v>589</v>
      </c>
      <c r="L163" s="10">
        <v>1023.27</v>
      </c>
      <c r="M163" s="10">
        <v>1343.64</v>
      </c>
      <c r="N163" s="17">
        <v>0.133</v>
      </c>
      <c r="O163">
        <v>7</v>
      </c>
      <c r="P163" t="str">
        <f t="shared" si="45"/>
        <v>Valid</v>
      </c>
      <c r="Q163" s="10">
        <f t="shared" si="46"/>
        <v>1343.64</v>
      </c>
      <c r="R163" t="b">
        <f t="shared" si="47"/>
        <v>0</v>
      </c>
      <c r="S163" s="17">
        <f t="shared" si="48"/>
        <v>0.133</v>
      </c>
      <c r="T163">
        <f t="shared" si="49"/>
        <v>4</v>
      </c>
      <c r="U163" s="26">
        <f t="shared" si="50"/>
        <v>45389</v>
      </c>
      <c r="V163">
        <f t="shared" si="51"/>
        <v>4</v>
      </c>
      <c r="W163" s="10">
        <f t="shared" si="52"/>
        <v>939297.07116</v>
      </c>
      <c r="X163" s="10">
        <f t="shared" si="53"/>
        <v>9405.48</v>
      </c>
      <c r="Y163" s="10">
        <f t="shared" si="54"/>
        <v>929891.59116</v>
      </c>
      <c r="Z163" s="14">
        <f t="shared" si="58"/>
        <v>0.989986682287442</v>
      </c>
      <c r="AA163" t="s">
        <v>1580</v>
      </c>
      <c r="AB163" t="str">
        <f t="shared" si="55"/>
        <v>Q2-2024</v>
      </c>
      <c r="AC163" t="str">
        <f t="shared" si="56"/>
        <v>Americas → Brazil → Brasília</v>
      </c>
      <c r="AD163" t="str">
        <f t="shared" si="57"/>
        <v>Devices</v>
      </c>
      <c r="AE163" s="8" t="str">
        <f t="shared" si="44"/>
        <v>Medium</v>
      </c>
      <c r="AF163" t="str">
        <f t="shared" si="59"/>
        <v>BRAZIL</v>
      </c>
      <c r="AG163" s="7">
        <v>44955</v>
      </c>
      <c r="AH163" t="str">
        <f t="shared" si="60"/>
        <v>Jan-2023</v>
      </c>
      <c r="AI163" s="9">
        <f t="shared" si="61"/>
        <v>45412</v>
      </c>
      <c r="AJ163">
        <f t="shared" si="65"/>
        <v>1</v>
      </c>
      <c r="AK163">
        <f t="shared" si="62"/>
        <v>0</v>
      </c>
      <c r="AL163" s="17">
        <f>MIN(N163,'Scenario Modelling'!$B$2)</f>
        <v>0.133</v>
      </c>
      <c r="AM163" s="10">
        <f>L163*(1+'Scenario Modelling'!$B$3)</f>
        <v>1176.7605</v>
      </c>
      <c r="AN163">
        <f>O163*(1+'Scenario Modelling'!$B$4)</f>
        <v>8.4</v>
      </c>
      <c r="AO163" s="28">
        <f t="shared" si="63"/>
        <v>9785.461392</v>
      </c>
      <c r="AP163" s="10">
        <f t="shared" si="64"/>
        <v>-99.3268079999989</v>
      </c>
    </row>
    <row r="164" spans="1:42">
      <c r="A164" t="s">
        <v>590</v>
      </c>
      <c r="B164" s="7">
        <v>45010</v>
      </c>
      <c r="C164" s="7">
        <v>45011</v>
      </c>
      <c r="D164" t="s">
        <v>206</v>
      </c>
      <c r="E164" t="s">
        <v>207</v>
      </c>
      <c r="F164" t="s">
        <v>208</v>
      </c>
      <c r="G164" t="s">
        <v>223</v>
      </c>
      <c r="H164" t="s">
        <v>216</v>
      </c>
      <c r="I164" t="s">
        <v>195</v>
      </c>
      <c r="J164" t="s">
        <v>225</v>
      </c>
      <c r="K164" t="s">
        <v>591</v>
      </c>
      <c r="L164" s="10">
        <v>135.12</v>
      </c>
      <c r="M164" s="10">
        <v>301.7</v>
      </c>
      <c r="N164" s="17">
        <v>0.14</v>
      </c>
      <c r="O164">
        <v>47</v>
      </c>
      <c r="P164" t="str">
        <f t="shared" si="45"/>
        <v>Valid</v>
      </c>
      <c r="Q164" s="10">
        <f t="shared" si="46"/>
        <v>301.7</v>
      </c>
      <c r="R164" t="b">
        <f t="shared" si="47"/>
        <v>0</v>
      </c>
      <c r="S164" s="17">
        <f t="shared" si="48"/>
        <v>0.14</v>
      </c>
      <c r="T164">
        <f t="shared" si="49"/>
        <v>1</v>
      </c>
      <c r="U164" s="26">
        <f t="shared" si="50"/>
        <v>45011</v>
      </c>
      <c r="V164">
        <f t="shared" si="51"/>
        <v>1</v>
      </c>
      <c r="W164" s="10">
        <f t="shared" si="52"/>
        <v>1416004.814</v>
      </c>
      <c r="X164" s="10">
        <f t="shared" si="53"/>
        <v>14179.9</v>
      </c>
      <c r="Y164" s="10">
        <f t="shared" si="54"/>
        <v>1401824.914</v>
      </c>
      <c r="Z164" s="14">
        <f t="shared" si="58"/>
        <v>0.989985980372522</v>
      </c>
      <c r="AA164" t="s">
        <v>1582</v>
      </c>
      <c r="AB164" t="str">
        <f t="shared" si="55"/>
        <v>Q1-2023</v>
      </c>
      <c r="AC164" t="str">
        <f t="shared" si="56"/>
        <v>Asia → Japan → Osaka</v>
      </c>
      <c r="AD164" t="str">
        <f t="shared" si="57"/>
        <v>Peripherals</v>
      </c>
      <c r="AE164" s="8" t="str">
        <f t="shared" si="44"/>
        <v>Low</v>
      </c>
      <c r="AF164" t="str">
        <f t="shared" si="59"/>
        <v>JAPAN</v>
      </c>
      <c r="AG164" s="7">
        <v>44988</v>
      </c>
      <c r="AH164" t="str">
        <f t="shared" si="60"/>
        <v>Mar-2023</v>
      </c>
      <c r="AI164" s="9">
        <f t="shared" si="61"/>
        <v>45016</v>
      </c>
      <c r="AJ164">
        <f t="shared" si="65"/>
        <v>1</v>
      </c>
      <c r="AK164">
        <f t="shared" si="62"/>
        <v>0</v>
      </c>
      <c r="AL164" s="17">
        <f>MIN(N164,'Scenario Modelling'!$B$2)</f>
        <v>0.14</v>
      </c>
      <c r="AM164" s="10">
        <f>L164*(1+'Scenario Modelling'!$B$3)</f>
        <v>155.388</v>
      </c>
      <c r="AN164">
        <f>O164*(1+'Scenario Modelling'!$B$4)</f>
        <v>56.4</v>
      </c>
      <c r="AO164" s="28">
        <f t="shared" si="63"/>
        <v>14633.6568</v>
      </c>
      <c r="AP164" s="10">
        <f t="shared" si="64"/>
        <v>5869.7736</v>
      </c>
    </row>
    <row r="165" spans="1:42">
      <c r="A165" t="s">
        <v>592</v>
      </c>
      <c r="B165" s="7">
        <v>45447</v>
      </c>
      <c r="C165" s="7">
        <v>45459</v>
      </c>
      <c r="D165" t="s">
        <v>206</v>
      </c>
      <c r="E165" t="s">
        <v>277</v>
      </c>
      <c r="F165" t="s">
        <v>323</v>
      </c>
      <c r="G165" t="s">
        <v>180</v>
      </c>
      <c r="H165" t="s">
        <v>181</v>
      </c>
      <c r="I165" t="s">
        <v>190</v>
      </c>
      <c r="J165" t="s">
        <v>191</v>
      </c>
      <c r="K165" t="s">
        <v>593</v>
      </c>
      <c r="L165" s="10">
        <v>918.42</v>
      </c>
      <c r="M165" s="10">
        <v>1511.71</v>
      </c>
      <c r="N165" s="17">
        <v>0.02</v>
      </c>
      <c r="O165">
        <v>8</v>
      </c>
      <c r="P165" t="str">
        <f t="shared" si="45"/>
        <v>Valid</v>
      </c>
      <c r="Q165" s="10">
        <f t="shared" si="46"/>
        <v>1511.71</v>
      </c>
      <c r="R165" t="b">
        <f t="shared" si="47"/>
        <v>0</v>
      </c>
      <c r="S165" s="17">
        <f t="shared" si="48"/>
        <v>0.02</v>
      </c>
      <c r="T165">
        <f t="shared" si="49"/>
        <v>12</v>
      </c>
      <c r="U165" s="26">
        <f t="shared" si="50"/>
        <v>45459</v>
      </c>
      <c r="V165">
        <f t="shared" si="51"/>
        <v>12</v>
      </c>
      <c r="W165" s="10">
        <f t="shared" si="52"/>
        <v>1209126.1264</v>
      </c>
      <c r="X165" s="10">
        <f t="shared" si="53"/>
        <v>12093.68</v>
      </c>
      <c r="Y165" s="10">
        <f t="shared" si="54"/>
        <v>1197032.4464</v>
      </c>
      <c r="Z165" s="14">
        <f t="shared" si="58"/>
        <v>0.98999799959992</v>
      </c>
      <c r="AA165" t="s">
        <v>1576</v>
      </c>
      <c r="AB165" t="str">
        <f t="shared" si="55"/>
        <v>Q2-2024</v>
      </c>
      <c r="AC165" t="str">
        <f t="shared" si="56"/>
        <v>Asia → China → Shanghai</v>
      </c>
      <c r="AD165" t="str">
        <f t="shared" si="57"/>
        <v>Peripherals</v>
      </c>
      <c r="AE165" s="8" t="str">
        <f t="shared" si="44"/>
        <v>Medium</v>
      </c>
      <c r="AF165" t="str">
        <f t="shared" si="59"/>
        <v>CHINA</v>
      </c>
      <c r="AG165" s="7">
        <v>44938</v>
      </c>
      <c r="AH165" t="str">
        <f t="shared" si="60"/>
        <v>Jan-2023</v>
      </c>
      <c r="AI165" s="9">
        <f t="shared" si="61"/>
        <v>45473</v>
      </c>
      <c r="AJ165">
        <f t="shared" si="65"/>
        <v>0</v>
      </c>
      <c r="AK165">
        <f t="shared" si="62"/>
        <v>0</v>
      </c>
      <c r="AL165" s="17">
        <f>MIN(N165,'Scenario Modelling'!$B$2)</f>
        <v>0.02</v>
      </c>
      <c r="AM165" s="10">
        <f>L165*(1+'Scenario Modelling'!$B$3)</f>
        <v>1056.183</v>
      </c>
      <c r="AN165">
        <f>O165*(1+'Scenario Modelling'!$B$4)</f>
        <v>9.6</v>
      </c>
      <c r="AO165" s="28">
        <f t="shared" si="63"/>
        <v>14222.16768</v>
      </c>
      <c r="AP165" s="10">
        <f t="shared" si="64"/>
        <v>4082.81088</v>
      </c>
    </row>
    <row r="166" spans="1:42">
      <c r="A166" t="s">
        <v>594</v>
      </c>
      <c r="B166" s="7">
        <v>44976</v>
      </c>
      <c r="C166" s="7">
        <v>44997</v>
      </c>
      <c r="D166" t="s">
        <v>239</v>
      </c>
      <c r="E166" t="s">
        <v>240</v>
      </c>
      <c r="F166" t="s">
        <v>241</v>
      </c>
      <c r="G166" t="s">
        <v>223</v>
      </c>
      <c r="H166" t="s">
        <v>259</v>
      </c>
      <c r="I166" t="s">
        <v>210</v>
      </c>
      <c r="J166" t="s">
        <v>225</v>
      </c>
      <c r="K166" t="s">
        <v>595</v>
      </c>
      <c r="L166" s="10">
        <v>1234.81</v>
      </c>
      <c r="M166" s="10">
        <v>2055.24</v>
      </c>
      <c r="N166" s="17">
        <v>0.053</v>
      </c>
      <c r="O166">
        <v>44</v>
      </c>
      <c r="P166" t="str">
        <f t="shared" si="45"/>
        <v>Valid</v>
      </c>
      <c r="Q166" s="10">
        <f t="shared" si="46"/>
        <v>2055.24</v>
      </c>
      <c r="R166" t="b">
        <f t="shared" si="47"/>
        <v>0</v>
      </c>
      <c r="S166" s="17">
        <f t="shared" si="48"/>
        <v>0.053</v>
      </c>
      <c r="T166">
        <f t="shared" si="49"/>
        <v>21</v>
      </c>
      <c r="U166" s="26">
        <f t="shared" si="50"/>
        <v>44997</v>
      </c>
      <c r="V166">
        <f t="shared" si="51"/>
        <v>21</v>
      </c>
      <c r="W166" s="10">
        <f t="shared" si="52"/>
        <v>9038263.18032</v>
      </c>
      <c r="X166" s="10">
        <f t="shared" si="53"/>
        <v>90430.56</v>
      </c>
      <c r="Y166" s="10">
        <f t="shared" si="54"/>
        <v>8947832.62032</v>
      </c>
      <c r="Z166" s="14">
        <f t="shared" si="58"/>
        <v>0.98999469718951</v>
      </c>
      <c r="AA166" t="s">
        <v>1562</v>
      </c>
      <c r="AB166" t="str">
        <f t="shared" si="55"/>
        <v>Q1-2023</v>
      </c>
      <c r="AC166" t="str">
        <f t="shared" si="56"/>
        <v>Europe → Germany → Berlin</v>
      </c>
      <c r="AD166" t="str">
        <f t="shared" si="57"/>
        <v>Peripherals</v>
      </c>
      <c r="AE166" s="8" t="str">
        <f t="shared" si="44"/>
        <v>Low</v>
      </c>
      <c r="AF166" t="str">
        <f t="shared" si="59"/>
        <v>GERMANY</v>
      </c>
      <c r="AG166" s="7">
        <v>44948</v>
      </c>
      <c r="AH166" t="str">
        <f t="shared" si="60"/>
        <v>Jan-2023</v>
      </c>
      <c r="AI166" s="9">
        <f t="shared" si="61"/>
        <v>44985</v>
      </c>
      <c r="AJ166">
        <f t="shared" si="65"/>
        <v>0</v>
      </c>
      <c r="AK166">
        <f t="shared" si="62"/>
        <v>0</v>
      </c>
      <c r="AL166" s="17">
        <f>MIN(N166,'Scenario Modelling'!$B$2)</f>
        <v>0.053</v>
      </c>
      <c r="AM166" s="10">
        <f>L166*(1+'Scenario Modelling'!$B$3)</f>
        <v>1420.0315</v>
      </c>
      <c r="AN166">
        <f>O166*(1+'Scenario Modelling'!$B$4)</f>
        <v>52.8</v>
      </c>
      <c r="AO166" s="28">
        <f t="shared" si="63"/>
        <v>102765.288384</v>
      </c>
      <c r="AP166" s="10">
        <f t="shared" si="64"/>
        <v>27787.625184</v>
      </c>
    </row>
    <row r="167" spans="1:42">
      <c r="A167" t="s">
        <v>596</v>
      </c>
      <c r="B167" s="7">
        <v>45034</v>
      </c>
      <c r="C167" s="7">
        <v>45064</v>
      </c>
      <c r="D167" t="s">
        <v>206</v>
      </c>
      <c r="E167" t="s">
        <v>277</v>
      </c>
      <c r="F167" t="s">
        <v>278</v>
      </c>
      <c r="G167" t="s">
        <v>200</v>
      </c>
      <c r="H167" t="s">
        <v>181</v>
      </c>
      <c r="I167" t="s">
        <v>253</v>
      </c>
      <c r="J167" t="s">
        <v>218</v>
      </c>
      <c r="K167" t="s">
        <v>597</v>
      </c>
      <c r="L167" s="10">
        <v>329.03</v>
      </c>
      <c r="M167" s="10">
        <v>391.15</v>
      </c>
      <c r="N167" s="17">
        <v>0.197</v>
      </c>
      <c r="O167">
        <v>46</v>
      </c>
      <c r="P167" t="str">
        <f t="shared" si="45"/>
        <v>Valid</v>
      </c>
      <c r="Q167" s="10">
        <f t="shared" si="46"/>
        <v>391.15</v>
      </c>
      <c r="R167" t="b">
        <f t="shared" si="47"/>
        <v>0</v>
      </c>
      <c r="S167" s="17">
        <f t="shared" si="48"/>
        <v>0.197</v>
      </c>
      <c r="T167">
        <f t="shared" si="49"/>
        <v>30</v>
      </c>
      <c r="U167" s="26">
        <f t="shared" si="50"/>
        <v>45064</v>
      </c>
      <c r="V167">
        <f t="shared" si="51"/>
        <v>30</v>
      </c>
      <c r="W167" s="10">
        <f t="shared" si="52"/>
        <v>1795745.3987</v>
      </c>
      <c r="X167" s="10">
        <f t="shared" si="53"/>
        <v>17992.9</v>
      </c>
      <c r="Y167" s="10">
        <f t="shared" si="54"/>
        <v>1777752.4987</v>
      </c>
      <c r="Z167" s="14">
        <f t="shared" si="58"/>
        <v>0.989980261114395</v>
      </c>
      <c r="AA167" t="s">
        <v>1571</v>
      </c>
      <c r="AB167" t="str">
        <f t="shared" si="55"/>
        <v>Q2-2023</v>
      </c>
      <c r="AC167" t="str">
        <f t="shared" si="56"/>
        <v>Asia → China → Shenzhen</v>
      </c>
      <c r="AD167" t="str">
        <f t="shared" si="57"/>
        <v>Devices</v>
      </c>
      <c r="AE167" s="8" t="str">
        <f t="shared" si="44"/>
        <v>Low</v>
      </c>
      <c r="AF167" t="str">
        <f t="shared" si="59"/>
        <v>CHINA</v>
      </c>
      <c r="AG167" s="7">
        <v>44938</v>
      </c>
      <c r="AH167" t="str">
        <f t="shared" si="60"/>
        <v>Jan-2023</v>
      </c>
      <c r="AI167" s="9">
        <f t="shared" si="61"/>
        <v>45046</v>
      </c>
      <c r="AJ167">
        <f t="shared" si="65"/>
        <v>0</v>
      </c>
      <c r="AK167">
        <f t="shared" si="62"/>
        <v>0</v>
      </c>
      <c r="AL167" s="17">
        <f>MIN(N167,'Scenario Modelling'!$B$2)</f>
        <v>0.197</v>
      </c>
      <c r="AM167" s="10">
        <f>L167*(1+'Scenario Modelling'!$B$3)</f>
        <v>378.3845</v>
      </c>
      <c r="AN167">
        <f>O167*(1+'Scenario Modelling'!$B$4)</f>
        <v>55.2</v>
      </c>
      <c r="AO167" s="28">
        <f t="shared" si="63"/>
        <v>17337.95844</v>
      </c>
      <c r="AP167" s="10">
        <f t="shared" si="64"/>
        <v>-3548.86596</v>
      </c>
    </row>
    <row r="168" spans="1:42">
      <c r="A168" t="s">
        <v>598</v>
      </c>
      <c r="B168" s="7">
        <v>45435</v>
      </c>
      <c r="C168" s="7">
        <v>45457</v>
      </c>
      <c r="D168" t="s">
        <v>239</v>
      </c>
      <c r="E168" t="s">
        <v>251</v>
      </c>
      <c r="F168" t="s">
        <v>252</v>
      </c>
      <c r="G168" t="s">
        <v>223</v>
      </c>
      <c r="H168" t="s">
        <v>189</v>
      </c>
      <c r="I168" t="s">
        <v>287</v>
      </c>
      <c r="J168" t="s">
        <v>225</v>
      </c>
      <c r="K168" t="s">
        <v>599</v>
      </c>
      <c r="L168" s="10">
        <v>1481.74</v>
      </c>
      <c r="M168" s="10">
        <v>1848.97</v>
      </c>
      <c r="N168" s="17">
        <v>0.254</v>
      </c>
      <c r="O168">
        <v>9</v>
      </c>
      <c r="P168" t="str">
        <f t="shared" si="45"/>
        <v>Valid</v>
      </c>
      <c r="Q168" s="10">
        <f t="shared" si="46"/>
        <v>1848.97</v>
      </c>
      <c r="R168" t="b">
        <f t="shared" si="47"/>
        <v>0</v>
      </c>
      <c r="S168" s="17">
        <f t="shared" si="48"/>
        <v>0.254</v>
      </c>
      <c r="T168">
        <f t="shared" si="49"/>
        <v>22</v>
      </c>
      <c r="U168" s="26">
        <f t="shared" si="50"/>
        <v>45457</v>
      </c>
      <c r="V168">
        <f t="shared" si="51"/>
        <v>22</v>
      </c>
      <c r="W168" s="10">
        <f t="shared" si="52"/>
        <v>1659846.25458</v>
      </c>
      <c r="X168" s="10">
        <f t="shared" si="53"/>
        <v>16640.73</v>
      </c>
      <c r="Y168" s="10">
        <f t="shared" si="54"/>
        <v>1643205.52458</v>
      </c>
      <c r="Z168" s="14">
        <f t="shared" si="58"/>
        <v>0.989974535319712</v>
      </c>
      <c r="AA168" t="s">
        <v>1566</v>
      </c>
      <c r="AB168" t="str">
        <f t="shared" si="55"/>
        <v>Q2-2024</v>
      </c>
      <c r="AC168" t="str">
        <f t="shared" si="56"/>
        <v>Europe → France → Marseille</v>
      </c>
      <c r="AD168" t="str">
        <f t="shared" si="57"/>
        <v>Peripherals</v>
      </c>
      <c r="AE168" s="8" t="str">
        <f t="shared" si="44"/>
        <v>Medium</v>
      </c>
      <c r="AF168" t="str">
        <f t="shared" si="59"/>
        <v>FRANCE</v>
      </c>
      <c r="AG168" s="7">
        <v>44936</v>
      </c>
      <c r="AH168" t="str">
        <f t="shared" si="60"/>
        <v>Jan-2023</v>
      </c>
      <c r="AI168" s="9">
        <f t="shared" si="61"/>
        <v>45443</v>
      </c>
      <c r="AJ168">
        <f t="shared" si="65"/>
        <v>0</v>
      </c>
      <c r="AK168">
        <f t="shared" si="62"/>
        <v>1</v>
      </c>
      <c r="AL168" s="17">
        <f>MIN(N168,'Scenario Modelling'!$B$2)</f>
        <v>0.25</v>
      </c>
      <c r="AM168" s="10">
        <f>L168*(1+'Scenario Modelling'!$B$3)</f>
        <v>1704.001</v>
      </c>
      <c r="AN168">
        <f>O168*(1+'Scenario Modelling'!$B$4)</f>
        <v>10.8</v>
      </c>
      <c r="AO168" s="28">
        <f t="shared" si="63"/>
        <v>14976.657</v>
      </c>
      <c r="AP168" s="10">
        <f t="shared" si="64"/>
        <v>-3426.5538</v>
      </c>
    </row>
    <row r="169" spans="1:42">
      <c r="A169" t="s">
        <v>600</v>
      </c>
      <c r="B169" s="7">
        <v>45206</v>
      </c>
      <c r="C169" s="7">
        <v>45222</v>
      </c>
      <c r="D169" t="s">
        <v>206</v>
      </c>
      <c r="E169" t="s">
        <v>221</v>
      </c>
      <c r="F169" t="s">
        <v>442</v>
      </c>
      <c r="G169" t="s">
        <v>209</v>
      </c>
      <c r="H169" t="s">
        <v>181</v>
      </c>
      <c r="I169" t="s">
        <v>202</v>
      </c>
      <c r="J169" t="s">
        <v>225</v>
      </c>
      <c r="K169" t="s">
        <v>601</v>
      </c>
      <c r="L169" s="10">
        <v>906.81</v>
      </c>
      <c r="M169" s="10">
        <v>1395.56</v>
      </c>
      <c r="N169" s="17">
        <v>0.185</v>
      </c>
      <c r="O169">
        <v>6</v>
      </c>
      <c r="P169" t="str">
        <f t="shared" si="45"/>
        <v>Valid</v>
      </c>
      <c r="Q169" s="10">
        <f t="shared" si="46"/>
        <v>1395.56</v>
      </c>
      <c r="R169" t="b">
        <f t="shared" si="47"/>
        <v>0</v>
      </c>
      <c r="S169" s="17">
        <f t="shared" si="48"/>
        <v>0.185</v>
      </c>
      <c r="T169">
        <f t="shared" si="49"/>
        <v>16</v>
      </c>
      <c r="U169" s="26">
        <f t="shared" si="50"/>
        <v>45222</v>
      </c>
      <c r="V169">
        <f t="shared" si="51"/>
        <v>16</v>
      </c>
      <c r="W169" s="10">
        <f t="shared" si="52"/>
        <v>835786.9284</v>
      </c>
      <c r="X169" s="10">
        <f t="shared" si="53"/>
        <v>8373.36</v>
      </c>
      <c r="Y169" s="10">
        <f t="shared" si="54"/>
        <v>827413.5684</v>
      </c>
      <c r="Z169" s="14">
        <f t="shared" si="58"/>
        <v>0.989981465711566</v>
      </c>
      <c r="AA169" t="s">
        <v>1595</v>
      </c>
      <c r="AB169" t="str">
        <f t="shared" si="55"/>
        <v>Q4-2023</v>
      </c>
      <c r="AC169" t="str">
        <f t="shared" si="56"/>
        <v>Asia → India → Hyderabad</v>
      </c>
      <c r="AD169" t="str">
        <f t="shared" si="57"/>
        <v>Peripherals</v>
      </c>
      <c r="AE169" s="8" t="str">
        <f t="shared" si="44"/>
        <v>Low</v>
      </c>
      <c r="AF169" t="str">
        <f t="shared" si="59"/>
        <v>INDIA</v>
      </c>
      <c r="AG169" s="7">
        <v>44955</v>
      </c>
      <c r="AH169" t="str">
        <f t="shared" si="60"/>
        <v>Jan-2023</v>
      </c>
      <c r="AI169" s="9">
        <f t="shared" si="61"/>
        <v>45230</v>
      </c>
      <c r="AJ169">
        <f t="shared" si="65"/>
        <v>0</v>
      </c>
      <c r="AK169">
        <f t="shared" si="62"/>
        <v>0</v>
      </c>
      <c r="AL169" s="17">
        <f>MIN(N169,'Scenario Modelling'!$B$2)</f>
        <v>0.185</v>
      </c>
      <c r="AM169" s="10">
        <f>L169*(1+'Scenario Modelling'!$B$3)</f>
        <v>1042.8315</v>
      </c>
      <c r="AN169">
        <f>O169*(1+'Scenario Modelling'!$B$4)</f>
        <v>7.2</v>
      </c>
      <c r="AO169" s="28">
        <f t="shared" si="63"/>
        <v>8189.14608</v>
      </c>
      <c r="AP169" s="10">
        <f t="shared" si="64"/>
        <v>680.759280000001</v>
      </c>
    </row>
    <row r="170" spans="1:42">
      <c r="A170" t="s">
        <v>602</v>
      </c>
      <c r="B170" s="7">
        <v>45574</v>
      </c>
      <c r="C170" s="7">
        <v>45604</v>
      </c>
      <c r="D170" t="s">
        <v>239</v>
      </c>
      <c r="E170" t="s">
        <v>269</v>
      </c>
      <c r="F170" t="s">
        <v>389</v>
      </c>
      <c r="G170" t="s">
        <v>223</v>
      </c>
      <c r="H170" t="s">
        <v>216</v>
      </c>
      <c r="I170" t="s">
        <v>190</v>
      </c>
      <c r="J170" t="s">
        <v>183</v>
      </c>
      <c r="K170" t="s">
        <v>603</v>
      </c>
      <c r="L170" s="10">
        <v>343.85</v>
      </c>
      <c r="M170" s="10">
        <v>538.04</v>
      </c>
      <c r="N170" s="17">
        <v>0.139</v>
      </c>
      <c r="O170">
        <v>5</v>
      </c>
      <c r="P170" t="str">
        <f t="shared" si="45"/>
        <v>Valid</v>
      </c>
      <c r="Q170" s="10">
        <f t="shared" si="46"/>
        <v>538.04</v>
      </c>
      <c r="R170" t="b">
        <f t="shared" si="47"/>
        <v>0</v>
      </c>
      <c r="S170" s="17">
        <f t="shared" si="48"/>
        <v>0.139</v>
      </c>
      <c r="T170">
        <f t="shared" si="49"/>
        <v>30</v>
      </c>
      <c r="U170" s="26">
        <f t="shared" si="50"/>
        <v>45604</v>
      </c>
      <c r="V170">
        <f t="shared" si="51"/>
        <v>30</v>
      </c>
      <c r="W170" s="10">
        <f t="shared" si="52"/>
        <v>268646.0622</v>
      </c>
      <c r="X170" s="10">
        <f t="shared" si="53"/>
        <v>2690.2</v>
      </c>
      <c r="Y170" s="10">
        <f t="shared" si="54"/>
        <v>265955.8622</v>
      </c>
      <c r="Z170" s="14">
        <f t="shared" si="58"/>
        <v>0.989986080652106</v>
      </c>
      <c r="AA170" t="s">
        <v>1561</v>
      </c>
      <c r="AB170" t="str">
        <f t="shared" si="55"/>
        <v>Q4-2024</v>
      </c>
      <c r="AC170" t="str">
        <f t="shared" si="56"/>
        <v>Europe → United Kingdom → Manchester</v>
      </c>
      <c r="AD170" t="str">
        <f t="shared" si="57"/>
        <v>Support</v>
      </c>
      <c r="AE170" s="8" t="str">
        <f t="shared" si="44"/>
        <v>Medium</v>
      </c>
      <c r="AF170" t="str">
        <f t="shared" si="59"/>
        <v>UNITED KINGDOM</v>
      </c>
      <c r="AG170" s="7">
        <v>44945</v>
      </c>
      <c r="AH170" t="str">
        <f t="shared" si="60"/>
        <v>Jan-2023</v>
      </c>
      <c r="AI170" s="9">
        <f t="shared" si="61"/>
        <v>45596</v>
      </c>
      <c r="AJ170">
        <f t="shared" si="65"/>
        <v>0</v>
      </c>
      <c r="AK170">
        <f t="shared" si="62"/>
        <v>0</v>
      </c>
      <c r="AL170" s="17">
        <f>MIN(N170,'Scenario Modelling'!$B$2)</f>
        <v>0.139</v>
      </c>
      <c r="AM170" s="10">
        <f>L170*(1+'Scenario Modelling'!$B$3)</f>
        <v>395.4275</v>
      </c>
      <c r="AN170">
        <f>O170*(1+'Scenario Modelling'!$B$4)</f>
        <v>6</v>
      </c>
      <c r="AO170" s="28">
        <f t="shared" si="63"/>
        <v>2779.51464</v>
      </c>
      <c r="AP170" s="10">
        <f t="shared" si="64"/>
        <v>406.94964</v>
      </c>
    </row>
    <row r="171" spans="1:42">
      <c r="A171" t="s">
        <v>604</v>
      </c>
      <c r="B171" s="7">
        <v>45488</v>
      </c>
      <c r="C171" s="7">
        <v>45488</v>
      </c>
      <c r="D171" t="s">
        <v>206</v>
      </c>
      <c r="E171" t="s">
        <v>207</v>
      </c>
      <c r="F171" t="s">
        <v>375</v>
      </c>
      <c r="G171" t="s">
        <v>223</v>
      </c>
      <c r="H171" t="s">
        <v>201</v>
      </c>
      <c r="I171" t="s">
        <v>202</v>
      </c>
      <c r="J171" t="s">
        <v>242</v>
      </c>
      <c r="K171" t="s">
        <v>605</v>
      </c>
      <c r="L171" s="10">
        <v>801.77</v>
      </c>
      <c r="M171" s="10">
        <v>1218.92</v>
      </c>
      <c r="N171" s="17">
        <v>0.254</v>
      </c>
      <c r="O171">
        <v>16</v>
      </c>
      <c r="P171" t="str">
        <f t="shared" si="45"/>
        <v>Valid</v>
      </c>
      <c r="Q171" s="10">
        <f t="shared" si="46"/>
        <v>1218.92</v>
      </c>
      <c r="R171" t="b">
        <f t="shared" si="47"/>
        <v>0</v>
      </c>
      <c r="S171" s="17">
        <f t="shared" si="48"/>
        <v>0.254</v>
      </c>
      <c r="T171">
        <f t="shared" si="49"/>
        <v>0</v>
      </c>
      <c r="U171" s="26">
        <f t="shared" si="50"/>
        <v>45488</v>
      </c>
      <c r="V171">
        <f t="shared" si="51"/>
        <v>0</v>
      </c>
      <c r="W171" s="10">
        <f t="shared" si="52"/>
        <v>1945318.30912</v>
      </c>
      <c r="X171" s="10">
        <f t="shared" si="53"/>
        <v>19502.72</v>
      </c>
      <c r="Y171" s="10">
        <f t="shared" si="54"/>
        <v>1925815.58912</v>
      </c>
      <c r="Z171" s="14">
        <f t="shared" si="58"/>
        <v>0.989974535319712</v>
      </c>
      <c r="AA171" t="s">
        <v>1573</v>
      </c>
      <c r="AB171" t="str">
        <f t="shared" si="55"/>
        <v>Q3-2024</v>
      </c>
      <c r="AC171" t="str">
        <f t="shared" si="56"/>
        <v>Asia → Japan → Tokyo</v>
      </c>
      <c r="AD171" t="str">
        <f t="shared" si="57"/>
        <v>Support</v>
      </c>
      <c r="AE171" s="8" t="str">
        <f t="shared" si="44"/>
        <v>Medium</v>
      </c>
      <c r="AF171" t="str">
        <f t="shared" si="59"/>
        <v>JAPAN</v>
      </c>
      <c r="AG171" s="7">
        <v>44988</v>
      </c>
      <c r="AH171" t="str">
        <f t="shared" si="60"/>
        <v>Mar-2023</v>
      </c>
      <c r="AI171" s="9">
        <f t="shared" si="61"/>
        <v>45504</v>
      </c>
      <c r="AJ171">
        <f t="shared" si="65"/>
        <v>1</v>
      </c>
      <c r="AK171">
        <f t="shared" si="62"/>
        <v>1</v>
      </c>
      <c r="AL171" s="17">
        <f>MIN(N171,'Scenario Modelling'!$B$2)</f>
        <v>0.25</v>
      </c>
      <c r="AM171" s="10">
        <f>L171*(1+'Scenario Modelling'!$B$3)</f>
        <v>922.0355</v>
      </c>
      <c r="AN171">
        <f>O171*(1+'Scenario Modelling'!$B$4)</f>
        <v>19.2</v>
      </c>
      <c r="AO171" s="28">
        <f t="shared" si="63"/>
        <v>17552.448</v>
      </c>
      <c r="AP171" s="10">
        <f t="shared" si="64"/>
        <v>-150.633599999998</v>
      </c>
    </row>
    <row r="172" spans="1:42">
      <c r="A172" t="s">
        <v>606</v>
      </c>
      <c r="B172" s="7">
        <v>45190</v>
      </c>
      <c r="C172" s="7">
        <v>45209</v>
      </c>
      <c r="D172" t="s">
        <v>206</v>
      </c>
      <c r="E172" t="s">
        <v>207</v>
      </c>
      <c r="F172" t="s">
        <v>375</v>
      </c>
      <c r="G172" t="s">
        <v>188</v>
      </c>
      <c r="H172" t="s">
        <v>189</v>
      </c>
      <c r="I172" t="s">
        <v>306</v>
      </c>
      <c r="J172" t="s">
        <v>183</v>
      </c>
      <c r="K172" t="s">
        <v>607</v>
      </c>
      <c r="L172" s="10">
        <v>845.63</v>
      </c>
      <c r="M172" s="10">
        <v>2062.12</v>
      </c>
      <c r="N172" s="17">
        <v>0.134</v>
      </c>
      <c r="O172">
        <v>5</v>
      </c>
      <c r="P172" t="str">
        <f t="shared" si="45"/>
        <v>Valid</v>
      </c>
      <c r="Q172" s="10">
        <f t="shared" si="46"/>
        <v>2062.12</v>
      </c>
      <c r="R172" t="b">
        <f t="shared" si="47"/>
        <v>0</v>
      </c>
      <c r="S172" s="17">
        <f t="shared" si="48"/>
        <v>0.134</v>
      </c>
      <c r="T172">
        <f t="shared" si="49"/>
        <v>19</v>
      </c>
      <c r="U172" s="26">
        <f t="shared" si="50"/>
        <v>45209</v>
      </c>
      <c r="V172">
        <f t="shared" si="51"/>
        <v>19</v>
      </c>
      <c r="W172" s="10">
        <f t="shared" si="52"/>
        <v>1029678.3796</v>
      </c>
      <c r="X172" s="10">
        <f t="shared" si="53"/>
        <v>10310.6</v>
      </c>
      <c r="Y172" s="10">
        <f t="shared" si="54"/>
        <v>1019367.7796</v>
      </c>
      <c r="Z172" s="14">
        <f t="shared" si="58"/>
        <v>0.989986582019907</v>
      </c>
      <c r="AA172" t="s">
        <v>1588</v>
      </c>
      <c r="AB172" t="str">
        <f t="shared" si="55"/>
        <v>Q3-2023</v>
      </c>
      <c r="AC172" t="str">
        <f t="shared" si="56"/>
        <v>Asia → Japan → Tokyo</v>
      </c>
      <c r="AD172" t="str">
        <f t="shared" si="57"/>
        <v>Support</v>
      </c>
      <c r="AE172" s="8" t="str">
        <f t="shared" si="44"/>
        <v>Low</v>
      </c>
      <c r="AF172" t="str">
        <f t="shared" si="59"/>
        <v>JAPAN</v>
      </c>
      <c r="AG172" s="7">
        <v>44988</v>
      </c>
      <c r="AH172" t="str">
        <f t="shared" si="60"/>
        <v>Mar-2023</v>
      </c>
      <c r="AI172" s="9">
        <f t="shared" si="61"/>
        <v>45199</v>
      </c>
      <c r="AJ172">
        <f t="shared" si="65"/>
        <v>0</v>
      </c>
      <c r="AK172">
        <f t="shared" si="62"/>
        <v>0</v>
      </c>
      <c r="AL172" s="17">
        <f>MIN(N172,'Scenario Modelling'!$B$2)</f>
        <v>0.134</v>
      </c>
      <c r="AM172" s="10">
        <f>L172*(1+'Scenario Modelling'!$B$3)</f>
        <v>972.4745</v>
      </c>
      <c r="AN172">
        <f>O172*(1+'Scenario Modelling'!$B$4)</f>
        <v>6</v>
      </c>
      <c r="AO172" s="28">
        <f t="shared" si="63"/>
        <v>10714.77552</v>
      </c>
      <c r="AP172" s="10">
        <f t="shared" si="64"/>
        <v>4879.92852</v>
      </c>
    </row>
    <row r="173" spans="1:42">
      <c r="A173" t="s">
        <v>608</v>
      </c>
      <c r="B173" s="7">
        <v>44981</v>
      </c>
      <c r="C173" s="7">
        <v>44994</v>
      </c>
      <c r="D173" t="s">
        <v>213</v>
      </c>
      <c r="E173" t="s">
        <v>283</v>
      </c>
      <c r="F173" t="s">
        <v>548</v>
      </c>
      <c r="G173" t="s">
        <v>266</v>
      </c>
      <c r="H173" t="s">
        <v>189</v>
      </c>
      <c r="I173" t="s">
        <v>271</v>
      </c>
      <c r="J173" t="s">
        <v>183</v>
      </c>
      <c r="K173" t="s">
        <v>609</v>
      </c>
      <c r="L173" s="10">
        <v>6.85</v>
      </c>
      <c r="M173" s="10">
        <v>10.18</v>
      </c>
      <c r="N173" s="17">
        <v>0.047</v>
      </c>
      <c r="O173">
        <v>10</v>
      </c>
      <c r="P173" t="str">
        <f t="shared" si="45"/>
        <v>Valid</v>
      </c>
      <c r="Q173" s="10">
        <f t="shared" si="46"/>
        <v>10.18</v>
      </c>
      <c r="R173" t="b">
        <f t="shared" si="47"/>
        <v>0</v>
      </c>
      <c r="S173" s="17">
        <f t="shared" si="48"/>
        <v>0.047</v>
      </c>
      <c r="T173">
        <f t="shared" si="49"/>
        <v>13</v>
      </c>
      <c r="U173" s="26">
        <f t="shared" si="50"/>
        <v>44994</v>
      </c>
      <c r="V173">
        <f t="shared" si="51"/>
        <v>13</v>
      </c>
      <c r="W173" s="10">
        <f t="shared" si="52"/>
        <v>10175.2154</v>
      </c>
      <c r="X173" s="10">
        <f t="shared" si="53"/>
        <v>101.8</v>
      </c>
      <c r="Y173" s="10">
        <f t="shared" si="54"/>
        <v>10073.4154</v>
      </c>
      <c r="Z173" s="14">
        <f t="shared" si="58"/>
        <v>0.989995297789961</v>
      </c>
      <c r="AA173" t="s">
        <v>1562</v>
      </c>
      <c r="AB173" t="str">
        <f t="shared" si="55"/>
        <v>Q1-2023</v>
      </c>
      <c r="AC173" t="str">
        <f t="shared" si="56"/>
        <v>Americas → USA → New York</v>
      </c>
      <c r="AD173" t="str">
        <f t="shared" si="57"/>
        <v>Support</v>
      </c>
      <c r="AE173" s="8" t="str">
        <f t="shared" si="44"/>
        <v>Low</v>
      </c>
      <c r="AF173" t="str">
        <f t="shared" si="59"/>
        <v>USA</v>
      </c>
      <c r="AG173" s="7">
        <v>44939</v>
      </c>
      <c r="AH173" t="str">
        <f t="shared" si="60"/>
        <v>Jan-2023</v>
      </c>
      <c r="AI173" s="9">
        <f t="shared" si="61"/>
        <v>44985</v>
      </c>
      <c r="AJ173">
        <f t="shared" si="65"/>
        <v>0</v>
      </c>
      <c r="AK173">
        <f t="shared" si="62"/>
        <v>0</v>
      </c>
      <c r="AL173" s="17">
        <f>MIN(N173,'Scenario Modelling'!$B$2)</f>
        <v>0.047</v>
      </c>
      <c r="AM173" s="10">
        <f>L173*(1+'Scenario Modelling'!$B$3)</f>
        <v>7.8775</v>
      </c>
      <c r="AN173">
        <f>O173*(1+'Scenario Modelling'!$B$4)</f>
        <v>12</v>
      </c>
      <c r="AO173" s="28">
        <f t="shared" si="63"/>
        <v>116.41848</v>
      </c>
      <c r="AP173" s="10">
        <f t="shared" si="64"/>
        <v>21.88848</v>
      </c>
    </row>
    <row r="174" spans="1:42">
      <c r="A174" t="s">
        <v>610</v>
      </c>
      <c r="B174" s="7">
        <v>45798</v>
      </c>
      <c r="C174" s="7">
        <v>45796</v>
      </c>
      <c r="D174" t="s">
        <v>177</v>
      </c>
      <c r="E174" t="s">
        <v>309</v>
      </c>
      <c r="F174" t="s">
        <v>310</v>
      </c>
      <c r="G174" t="s">
        <v>200</v>
      </c>
      <c r="H174" t="s">
        <v>216</v>
      </c>
      <c r="I174" t="s">
        <v>229</v>
      </c>
      <c r="J174" t="s">
        <v>218</v>
      </c>
      <c r="K174" t="s">
        <v>611</v>
      </c>
      <c r="L174" s="10">
        <v>1263.84</v>
      </c>
      <c r="M174" s="10">
        <v>2281.72</v>
      </c>
      <c r="N174" s="17">
        <v>0.078</v>
      </c>
      <c r="O174">
        <v>15</v>
      </c>
      <c r="P174" t="str">
        <f t="shared" si="45"/>
        <v>Valid</v>
      </c>
      <c r="Q174" s="10">
        <f t="shared" si="46"/>
        <v>2281.72</v>
      </c>
      <c r="R174" t="b">
        <f t="shared" si="47"/>
        <v>0</v>
      </c>
      <c r="S174" s="17">
        <f t="shared" si="48"/>
        <v>0.078</v>
      </c>
      <c r="T174">
        <f t="shared" si="49"/>
        <v>-2</v>
      </c>
      <c r="U174" s="26">
        <f t="shared" si="50"/>
        <v>45805</v>
      </c>
      <c r="V174">
        <f t="shared" si="51"/>
        <v>7</v>
      </c>
      <c r="W174" s="10">
        <f t="shared" si="52"/>
        <v>3419910.3876</v>
      </c>
      <c r="X174" s="10">
        <f t="shared" si="53"/>
        <v>34225.8</v>
      </c>
      <c r="Y174" s="10">
        <f t="shared" si="54"/>
        <v>3385684.5876</v>
      </c>
      <c r="Z174" s="14">
        <f t="shared" si="58"/>
        <v>0.989992193911251</v>
      </c>
      <c r="AA174" t="s">
        <v>1567</v>
      </c>
      <c r="AB174" t="str">
        <f t="shared" si="55"/>
        <v>Q2-2025</v>
      </c>
      <c r="AC174" t="str">
        <f t="shared" si="56"/>
        <v>Africa → South Africa → Johannesburg</v>
      </c>
      <c r="AD174" t="str">
        <f t="shared" si="57"/>
        <v>Devices</v>
      </c>
      <c r="AE174" s="8" t="str">
        <f t="shared" si="44"/>
        <v>High</v>
      </c>
      <c r="AF174" t="str">
        <f t="shared" si="59"/>
        <v>SOUTH AFRICA</v>
      </c>
      <c r="AG174" s="7">
        <v>44933</v>
      </c>
      <c r="AH174" t="str">
        <f t="shared" si="60"/>
        <v>Jan-2023</v>
      </c>
      <c r="AI174" s="9">
        <f t="shared" si="61"/>
        <v>45808</v>
      </c>
      <c r="AJ174">
        <f t="shared" si="65"/>
        <v>1</v>
      </c>
      <c r="AK174">
        <f t="shared" si="62"/>
        <v>0</v>
      </c>
      <c r="AL174" s="17">
        <f>MIN(N174,'Scenario Modelling'!$B$2)</f>
        <v>0.078</v>
      </c>
      <c r="AM174" s="10">
        <f>L174*(1+'Scenario Modelling'!$B$3)</f>
        <v>1453.416</v>
      </c>
      <c r="AN174">
        <f>O174*(1+'Scenario Modelling'!$B$4)</f>
        <v>18</v>
      </c>
      <c r="AO174" s="28">
        <f t="shared" si="63"/>
        <v>37867.42512</v>
      </c>
      <c r="AP174" s="10">
        <f t="shared" si="64"/>
        <v>11705.93712</v>
      </c>
    </row>
    <row r="175" spans="1:42">
      <c r="A175" t="s">
        <v>612</v>
      </c>
      <c r="B175" s="7">
        <v>45435</v>
      </c>
      <c r="C175" s="7">
        <v>45446</v>
      </c>
      <c r="D175" t="s">
        <v>177</v>
      </c>
      <c r="E175" t="s">
        <v>309</v>
      </c>
      <c r="F175" t="s">
        <v>310</v>
      </c>
      <c r="G175" t="s">
        <v>223</v>
      </c>
      <c r="H175" t="s">
        <v>216</v>
      </c>
      <c r="I175" t="s">
        <v>245</v>
      </c>
      <c r="J175" t="s">
        <v>191</v>
      </c>
      <c r="K175" t="s">
        <v>613</v>
      </c>
      <c r="L175" s="10">
        <v>180.89</v>
      </c>
      <c r="M175" s="10">
        <v>249.57</v>
      </c>
      <c r="N175" s="17">
        <v>0.022</v>
      </c>
      <c r="O175">
        <v>8</v>
      </c>
      <c r="P175" t="str">
        <f t="shared" si="45"/>
        <v>Valid</v>
      </c>
      <c r="Q175" s="10">
        <f t="shared" si="46"/>
        <v>249.57</v>
      </c>
      <c r="R175" t="b">
        <f t="shared" si="47"/>
        <v>0</v>
      </c>
      <c r="S175" s="17">
        <f t="shared" si="48"/>
        <v>0.022</v>
      </c>
      <c r="T175">
        <f t="shared" si="49"/>
        <v>11</v>
      </c>
      <c r="U175" s="26">
        <f t="shared" si="50"/>
        <v>45446</v>
      </c>
      <c r="V175">
        <f t="shared" si="51"/>
        <v>11</v>
      </c>
      <c r="W175" s="10">
        <f t="shared" si="52"/>
        <v>199612.07568</v>
      </c>
      <c r="X175" s="10">
        <f t="shared" si="53"/>
        <v>1996.56</v>
      </c>
      <c r="Y175" s="10">
        <f t="shared" si="54"/>
        <v>197615.51568</v>
      </c>
      <c r="Z175" s="14">
        <f t="shared" si="58"/>
        <v>0.989997799515894</v>
      </c>
      <c r="AA175" t="s">
        <v>1566</v>
      </c>
      <c r="AB175" t="str">
        <f t="shared" si="55"/>
        <v>Q2-2024</v>
      </c>
      <c r="AC175" t="str">
        <f t="shared" si="56"/>
        <v>Africa → South Africa → Johannesburg</v>
      </c>
      <c r="AD175" t="str">
        <f t="shared" si="57"/>
        <v>Peripherals</v>
      </c>
      <c r="AE175" s="8" t="str">
        <f t="shared" si="44"/>
        <v>Medium</v>
      </c>
      <c r="AF175" t="str">
        <f t="shared" si="59"/>
        <v>SOUTH AFRICA</v>
      </c>
      <c r="AG175" s="7">
        <v>44933</v>
      </c>
      <c r="AH175" t="str">
        <f t="shared" si="60"/>
        <v>Jan-2023</v>
      </c>
      <c r="AI175" s="9">
        <f t="shared" si="61"/>
        <v>45443</v>
      </c>
      <c r="AJ175">
        <f t="shared" si="65"/>
        <v>0</v>
      </c>
      <c r="AK175">
        <f t="shared" si="62"/>
        <v>0</v>
      </c>
      <c r="AL175" s="17">
        <f>MIN(N175,'Scenario Modelling'!$B$2)</f>
        <v>0.022</v>
      </c>
      <c r="AM175" s="10">
        <f>L175*(1+'Scenario Modelling'!$B$3)</f>
        <v>208.0235</v>
      </c>
      <c r="AN175">
        <f>O175*(1+'Scenario Modelling'!$B$4)</f>
        <v>9.6</v>
      </c>
      <c r="AO175" s="28">
        <f t="shared" si="63"/>
        <v>2343.162816</v>
      </c>
      <c r="AP175" s="10">
        <f t="shared" si="64"/>
        <v>346.137216</v>
      </c>
    </row>
    <row r="176" spans="1:42">
      <c r="A176" t="s">
        <v>614</v>
      </c>
      <c r="B176" s="7">
        <v>45761</v>
      </c>
      <c r="C176" s="7">
        <v>45781</v>
      </c>
      <c r="D176" t="s">
        <v>239</v>
      </c>
      <c r="E176" t="s">
        <v>269</v>
      </c>
      <c r="F176" t="s">
        <v>270</v>
      </c>
      <c r="G176" t="s">
        <v>266</v>
      </c>
      <c r="H176" t="s">
        <v>201</v>
      </c>
      <c r="I176" t="s">
        <v>256</v>
      </c>
      <c r="J176" t="s">
        <v>225</v>
      </c>
      <c r="K176" t="s">
        <v>615</v>
      </c>
      <c r="L176" s="10">
        <v>1413.87</v>
      </c>
      <c r="M176" s="10">
        <v>3275</v>
      </c>
      <c r="N176" s="17">
        <v>0.255</v>
      </c>
      <c r="O176">
        <v>38</v>
      </c>
      <c r="P176" t="str">
        <f t="shared" si="45"/>
        <v>Valid</v>
      </c>
      <c r="Q176" s="10">
        <f t="shared" si="46"/>
        <v>3275</v>
      </c>
      <c r="R176" t="b">
        <f t="shared" si="47"/>
        <v>0</v>
      </c>
      <c r="S176" s="17">
        <f t="shared" si="48"/>
        <v>0.255</v>
      </c>
      <c r="T176">
        <f t="shared" si="49"/>
        <v>20</v>
      </c>
      <c r="U176" s="26">
        <f t="shared" si="50"/>
        <v>45781</v>
      </c>
      <c r="V176">
        <f t="shared" si="51"/>
        <v>20</v>
      </c>
      <c r="W176" s="10">
        <f t="shared" si="52"/>
        <v>12413265.25</v>
      </c>
      <c r="X176" s="10">
        <f t="shared" si="53"/>
        <v>124450</v>
      </c>
      <c r="Y176" s="10">
        <f t="shared" si="54"/>
        <v>12288815.25</v>
      </c>
      <c r="Z176" s="14">
        <f t="shared" si="58"/>
        <v>0.989974434808762</v>
      </c>
      <c r="AA176" t="s">
        <v>1578</v>
      </c>
      <c r="AB176" t="str">
        <f t="shared" si="55"/>
        <v>Q2-2025</v>
      </c>
      <c r="AC176" t="str">
        <f t="shared" si="56"/>
        <v>Europe → United Kingdom → Birmingham</v>
      </c>
      <c r="AD176" t="str">
        <f t="shared" si="57"/>
        <v>Peripherals</v>
      </c>
      <c r="AE176" s="8" t="str">
        <f t="shared" si="44"/>
        <v>High</v>
      </c>
      <c r="AF176" t="str">
        <f t="shared" si="59"/>
        <v>UNITED KINGDOM</v>
      </c>
      <c r="AG176" s="7">
        <v>44945</v>
      </c>
      <c r="AH176" t="str">
        <f t="shared" si="60"/>
        <v>Jan-2023</v>
      </c>
      <c r="AI176" s="9">
        <f t="shared" si="61"/>
        <v>45777</v>
      </c>
      <c r="AJ176">
        <f t="shared" si="65"/>
        <v>0</v>
      </c>
      <c r="AK176">
        <f t="shared" si="62"/>
        <v>1</v>
      </c>
      <c r="AL176" s="17">
        <f>MIN(N176,'Scenario Modelling'!$B$2)</f>
        <v>0.25</v>
      </c>
      <c r="AM176" s="10">
        <f>L176*(1+'Scenario Modelling'!$B$3)</f>
        <v>1625.9505</v>
      </c>
      <c r="AN176">
        <f>O176*(1+'Scenario Modelling'!$B$4)</f>
        <v>45.6</v>
      </c>
      <c r="AO176" s="28">
        <f t="shared" si="63"/>
        <v>112005</v>
      </c>
      <c r="AP176" s="10">
        <f t="shared" si="64"/>
        <v>37861.6572</v>
      </c>
    </row>
    <row r="177" spans="1:42">
      <c r="A177" t="s">
        <v>616</v>
      </c>
      <c r="B177" s="7">
        <v>45165</v>
      </c>
      <c r="C177" s="7">
        <v>45180</v>
      </c>
      <c r="D177" t="s">
        <v>239</v>
      </c>
      <c r="E177" t="s">
        <v>269</v>
      </c>
      <c r="F177" t="s">
        <v>313</v>
      </c>
      <c r="G177" t="s">
        <v>209</v>
      </c>
      <c r="H177" t="s">
        <v>201</v>
      </c>
      <c r="I177" t="s">
        <v>287</v>
      </c>
      <c r="J177" t="s">
        <v>191</v>
      </c>
      <c r="K177" t="s">
        <v>617</v>
      </c>
      <c r="L177" s="10">
        <v>943.79</v>
      </c>
      <c r="M177" s="10">
        <v>1913.76</v>
      </c>
      <c r="N177" s="17">
        <v>0.091</v>
      </c>
      <c r="O177">
        <v>9</v>
      </c>
      <c r="P177" t="str">
        <f t="shared" si="45"/>
        <v>Valid</v>
      </c>
      <c r="Q177" s="10">
        <f t="shared" si="46"/>
        <v>1913.76</v>
      </c>
      <c r="R177" t="b">
        <f t="shared" si="47"/>
        <v>0</v>
      </c>
      <c r="S177" s="17">
        <f t="shared" si="48"/>
        <v>0.091</v>
      </c>
      <c r="T177">
        <f t="shared" si="49"/>
        <v>15</v>
      </c>
      <c r="U177" s="26">
        <f t="shared" si="50"/>
        <v>45180</v>
      </c>
      <c r="V177">
        <f t="shared" si="51"/>
        <v>15</v>
      </c>
      <c r="W177" s="10">
        <f t="shared" si="52"/>
        <v>1720816.63056</v>
      </c>
      <c r="X177" s="10">
        <f t="shared" si="53"/>
        <v>17223.84</v>
      </c>
      <c r="Y177" s="10">
        <f t="shared" si="54"/>
        <v>1703592.79056</v>
      </c>
      <c r="Z177" s="14">
        <f t="shared" si="58"/>
        <v>0.989990891711457</v>
      </c>
      <c r="AA177" t="s">
        <v>1585</v>
      </c>
      <c r="AB177" t="str">
        <f t="shared" si="55"/>
        <v>Q3-2023</v>
      </c>
      <c r="AC177" t="str">
        <f t="shared" si="56"/>
        <v>Europe → United Kingdom → London</v>
      </c>
      <c r="AD177" t="str">
        <f t="shared" si="57"/>
        <v>Peripherals</v>
      </c>
      <c r="AE177" s="8" t="str">
        <f t="shared" si="44"/>
        <v>Low</v>
      </c>
      <c r="AF177" t="str">
        <f t="shared" si="59"/>
        <v>UNITED KINGDOM</v>
      </c>
      <c r="AG177" s="7">
        <v>44945</v>
      </c>
      <c r="AH177" t="str">
        <f t="shared" si="60"/>
        <v>Jan-2023</v>
      </c>
      <c r="AI177" s="9">
        <f t="shared" si="61"/>
        <v>45169</v>
      </c>
      <c r="AJ177">
        <f t="shared" si="65"/>
        <v>0</v>
      </c>
      <c r="AK177">
        <f t="shared" si="62"/>
        <v>0</v>
      </c>
      <c r="AL177" s="17">
        <f>MIN(N177,'Scenario Modelling'!$B$2)</f>
        <v>0.091</v>
      </c>
      <c r="AM177" s="10">
        <f>L177*(1+'Scenario Modelling'!$B$3)</f>
        <v>1085.3585</v>
      </c>
      <c r="AN177">
        <f>O177*(1+'Scenario Modelling'!$B$4)</f>
        <v>10.8</v>
      </c>
      <c r="AO177" s="28">
        <f t="shared" si="63"/>
        <v>18787.764672</v>
      </c>
      <c r="AP177" s="10">
        <f t="shared" si="64"/>
        <v>7065.892872</v>
      </c>
    </row>
    <row r="178" spans="1:42">
      <c r="A178" t="s">
        <v>618</v>
      </c>
      <c r="B178" s="7">
        <v>45325</v>
      </c>
      <c r="C178" s="7">
        <v>45343</v>
      </c>
      <c r="D178" t="s">
        <v>239</v>
      </c>
      <c r="E178" t="s">
        <v>240</v>
      </c>
      <c r="F178" t="s">
        <v>496</v>
      </c>
      <c r="G178" t="s">
        <v>180</v>
      </c>
      <c r="H178" t="s">
        <v>181</v>
      </c>
      <c r="I178" t="s">
        <v>253</v>
      </c>
      <c r="J178" t="s">
        <v>183</v>
      </c>
      <c r="K178" t="s">
        <v>619</v>
      </c>
      <c r="L178" s="10">
        <v>39.23</v>
      </c>
      <c r="M178" s="10">
        <v>30.09</v>
      </c>
      <c r="N178" s="17">
        <v>0.177</v>
      </c>
      <c r="O178">
        <v>13</v>
      </c>
      <c r="P178" t="str">
        <f t="shared" si="45"/>
        <v>Valid</v>
      </c>
      <c r="Q178" s="10">
        <f t="shared" si="46"/>
        <v>30.09</v>
      </c>
      <c r="R178" t="b">
        <f t="shared" si="47"/>
        <v>0</v>
      </c>
      <c r="S178" s="17">
        <f t="shared" si="48"/>
        <v>0.177</v>
      </c>
      <c r="T178">
        <f t="shared" si="49"/>
        <v>18</v>
      </c>
      <c r="U178" s="26">
        <f t="shared" si="50"/>
        <v>45343</v>
      </c>
      <c r="V178">
        <f t="shared" si="51"/>
        <v>18</v>
      </c>
      <c r="W178" s="10">
        <f t="shared" si="52"/>
        <v>39047.76291</v>
      </c>
      <c r="X178" s="10">
        <f t="shared" si="53"/>
        <v>391.17</v>
      </c>
      <c r="Y178" s="10">
        <f t="shared" si="54"/>
        <v>38656.59291</v>
      </c>
      <c r="Z178" s="14">
        <f t="shared" si="58"/>
        <v>0.989982268615449</v>
      </c>
      <c r="AA178" t="s">
        <v>1594</v>
      </c>
      <c r="AB178" t="str">
        <f t="shared" si="55"/>
        <v>Q1-2024</v>
      </c>
      <c r="AC178" t="str">
        <f t="shared" si="56"/>
        <v>Europe → Germany → Frankfurt</v>
      </c>
      <c r="AD178" t="str">
        <f t="shared" si="57"/>
        <v>Support</v>
      </c>
      <c r="AE178" s="8" t="str">
        <f t="shared" si="44"/>
        <v>Medium</v>
      </c>
      <c r="AF178" t="str">
        <f t="shared" si="59"/>
        <v>GERMANY</v>
      </c>
      <c r="AG178" s="7">
        <v>44948</v>
      </c>
      <c r="AH178" t="str">
        <f t="shared" si="60"/>
        <v>Jan-2023</v>
      </c>
      <c r="AI178" s="9">
        <f t="shared" si="61"/>
        <v>45351</v>
      </c>
      <c r="AJ178">
        <f t="shared" si="65"/>
        <v>0</v>
      </c>
      <c r="AK178">
        <f t="shared" si="62"/>
        <v>0</v>
      </c>
      <c r="AL178" s="17">
        <f>MIN(N178,'Scenario Modelling'!$B$2)</f>
        <v>0.177</v>
      </c>
      <c r="AM178" s="10">
        <f>L178*(1+'Scenario Modelling'!$B$3)</f>
        <v>45.1145</v>
      </c>
      <c r="AN178">
        <f>O178*(1+'Scenario Modelling'!$B$4)</f>
        <v>15.6</v>
      </c>
      <c r="AO178" s="28">
        <f t="shared" si="63"/>
        <v>386.319492</v>
      </c>
      <c r="AP178" s="10">
        <f t="shared" si="64"/>
        <v>-317.466708</v>
      </c>
    </row>
    <row r="179" spans="1:42">
      <c r="A179" t="s">
        <v>620</v>
      </c>
      <c r="B179" s="7">
        <v>45021</v>
      </c>
      <c r="C179" s="7">
        <v>45032</v>
      </c>
      <c r="D179" t="s">
        <v>213</v>
      </c>
      <c r="E179" t="s">
        <v>214</v>
      </c>
      <c r="F179" t="s">
        <v>340</v>
      </c>
      <c r="G179" t="s">
        <v>200</v>
      </c>
      <c r="H179" t="s">
        <v>189</v>
      </c>
      <c r="I179" t="s">
        <v>229</v>
      </c>
      <c r="J179" t="s">
        <v>225</v>
      </c>
      <c r="K179" t="s">
        <v>621</v>
      </c>
      <c r="L179" s="10">
        <v>213.1</v>
      </c>
      <c r="M179" s="10">
        <v>501.31</v>
      </c>
      <c r="N179" s="17">
        <v>0.056</v>
      </c>
      <c r="O179">
        <v>15</v>
      </c>
      <c r="P179" t="str">
        <f t="shared" si="45"/>
        <v>Valid</v>
      </c>
      <c r="Q179" s="10">
        <f t="shared" si="46"/>
        <v>501.31</v>
      </c>
      <c r="R179" t="b">
        <f t="shared" si="47"/>
        <v>0</v>
      </c>
      <c r="S179" s="17">
        <f t="shared" si="48"/>
        <v>0.056</v>
      </c>
      <c r="T179">
        <f t="shared" si="49"/>
        <v>11</v>
      </c>
      <c r="U179" s="26">
        <f t="shared" si="50"/>
        <v>45032</v>
      </c>
      <c r="V179">
        <f t="shared" si="51"/>
        <v>11</v>
      </c>
      <c r="W179" s="10">
        <f t="shared" si="52"/>
        <v>751543.8996</v>
      </c>
      <c r="X179" s="10">
        <f t="shared" si="53"/>
        <v>7519.65</v>
      </c>
      <c r="Y179" s="10">
        <f t="shared" si="54"/>
        <v>744024.2496</v>
      </c>
      <c r="Z179" s="14">
        <f t="shared" si="58"/>
        <v>0.989994396862243</v>
      </c>
      <c r="AA179" t="s">
        <v>1571</v>
      </c>
      <c r="AB179" t="str">
        <f t="shared" si="55"/>
        <v>Q2-2023</v>
      </c>
      <c r="AC179" t="str">
        <f t="shared" si="56"/>
        <v>Americas → Canada → Vancouver</v>
      </c>
      <c r="AD179" t="str">
        <f t="shared" si="57"/>
        <v>Peripherals</v>
      </c>
      <c r="AE179" s="8" t="str">
        <f t="shared" si="44"/>
        <v>Low</v>
      </c>
      <c r="AF179" t="str">
        <f t="shared" si="59"/>
        <v>CANADA</v>
      </c>
      <c r="AG179" s="7">
        <v>44928</v>
      </c>
      <c r="AH179" t="str">
        <f t="shared" si="60"/>
        <v>Jan-2023</v>
      </c>
      <c r="AI179" s="9">
        <f t="shared" si="61"/>
        <v>45046</v>
      </c>
      <c r="AJ179">
        <f t="shared" si="65"/>
        <v>0</v>
      </c>
      <c r="AK179">
        <f t="shared" si="62"/>
        <v>0</v>
      </c>
      <c r="AL179" s="17">
        <f>MIN(N179,'Scenario Modelling'!$B$2)</f>
        <v>0.056</v>
      </c>
      <c r="AM179" s="10">
        <f>L179*(1+'Scenario Modelling'!$B$3)</f>
        <v>245.065</v>
      </c>
      <c r="AN179">
        <f>O179*(1+'Scenario Modelling'!$B$4)</f>
        <v>18</v>
      </c>
      <c r="AO179" s="28">
        <f t="shared" si="63"/>
        <v>8518.25952</v>
      </c>
      <c r="AP179" s="10">
        <f t="shared" si="64"/>
        <v>4107.08952</v>
      </c>
    </row>
    <row r="180" spans="1:42">
      <c r="A180" t="s">
        <v>622</v>
      </c>
      <c r="B180" s="7">
        <v>45890</v>
      </c>
      <c r="C180" s="7">
        <v>45912</v>
      </c>
      <c r="D180" t="s">
        <v>206</v>
      </c>
      <c r="E180" t="s">
        <v>277</v>
      </c>
      <c r="F180" t="s">
        <v>278</v>
      </c>
      <c r="G180" t="s">
        <v>188</v>
      </c>
      <c r="H180" t="s">
        <v>181</v>
      </c>
      <c r="I180" t="s">
        <v>217</v>
      </c>
      <c r="J180" t="s">
        <v>191</v>
      </c>
      <c r="K180" t="s">
        <v>623</v>
      </c>
      <c r="L180" s="10">
        <v>352.66</v>
      </c>
      <c r="M180" s="10">
        <v>411.18</v>
      </c>
      <c r="N180" s="17">
        <v>0.173</v>
      </c>
      <c r="O180">
        <v>13</v>
      </c>
      <c r="P180" t="str">
        <f t="shared" si="45"/>
        <v>Valid</v>
      </c>
      <c r="Q180" s="10">
        <f t="shared" si="46"/>
        <v>411.18</v>
      </c>
      <c r="R180" t="b">
        <f t="shared" si="47"/>
        <v>0</v>
      </c>
      <c r="S180" s="17">
        <f t="shared" si="48"/>
        <v>0.173</v>
      </c>
      <c r="T180">
        <f t="shared" si="49"/>
        <v>22</v>
      </c>
      <c r="U180" s="26">
        <f t="shared" si="50"/>
        <v>45912</v>
      </c>
      <c r="V180">
        <f t="shared" si="51"/>
        <v>22</v>
      </c>
      <c r="W180" s="10">
        <f t="shared" si="52"/>
        <v>533609.25618</v>
      </c>
      <c r="X180" s="10">
        <f t="shared" si="53"/>
        <v>5345.34</v>
      </c>
      <c r="Y180" s="10">
        <f t="shared" si="54"/>
        <v>528263.91618</v>
      </c>
      <c r="Z180" s="14">
        <f t="shared" si="58"/>
        <v>0.989982670019133</v>
      </c>
      <c r="AA180" t="s">
        <v>1590</v>
      </c>
      <c r="AB180" t="str">
        <f t="shared" si="55"/>
        <v>Q3-2025</v>
      </c>
      <c r="AC180" t="str">
        <f t="shared" si="56"/>
        <v>Asia → China → Shenzhen</v>
      </c>
      <c r="AD180" t="str">
        <f t="shared" si="57"/>
        <v>Peripherals</v>
      </c>
      <c r="AE180" s="8" t="str">
        <f t="shared" si="44"/>
        <v>High</v>
      </c>
      <c r="AF180" t="str">
        <f t="shared" si="59"/>
        <v>CHINA</v>
      </c>
      <c r="AG180" s="7">
        <v>44938</v>
      </c>
      <c r="AH180" t="str">
        <f t="shared" si="60"/>
        <v>Jan-2023</v>
      </c>
      <c r="AI180" s="9">
        <f t="shared" si="61"/>
        <v>45900</v>
      </c>
      <c r="AJ180">
        <f t="shared" si="65"/>
        <v>0</v>
      </c>
      <c r="AK180">
        <f t="shared" si="62"/>
        <v>0</v>
      </c>
      <c r="AL180" s="17">
        <f>MIN(N180,'Scenario Modelling'!$B$2)</f>
        <v>0.173</v>
      </c>
      <c r="AM180" s="10">
        <f>L180*(1+'Scenario Modelling'!$B$3)</f>
        <v>405.559</v>
      </c>
      <c r="AN180">
        <f>O180*(1+'Scenario Modelling'!$B$4)</f>
        <v>15.6</v>
      </c>
      <c r="AO180" s="28">
        <f t="shared" si="63"/>
        <v>5304.715416</v>
      </c>
      <c r="AP180" s="10">
        <f t="shared" si="64"/>
        <v>-1022.004984</v>
      </c>
    </row>
    <row r="181" spans="1:42">
      <c r="A181" t="s">
        <v>624</v>
      </c>
      <c r="B181" s="7">
        <v>45915</v>
      </c>
      <c r="C181" s="7">
        <v>45918</v>
      </c>
      <c r="D181" t="s">
        <v>213</v>
      </c>
      <c r="E181" t="s">
        <v>234</v>
      </c>
      <c r="F181" t="s">
        <v>386</v>
      </c>
      <c r="G181" t="s">
        <v>200</v>
      </c>
      <c r="H181" t="s">
        <v>259</v>
      </c>
      <c r="I181" t="s">
        <v>210</v>
      </c>
      <c r="J181" t="s">
        <v>242</v>
      </c>
      <c r="K181" t="s">
        <v>625</v>
      </c>
      <c r="L181" s="10">
        <v>5.5</v>
      </c>
      <c r="M181" s="10">
        <v>5.92</v>
      </c>
      <c r="N181" s="17">
        <v>0.212</v>
      </c>
      <c r="O181">
        <v>4</v>
      </c>
      <c r="P181" t="str">
        <f t="shared" si="45"/>
        <v>Valid</v>
      </c>
      <c r="Q181" s="10">
        <f t="shared" si="46"/>
        <v>5.92</v>
      </c>
      <c r="R181" t="b">
        <f t="shared" si="47"/>
        <v>0</v>
      </c>
      <c r="S181" s="17">
        <f t="shared" si="48"/>
        <v>0.212</v>
      </c>
      <c r="T181">
        <f t="shared" si="49"/>
        <v>3</v>
      </c>
      <c r="U181" s="26">
        <f t="shared" si="50"/>
        <v>45918</v>
      </c>
      <c r="V181">
        <f t="shared" si="51"/>
        <v>3</v>
      </c>
      <c r="W181" s="10">
        <f t="shared" si="52"/>
        <v>2362.97984</v>
      </c>
      <c r="X181" s="10">
        <f t="shared" si="53"/>
        <v>23.68</v>
      </c>
      <c r="Y181" s="10">
        <f t="shared" si="54"/>
        <v>2339.29984</v>
      </c>
      <c r="Z181" s="14">
        <f t="shared" si="58"/>
        <v>0.989978754960516</v>
      </c>
      <c r="AA181" t="s">
        <v>1570</v>
      </c>
      <c r="AB181" t="str">
        <f t="shared" si="55"/>
        <v>Q3-2025</v>
      </c>
      <c r="AC181" t="str">
        <f t="shared" si="56"/>
        <v>Americas → Brazil → Rio de Janeiro</v>
      </c>
      <c r="AD181" t="str">
        <f t="shared" si="57"/>
        <v>Support</v>
      </c>
      <c r="AE181" s="8" t="str">
        <f t="shared" si="44"/>
        <v>High</v>
      </c>
      <c r="AF181" t="str">
        <f t="shared" si="59"/>
        <v>BRAZIL</v>
      </c>
      <c r="AG181" s="7">
        <v>44955</v>
      </c>
      <c r="AH181" t="str">
        <f t="shared" si="60"/>
        <v>Jan-2023</v>
      </c>
      <c r="AI181" s="9">
        <f t="shared" si="61"/>
        <v>45930</v>
      </c>
      <c r="AJ181">
        <f t="shared" si="65"/>
        <v>1</v>
      </c>
      <c r="AK181">
        <f t="shared" si="62"/>
        <v>1</v>
      </c>
      <c r="AL181" s="17">
        <f>MIN(N181,'Scenario Modelling'!$B$2)</f>
        <v>0.212</v>
      </c>
      <c r="AM181" s="10">
        <f>L181*(1+'Scenario Modelling'!$B$3)</f>
        <v>6.325</v>
      </c>
      <c r="AN181">
        <f>O181*(1+'Scenario Modelling'!$B$4)</f>
        <v>4.8</v>
      </c>
      <c r="AO181" s="28">
        <f t="shared" si="63"/>
        <v>22.391808</v>
      </c>
      <c r="AP181" s="10">
        <f t="shared" si="64"/>
        <v>-7.968192</v>
      </c>
    </row>
    <row r="182" spans="1:42">
      <c r="A182" t="s">
        <v>626</v>
      </c>
      <c r="B182" s="7">
        <v>45568</v>
      </c>
      <c r="C182" s="7">
        <v>45576</v>
      </c>
      <c r="D182" t="s">
        <v>206</v>
      </c>
      <c r="E182" t="s">
        <v>277</v>
      </c>
      <c r="F182" t="s">
        <v>499</v>
      </c>
      <c r="G182" t="s">
        <v>266</v>
      </c>
      <c r="H182" t="s">
        <v>259</v>
      </c>
      <c r="I182" t="s">
        <v>217</v>
      </c>
      <c r="J182" t="s">
        <v>203</v>
      </c>
      <c r="K182" t="s">
        <v>627</v>
      </c>
      <c r="L182" s="10">
        <v>1132.61</v>
      </c>
      <c r="M182" s="10">
        <v>2206.63</v>
      </c>
      <c r="N182" s="17">
        <v>0.063</v>
      </c>
      <c r="O182">
        <v>20</v>
      </c>
      <c r="P182" t="str">
        <f t="shared" si="45"/>
        <v>Valid</v>
      </c>
      <c r="Q182" s="10">
        <f t="shared" si="46"/>
        <v>2206.63</v>
      </c>
      <c r="R182" t="b">
        <f t="shared" si="47"/>
        <v>0</v>
      </c>
      <c r="S182" s="17">
        <f t="shared" si="48"/>
        <v>0.063</v>
      </c>
      <c r="T182">
        <f t="shared" si="49"/>
        <v>8</v>
      </c>
      <c r="U182" s="26">
        <f t="shared" si="50"/>
        <v>45576</v>
      </c>
      <c r="V182">
        <f t="shared" si="51"/>
        <v>8</v>
      </c>
      <c r="W182" s="10">
        <f t="shared" si="52"/>
        <v>4410479.6462</v>
      </c>
      <c r="X182" s="10">
        <f t="shared" si="53"/>
        <v>44132.6</v>
      </c>
      <c r="Y182" s="10">
        <f t="shared" si="54"/>
        <v>4366347.0462</v>
      </c>
      <c r="Z182" s="14">
        <f t="shared" si="58"/>
        <v>0.989993696028498</v>
      </c>
      <c r="AA182" t="s">
        <v>1561</v>
      </c>
      <c r="AB182" t="str">
        <f t="shared" si="55"/>
        <v>Q4-2024</v>
      </c>
      <c r="AC182" t="str">
        <f t="shared" si="56"/>
        <v>Asia → China → Beijing</v>
      </c>
      <c r="AD182" t="str">
        <f t="shared" si="57"/>
        <v>Devices</v>
      </c>
      <c r="AE182" s="8" t="str">
        <f t="shared" ref="AE182:AE245" si="66">IF(B182&lt;=PERCENTILE($B$2:$B$632,0.33),"Low",IF(B182&lt;=PERCENTILE($B$2:$B$632,0.66),"Medium","High"))</f>
        <v>Medium</v>
      </c>
      <c r="AF182" t="str">
        <f t="shared" si="59"/>
        <v>CHINA</v>
      </c>
      <c r="AG182" s="7">
        <v>44938</v>
      </c>
      <c r="AH182" t="str">
        <f t="shared" si="60"/>
        <v>Jan-2023</v>
      </c>
      <c r="AI182" s="9">
        <f t="shared" si="61"/>
        <v>45596</v>
      </c>
      <c r="AJ182">
        <f t="shared" si="65"/>
        <v>0</v>
      </c>
      <c r="AK182">
        <f t="shared" si="62"/>
        <v>0</v>
      </c>
      <c r="AL182" s="17">
        <f>MIN(N182,'Scenario Modelling'!$B$2)</f>
        <v>0.063</v>
      </c>
      <c r="AM182" s="10">
        <f>L182*(1+'Scenario Modelling'!$B$3)</f>
        <v>1302.5015</v>
      </c>
      <c r="AN182">
        <f>O182*(1+'Scenario Modelling'!$B$4)</f>
        <v>24</v>
      </c>
      <c r="AO182" s="28">
        <f t="shared" si="63"/>
        <v>49622.69544</v>
      </c>
      <c r="AP182" s="10">
        <f t="shared" si="64"/>
        <v>18362.65944</v>
      </c>
    </row>
    <row r="183" spans="1:42">
      <c r="A183" t="s">
        <v>628</v>
      </c>
      <c r="B183" s="7">
        <v>45690</v>
      </c>
      <c r="C183" s="7">
        <v>45720</v>
      </c>
      <c r="D183" t="s">
        <v>206</v>
      </c>
      <c r="E183" t="s">
        <v>207</v>
      </c>
      <c r="F183" t="s">
        <v>208</v>
      </c>
      <c r="G183" t="s">
        <v>188</v>
      </c>
      <c r="H183" t="s">
        <v>216</v>
      </c>
      <c r="I183" t="s">
        <v>210</v>
      </c>
      <c r="J183" t="s">
        <v>242</v>
      </c>
      <c r="K183" t="s">
        <v>629</v>
      </c>
      <c r="L183" s="10">
        <v>766.59</v>
      </c>
      <c r="M183" s="10">
        <v>1912.8</v>
      </c>
      <c r="N183" s="17">
        <v>0.196</v>
      </c>
      <c r="O183">
        <v>5</v>
      </c>
      <c r="P183" t="str">
        <f t="shared" si="45"/>
        <v>Valid</v>
      </c>
      <c r="Q183" s="10">
        <f t="shared" si="46"/>
        <v>1912.8</v>
      </c>
      <c r="R183" t="b">
        <f t="shared" si="47"/>
        <v>0</v>
      </c>
      <c r="S183" s="17">
        <f t="shared" si="48"/>
        <v>0.196</v>
      </c>
      <c r="T183">
        <f t="shared" si="49"/>
        <v>30</v>
      </c>
      <c r="U183" s="26">
        <f t="shared" si="50"/>
        <v>45720</v>
      </c>
      <c r="V183">
        <f t="shared" si="51"/>
        <v>30</v>
      </c>
      <c r="W183" s="10">
        <f t="shared" si="52"/>
        <v>954525.456</v>
      </c>
      <c r="X183" s="10">
        <f t="shared" si="53"/>
        <v>9564</v>
      </c>
      <c r="Y183" s="10">
        <f t="shared" si="54"/>
        <v>944961.456</v>
      </c>
      <c r="Z183" s="14">
        <f t="shared" si="58"/>
        <v>0.989980361508557</v>
      </c>
      <c r="AA183" t="s">
        <v>1586</v>
      </c>
      <c r="AB183" t="str">
        <f t="shared" si="55"/>
        <v>Q1-2025</v>
      </c>
      <c r="AC183" t="str">
        <f t="shared" si="56"/>
        <v>Asia → Japan → Osaka</v>
      </c>
      <c r="AD183" t="str">
        <f t="shared" si="57"/>
        <v>Support</v>
      </c>
      <c r="AE183" s="8" t="str">
        <f t="shared" si="66"/>
        <v>High</v>
      </c>
      <c r="AF183" t="str">
        <f t="shared" si="59"/>
        <v>JAPAN</v>
      </c>
      <c r="AG183" s="7">
        <v>44988</v>
      </c>
      <c r="AH183" t="str">
        <f t="shared" si="60"/>
        <v>Mar-2023</v>
      </c>
      <c r="AI183" s="9">
        <f t="shared" si="61"/>
        <v>45716</v>
      </c>
      <c r="AJ183">
        <f t="shared" si="65"/>
        <v>0</v>
      </c>
      <c r="AK183">
        <f t="shared" si="62"/>
        <v>0</v>
      </c>
      <c r="AL183" s="17">
        <f>MIN(N183,'Scenario Modelling'!$B$2)</f>
        <v>0.196</v>
      </c>
      <c r="AM183" s="10">
        <f>L183*(1+'Scenario Modelling'!$B$3)</f>
        <v>881.5785</v>
      </c>
      <c r="AN183">
        <f>O183*(1+'Scenario Modelling'!$B$4)</f>
        <v>6</v>
      </c>
      <c r="AO183" s="28">
        <f t="shared" si="63"/>
        <v>9227.3472</v>
      </c>
      <c r="AP183" s="10">
        <f t="shared" si="64"/>
        <v>3937.8762</v>
      </c>
    </row>
    <row r="184" spans="1:42">
      <c r="A184" t="s">
        <v>630</v>
      </c>
      <c r="B184" s="7">
        <v>45157</v>
      </c>
      <c r="C184" s="7">
        <v>45161</v>
      </c>
      <c r="D184" t="s">
        <v>177</v>
      </c>
      <c r="E184" t="s">
        <v>186</v>
      </c>
      <c r="F184" t="s">
        <v>228</v>
      </c>
      <c r="G184" t="s">
        <v>223</v>
      </c>
      <c r="H184" t="s">
        <v>189</v>
      </c>
      <c r="I184" t="s">
        <v>190</v>
      </c>
      <c r="J184" t="s">
        <v>225</v>
      </c>
      <c r="K184" t="s">
        <v>631</v>
      </c>
      <c r="L184" s="10">
        <v>790.63</v>
      </c>
      <c r="M184" s="10">
        <v>1382.31</v>
      </c>
      <c r="N184" s="17">
        <v>0.101</v>
      </c>
      <c r="O184">
        <v>7</v>
      </c>
      <c r="P184" t="str">
        <f t="shared" si="45"/>
        <v>Valid</v>
      </c>
      <c r="Q184" s="10">
        <f t="shared" si="46"/>
        <v>1382.31</v>
      </c>
      <c r="R184" t="b">
        <f t="shared" si="47"/>
        <v>0</v>
      </c>
      <c r="S184" s="17">
        <f t="shared" si="48"/>
        <v>0.101</v>
      </c>
      <c r="T184">
        <f t="shared" si="49"/>
        <v>4</v>
      </c>
      <c r="U184" s="26">
        <f t="shared" si="50"/>
        <v>45161</v>
      </c>
      <c r="V184">
        <f t="shared" si="51"/>
        <v>4</v>
      </c>
      <c r="W184" s="10">
        <f t="shared" si="52"/>
        <v>966639.70683</v>
      </c>
      <c r="X184" s="10">
        <f t="shared" si="53"/>
        <v>9676.17</v>
      </c>
      <c r="Y184" s="10">
        <f t="shared" si="54"/>
        <v>956963.53683</v>
      </c>
      <c r="Z184" s="14">
        <f t="shared" si="58"/>
        <v>0.989989889788687</v>
      </c>
      <c r="AA184" t="s">
        <v>1585</v>
      </c>
      <c r="AB184" t="str">
        <f t="shared" si="55"/>
        <v>Q3-2023</v>
      </c>
      <c r="AC184" t="str">
        <f t="shared" si="56"/>
        <v>Africa → Nigeria → Abuja</v>
      </c>
      <c r="AD184" t="str">
        <f t="shared" si="57"/>
        <v>Peripherals</v>
      </c>
      <c r="AE184" s="8" t="str">
        <f t="shared" si="66"/>
        <v>Low</v>
      </c>
      <c r="AF184" t="str">
        <f t="shared" si="59"/>
        <v>NIGERIA</v>
      </c>
      <c r="AG184" s="7">
        <v>44941</v>
      </c>
      <c r="AH184" t="str">
        <f t="shared" si="60"/>
        <v>Jan-2023</v>
      </c>
      <c r="AI184" s="9">
        <f t="shared" si="61"/>
        <v>45169</v>
      </c>
      <c r="AJ184">
        <f t="shared" si="65"/>
        <v>1</v>
      </c>
      <c r="AK184">
        <f t="shared" si="62"/>
        <v>0</v>
      </c>
      <c r="AL184" s="17">
        <f>MIN(N184,'Scenario Modelling'!$B$2)</f>
        <v>0.101</v>
      </c>
      <c r="AM184" s="10">
        <f>L184*(1+'Scenario Modelling'!$B$3)</f>
        <v>909.2245</v>
      </c>
      <c r="AN184">
        <f>O184*(1+'Scenario Modelling'!$B$4)</f>
        <v>8.4</v>
      </c>
      <c r="AO184" s="28">
        <f t="shared" si="63"/>
        <v>10438.652196</v>
      </c>
      <c r="AP184" s="10">
        <f t="shared" si="64"/>
        <v>2801.166396</v>
      </c>
    </row>
    <row r="185" spans="1:42">
      <c r="A185" t="s">
        <v>632</v>
      </c>
      <c r="B185" s="7">
        <v>45587</v>
      </c>
      <c r="C185" s="7">
        <v>45594</v>
      </c>
      <c r="D185" t="s">
        <v>177</v>
      </c>
      <c r="E185" t="s">
        <v>186</v>
      </c>
      <c r="F185" t="s">
        <v>187</v>
      </c>
      <c r="G185" t="s">
        <v>266</v>
      </c>
      <c r="H185" t="s">
        <v>216</v>
      </c>
      <c r="I185" t="s">
        <v>271</v>
      </c>
      <c r="J185" t="s">
        <v>225</v>
      </c>
      <c r="K185" t="s">
        <v>633</v>
      </c>
      <c r="L185" s="10">
        <v>1023.06</v>
      </c>
      <c r="M185" s="10">
        <v>1355.61</v>
      </c>
      <c r="N185" s="17">
        <v>0.153</v>
      </c>
      <c r="O185">
        <v>23</v>
      </c>
      <c r="P185" t="str">
        <f t="shared" si="45"/>
        <v>Valid</v>
      </c>
      <c r="Q185" s="10">
        <f t="shared" si="46"/>
        <v>1355.61</v>
      </c>
      <c r="R185" t="b">
        <f t="shared" si="47"/>
        <v>0</v>
      </c>
      <c r="S185" s="17">
        <f t="shared" si="48"/>
        <v>0.153</v>
      </c>
      <c r="T185">
        <f t="shared" si="49"/>
        <v>7</v>
      </c>
      <c r="U185" s="26">
        <f t="shared" si="50"/>
        <v>45594</v>
      </c>
      <c r="V185">
        <f t="shared" si="51"/>
        <v>7</v>
      </c>
      <c r="W185" s="10">
        <f t="shared" si="52"/>
        <v>3113132.60841</v>
      </c>
      <c r="X185" s="10">
        <f t="shared" si="53"/>
        <v>31179.03</v>
      </c>
      <c r="Y185" s="10">
        <f t="shared" si="54"/>
        <v>3081953.57841</v>
      </c>
      <c r="Z185" s="14">
        <f t="shared" si="58"/>
        <v>0.989984676555129</v>
      </c>
      <c r="AA185" t="s">
        <v>1561</v>
      </c>
      <c r="AB185" t="str">
        <f t="shared" si="55"/>
        <v>Q4-2024</v>
      </c>
      <c r="AC185" t="str">
        <f t="shared" si="56"/>
        <v>Africa → Nigeria → Port Harcourt</v>
      </c>
      <c r="AD185" t="str">
        <f t="shared" si="57"/>
        <v>Peripherals</v>
      </c>
      <c r="AE185" s="8" t="str">
        <f t="shared" si="66"/>
        <v>Medium</v>
      </c>
      <c r="AF185" t="str">
        <f t="shared" si="59"/>
        <v>NIGERIA</v>
      </c>
      <c r="AG185" s="7">
        <v>44941</v>
      </c>
      <c r="AH185" t="str">
        <f t="shared" si="60"/>
        <v>Jan-2023</v>
      </c>
      <c r="AI185" s="9">
        <f t="shared" si="61"/>
        <v>45596</v>
      </c>
      <c r="AJ185">
        <f t="shared" si="65"/>
        <v>1</v>
      </c>
      <c r="AK185">
        <f t="shared" si="62"/>
        <v>0</v>
      </c>
      <c r="AL185" s="17">
        <f>MIN(N185,'Scenario Modelling'!$B$2)</f>
        <v>0.153</v>
      </c>
      <c r="AM185" s="10">
        <f>L185*(1+'Scenario Modelling'!$B$3)</f>
        <v>1176.519</v>
      </c>
      <c r="AN185">
        <f>O185*(1+'Scenario Modelling'!$B$4)</f>
        <v>27.6</v>
      </c>
      <c r="AO185" s="28">
        <f t="shared" si="63"/>
        <v>31690.366092</v>
      </c>
      <c r="AP185" s="10">
        <f t="shared" si="64"/>
        <v>-781.558307999996</v>
      </c>
    </row>
    <row r="186" spans="1:42">
      <c r="A186" t="s">
        <v>634</v>
      </c>
      <c r="B186" s="7">
        <v>45099</v>
      </c>
      <c r="C186" s="7">
        <v>45128</v>
      </c>
      <c r="D186" t="s">
        <v>239</v>
      </c>
      <c r="E186" t="s">
        <v>251</v>
      </c>
      <c r="F186" t="s">
        <v>299</v>
      </c>
      <c r="G186" t="s">
        <v>180</v>
      </c>
      <c r="H186" t="s">
        <v>181</v>
      </c>
      <c r="I186" t="s">
        <v>190</v>
      </c>
      <c r="J186" t="s">
        <v>242</v>
      </c>
      <c r="K186" t="s">
        <v>635</v>
      </c>
      <c r="L186" s="10">
        <v>734.34</v>
      </c>
      <c r="M186" s="10">
        <v>887.9</v>
      </c>
      <c r="N186" s="17">
        <v>0.025</v>
      </c>
      <c r="O186">
        <v>12</v>
      </c>
      <c r="P186" t="str">
        <f t="shared" si="45"/>
        <v>Valid</v>
      </c>
      <c r="Q186" s="10">
        <f t="shared" si="46"/>
        <v>887.9</v>
      </c>
      <c r="R186" t="b">
        <f t="shared" si="47"/>
        <v>0</v>
      </c>
      <c r="S186" s="17">
        <f t="shared" si="48"/>
        <v>0.025</v>
      </c>
      <c r="T186">
        <f t="shared" si="49"/>
        <v>29</v>
      </c>
      <c r="U186" s="26">
        <f t="shared" si="50"/>
        <v>45128</v>
      </c>
      <c r="V186">
        <f t="shared" si="51"/>
        <v>29</v>
      </c>
      <c r="W186" s="10">
        <f t="shared" si="52"/>
        <v>1065213.63</v>
      </c>
      <c r="X186" s="10">
        <f t="shared" si="53"/>
        <v>10654.8</v>
      </c>
      <c r="Y186" s="10">
        <f t="shared" si="54"/>
        <v>1054558.83</v>
      </c>
      <c r="Z186" s="14">
        <f t="shared" si="58"/>
        <v>0.989997499374844</v>
      </c>
      <c r="AA186" t="s">
        <v>1583</v>
      </c>
      <c r="AB186" t="str">
        <f t="shared" si="55"/>
        <v>Q2-2023</v>
      </c>
      <c r="AC186" t="str">
        <f t="shared" si="56"/>
        <v>Europe → France → Lyon</v>
      </c>
      <c r="AD186" t="str">
        <f t="shared" si="57"/>
        <v>Support</v>
      </c>
      <c r="AE186" s="8" t="str">
        <f t="shared" si="66"/>
        <v>Low</v>
      </c>
      <c r="AF186" t="str">
        <f t="shared" si="59"/>
        <v>FRANCE</v>
      </c>
      <c r="AG186" s="7">
        <v>44936</v>
      </c>
      <c r="AH186" t="str">
        <f t="shared" si="60"/>
        <v>Jan-2023</v>
      </c>
      <c r="AI186" s="9">
        <f t="shared" si="61"/>
        <v>45107</v>
      </c>
      <c r="AJ186">
        <f t="shared" si="65"/>
        <v>0</v>
      </c>
      <c r="AK186">
        <f t="shared" si="62"/>
        <v>0</v>
      </c>
      <c r="AL186" s="17">
        <f>MIN(N186,'Scenario Modelling'!$B$2)</f>
        <v>0.025</v>
      </c>
      <c r="AM186" s="10">
        <f>L186*(1+'Scenario Modelling'!$B$3)</f>
        <v>844.491</v>
      </c>
      <c r="AN186">
        <f>O186*(1+'Scenario Modelling'!$B$4)</f>
        <v>14.4</v>
      </c>
      <c r="AO186" s="28">
        <f t="shared" si="63"/>
        <v>12466.116</v>
      </c>
      <c r="AP186" s="10">
        <f t="shared" si="64"/>
        <v>305.4456</v>
      </c>
    </row>
    <row r="187" spans="1:42">
      <c r="A187" t="s">
        <v>636</v>
      </c>
      <c r="B187" s="7">
        <v>45670</v>
      </c>
      <c r="C187" s="7">
        <v>45696</v>
      </c>
      <c r="D187" t="s">
        <v>239</v>
      </c>
      <c r="E187" t="s">
        <v>251</v>
      </c>
      <c r="F187" t="s">
        <v>378</v>
      </c>
      <c r="G187" t="s">
        <v>200</v>
      </c>
      <c r="H187" t="s">
        <v>1579</v>
      </c>
      <c r="I187" t="s">
        <v>224</v>
      </c>
      <c r="J187" t="s">
        <v>225</v>
      </c>
      <c r="K187" t="s">
        <v>637</v>
      </c>
      <c r="L187" s="10">
        <v>594.74</v>
      </c>
      <c r="M187" s="10">
        <v>1020.69</v>
      </c>
      <c r="N187" s="17">
        <v>0.211</v>
      </c>
      <c r="O187">
        <v>6</v>
      </c>
      <c r="P187" t="str">
        <f t="shared" si="45"/>
        <v>Valid</v>
      </c>
      <c r="Q187" s="10">
        <f t="shared" si="46"/>
        <v>1020.69</v>
      </c>
      <c r="R187" t="b">
        <f t="shared" si="47"/>
        <v>0</v>
      </c>
      <c r="S187" s="17">
        <f t="shared" si="48"/>
        <v>0.211</v>
      </c>
      <c r="T187">
        <f t="shared" si="49"/>
        <v>26</v>
      </c>
      <c r="U187" s="26">
        <f t="shared" si="50"/>
        <v>45696</v>
      </c>
      <c r="V187">
        <f t="shared" si="51"/>
        <v>26</v>
      </c>
      <c r="W187" s="10">
        <f t="shared" si="52"/>
        <v>611121.80646</v>
      </c>
      <c r="X187" s="10">
        <f t="shared" si="53"/>
        <v>6124.14</v>
      </c>
      <c r="Y187" s="10">
        <f t="shared" si="54"/>
        <v>604997.66646</v>
      </c>
      <c r="Z187" s="14">
        <f t="shared" si="58"/>
        <v>0.989978855384862</v>
      </c>
      <c r="AA187" t="s">
        <v>1569</v>
      </c>
      <c r="AB187" t="str">
        <f t="shared" si="55"/>
        <v>Q1-2025</v>
      </c>
      <c r="AC187" t="str">
        <f t="shared" si="56"/>
        <v>Europe → France → Paris</v>
      </c>
      <c r="AD187" t="str">
        <f t="shared" si="57"/>
        <v>Peripherals</v>
      </c>
      <c r="AE187" s="8" t="str">
        <f t="shared" si="66"/>
        <v>High</v>
      </c>
      <c r="AF187" t="str">
        <f t="shared" si="59"/>
        <v>FRANCE</v>
      </c>
      <c r="AG187" s="7">
        <v>44936</v>
      </c>
      <c r="AH187" t="str">
        <f t="shared" si="60"/>
        <v>Jan-2023</v>
      </c>
      <c r="AI187" s="9">
        <f t="shared" si="61"/>
        <v>45688</v>
      </c>
      <c r="AJ187">
        <f t="shared" si="65"/>
        <v>0</v>
      </c>
      <c r="AK187">
        <f t="shared" si="62"/>
        <v>1</v>
      </c>
      <c r="AL187" s="17">
        <f>MIN(N187,'Scenario Modelling'!$B$2)</f>
        <v>0.211</v>
      </c>
      <c r="AM187" s="10">
        <f>L187*(1+'Scenario Modelling'!$B$3)</f>
        <v>683.951</v>
      </c>
      <c r="AN187">
        <f>O187*(1+'Scenario Modelling'!$B$4)</f>
        <v>7.2</v>
      </c>
      <c r="AO187" s="28">
        <f t="shared" si="63"/>
        <v>5798.335752</v>
      </c>
      <c r="AP187" s="10">
        <f t="shared" si="64"/>
        <v>873.888552000001</v>
      </c>
    </row>
    <row r="188" spans="1:42">
      <c r="A188" t="s">
        <v>521</v>
      </c>
      <c r="B188" s="7">
        <v>44955</v>
      </c>
      <c r="C188" s="7">
        <v>44985</v>
      </c>
      <c r="D188" t="s">
        <v>206</v>
      </c>
      <c r="E188" t="s">
        <v>221</v>
      </c>
      <c r="F188" t="s">
        <v>222</v>
      </c>
      <c r="G188" t="s">
        <v>200</v>
      </c>
      <c r="H188" t="s">
        <v>181</v>
      </c>
      <c r="I188" t="s">
        <v>217</v>
      </c>
      <c r="J188" t="s">
        <v>242</v>
      </c>
      <c r="K188" t="s">
        <v>638</v>
      </c>
      <c r="L188" s="10">
        <v>1262.1</v>
      </c>
      <c r="M188" s="10">
        <v>1395.53</v>
      </c>
      <c r="N188" s="17">
        <v>0.233</v>
      </c>
      <c r="O188">
        <v>25</v>
      </c>
      <c r="P188" t="str">
        <f t="shared" si="45"/>
        <v>Valid</v>
      </c>
      <c r="Q188" s="10">
        <f t="shared" si="46"/>
        <v>1395.53</v>
      </c>
      <c r="R188" t="b">
        <f t="shared" si="47"/>
        <v>0</v>
      </c>
      <c r="S188" s="17">
        <f t="shared" si="48"/>
        <v>0.233</v>
      </c>
      <c r="T188">
        <f t="shared" si="49"/>
        <v>30</v>
      </c>
      <c r="U188" s="26">
        <f t="shared" si="50"/>
        <v>44985</v>
      </c>
      <c r="V188">
        <f t="shared" si="51"/>
        <v>30</v>
      </c>
      <c r="W188" s="10">
        <f t="shared" si="52"/>
        <v>3480696.03775</v>
      </c>
      <c r="X188" s="10">
        <f t="shared" si="53"/>
        <v>34888.25</v>
      </c>
      <c r="Y188" s="10">
        <f t="shared" si="54"/>
        <v>3445807.78775</v>
      </c>
      <c r="Z188" s="14">
        <f t="shared" si="58"/>
        <v>0.989976645584211</v>
      </c>
      <c r="AA188" t="s">
        <v>1564</v>
      </c>
      <c r="AB188" t="str">
        <f t="shared" si="55"/>
        <v>Q1-2023</v>
      </c>
      <c r="AC188" t="str">
        <f t="shared" si="56"/>
        <v>Asia → India → Bengaluru</v>
      </c>
      <c r="AD188" t="str">
        <f t="shared" si="57"/>
        <v>Support</v>
      </c>
      <c r="AE188" s="8" t="str">
        <f t="shared" si="66"/>
        <v>Low</v>
      </c>
      <c r="AF188" t="str">
        <f t="shared" si="59"/>
        <v>INDIA</v>
      </c>
      <c r="AG188" s="7">
        <v>44955</v>
      </c>
      <c r="AH188" t="str">
        <f t="shared" si="60"/>
        <v>Jan-2023</v>
      </c>
      <c r="AI188" s="9">
        <f t="shared" si="61"/>
        <v>44957</v>
      </c>
      <c r="AJ188">
        <f t="shared" si="65"/>
        <v>0</v>
      </c>
      <c r="AK188">
        <f t="shared" si="62"/>
        <v>1</v>
      </c>
      <c r="AL188" s="17">
        <f>MIN(N188,'Scenario Modelling'!$B$2)</f>
        <v>0.233</v>
      </c>
      <c r="AM188" s="10">
        <f>L188*(1+'Scenario Modelling'!$B$3)</f>
        <v>1451.415</v>
      </c>
      <c r="AN188">
        <f>O188*(1+'Scenario Modelling'!$B$4)</f>
        <v>30</v>
      </c>
      <c r="AO188" s="28">
        <f t="shared" si="63"/>
        <v>32111.1453</v>
      </c>
      <c r="AP188" s="10">
        <f t="shared" si="64"/>
        <v>-11431.3047</v>
      </c>
    </row>
    <row r="189" spans="1:42">
      <c r="A189" t="s">
        <v>639</v>
      </c>
      <c r="B189" s="7">
        <v>45126</v>
      </c>
      <c r="C189" s="7">
        <v>45138</v>
      </c>
      <c r="D189" t="s">
        <v>213</v>
      </c>
      <c r="E189" t="s">
        <v>234</v>
      </c>
      <c r="F189" t="s">
        <v>386</v>
      </c>
      <c r="G189" t="s">
        <v>180</v>
      </c>
      <c r="H189" t="s">
        <v>181</v>
      </c>
      <c r="I189" t="s">
        <v>182</v>
      </c>
      <c r="J189" t="s">
        <v>225</v>
      </c>
      <c r="K189" t="s">
        <v>640</v>
      </c>
      <c r="L189" s="10">
        <v>1334.64</v>
      </c>
      <c r="M189" s="10">
        <v>2273.42</v>
      </c>
      <c r="N189" s="17">
        <v>0.118</v>
      </c>
      <c r="O189">
        <v>14</v>
      </c>
      <c r="P189" t="str">
        <f t="shared" si="45"/>
        <v>Valid</v>
      </c>
      <c r="Q189" s="10">
        <f t="shared" si="46"/>
        <v>2273.42</v>
      </c>
      <c r="R189" t="b">
        <f t="shared" si="47"/>
        <v>0</v>
      </c>
      <c r="S189" s="17">
        <f t="shared" si="48"/>
        <v>0.118</v>
      </c>
      <c r="T189">
        <f t="shared" si="49"/>
        <v>12</v>
      </c>
      <c r="U189" s="26">
        <f t="shared" si="50"/>
        <v>45138</v>
      </c>
      <c r="V189">
        <f t="shared" si="51"/>
        <v>12</v>
      </c>
      <c r="W189" s="10">
        <f t="shared" si="52"/>
        <v>3179032.31016</v>
      </c>
      <c r="X189" s="10">
        <f t="shared" si="53"/>
        <v>31827.88</v>
      </c>
      <c r="Y189" s="10">
        <f t="shared" si="54"/>
        <v>3147204.43016</v>
      </c>
      <c r="Z189" s="14">
        <f t="shared" si="58"/>
        <v>0.98998818605955</v>
      </c>
      <c r="AA189" t="s">
        <v>1584</v>
      </c>
      <c r="AB189" t="str">
        <f t="shared" si="55"/>
        <v>Q3-2023</v>
      </c>
      <c r="AC189" t="str">
        <f t="shared" si="56"/>
        <v>Americas → Brazil → Rio de Janeiro</v>
      </c>
      <c r="AD189" t="str">
        <f t="shared" si="57"/>
        <v>Peripherals</v>
      </c>
      <c r="AE189" s="8" t="str">
        <f t="shared" si="66"/>
        <v>Low</v>
      </c>
      <c r="AF189" t="str">
        <f t="shared" si="59"/>
        <v>BRAZIL</v>
      </c>
      <c r="AG189" s="7">
        <v>44955</v>
      </c>
      <c r="AH189" t="str">
        <f t="shared" si="60"/>
        <v>Jan-2023</v>
      </c>
      <c r="AI189" s="9">
        <f t="shared" si="61"/>
        <v>45138</v>
      </c>
      <c r="AJ189">
        <f t="shared" si="65"/>
        <v>0</v>
      </c>
      <c r="AK189">
        <f t="shared" si="62"/>
        <v>0</v>
      </c>
      <c r="AL189" s="17">
        <f>MIN(N189,'Scenario Modelling'!$B$2)</f>
        <v>0.118</v>
      </c>
      <c r="AM189" s="10">
        <f>L189*(1+'Scenario Modelling'!$B$3)</f>
        <v>1534.836</v>
      </c>
      <c r="AN189">
        <f>O189*(1+'Scenario Modelling'!$B$4)</f>
        <v>16.8</v>
      </c>
      <c r="AO189" s="28">
        <f t="shared" si="63"/>
        <v>33686.628192</v>
      </c>
      <c r="AP189" s="10">
        <f t="shared" si="64"/>
        <v>7901.383392</v>
      </c>
    </row>
    <row r="190" spans="1:42">
      <c r="A190" t="s">
        <v>641</v>
      </c>
      <c r="B190" s="7">
        <v>45431</v>
      </c>
      <c r="C190" s="7">
        <v>45451</v>
      </c>
      <c r="D190" t="s">
        <v>213</v>
      </c>
      <c r="E190" t="s">
        <v>234</v>
      </c>
      <c r="F190" t="s">
        <v>248</v>
      </c>
      <c r="G190" t="s">
        <v>223</v>
      </c>
      <c r="H190" t="s">
        <v>181</v>
      </c>
      <c r="I190" t="s">
        <v>224</v>
      </c>
      <c r="J190" t="s">
        <v>225</v>
      </c>
      <c r="K190" t="s">
        <v>642</v>
      </c>
      <c r="L190" s="10">
        <v>1075.9</v>
      </c>
      <c r="M190" s="10">
        <v>1242.15</v>
      </c>
      <c r="N190" s="17">
        <v>0.012</v>
      </c>
      <c r="O190">
        <v>7</v>
      </c>
      <c r="P190" t="str">
        <f t="shared" si="45"/>
        <v>Valid</v>
      </c>
      <c r="Q190" s="10">
        <f t="shared" si="46"/>
        <v>1242.15</v>
      </c>
      <c r="R190" t="b">
        <f t="shared" si="47"/>
        <v>0</v>
      </c>
      <c r="S190" s="17">
        <f t="shared" si="48"/>
        <v>0.012</v>
      </c>
      <c r="T190">
        <f t="shared" si="49"/>
        <v>20</v>
      </c>
      <c r="U190" s="26">
        <f t="shared" si="50"/>
        <v>45451</v>
      </c>
      <c r="V190">
        <f t="shared" si="51"/>
        <v>20</v>
      </c>
      <c r="W190" s="10">
        <f t="shared" si="52"/>
        <v>869400.6594</v>
      </c>
      <c r="X190" s="10">
        <f t="shared" si="53"/>
        <v>8695.05</v>
      </c>
      <c r="Y190" s="10">
        <f t="shared" si="54"/>
        <v>860705.6094</v>
      </c>
      <c r="Z190" s="14">
        <f t="shared" si="58"/>
        <v>0.989998799855983</v>
      </c>
      <c r="AA190" t="s">
        <v>1566</v>
      </c>
      <c r="AB190" t="str">
        <f t="shared" si="55"/>
        <v>Q2-2024</v>
      </c>
      <c r="AC190" t="str">
        <f t="shared" si="56"/>
        <v>Americas → Brazil → Brasília</v>
      </c>
      <c r="AD190" t="str">
        <f t="shared" si="57"/>
        <v>Peripherals</v>
      </c>
      <c r="AE190" s="8" t="str">
        <f t="shared" si="66"/>
        <v>Medium</v>
      </c>
      <c r="AF190" t="str">
        <f t="shared" si="59"/>
        <v>BRAZIL</v>
      </c>
      <c r="AG190" s="7">
        <v>44955</v>
      </c>
      <c r="AH190" t="str">
        <f t="shared" si="60"/>
        <v>Jan-2023</v>
      </c>
      <c r="AI190" s="9">
        <f t="shared" si="61"/>
        <v>45443</v>
      </c>
      <c r="AJ190">
        <f t="shared" si="65"/>
        <v>0</v>
      </c>
      <c r="AK190">
        <f t="shared" si="62"/>
        <v>0</v>
      </c>
      <c r="AL190" s="17">
        <f>MIN(N190,'Scenario Modelling'!$B$2)</f>
        <v>0.012</v>
      </c>
      <c r="AM190" s="10">
        <f>L190*(1+'Scenario Modelling'!$B$3)</f>
        <v>1237.285</v>
      </c>
      <c r="AN190">
        <f>O190*(1+'Scenario Modelling'!$B$4)</f>
        <v>8.4</v>
      </c>
      <c r="AO190" s="28">
        <f t="shared" si="63"/>
        <v>10308.85128</v>
      </c>
      <c r="AP190" s="10">
        <f t="shared" si="64"/>
        <v>-84.3427199999999</v>
      </c>
    </row>
    <row r="191" spans="1:42">
      <c r="A191" t="s">
        <v>643</v>
      </c>
      <c r="B191" s="7">
        <v>45325</v>
      </c>
      <c r="C191" s="7">
        <v>45341</v>
      </c>
      <c r="D191" t="s">
        <v>206</v>
      </c>
      <c r="E191" t="s">
        <v>277</v>
      </c>
      <c r="F191" t="s">
        <v>278</v>
      </c>
      <c r="G191" t="s">
        <v>223</v>
      </c>
      <c r="H191" t="s">
        <v>189</v>
      </c>
      <c r="I191" t="s">
        <v>253</v>
      </c>
      <c r="J191" t="s">
        <v>218</v>
      </c>
      <c r="K191" t="s">
        <v>644</v>
      </c>
      <c r="L191" s="10">
        <v>993.75</v>
      </c>
      <c r="M191" s="10">
        <v>1310.29</v>
      </c>
      <c r="N191" s="17">
        <v>0.215</v>
      </c>
      <c r="O191">
        <v>19</v>
      </c>
      <c r="P191" t="str">
        <f t="shared" si="45"/>
        <v>Valid</v>
      </c>
      <c r="Q191" s="10">
        <f t="shared" si="46"/>
        <v>1310.29</v>
      </c>
      <c r="R191" t="b">
        <f t="shared" si="47"/>
        <v>0</v>
      </c>
      <c r="S191" s="17">
        <f t="shared" si="48"/>
        <v>0.215</v>
      </c>
      <c r="T191">
        <f t="shared" si="49"/>
        <v>16</v>
      </c>
      <c r="U191" s="26">
        <f t="shared" si="50"/>
        <v>45341</v>
      </c>
      <c r="V191">
        <f t="shared" si="51"/>
        <v>16</v>
      </c>
      <c r="W191" s="10">
        <f t="shared" si="52"/>
        <v>2484198.46535</v>
      </c>
      <c r="X191" s="10">
        <f t="shared" si="53"/>
        <v>24895.51</v>
      </c>
      <c r="Y191" s="10">
        <f t="shared" si="54"/>
        <v>2459302.95535</v>
      </c>
      <c r="Z191" s="14">
        <f t="shared" si="58"/>
        <v>0.989978453675402</v>
      </c>
      <c r="AA191" t="s">
        <v>1594</v>
      </c>
      <c r="AB191" t="str">
        <f t="shared" si="55"/>
        <v>Q1-2024</v>
      </c>
      <c r="AC191" t="str">
        <f t="shared" si="56"/>
        <v>Asia → China → Shenzhen</v>
      </c>
      <c r="AD191" t="str">
        <f t="shared" si="57"/>
        <v>Devices</v>
      </c>
      <c r="AE191" s="8" t="str">
        <f t="shared" si="66"/>
        <v>Medium</v>
      </c>
      <c r="AF191" t="str">
        <f t="shared" si="59"/>
        <v>CHINA</v>
      </c>
      <c r="AG191" s="7">
        <v>44938</v>
      </c>
      <c r="AH191" t="str">
        <f t="shared" si="60"/>
        <v>Jan-2023</v>
      </c>
      <c r="AI191" s="9">
        <f t="shared" si="61"/>
        <v>45351</v>
      </c>
      <c r="AJ191">
        <f t="shared" si="65"/>
        <v>0</v>
      </c>
      <c r="AK191">
        <f t="shared" si="62"/>
        <v>1</v>
      </c>
      <c r="AL191" s="17">
        <f>MIN(N191,'Scenario Modelling'!$B$2)</f>
        <v>0.215</v>
      </c>
      <c r="AM191" s="10">
        <f>L191*(1+'Scenario Modelling'!$B$3)</f>
        <v>1142.8125</v>
      </c>
      <c r="AN191">
        <f>O191*(1+'Scenario Modelling'!$B$4)</f>
        <v>22.8</v>
      </c>
      <c r="AO191" s="28">
        <f t="shared" si="63"/>
        <v>23451.57042</v>
      </c>
      <c r="AP191" s="10">
        <f t="shared" si="64"/>
        <v>-2604.55458</v>
      </c>
    </row>
    <row r="192" spans="1:42">
      <c r="A192" t="s">
        <v>645</v>
      </c>
      <c r="B192" s="7">
        <v>45146</v>
      </c>
      <c r="C192" s="7">
        <v>45160</v>
      </c>
      <c r="D192" t="s">
        <v>239</v>
      </c>
      <c r="E192" t="s">
        <v>269</v>
      </c>
      <c r="F192" t="s">
        <v>270</v>
      </c>
      <c r="G192" t="s">
        <v>200</v>
      </c>
      <c r="H192" t="s">
        <v>259</v>
      </c>
      <c r="I192" t="s">
        <v>287</v>
      </c>
      <c r="J192" t="s">
        <v>225</v>
      </c>
      <c r="K192" t="s">
        <v>646</v>
      </c>
      <c r="L192" s="10">
        <v>446.69</v>
      </c>
      <c r="M192" s="10">
        <v>967.25</v>
      </c>
      <c r="N192" s="17">
        <v>0.094</v>
      </c>
      <c r="O192">
        <v>10</v>
      </c>
      <c r="P192" t="str">
        <f t="shared" si="45"/>
        <v>Valid</v>
      </c>
      <c r="Q192" s="10">
        <f t="shared" si="46"/>
        <v>967.25</v>
      </c>
      <c r="R192" t="b">
        <f t="shared" si="47"/>
        <v>0</v>
      </c>
      <c r="S192" s="17">
        <f t="shared" si="48"/>
        <v>0.094</v>
      </c>
      <c r="T192">
        <f t="shared" si="49"/>
        <v>14</v>
      </c>
      <c r="U192" s="26">
        <f t="shared" si="50"/>
        <v>45160</v>
      </c>
      <c r="V192">
        <f t="shared" si="51"/>
        <v>14</v>
      </c>
      <c r="W192" s="10">
        <f t="shared" si="52"/>
        <v>966340.785</v>
      </c>
      <c r="X192" s="10">
        <f t="shared" si="53"/>
        <v>9672.5</v>
      </c>
      <c r="Y192" s="10">
        <f t="shared" si="54"/>
        <v>956668.285</v>
      </c>
      <c r="Z192" s="14">
        <f t="shared" si="58"/>
        <v>0.989990591155686</v>
      </c>
      <c r="AA192" t="s">
        <v>1585</v>
      </c>
      <c r="AB192" t="str">
        <f t="shared" si="55"/>
        <v>Q3-2023</v>
      </c>
      <c r="AC192" t="str">
        <f t="shared" si="56"/>
        <v>Europe → United Kingdom → Birmingham</v>
      </c>
      <c r="AD192" t="str">
        <f t="shared" si="57"/>
        <v>Peripherals</v>
      </c>
      <c r="AE192" s="8" t="str">
        <f t="shared" si="66"/>
        <v>Low</v>
      </c>
      <c r="AF192" t="str">
        <f t="shared" si="59"/>
        <v>UNITED KINGDOM</v>
      </c>
      <c r="AG192" s="7">
        <v>44945</v>
      </c>
      <c r="AH192" t="str">
        <f t="shared" si="60"/>
        <v>Jan-2023</v>
      </c>
      <c r="AI192" s="9">
        <f t="shared" si="61"/>
        <v>45169</v>
      </c>
      <c r="AJ192">
        <f t="shared" si="65"/>
        <v>0</v>
      </c>
      <c r="AK192">
        <f t="shared" si="62"/>
        <v>0</v>
      </c>
      <c r="AL192" s="17">
        <f>MIN(N192,'Scenario Modelling'!$B$2)</f>
        <v>0.094</v>
      </c>
      <c r="AM192" s="10">
        <f>L192*(1+'Scenario Modelling'!$B$3)</f>
        <v>513.6935</v>
      </c>
      <c r="AN192">
        <f>O192*(1+'Scenario Modelling'!$B$4)</f>
        <v>12</v>
      </c>
      <c r="AO192" s="28">
        <f t="shared" si="63"/>
        <v>10515.942</v>
      </c>
      <c r="AP192" s="10">
        <f t="shared" si="64"/>
        <v>4351.62</v>
      </c>
    </row>
    <row r="193" spans="1:42">
      <c r="A193" t="s">
        <v>647</v>
      </c>
      <c r="B193" s="7">
        <v>45516</v>
      </c>
      <c r="C193" s="7">
        <v>45538</v>
      </c>
      <c r="D193" t="s">
        <v>213</v>
      </c>
      <c r="E193" t="s">
        <v>283</v>
      </c>
      <c r="F193" t="s">
        <v>487</v>
      </c>
      <c r="G193" t="s">
        <v>209</v>
      </c>
      <c r="H193" t="s">
        <v>216</v>
      </c>
      <c r="I193" t="s">
        <v>195</v>
      </c>
      <c r="J193" t="s">
        <v>218</v>
      </c>
      <c r="K193" t="s">
        <v>648</v>
      </c>
      <c r="L193" s="10">
        <v>797.8</v>
      </c>
      <c r="M193" s="10">
        <v>886.22</v>
      </c>
      <c r="N193" s="17">
        <v>0.236</v>
      </c>
      <c r="O193">
        <v>36</v>
      </c>
      <c r="P193" t="str">
        <f t="shared" si="45"/>
        <v>Valid</v>
      </c>
      <c r="Q193" s="10">
        <f t="shared" si="46"/>
        <v>886.22</v>
      </c>
      <c r="R193" t="b">
        <f t="shared" si="47"/>
        <v>0</v>
      </c>
      <c r="S193" s="17">
        <f t="shared" si="48"/>
        <v>0.236</v>
      </c>
      <c r="T193">
        <f t="shared" si="49"/>
        <v>22</v>
      </c>
      <c r="U193" s="26">
        <f t="shared" si="50"/>
        <v>45538</v>
      </c>
      <c r="V193">
        <f t="shared" si="51"/>
        <v>22</v>
      </c>
      <c r="W193" s="10">
        <f t="shared" si="52"/>
        <v>3182862.67488</v>
      </c>
      <c r="X193" s="10">
        <f t="shared" si="53"/>
        <v>31903.92</v>
      </c>
      <c r="Y193" s="10">
        <f t="shared" si="54"/>
        <v>3150958.75488</v>
      </c>
      <c r="Z193" s="14">
        <f t="shared" si="58"/>
        <v>0.989976344172247</v>
      </c>
      <c r="AA193" t="s">
        <v>1581</v>
      </c>
      <c r="AB193" t="str">
        <f t="shared" si="55"/>
        <v>Q3-2024</v>
      </c>
      <c r="AC193" t="str">
        <f t="shared" si="56"/>
        <v>Americas → USA → Austin</v>
      </c>
      <c r="AD193" t="str">
        <f t="shared" si="57"/>
        <v>Devices</v>
      </c>
      <c r="AE193" s="8" t="str">
        <f t="shared" si="66"/>
        <v>Medium</v>
      </c>
      <c r="AF193" t="str">
        <f t="shared" si="59"/>
        <v>USA</v>
      </c>
      <c r="AG193" s="7">
        <v>44939</v>
      </c>
      <c r="AH193" t="str">
        <f t="shared" si="60"/>
        <v>Jan-2023</v>
      </c>
      <c r="AI193" s="9">
        <f t="shared" si="61"/>
        <v>45535</v>
      </c>
      <c r="AJ193">
        <f t="shared" si="65"/>
        <v>0</v>
      </c>
      <c r="AK193">
        <f t="shared" si="62"/>
        <v>1</v>
      </c>
      <c r="AL193" s="17">
        <f>MIN(N193,'Scenario Modelling'!$B$2)</f>
        <v>0.236</v>
      </c>
      <c r="AM193" s="10">
        <f>L193*(1+'Scenario Modelling'!$B$3)</f>
        <v>917.47</v>
      </c>
      <c r="AN193">
        <f>O193*(1+'Scenario Modelling'!$B$4)</f>
        <v>43.2</v>
      </c>
      <c r="AO193" s="28">
        <f t="shared" si="63"/>
        <v>29249.513856</v>
      </c>
      <c r="AP193" s="10">
        <f t="shared" si="64"/>
        <v>-10385.190144</v>
      </c>
    </row>
    <row r="194" spans="1:42">
      <c r="A194" t="s">
        <v>649</v>
      </c>
      <c r="B194" s="7">
        <v>45214</v>
      </c>
      <c r="C194" s="7">
        <v>45243</v>
      </c>
      <c r="D194" t="s">
        <v>206</v>
      </c>
      <c r="E194" t="s">
        <v>277</v>
      </c>
      <c r="F194" t="s">
        <v>278</v>
      </c>
      <c r="G194" t="s">
        <v>200</v>
      </c>
      <c r="H194" t="s">
        <v>216</v>
      </c>
      <c r="I194" t="s">
        <v>190</v>
      </c>
      <c r="J194" t="s">
        <v>191</v>
      </c>
      <c r="K194" t="s">
        <v>650</v>
      </c>
      <c r="L194" s="10">
        <v>986.44</v>
      </c>
      <c r="M194" s="10">
        <v>790.61</v>
      </c>
      <c r="N194" s="17">
        <v>0.072</v>
      </c>
      <c r="O194">
        <v>6</v>
      </c>
      <c r="P194" t="str">
        <f t="shared" ref="P194:P257" si="67">IF(M194&gt;0,"Valid")</f>
        <v>Valid</v>
      </c>
      <c r="Q194" s="10">
        <f t="shared" ref="Q194:Q257" si="68">ABS(M194)</f>
        <v>790.61</v>
      </c>
      <c r="R194" t="b">
        <f t="shared" ref="R194:R257" si="69">IF(N194&gt;30%,"Excess")</f>
        <v>0</v>
      </c>
      <c r="S194" s="17">
        <f t="shared" ref="S194:S257" si="70">IF(R194="Excess",30%,N194)</f>
        <v>0.072</v>
      </c>
      <c r="T194">
        <f t="shared" ref="T194:T257" si="71">(C194-B194)</f>
        <v>29</v>
      </c>
      <c r="U194" s="26">
        <f t="shared" ref="U194:U257" si="72">IF(C194&lt;B194,B194+7,C194)</f>
        <v>45243</v>
      </c>
      <c r="V194">
        <f t="shared" ref="V194:V257" si="73">(U194-B194)</f>
        <v>29</v>
      </c>
      <c r="W194" s="10">
        <f t="shared" ref="W194:W257" si="74">(Q194*O194*(100-S194))</f>
        <v>474024.45648</v>
      </c>
      <c r="X194" s="10">
        <f t="shared" ref="X194:X257" si="75">(Q194*O194)</f>
        <v>4743.66</v>
      </c>
      <c r="Y194" s="10">
        <f t="shared" ref="Y194:Y257" si="76">W194-X194</f>
        <v>469280.79648</v>
      </c>
      <c r="Z194" s="14">
        <f t="shared" si="58"/>
        <v>0.989992794812265</v>
      </c>
      <c r="AA194" t="s">
        <v>1595</v>
      </c>
      <c r="AB194" t="str">
        <f t="shared" ref="AB194:AB257" si="77">"Q"&amp;ROUNDUP(MONTH(B194)/3,0)&amp;"-"&amp;YEAR(B194)</f>
        <v>Q4-2023</v>
      </c>
      <c r="AC194" t="str">
        <f t="shared" ref="AC194:AC257" si="78">D194&amp;" → "&amp;E194&amp;" → "&amp;F194</f>
        <v>Asia → China → Shenzhen</v>
      </c>
      <c r="AD194" t="str">
        <f t="shared" ref="AD194:AD257" si="79">IF(OR(J194="Laptops",J194="Phones"),"Devices",IF(OR(J194="Monitors",J194="Printers"),"Peripherals","Support"))</f>
        <v>Peripherals</v>
      </c>
      <c r="AE194" s="8" t="str">
        <f t="shared" si="66"/>
        <v>Low</v>
      </c>
      <c r="AF194" t="str">
        <f t="shared" si="59"/>
        <v>CHINA</v>
      </c>
      <c r="AG194" s="7">
        <v>44938</v>
      </c>
      <c r="AH194" t="str">
        <f t="shared" si="60"/>
        <v>Jan-2023</v>
      </c>
      <c r="AI194" s="9">
        <f t="shared" si="61"/>
        <v>45230</v>
      </c>
      <c r="AJ194">
        <f t="shared" si="65"/>
        <v>0</v>
      </c>
      <c r="AK194">
        <f t="shared" si="62"/>
        <v>0</v>
      </c>
      <c r="AL194" s="17">
        <f>MIN(N194,'Scenario Modelling'!$B$2)</f>
        <v>0.072</v>
      </c>
      <c r="AM194" s="10">
        <f>L194*(1+'Scenario Modelling'!$B$3)</f>
        <v>1134.406</v>
      </c>
      <c r="AN194">
        <f>O194*(1+'Scenario Modelling'!$B$4)</f>
        <v>7.2</v>
      </c>
      <c r="AO194" s="28">
        <f t="shared" si="63"/>
        <v>5282.539776</v>
      </c>
      <c r="AP194" s="10">
        <f t="shared" si="64"/>
        <v>-2885.183424</v>
      </c>
    </row>
    <row r="195" spans="1:42">
      <c r="A195" t="s">
        <v>651</v>
      </c>
      <c r="B195" s="7">
        <v>45050</v>
      </c>
      <c r="C195" s="7">
        <v>45072</v>
      </c>
      <c r="D195" t="s">
        <v>213</v>
      </c>
      <c r="E195" t="s">
        <v>283</v>
      </c>
      <c r="F195" t="s">
        <v>328</v>
      </c>
      <c r="G195" t="s">
        <v>266</v>
      </c>
      <c r="H195" t="s">
        <v>189</v>
      </c>
      <c r="I195" t="s">
        <v>190</v>
      </c>
      <c r="J195" t="s">
        <v>196</v>
      </c>
      <c r="K195" t="s">
        <v>652</v>
      </c>
      <c r="L195" s="10">
        <v>249.71</v>
      </c>
      <c r="M195" s="10">
        <v>361.33</v>
      </c>
      <c r="N195" s="17">
        <v>0.094</v>
      </c>
      <c r="O195">
        <v>12</v>
      </c>
      <c r="P195" t="str">
        <f t="shared" si="67"/>
        <v>Valid</v>
      </c>
      <c r="Q195" s="10">
        <f t="shared" si="68"/>
        <v>361.33</v>
      </c>
      <c r="R195" t="b">
        <f t="shared" si="69"/>
        <v>0</v>
      </c>
      <c r="S195" s="17">
        <f t="shared" si="70"/>
        <v>0.094</v>
      </c>
      <c r="T195">
        <f t="shared" si="71"/>
        <v>22</v>
      </c>
      <c r="U195" s="26">
        <f t="shared" si="72"/>
        <v>45072</v>
      </c>
      <c r="V195">
        <f t="shared" si="73"/>
        <v>22</v>
      </c>
      <c r="W195" s="10">
        <f t="shared" si="74"/>
        <v>433188.41976</v>
      </c>
      <c r="X195" s="10">
        <f t="shared" si="75"/>
        <v>4335.96</v>
      </c>
      <c r="Y195" s="10">
        <f t="shared" si="76"/>
        <v>428852.45976</v>
      </c>
      <c r="Z195" s="14">
        <f t="shared" ref="Z195:Z258" si="80">Y195/W195</f>
        <v>0.989990591155686</v>
      </c>
      <c r="AA195" t="s">
        <v>1574</v>
      </c>
      <c r="AB195" t="str">
        <f t="shared" si="77"/>
        <v>Q2-2023</v>
      </c>
      <c r="AC195" t="str">
        <f t="shared" si="78"/>
        <v>Americas → USA → San Francisco</v>
      </c>
      <c r="AD195" t="str">
        <f t="shared" si="79"/>
        <v>Support</v>
      </c>
      <c r="AE195" s="8" t="str">
        <f t="shared" si="66"/>
        <v>Low</v>
      </c>
      <c r="AF195" t="str">
        <f t="shared" ref="AF195:AF258" si="81">UPPER(TRIM(CLEAN(SUBSTITUTE(E195,CHAR(160),""))))</f>
        <v>USA</v>
      </c>
      <c r="AG195" s="7">
        <v>44939</v>
      </c>
      <c r="AH195" t="str">
        <f t="shared" ref="AH195:AH258" si="82">TEXT(AG195,"MMM-YYYY")</f>
        <v>Jan-2023</v>
      </c>
      <c r="AI195" s="9">
        <f t="shared" ref="AI195:AI258" si="83">EOMONTH(B195,0)</f>
        <v>45077</v>
      </c>
      <c r="AJ195">
        <f t="shared" si="65"/>
        <v>0</v>
      </c>
      <c r="AK195">
        <f t="shared" ref="AK195:AK258" si="84">IF(N195&gt;20%,1,0)</f>
        <v>0</v>
      </c>
      <c r="AL195" s="17">
        <f>MIN(N195,'Scenario Modelling'!$B$2)</f>
        <v>0.094</v>
      </c>
      <c r="AM195" s="10">
        <f>L195*(1+'Scenario Modelling'!$B$3)</f>
        <v>287.1665</v>
      </c>
      <c r="AN195">
        <f>O195*(1+'Scenario Modelling'!$B$4)</f>
        <v>14.4</v>
      </c>
      <c r="AO195" s="28">
        <f t="shared" ref="AO195:AO258" si="85">AN195*M195*(1-AL195)</f>
        <v>4714.055712</v>
      </c>
      <c r="AP195" s="10">
        <f t="shared" ref="AP195:AP258" si="86">(M195*(1-AL195)-AM195)*AN195</f>
        <v>578.858112</v>
      </c>
    </row>
    <row r="196" spans="1:42">
      <c r="A196" t="s">
        <v>653</v>
      </c>
      <c r="B196" s="7">
        <v>45557</v>
      </c>
      <c r="C196" s="7">
        <v>45566</v>
      </c>
      <c r="D196" t="s">
        <v>213</v>
      </c>
      <c r="E196" t="s">
        <v>234</v>
      </c>
      <c r="F196" t="s">
        <v>235</v>
      </c>
      <c r="G196" t="s">
        <v>200</v>
      </c>
      <c r="H196" t="s">
        <v>189</v>
      </c>
      <c r="I196" t="s">
        <v>256</v>
      </c>
      <c r="J196" t="s">
        <v>225</v>
      </c>
      <c r="K196" t="s">
        <v>654</v>
      </c>
      <c r="L196" s="10">
        <v>1378.8</v>
      </c>
      <c r="M196" s="10">
        <v>1952.04</v>
      </c>
      <c r="N196" s="17">
        <v>0.159</v>
      </c>
      <c r="O196">
        <v>19</v>
      </c>
      <c r="P196" t="str">
        <f t="shared" si="67"/>
        <v>Valid</v>
      </c>
      <c r="Q196" s="10">
        <f t="shared" si="68"/>
        <v>1952.04</v>
      </c>
      <c r="R196" t="b">
        <f t="shared" si="69"/>
        <v>0</v>
      </c>
      <c r="S196" s="17">
        <f t="shared" si="70"/>
        <v>0.159</v>
      </c>
      <c r="T196">
        <f t="shared" si="71"/>
        <v>9</v>
      </c>
      <c r="U196" s="26">
        <f t="shared" si="72"/>
        <v>45566</v>
      </c>
      <c r="V196">
        <f t="shared" si="73"/>
        <v>9</v>
      </c>
      <c r="W196" s="10">
        <f t="shared" si="74"/>
        <v>3702978.88716</v>
      </c>
      <c r="X196" s="10">
        <f t="shared" si="75"/>
        <v>37088.76</v>
      </c>
      <c r="Y196" s="10">
        <f t="shared" si="76"/>
        <v>3665890.12716</v>
      </c>
      <c r="Z196" s="14">
        <f t="shared" si="80"/>
        <v>0.989984074678739</v>
      </c>
      <c r="AA196" t="s">
        <v>1592</v>
      </c>
      <c r="AB196" t="str">
        <f t="shared" si="77"/>
        <v>Q3-2024</v>
      </c>
      <c r="AC196" t="str">
        <f t="shared" si="78"/>
        <v>Americas → Brazil → São Paulo</v>
      </c>
      <c r="AD196" t="str">
        <f t="shared" si="79"/>
        <v>Peripherals</v>
      </c>
      <c r="AE196" s="8" t="str">
        <f t="shared" si="66"/>
        <v>Medium</v>
      </c>
      <c r="AF196" t="str">
        <f t="shared" si="81"/>
        <v>BRAZIL</v>
      </c>
      <c r="AG196" s="7">
        <v>44955</v>
      </c>
      <c r="AH196" t="str">
        <f t="shared" si="82"/>
        <v>Jan-2023</v>
      </c>
      <c r="AI196" s="9">
        <f t="shared" si="83"/>
        <v>45565</v>
      </c>
      <c r="AJ196">
        <f t="shared" ref="AJ196:AJ259" si="87">IF(V196&lt;=7,1,0)</f>
        <v>0</v>
      </c>
      <c r="AK196">
        <f t="shared" si="84"/>
        <v>0</v>
      </c>
      <c r="AL196" s="17">
        <f>MIN(N196,'Scenario Modelling'!$B$2)</f>
        <v>0.159</v>
      </c>
      <c r="AM196" s="10">
        <f>L196*(1+'Scenario Modelling'!$B$3)</f>
        <v>1585.62</v>
      </c>
      <c r="AN196">
        <f>O196*(1+'Scenario Modelling'!$B$4)</f>
        <v>22.8</v>
      </c>
      <c r="AO196" s="28">
        <f t="shared" si="85"/>
        <v>37429.976592</v>
      </c>
      <c r="AP196" s="10">
        <f t="shared" si="86"/>
        <v>1277.840592</v>
      </c>
    </row>
    <row r="197" spans="1:42">
      <c r="A197" t="s">
        <v>655</v>
      </c>
      <c r="B197" s="7">
        <v>45588</v>
      </c>
      <c r="C197" s="7">
        <v>45610</v>
      </c>
      <c r="D197" t="s">
        <v>206</v>
      </c>
      <c r="E197" t="s">
        <v>207</v>
      </c>
      <c r="F197" t="s">
        <v>208</v>
      </c>
      <c r="G197" t="s">
        <v>200</v>
      </c>
      <c r="H197" t="s">
        <v>259</v>
      </c>
      <c r="I197" t="s">
        <v>217</v>
      </c>
      <c r="J197" t="s">
        <v>203</v>
      </c>
      <c r="K197" t="s">
        <v>656</v>
      </c>
      <c r="L197" s="10">
        <v>1406.4</v>
      </c>
      <c r="M197" s="10">
        <v>1564.76</v>
      </c>
      <c r="N197" s="17">
        <v>0.185</v>
      </c>
      <c r="O197">
        <v>17</v>
      </c>
      <c r="P197" t="str">
        <f t="shared" si="67"/>
        <v>Valid</v>
      </c>
      <c r="Q197" s="10">
        <f t="shared" si="68"/>
        <v>1564.76</v>
      </c>
      <c r="R197" t="b">
        <f t="shared" si="69"/>
        <v>0</v>
      </c>
      <c r="S197" s="17">
        <f t="shared" si="70"/>
        <v>0.185</v>
      </c>
      <c r="T197">
        <f t="shared" si="71"/>
        <v>22</v>
      </c>
      <c r="U197" s="26">
        <f t="shared" si="72"/>
        <v>45610</v>
      </c>
      <c r="V197">
        <f t="shared" si="73"/>
        <v>22</v>
      </c>
      <c r="W197" s="10">
        <f t="shared" si="74"/>
        <v>2655170.8298</v>
      </c>
      <c r="X197" s="10">
        <f t="shared" si="75"/>
        <v>26600.92</v>
      </c>
      <c r="Y197" s="10">
        <f t="shared" si="76"/>
        <v>2628569.9098</v>
      </c>
      <c r="Z197" s="14">
        <f t="shared" si="80"/>
        <v>0.989981465711566</v>
      </c>
      <c r="AA197" t="s">
        <v>1561</v>
      </c>
      <c r="AB197" t="str">
        <f t="shared" si="77"/>
        <v>Q4-2024</v>
      </c>
      <c r="AC197" t="str">
        <f t="shared" si="78"/>
        <v>Asia → Japan → Osaka</v>
      </c>
      <c r="AD197" t="str">
        <f t="shared" si="79"/>
        <v>Devices</v>
      </c>
      <c r="AE197" s="8" t="str">
        <f t="shared" si="66"/>
        <v>Medium</v>
      </c>
      <c r="AF197" t="str">
        <f t="shared" si="81"/>
        <v>JAPAN</v>
      </c>
      <c r="AG197" s="7">
        <v>44988</v>
      </c>
      <c r="AH197" t="str">
        <f t="shared" si="82"/>
        <v>Mar-2023</v>
      </c>
      <c r="AI197" s="9">
        <f t="shared" si="83"/>
        <v>45596</v>
      </c>
      <c r="AJ197">
        <f t="shared" si="87"/>
        <v>0</v>
      </c>
      <c r="AK197">
        <f t="shared" si="84"/>
        <v>0</v>
      </c>
      <c r="AL197" s="17">
        <f>MIN(N197,'Scenario Modelling'!$B$2)</f>
        <v>0.185</v>
      </c>
      <c r="AM197" s="10">
        <f>L197*(1+'Scenario Modelling'!$B$3)</f>
        <v>1617.36</v>
      </c>
      <c r="AN197">
        <f>O197*(1+'Scenario Modelling'!$B$4)</f>
        <v>20.4</v>
      </c>
      <c r="AO197" s="28">
        <f t="shared" si="85"/>
        <v>26015.69976</v>
      </c>
      <c r="AP197" s="10">
        <f t="shared" si="86"/>
        <v>-6978.44424</v>
      </c>
    </row>
    <row r="198" spans="1:42">
      <c r="A198" t="s">
        <v>657</v>
      </c>
      <c r="B198" s="7">
        <v>45333</v>
      </c>
      <c r="C198" s="7">
        <v>45354</v>
      </c>
      <c r="D198" t="s">
        <v>177</v>
      </c>
      <c r="E198" t="s">
        <v>178</v>
      </c>
      <c r="F198" t="s">
        <v>179</v>
      </c>
      <c r="G198" t="s">
        <v>266</v>
      </c>
      <c r="H198" t="s">
        <v>189</v>
      </c>
      <c r="I198" t="s">
        <v>217</v>
      </c>
      <c r="J198" t="s">
        <v>203</v>
      </c>
      <c r="K198" t="s">
        <v>658</v>
      </c>
      <c r="L198" s="10">
        <v>516.86</v>
      </c>
      <c r="M198" s="10">
        <v>852.54</v>
      </c>
      <c r="N198" s="17">
        <v>0.051</v>
      </c>
      <c r="O198">
        <v>14</v>
      </c>
      <c r="P198" t="str">
        <f t="shared" si="67"/>
        <v>Valid</v>
      </c>
      <c r="Q198" s="10">
        <f t="shared" si="68"/>
        <v>852.54</v>
      </c>
      <c r="R198" t="b">
        <f t="shared" si="69"/>
        <v>0</v>
      </c>
      <c r="S198" s="17">
        <f t="shared" si="70"/>
        <v>0.051</v>
      </c>
      <c r="T198">
        <f t="shared" si="71"/>
        <v>21</v>
      </c>
      <c r="U198" s="26">
        <f t="shared" si="72"/>
        <v>45354</v>
      </c>
      <c r="V198">
        <f t="shared" si="73"/>
        <v>21</v>
      </c>
      <c r="W198" s="10">
        <f t="shared" si="74"/>
        <v>1192947.28644</v>
      </c>
      <c r="X198" s="10">
        <f t="shared" si="75"/>
        <v>11935.56</v>
      </c>
      <c r="Y198" s="10">
        <f t="shared" si="76"/>
        <v>1181011.72644</v>
      </c>
      <c r="Z198" s="14">
        <f t="shared" si="80"/>
        <v>0.989994897397673</v>
      </c>
      <c r="AA198" t="s">
        <v>1594</v>
      </c>
      <c r="AB198" t="str">
        <f t="shared" si="77"/>
        <v>Q1-2024</v>
      </c>
      <c r="AC198" t="str">
        <f t="shared" si="78"/>
        <v>Africa → Kenya → Kisumu</v>
      </c>
      <c r="AD198" t="str">
        <f t="shared" si="79"/>
        <v>Devices</v>
      </c>
      <c r="AE198" s="8" t="str">
        <f t="shared" si="66"/>
        <v>Medium</v>
      </c>
      <c r="AF198" t="str">
        <f t="shared" si="81"/>
        <v>KENYA</v>
      </c>
      <c r="AG198" s="7">
        <v>44946</v>
      </c>
      <c r="AH198" t="str">
        <f t="shared" si="82"/>
        <v>Jan-2023</v>
      </c>
      <c r="AI198" s="9">
        <f t="shared" si="83"/>
        <v>45351</v>
      </c>
      <c r="AJ198">
        <f t="shared" si="87"/>
        <v>0</v>
      </c>
      <c r="AK198">
        <f t="shared" si="84"/>
        <v>0</v>
      </c>
      <c r="AL198" s="17">
        <f>MIN(N198,'Scenario Modelling'!$B$2)</f>
        <v>0.051</v>
      </c>
      <c r="AM198" s="10">
        <f>L198*(1+'Scenario Modelling'!$B$3)</f>
        <v>594.389</v>
      </c>
      <c r="AN198">
        <f>O198*(1+'Scenario Modelling'!$B$4)</f>
        <v>16.8</v>
      </c>
      <c r="AO198" s="28">
        <f t="shared" si="85"/>
        <v>13592.215728</v>
      </c>
      <c r="AP198" s="10">
        <f t="shared" si="86"/>
        <v>3606.480528</v>
      </c>
    </row>
    <row r="199" spans="1:42">
      <c r="A199" t="s">
        <v>659</v>
      </c>
      <c r="B199" s="7">
        <v>44956</v>
      </c>
      <c r="C199" s="7">
        <v>44978</v>
      </c>
      <c r="D199" t="s">
        <v>239</v>
      </c>
      <c r="E199" t="s">
        <v>240</v>
      </c>
      <c r="F199" t="s">
        <v>320</v>
      </c>
      <c r="G199" t="s">
        <v>223</v>
      </c>
      <c r="H199" t="s">
        <v>201</v>
      </c>
      <c r="I199" t="s">
        <v>202</v>
      </c>
      <c r="J199" t="s">
        <v>196</v>
      </c>
      <c r="K199" t="s">
        <v>660</v>
      </c>
      <c r="L199" s="10">
        <v>1142.88</v>
      </c>
      <c r="M199" s="10">
        <v>1465.29</v>
      </c>
      <c r="N199" s="17">
        <v>0.186</v>
      </c>
      <c r="O199">
        <v>7</v>
      </c>
      <c r="P199" t="str">
        <f t="shared" si="67"/>
        <v>Valid</v>
      </c>
      <c r="Q199" s="10">
        <f t="shared" si="68"/>
        <v>1465.29</v>
      </c>
      <c r="R199" t="b">
        <f t="shared" si="69"/>
        <v>0</v>
      </c>
      <c r="S199" s="17">
        <f t="shared" si="70"/>
        <v>0.186</v>
      </c>
      <c r="T199">
        <f t="shared" si="71"/>
        <v>22</v>
      </c>
      <c r="U199" s="26">
        <f t="shared" si="72"/>
        <v>44978</v>
      </c>
      <c r="V199">
        <f t="shared" si="73"/>
        <v>22</v>
      </c>
      <c r="W199" s="10">
        <f t="shared" si="74"/>
        <v>1023795.19242</v>
      </c>
      <c r="X199" s="10">
        <f t="shared" si="75"/>
        <v>10257.03</v>
      </c>
      <c r="Y199" s="10">
        <f t="shared" si="76"/>
        <v>1013538.16242</v>
      </c>
      <c r="Z199" s="14">
        <f t="shared" si="80"/>
        <v>0.989981365339532</v>
      </c>
      <c r="AA199" t="s">
        <v>1564</v>
      </c>
      <c r="AB199" t="str">
        <f t="shared" si="77"/>
        <v>Q1-2023</v>
      </c>
      <c r="AC199" t="str">
        <f t="shared" si="78"/>
        <v>Europe → Germany → Munich</v>
      </c>
      <c r="AD199" t="str">
        <f t="shared" si="79"/>
        <v>Support</v>
      </c>
      <c r="AE199" s="8" t="str">
        <f t="shared" si="66"/>
        <v>Low</v>
      </c>
      <c r="AF199" t="str">
        <f t="shared" si="81"/>
        <v>GERMANY</v>
      </c>
      <c r="AG199" s="7">
        <v>44948</v>
      </c>
      <c r="AH199" t="str">
        <f t="shared" si="82"/>
        <v>Jan-2023</v>
      </c>
      <c r="AI199" s="9">
        <f t="shared" si="83"/>
        <v>44957</v>
      </c>
      <c r="AJ199">
        <f t="shared" si="87"/>
        <v>0</v>
      </c>
      <c r="AK199">
        <f t="shared" si="84"/>
        <v>0</v>
      </c>
      <c r="AL199" s="17">
        <f>MIN(N199,'Scenario Modelling'!$B$2)</f>
        <v>0.186</v>
      </c>
      <c r="AM199" s="10">
        <f>L199*(1+'Scenario Modelling'!$B$3)</f>
        <v>1314.312</v>
      </c>
      <c r="AN199">
        <f>O199*(1+'Scenario Modelling'!$B$4)</f>
        <v>8.4</v>
      </c>
      <c r="AO199" s="28">
        <f t="shared" si="85"/>
        <v>10019.066904</v>
      </c>
      <c r="AP199" s="10">
        <f t="shared" si="86"/>
        <v>-1021.153896</v>
      </c>
    </row>
    <row r="200" spans="1:42">
      <c r="A200" t="s">
        <v>661</v>
      </c>
      <c r="B200" s="7">
        <v>45030</v>
      </c>
      <c r="C200" s="7">
        <v>45059</v>
      </c>
      <c r="D200" t="s">
        <v>239</v>
      </c>
      <c r="E200" t="s">
        <v>240</v>
      </c>
      <c r="F200" t="s">
        <v>496</v>
      </c>
      <c r="G200" t="s">
        <v>209</v>
      </c>
      <c r="H200" t="s">
        <v>259</v>
      </c>
      <c r="I200" t="s">
        <v>190</v>
      </c>
      <c r="J200" t="s">
        <v>191</v>
      </c>
      <c r="K200" t="s">
        <v>662</v>
      </c>
      <c r="L200" s="10">
        <v>1320.33</v>
      </c>
      <c r="M200" s="10">
        <v>2645.23</v>
      </c>
      <c r="N200" s="17">
        <v>0.155</v>
      </c>
      <c r="O200">
        <v>25</v>
      </c>
      <c r="P200" t="str">
        <f t="shared" si="67"/>
        <v>Valid</v>
      </c>
      <c r="Q200" s="10">
        <f t="shared" si="68"/>
        <v>2645.23</v>
      </c>
      <c r="R200" t="b">
        <f t="shared" si="69"/>
        <v>0</v>
      </c>
      <c r="S200" s="17">
        <f t="shared" si="70"/>
        <v>0.155</v>
      </c>
      <c r="T200">
        <f t="shared" si="71"/>
        <v>29</v>
      </c>
      <c r="U200" s="26">
        <f t="shared" si="72"/>
        <v>45059</v>
      </c>
      <c r="V200">
        <f t="shared" si="73"/>
        <v>29</v>
      </c>
      <c r="W200" s="10">
        <f t="shared" si="74"/>
        <v>6602824.73375</v>
      </c>
      <c r="X200" s="10">
        <f t="shared" si="75"/>
        <v>66130.75</v>
      </c>
      <c r="Y200" s="10">
        <f t="shared" si="76"/>
        <v>6536693.98375</v>
      </c>
      <c r="Z200" s="14">
        <f t="shared" si="80"/>
        <v>0.989984475937703</v>
      </c>
      <c r="AA200" t="s">
        <v>1571</v>
      </c>
      <c r="AB200" t="str">
        <f t="shared" si="77"/>
        <v>Q2-2023</v>
      </c>
      <c r="AC200" t="str">
        <f t="shared" si="78"/>
        <v>Europe → Germany → Frankfurt</v>
      </c>
      <c r="AD200" t="str">
        <f t="shared" si="79"/>
        <v>Peripherals</v>
      </c>
      <c r="AE200" s="8" t="str">
        <f t="shared" si="66"/>
        <v>Low</v>
      </c>
      <c r="AF200" t="str">
        <f t="shared" si="81"/>
        <v>GERMANY</v>
      </c>
      <c r="AG200" s="7">
        <v>44948</v>
      </c>
      <c r="AH200" t="str">
        <f t="shared" si="82"/>
        <v>Jan-2023</v>
      </c>
      <c r="AI200" s="9">
        <f t="shared" si="83"/>
        <v>45046</v>
      </c>
      <c r="AJ200">
        <f t="shared" si="87"/>
        <v>0</v>
      </c>
      <c r="AK200">
        <f t="shared" si="84"/>
        <v>0</v>
      </c>
      <c r="AL200" s="17">
        <f>MIN(N200,'Scenario Modelling'!$B$2)</f>
        <v>0.155</v>
      </c>
      <c r="AM200" s="10">
        <f>L200*(1+'Scenario Modelling'!$B$3)</f>
        <v>1518.3795</v>
      </c>
      <c r="AN200">
        <f>O200*(1+'Scenario Modelling'!$B$4)</f>
        <v>30</v>
      </c>
      <c r="AO200" s="28">
        <f t="shared" si="85"/>
        <v>67056.5805</v>
      </c>
      <c r="AP200" s="10">
        <f t="shared" si="86"/>
        <v>21505.1955</v>
      </c>
    </row>
    <row r="201" spans="1:42">
      <c r="A201" t="s">
        <v>663</v>
      </c>
      <c r="B201" s="7">
        <v>44939</v>
      </c>
      <c r="C201" s="7">
        <v>44945</v>
      </c>
      <c r="D201" t="s">
        <v>213</v>
      </c>
      <c r="E201" t="s">
        <v>283</v>
      </c>
      <c r="F201" t="s">
        <v>284</v>
      </c>
      <c r="G201" t="s">
        <v>180</v>
      </c>
      <c r="H201" t="s">
        <v>259</v>
      </c>
      <c r="I201" t="s">
        <v>253</v>
      </c>
      <c r="J201" t="s">
        <v>203</v>
      </c>
      <c r="K201" t="s">
        <v>664</v>
      </c>
      <c r="L201" s="10">
        <v>833.57</v>
      </c>
      <c r="M201" s="10">
        <v>881.57</v>
      </c>
      <c r="N201" s="17">
        <v>0.057</v>
      </c>
      <c r="O201">
        <v>18</v>
      </c>
      <c r="P201" t="str">
        <f t="shared" si="67"/>
        <v>Valid</v>
      </c>
      <c r="Q201" s="10">
        <f t="shared" si="68"/>
        <v>881.57</v>
      </c>
      <c r="R201" t="b">
        <f t="shared" si="69"/>
        <v>0</v>
      </c>
      <c r="S201" s="17">
        <f t="shared" si="70"/>
        <v>0.057</v>
      </c>
      <c r="T201">
        <f t="shared" si="71"/>
        <v>6</v>
      </c>
      <c r="U201" s="26">
        <f t="shared" si="72"/>
        <v>44945</v>
      </c>
      <c r="V201">
        <f t="shared" si="73"/>
        <v>6</v>
      </c>
      <c r="W201" s="10">
        <f t="shared" si="74"/>
        <v>1585921.50918</v>
      </c>
      <c r="X201" s="10">
        <f t="shared" si="75"/>
        <v>15868.26</v>
      </c>
      <c r="Y201" s="10">
        <f t="shared" si="76"/>
        <v>1570053.24918</v>
      </c>
      <c r="Z201" s="14">
        <f t="shared" si="80"/>
        <v>0.989994296749147</v>
      </c>
      <c r="AA201" t="s">
        <v>1564</v>
      </c>
      <c r="AB201" t="str">
        <f t="shared" si="77"/>
        <v>Q1-2023</v>
      </c>
      <c r="AC201" t="str">
        <f t="shared" si="78"/>
        <v>Americas → USA → Chicago</v>
      </c>
      <c r="AD201" t="str">
        <f t="shared" si="79"/>
        <v>Devices</v>
      </c>
      <c r="AE201" s="8" t="str">
        <f t="shared" si="66"/>
        <v>Low</v>
      </c>
      <c r="AF201" t="str">
        <f t="shared" si="81"/>
        <v>USA</v>
      </c>
      <c r="AG201" s="7">
        <v>44939</v>
      </c>
      <c r="AH201" t="str">
        <f t="shared" si="82"/>
        <v>Jan-2023</v>
      </c>
      <c r="AI201" s="9">
        <f t="shared" si="83"/>
        <v>44957</v>
      </c>
      <c r="AJ201">
        <f t="shared" si="87"/>
        <v>1</v>
      </c>
      <c r="AK201">
        <f t="shared" si="84"/>
        <v>0</v>
      </c>
      <c r="AL201" s="17">
        <f>MIN(N201,'Scenario Modelling'!$B$2)</f>
        <v>0.057</v>
      </c>
      <c r="AM201" s="10">
        <f>L201*(1+'Scenario Modelling'!$B$3)</f>
        <v>958.6055</v>
      </c>
      <c r="AN201">
        <f>O201*(1+'Scenario Modelling'!$B$4)</f>
        <v>21.6</v>
      </c>
      <c r="AO201" s="28">
        <f t="shared" si="85"/>
        <v>17956.523016</v>
      </c>
      <c r="AP201" s="10">
        <f t="shared" si="86"/>
        <v>-2749.355784</v>
      </c>
    </row>
    <row r="202" spans="1:42">
      <c r="A202" t="s">
        <v>665</v>
      </c>
      <c r="B202" s="7">
        <v>45303</v>
      </c>
      <c r="C202" s="7">
        <v>45320</v>
      </c>
      <c r="D202" t="s">
        <v>213</v>
      </c>
      <c r="E202" t="s">
        <v>283</v>
      </c>
      <c r="F202" t="s">
        <v>284</v>
      </c>
      <c r="G202" t="s">
        <v>188</v>
      </c>
      <c r="H202" t="s">
        <v>216</v>
      </c>
      <c r="I202" t="s">
        <v>236</v>
      </c>
      <c r="J202" t="s">
        <v>191</v>
      </c>
      <c r="K202" t="s">
        <v>666</v>
      </c>
      <c r="L202" s="10">
        <v>493.76</v>
      </c>
      <c r="M202" s="10">
        <v>625.04</v>
      </c>
      <c r="N202" s="17">
        <v>0.258</v>
      </c>
      <c r="O202">
        <v>10</v>
      </c>
      <c r="P202" t="str">
        <f t="shared" si="67"/>
        <v>Valid</v>
      </c>
      <c r="Q202" s="10">
        <f t="shared" si="68"/>
        <v>625.04</v>
      </c>
      <c r="R202" t="b">
        <f t="shared" si="69"/>
        <v>0</v>
      </c>
      <c r="S202" s="17">
        <f t="shared" si="70"/>
        <v>0.258</v>
      </c>
      <c r="T202">
        <f t="shared" si="71"/>
        <v>17</v>
      </c>
      <c r="U202" s="26">
        <f t="shared" si="72"/>
        <v>45320</v>
      </c>
      <c r="V202">
        <f t="shared" si="73"/>
        <v>17</v>
      </c>
      <c r="W202" s="10">
        <f t="shared" si="74"/>
        <v>623427.3968</v>
      </c>
      <c r="X202" s="10">
        <f t="shared" si="75"/>
        <v>6250.4</v>
      </c>
      <c r="Y202" s="10">
        <f t="shared" si="76"/>
        <v>617176.9968</v>
      </c>
      <c r="Z202" s="14">
        <f t="shared" si="80"/>
        <v>0.989974133263821</v>
      </c>
      <c r="AA202" t="s">
        <v>1568</v>
      </c>
      <c r="AB202" t="str">
        <f t="shared" si="77"/>
        <v>Q1-2024</v>
      </c>
      <c r="AC202" t="str">
        <f t="shared" si="78"/>
        <v>Americas → USA → Chicago</v>
      </c>
      <c r="AD202" t="str">
        <f t="shared" si="79"/>
        <v>Peripherals</v>
      </c>
      <c r="AE202" s="8" t="str">
        <f t="shared" si="66"/>
        <v>Medium</v>
      </c>
      <c r="AF202" t="str">
        <f t="shared" si="81"/>
        <v>USA</v>
      </c>
      <c r="AG202" s="7">
        <v>44939</v>
      </c>
      <c r="AH202" t="str">
        <f t="shared" si="82"/>
        <v>Jan-2023</v>
      </c>
      <c r="AI202" s="9">
        <f t="shared" si="83"/>
        <v>45322</v>
      </c>
      <c r="AJ202">
        <f t="shared" si="87"/>
        <v>0</v>
      </c>
      <c r="AK202">
        <f t="shared" si="84"/>
        <v>1</v>
      </c>
      <c r="AL202" s="17">
        <f>MIN(N202,'Scenario Modelling'!$B$2)</f>
        <v>0.25</v>
      </c>
      <c r="AM202" s="10">
        <f>L202*(1+'Scenario Modelling'!$B$3)</f>
        <v>567.824</v>
      </c>
      <c r="AN202">
        <f>O202*(1+'Scenario Modelling'!$B$4)</f>
        <v>12</v>
      </c>
      <c r="AO202" s="28">
        <f t="shared" si="85"/>
        <v>5625.36</v>
      </c>
      <c r="AP202" s="10">
        <f t="shared" si="86"/>
        <v>-1188.528</v>
      </c>
    </row>
    <row r="203" spans="1:42">
      <c r="A203" t="s">
        <v>667</v>
      </c>
      <c r="B203" s="7">
        <v>45153</v>
      </c>
      <c r="C203" s="7">
        <v>45176</v>
      </c>
      <c r="D203" t="s">
        <v>213</v>
      </c>
      <c r="E203" t="s">
        <v>283</v>
      </c>
      <c r="F203" t="s">
        <v>548</v>
      </c>
      <c r="G203" t="s">
        <v>266</v>
      </c>
      <c r="H203" t="s">
        <v>189</v>
      </c>
      <c r="I203" t="s">
        <v>256</v>
      </c>
      <c r="J203" t="s">
        <v>203</v>
      </c>
      <c r="K203" t="s">
        <v>668</v>
      </c>
      <c r="L203" s="10">
        <v>590.33</v>
      </c>
      <c r="M203" s="10">
        <v>973.04</v>
      </c>
      <c r="N203" s="17">
        <v>0</v>
      </c>
      <c r="O203">
        <v>26</v>
      </c>
      <c r="P203" t="str">
        <f t="shared" si="67"/>
        <v>Valid</v>
      </c>
      <c r="Q203" s="10">
        <f t="shared" si="68"/>
        <v>973.04</v>
      </c>
      <c r="R203" t="b">
        <f t="shared" si="69"/>
        <v>0</v>
      </c>
      <c r="S203" s="17">
        <f t="shared" si="70"/>
        <v>0</v>
      </c>
      <c r="T203">
        <f t="shared" si="71"/>
        <v>23</v>
      </c>
      <c r="U203" s="26">
        <f t="shared" si="72"/>
        <v>45176</v>
      </c>
      <c r="V203">
        <f t="shared" si="73"/>
        <v>23</v>
      </c>
      <c r="W203" s="10">
        <f t="shared" si="74"/>
        <v>2529904</v>
      </c>
      <c r="X203" s="10">
        <f t="shared" si="75"/>
        <v>25299.04</v>
      </c>
      <c r="Y203" s="10">
        <f t="shared" si="76"/>
        <v>2504604.96</v>
      </c>
      <c r="Z203" s="14">
        <f t="shared" si="80"/>
        <v>0.99</v>
      </c>
      <c r="AA203" t="s">
        <v>1585</v>
      </c>
      <c r="AB203" t="str">
        <f t="shared" si="77"/>
        <v>Q3-2023</v>
      </c>
      <c r="AC203" t="str">
        <f t="shared" si="78"/>
        <v>Americas → USA → New York</v>
      </c>
      <c r="AD203" t="str">
        <f t="shared" si="79"/>
        <v>Devices</v>
      </c>
      <c r="AE203" s="8" t="str">
        <f t="shared" si="66"/>
        <v>Low</v>
      </c>
      <c r="AF203" t="str">
        <f t="shared" si="81"/>
        <v>USA</v>
      </c>
      <c r="AG203" s="7">
        <v>44939</v>
      </c>
      <c r="AH203" t="str">
        <f t="shared" si="82"/>
        <v>Jan-2023</v>
      </c>
      <c r="AI203" s="9">
        <f t="shared" si="83"/>
        <v>45169</v>
      </c>
      <c r="AJ203">
        <f t="shared" si="87"/>
        <v>0</v>
      </c>
      <c r="AK203">
        <f t="shared" si="84"/>
        <v>0</v>
      </c>
      <c r="AL203" s="17">
        <f>MIN(N203,'Scenario Modelling'!$B$2)</f>
        <v>0</v>
      </c>
      <c r="AM203" s="10">
        <f>L203*(1+'Scenario Modelling'!$B$3)</f>
        <v>678.8795</v>
      </c>
      <c r="AN203">
        <f>O203*(1+'Scenario Modelling'!$B$4)</f>
        <v>31.2</v>
      </c>
      <c r="AO203" s="28">
        <f t="shared" si="85"/>
        <v>30358.848</v>
      </c>
      <c r="AP203" s="10">
        <f t="shared" si="86"/>
        <v>9177.8076</v>
      </c>
    </row>
    <row r="204" spans="1:42">
      <c r="A204" t="s">
        <v>669</v>
      </c>
      <c r="B204" s="7">
        <v>44946</v>
      </c>
      <c r="C204" s="7">
        <v>44960</v>
      </c>
      <c r="D204" t="s">
        <v>177</v>
      </c>
      <c r="E204" t="s">
        <v>178</v>
      </c>
      <c r="F204" t="s">
        <v>179</v>
      </c>
      <c r="G204" t="s">
        <v>180</v>
      </c>
      <c r="H204" t="s">
        <v>181</v>
      </c>
      <c r="I204" t="s">
        <v>271</v>
      </c>
      <c r="J204" t="s">
        <v>196</v>
      </c>
      <c r="K204" t="s">
        <v>670</v>
      </c>
      <c r="L204" s="10">
        <v>884.36</v>
      </c>
      <c r="M204" s="10">
        <v>1545.34</v>
      </c>
      <c r="N204" s="17">
        <v>0.243</v>
      </c>
      <c r="O204">
        <v>41</v>
      </c>
      <c r="P204" t="str">
        <f t="shared" si="67"/>
        <v>Valid</v>
      </c>
      <c r="Q204" s="10">
        <f t="shared" si="68"/>
        <v>1545.34</v>
      </c>
      <c r="R204" t="b">
        <f t="shared" si="69"/>
        <v>0</v>
      </c>
      <c r="S204" s="17">
        <f t="shared" si="70"/>
        <v>0.243</v>
      </c>
      <c r="T204">
        <f t="shared" si="71"/>
        <v>14</v>
      </c>
      <c r="U204" s="26">
        <f t="shared" si="72"/>
        <v>44960</v>
      </c>
      <c r="V204">
        <f t="shared" si="73"/>
        <v>14</v>
      </c>
      <c r="W204" s="10">
        <f t="shared" si="74"/>
        <v>6320497.77758</v>
      </c>
      <c r="X204" s="10">
        <f t="shared" si="75"/>
        <v>63358.94</v>
      </c>
      <c r="Y204" s="10">
        <f t="shared" si="76"/>
        <v>6257138.83758</v>
      </c>
      <c r="Z204" s="14">
        <f t="shared" si="80"/>
        <v>0.989975640807161</v>
      </c>
      <c r="AA204" t="s">
        <v>1564</v>
      </c>
      <c r="AB204" t="str">
        <f t="shared" si="77"/>
        <v>Q1-2023</v>
      </c>
      <c r="AC204" t="str">
        <f t="shared" si="78"/>
        <v>Africa → Kenya → Kisumu</v>
      </c>
      <c r="AD204" t="str">
        <f t="shared" si="79"/>
        <v>Support</v>
      </c>
      <c r="AE204" s="8" t="str">
        <f t="shared" si="66"/>
        <v>Low</v>
      </c>
      <c r="AF204" t="str">
        <f t="shared" si="81"/>
        <v>KENYA</v>
      </c>
      <c r="AG204" s="7">
        <v>44946</v>
      </c>
      <c r="AH204" t="str">
        <f t="shared" si="82"/>
        <v>Jan-2023</v>
      </c>
      <c r="AI204" s="9">
        <f t="shared" si="83"/>
        <v>44957</v>
      </c>
      <c r="AJ204">
        <f t="shared" si="87"/>
        <v>0</v>
      </c>
      <c r="AK204">
        <f t="shared" si="84"/>
        <v>1</v>
      </c>
      <c r="AL204" s="17">
        <f>MIN(N204,'Scenario Modelling'!$B$2)</f>
        <v>0.243</v>
      </c>
      <c r="AM204" s="10">
        <f>L204*(1+'Scenario Modelling'!$B$3)</f>
        <v>1017.014</v>
      </c>
      <c r="AN204">
        <f>O204*(1+'Scenario Modelling'!$B$4)</f>
        <v>49.2</v>
      </c>
      <c r="AO204" s="28">
        <f t="shared" si="85"/>
        <v>57555.261096</v>
      </c>
      <c r="AP204" s="10">
        <f t="shared" si="86"/>
        <v>7518.172296</v>
      </c>
    </row>
    <row r="205" spans="1:42">
      <c r="A205" t="s">
        <v>671</v>
      </c>
      <c r="B205" s="7">
        <v>45692</v>
      </c>
      <c r="C205" s="7">
        <v>45713</v>
      </c>
      <c r="D205" t="s">
        <v>239</v>
      </c>
      <c r="E205" t="s">
        <v>269</v>
      </c>
      <c r="F205" t="s">
        <v>270</v>
      </c>
      <c r="G205" t="s">
        <v>180</v>
      </c>
      <c r="H205" t="s">
        <v>201</v>
      </c>
      <c r="I205" t="s">
        <v>306</v>
      </c>
      <c r="J205" t="s">
        <v>225</v>
      </c>
      <c r="K205" t="s">
        <v>672</v>
      </c>
      <c r="L205" s="10">
        <v>1016.32</v>
      </c>
      <c r="M205" s="10">
        <v>2253.42</v>
      </c>
      <c r="N205" s="17">
        <v>0.055</v>
      </c>
      <c r="O205">
        <v>12</v>
      </c>
      <c r="P205" t="str">
        <f t="shared" si="67"/>
        <v>Valid</v>
      </c>
      <c r="Q205" s="10">
        <f t="shared" si="68"/>
        <v>2253.42</v>
      </c>
      <c r="R205" t="b">
        <f t="shared" si="69"/>
        <v>0</v>
      </c>
      <c r="S205" s="17">
        <f t="shared" si="70"/>
        <v>0.055</v>
      </c>
      <c r="T205">
        <f t="shared" si="71"/>
        <v>21</v>
      </c>
      <c r="U205" s="26">
        <f t="shared" si="72"/>
        <v>45713</v>
      </c>
      <c r="V205">
        <f t="shared" si="73"/>
        <v>21</v>
      </c>
      <c r="W205" s="10">
        <f t="shared" si="74"/>
        <v>2702616.7428</v>
      </c>
      <c r="X205" s="10">
        <f t="shared" si="75"/>
        <v>27041.04</v>
      </c>
      <c r="Y205" s="10">
        <f t="shared" si="76"/>
        <v>2675575.7028</v>
      </c>
      <c r="Z205" s="14">
        <f t="shared" si="80"/>
        <v>0.989994496973335</v>
      </c>
      <c r="AA205" t="s">
        <v>1586</v>
      </c>
      <c r="AB205" t="str">
        <f t="shared" si="77"/>
        <v>Q1-2025</v>
      </c>
      <c r="AC205" t="str">
        <f t="shared" si="78"/>
        <v>Europe → United Kingdom → Birmingham</v>
      </c>
      <c r="AD205" t="str">
        <f t="shared" si="79"/>
        <v>Peripherals</v>
      </c>
      <c r="AE205" s="8" t="str">
        <f t="shared" si="66"/>
        <v>High</v>
      </c>
      <c r="AF205" t="str">
        <f t="shared" si="81"/>
        <v>UNITED KINGDOM</v>
      </c>
      <c r="AG205" s="7">
        <v>44945</v>
      </c>
      <c r="AH205" t="str">
        <f t="shared" si="82"/>
        <v>Jan-2023</v>
      </c>
      <c r="AI205" s="9">
        <f t="shared" si="83"/>
        <v>45716</v>
      </c>
      <c r="AJ205">
        <f t="shared" si="87"/>
        <v>0</v>
      </c>
      <c r="AK205">
        <f t="shared" si="84"/>
        <v>0</v>
      </c>
      <c r="AL205" s="17">
        <f>MIN(N205,'Scenario Modelling'!$B$2)</f>
        <v>0.055</v>
      </c>
      <c r="AM205" s="10">
        <f>L205*(1+'Scenario Modelling'!$B$3)</f>
        <v>1168.768</v>
      </c>
      <c r="AN205">
        <f>O205*(1+'Scenario Modelling'!$B$4)</f>
        <v>14.4</v>
      </c>
      <c r="AO205" s="28">
        <f t="shared" si="85"/>
        <v>30664.53936</v>
      </c>
      <c r="AP205" s="10">
        <f t="shared" si="86"/>
        <v>13834.28016</v>
      </c>
    </row>
    <row r="206" spans="1:42">
      <c r="A206" t="s">
        <v>673</v>
      </c>
      <c r="B206" s="7">
        <v>45035</v>
      </c>
      <c r="C206" s="7">
        <v>45044</v>
      </c>
      <c r="D206" t="s">
        <v>239</v>
      </c>
      <c r="E206" t="s">
        <v>240</v>
      </c>
      <c r="F206" t="s">
        <v>241</v>
      </c>
      <c r="G206" t="s">
        <v>188</v>
      </c>
      <c r="H206" t="s">
        <v>189</v>
      </c>
      <c r="I206" t="s">
        <v>224</v>
      </c>
      <c r="J206" t="s">
        <v>225</v>
      </c>
      <c r="K206" t="s">
        <v>674</v>
      </c>
      <c r="L206" s="10">
        <v>1178.42</v>
      </c>
      <c r="M206" s="10">
        <v>2446.56</v>
      </c>
      <c r="N206" s="17">
        <v>0.029</v>
      </c>
      <c r="O206">
        <v>11</v>
      </c>
      <c r="P206" t="str">
        <f t="shared" si="67"/>
        <v>Valid</v>
      </c>
      <c r="Q206" s="10">
        <f t="shared" si="68"/>
        <v>2446.56</v>
      </c>
      <c r="R206" t="b">
        <f t="shared" si="69"/>
        <v>0</v>
      </c>
      <c r="S206" s="17">
        <f t="shared" si="70"/>
        <v>0.029</v>
      </c>
      <c r="T206">
        <f t="shared" si="71"/>
        <v>9</v>
      </c>
      <c r="U206" s="26">
        <f t="shared" si="72"/>
        <v>45044</v>
      </c>
      <c r="V206">
        <f t="shared" si="73"/>
        <v>9</v>
      </c>
      <c r="W206" s="10">
        <f t="shared" si="74"/>
        <v>2690435.54736</v>
      </c>
      <c r="X206" s="10">
        <f t="shared" si="75"/>
        <v>26912.16</v>
      </c>
      <c r="Y206" s="10">
        <f t="shared" si="76"/>
        <v>2663523.38736</v>
      </c>
      <c r="Z206" s="14">
        <f t="shared" si="80"/>
        <v>0.989997099158756</v>
      </c>
      <c r="AA206" t="s">
        <v>1571</v>
      </c>
      <c r="AB206" t="str">
        <f t="shared" si="77"/>
        <v>Q2-2023</v>
      </c>
      <c r="AC206" t="str">
        <f t="shared" si="78"/>
        <v>Europe → Germany → Berlin</v>
      </c>
      <c r="AD206" t="str">
        <f t="shared" si="79"/>
        <v>Peripherals</v>
      </c>
      <c r="AE206" s="8" t="str">
        <f t="shared" si="66"/>
        <v>Low</v>
      </c>
      <c r="AF206" t="str">
        <f t="shared" si="81"/>
        <v>GERMANY</v>
      </c>
      <c r="AG206" s="7">
        <v>44948</v>
      </c>
      <c r="AH206" t="str">
        <f t="shared" si="82"/>
        <v>Jan-2023</v>
      </c>
      <c r="AI206" s="9">
        <f t="shared" si="83"/>
        <v>45046</v>
      </c>
      <c r="AJ206">
        <f t="shared" si="87"/>
        <v>0</v>
      </c>
      <c r="AK206">
        <f t="shared" si="84"/>
        <v>0</v>
      </c>
      <c r="AL206" s="17">
        <f>MIN(N206,'Scenario Modelling'!$B$2)</f>
        <v>0.029</v>
      </c>
      <c r="AM206" s="10">
        <f>L206*(1+'Scenario Modelling'!$B$3)</f>
        <v>1355.183</v>
      </c>
      <c r="AN206">
        <f>O206*(1+'Scenario Modelling'!$B$4)</f>
        <v>13.2</v>
      </c>
      <c r="AO206" s="28">
        <f t="shared" si="85"/>
        <v>31358.048832</v>
      </c>
      <c r="AP206" s="10">
        <f t="shared" si="86"/>
        <v>13469.633232</v>
      </c>
    </row>
    <row r="207" spans="1:42">
      <c r="A207" t="s">
        <v>675</v>
      </c>
      <c r="B207" s="7">
        <v>45109</v>
      </c>
      <c r="C207" s="7">
        <v>45139</v>
      </c>
      <c r="D207" t="s">
        <v>239</v>
      </c>
      <c r="E207" t="s">
        <v>269</v>
      </c>
      <c r="F207" t="s">
        <v>270</v>
      </c>
      <c r="G207" t="s">
        <v>223</v>
      </c>
      <c r="H207" t="s">
        <v>181</v>
      </c>
      <c r="I207" t="s">
        <v>217</v>
      </c>
      <c r="J207" t="s">
        <v>183</v>
      </c>
      <c r="K207" t="s">
        <v>676</v>
      </c>
      <c r="L207" s="10">
        <v>137.46</v>
      </c>
      <c r="M207" s="10">
        <v>188.3</v>
      </c>
      <c r="N207" s="17">
        <v>0.038</v>
      </c>
      <c r="O207">
        <v>37</v>
      </c>
      <c r="P207" t="str">
        <f t="shared" si="67"/>
        <v>Valid</v>
      </c>
      <c r="Q207" s="10">
        <f t="shared" si="68"/>
        <v>188.3</v>
      </c>
      <c r="R207" t="b">
        <f t="shared" si="69"/>
        <v>0</v>
      </c>
      <c r="S207" s="17">
        <f t="shared" si="70"/>
        <v>0.038</v>
      </c>
      <c r="T207">
        <f t="shared" si="71"/>
        <v>30</v>
      </c>
      <c r="U207" s="26">
        <f t="shared" si="72"/>
        <v>45139</v>
      </c>
      <c r="V207">
        <f t="shared" si="73"/>
        <v>30</v>
      </c>
      <c r="W207" s="10">
        <f t="shared" si="74"/>
        <v>696445.2502</v>
      </c>
      <c r="X207" s="10">
        <f t="shared" si="75"/>
        <v>6967.1</v>
      </c>
      <c r="Y207" s="10">
        <f t="shared" si="76"/>
        <v>689478.1502</v>
      </c>
      <c r="Z207" s="14">
        <f t="shared" si="80"/>
        <v>0.989996198555451</v>
      </c>
      <c r="AA207" t="s">
        <v>1584</v>
      </c>
      <c r="AB207" t="str">
        <f t="shared" si="77"/>
        <v>Q3-2023</v>
      </c>
      <c r="AC207" t="str">
        <f t="shared" si="78"/>
        <v>Europe → United Kingdom → Birmingham</v>
      </c>
      <c r="AD207" t="str">
        <f t="shared" si="79"/>
        <v>Support</v>
      </c>
      <c r="AE207" s="8" t="str">
        <f t="shared" si="66"/>
        <v>Low</v>
      </c>
      <c r="AF207" t="str">
        <f t="shared" si="81"/>
        <v>UNITED KINGDOM</v>
      </c>
      <c r="AG207" s="7">
        <v>44945</v>
      </c>
      <c r="AH207" t="str">
        <f t="shared" si="82"/>
        <v>Jan-2023</v>
      </c>
      <c r="AI207" s="9">
        <f t="shared" si="83"/>
        <v>45138</v>
      </c>
      <c r="AJ207">
        <f t="shared" si="87"/>
        <v>0</v>
      </c>
      <c r="AK207">
        <f t="shared" si="84"/>
        <v>0</v>
      </c>
      <c r="AL207" s="17">
        <f>MIN(N207,'Scenario Modelling'!$B$2)</f>
        <v>0.038</v>
      </c>
      <c r="AM207" s="10">
        <f>L207*(1+'Scenario Modelling'!$B$3)</f>
        <v>158.079</v>
      </c>
      <c r="AN207">
        <f>O207*(1+'Scenario Modelling'!$B$4)</f>
        <v>44.4</v>
      </c>
      <c r="AO207" s="28">
        <f t="shared" si="85"/>
        <v>8042.82024</v>
      </c>
      <c r="AP207" s="10">
        <f t="shared" si="86"/>
        <v>1024.11264</v>
      </c>
    </row>
    <row r="208" spans="1:42">
      <c r="A208" t="s">
        <v>677</v>
      </c>
      <c r="B208" s="7">
        <v>45678</v>
      </c>
      <c r="C208" s="7">
        <v>45702</v>
      </c>
      <c r="D208" t="s">
        <v>177</v>
      </c>
      <c r="E208" t="s">
        <v>178</v>
      </c>
      <c r="F208" t="s">
        <v>194</v>
      </c>
      <c r="G208" t="s">
        <v>223</v>
      </c>
      <c r="H208" t="s">
        <v>181</v>
      </c>
      <c r="I208" t="s">
        <v>190</v>
      </c>
      <c r="J208" t="s">
        <v>242</v>
      </c>
      <c r="K208" t="s">
        <v>678</v>
      </c>
      <c r="L208" s="10">
        <v>1030.44</v>
      </c>
      <c r="M208" s="10">
        <v>2562.84</v>
      </c>
      <c r="N208" s="17">
        <v>0.148</v>
      </c>
      <c r="O208">
        <v>13</v>
      </c>
      <c r="P208" t="str">
        <f t="shared" si="67"/>
        <v>Valid</v>
      </c>
      <c r="Q208" s="10">
        <f t="shared" si="68"/>
        <v>2562.84</v>
      </c>
      <c r="R208" t="b">
        <f t="shared" si="69"/>
        <v>0</v>
      </c>
      <c r="S208" s="17">
        <f t="shared" si="70"/>
        <v>0.148</v>
      </c>
      <c r="T208">
        <f t="shared" si="71"/>
        <v>24</v>
      </c>
      <c r="U208" s="26">
        <f t="shared" si="72"/>
        <v>45702</v>
      </c>
      <c r="V208">
        <f t="shared" si="73"/>
        <v>24</v>
      </c>
      <c r="W208" s="10">
        <f t="shared" si="74"/>
        <v>3326761.09584</v>
      </c>
      <c r="X208" s="10">
        <f t="shared" si="75"/>
        <v>33316.92</v>
      </c>
      <c r="Y208" s="10">
        <f t="shared" si="76"/>
        <v>3293444.17584</v>
      </c>
      <c r="Z208" s="14">
        <f t="shared" si="80"/>
        <v>0.989985178063534</v>
      </c>
      <c r="AA208" t="s">
        <v>1569</v>
      </c>
      <c r="AB208" t="str">
        <f t="shared" si="77"/>
        <v>Q1-2025</v>
      </c>
      <c r="AC208" t="str">
        <f t="shared" si="78"/>
        <v>Africa → Kenya → Nairobi</v>
      </c>
      <c r="AD208" t="str">
        <f t="shared" si="79"/>
        <v>Support</v>
      </c>
      <c r="AE208" s="8" t="str">
        <f t="shared" si="66"/>
        <v>High</v>
      </c>
      <c r="AF208" t="str">
        <f t="shared" si="81"/>
        <v>KENYA</v>
      </c>
      <c r="AG208" s="7">
        <v>44946</v>
      </c>
      <c r="AH208" t="str">
        <f t="shared" si="82"/>
        <v>Jan-2023</v>
      </c>
      <c r="AI208" s="9">
        <f t="shared" si="83"/>
        <v>45688</v>
      </c>
      <c r="AJ208">
        <f t="shared" si="87"/>
        <v>0</v>
      </c>
      <c r="AK208">
        <f t="shared" si="84"/>
        <v>0</v>
      </c>
      <c r="AL208" s="17">
        <f>MIN(N208,'Scenario Modelling'!$B$2)</f>
        <v>0.148</v>
      </c>
      <c r="AM208" s="10">
        <f>L208*(1+'Scenario Modelling'!$B$3)</f>
        <v>1185.006</v>
      </c>
      <c r="AN208">
        <f>O208*(1+'Scenario Modelling'!$B$4)</f>
        <v>15.6</v>
      </c>
      <c r="AO208" s="28">
        <f t="shared" si="85"/>
        <v>34063.219008</v>
      </c>
      <c r="AP208" s="10">
        <f t="shared" si="86"/>
        <v>15577.125408</v>
      </c>
    </row>
    <row r="209" spans="1:42">
      <c r="A209" t="s">
        <v>679</v>
      </c>
      <c r="B209" s="7">
        <v>45545</v>
      </c>
      <c r="C209" s="7">
        <v>45572</v>
      </c>
      <c r="D209" t="s">
        <v>177</v>
      </c>
      <c r="E209" t="s">
        <v>178</v>
      </c>
      <c r="F209" t="s">
        <v>179</v>
      </c>
      <c r="G209" t="s">
        <v>209</v>
      </c>
      <c r="H209" t="s">
        <v>181</v>
      </c>
      <c r="I209" t="s">
        <v>210</v>
      </c>
      <c r="J209" t="s">
        <v>191</v>
      </c>
      <c r="K209" t="s">
        <v>680</v>
      </c>
      <c r="L209" s="10">
        <v>1248.39</v>
      </c>
      <c r="M209" s="10">
        <v>1805.11</v>
      </c>
      <c r="N209" s="17">
        <v>0.203</v>
      </c>
      <c r="O209">
        <v>11</v>
      </c>
      <c r="P209" t="str">
        <f t="shared" si="67"/>
        <v>Valid</v>
      </c>
      <c r="Q209" s="10">
        <f t="shared" si="68"/>
        <v>1805.11</v>
      </c>
      <c r="R209" t="b">
        <f t="shared" si="69"/>
        <v>0</v>
      </c>
      <c r="S209" s="17">
        <f t="shared" si="70"/>
        <v>0.203</v>
      </c>
      <c r="T209">
        <f t="shared" si="71"/>
        <v>27</v>
      </c>
      <c r="U209" s="26">
        <f t="shared" si="72"/>
        <v>45572</v>
      </c>
      <c r="V209">
        <f t="shared" si="73"/>
        <v>27</v>
      </c>
      <c r="W209" s="10">
        <f t="shared" si="74"/>
        <v>1981590.18937</v>
      </c>
      <c r="X209" s="10">
        <f t="shared" si="75"/>
        <v>19856.21</v>
      </c>
      <c r="Y209" s="10">
        <f t="shared" si="76"/>
        <v>1961733.97937</v>
      </c>
      <c r="Z209" s="14">
        <f t="shared" si="80"/>
        <v>0.989979658707176</v>
      </c>
      <c r="AA209" t="s">
        <v>1592</v>
      </c>
      <c r="AB209" t="str">
        <f t="shared" si="77"/>
        <v>Q3-2024</v>
      </c>
      <c r="AC209" t="str">
        <f t="shared" si="78"/>
        <v>Africa → Kenya → Kisumu</v>
      </c>
      <c r="AD209" t="str">
        <f t="shared" si="79"/>
        <v>Peripherals</v>
      </c>
      <c r="AE209" s="8" t="str">
        <f t="shared" si="66"/>
        <v>Medium</v>
      </c>
      <c r="AF209" t="str">
        <f t="shared" si="81"/>
        <v>KENYA</v>
      </c>
      <c r="AG209" s="7">
        <v>44946</v>
      </c>
      <c r="AH209" t="str">
        <f t="shared" si="82"/>
        <v>Jan-2023</v>
      </c>
      <c r="AI209" s="9">
        <f t="shared" si="83"/>
        <v>45565</v>
      </c>
      <c r="AJ209">
        <f t="shared" si="87"/>
        <v>0</v>
      </c>
      <c r="AK209">
        <f t="shared" si="84"/>
        <v>1</v>
      </c>
      <c r="AL209" s="17">
        <f>MIN(N209,'Scenario Modelling'!$B$2)</f>
        <v>0.203</v>
      </c>
      <c r="AM209" s="10">
        <f>L209*(1+'Scenario Modelling'!$B$3)</f>
        <v>1435.6485</v>
      </c>
      <c r="AN209">
        <f>O209*(1+'Scenario Modelling'!$B$4)</f>
        <v>13.2</v>
      </c>
      <c r="AO209" s="28">
        <f t="shared" si="85"/>
        <v>18990.479244</v>
      </c>
      <c r="AP209" s="10">
        <f t="shared" si="86"/>
        <v>39.9190439999958</v>
      </c>
    </row>
    <row r="210" spans="1:42">
      <c r="A210" t="s">
        <v>681</v>
      </c>
      <c r="B210" s="7">
        <v>45859</v>
      </c>
      <c r="C210" s="7">
        <v>45876</v>
      </c>
      <c r="D210" t="s">
        <v>177</v>
      </c>
      <c r="E210" t="s">
        <v>186</v>
      </c>
      <c r="F210" t="s">
        <v>199</v>
      </c>
      <c r="G210" t="s">
        <v>266</v>
      </c>
      <c r="H210" t="s">
        <v>259</v>
      </c>
      <c r="I210" t="s">
        <v>271</v>
      </c>
      <c r="J210" t="s">
        <v>242</v>
      </c>
      <c r="K210" t="s">
        <v>682</v>
      </c>
      <c r="L210" s="10">
        <v>1204.95</v>
      </c>
      <c r="M210" s="10">
        <v>2065.73</v>
      </c>
      <c r="N210" s="17">
        <v>0.136</v>
      </c>
      <c r="O210">
        <v>10</v>
      </c>
      <c r="P210" t="str">
        <f t="shared" si="67"/>
        <v>Valid</v>
      </c>
      <c r="Q210" s="10">
        <f t="shared" si="68"/>
        <v>2065.73</v>
      </c>
      <c r="R210" t="b">
        <f t="shared" si="69"/>
        <v>0</v>
      </c>
      <c r="S210" s="17">
        <f t="shared" si="70"/>
        <v>0.136</v>
      </c>
      <c r="T210">
        <f t="shared" si="71"/>
        <v>17</v>
      </c>
      <c r="U210" s="26">
        <f t="shared" si="72"/>
        <v>45876</v>
      </c>
      <c r="V210">
        <f t="shared" si="73"/>
        <v>17</v>
      </c>
      <c r="W210" s="10">
        <f t="shared" si="74"/>
        <v>2062920.6072</v>
      </c>
      <c r="X210" s="10">
        <f t="shared" si="75"/>
        <v>20657.3</v>
      </c>
      <c r="Y210" s="10">
        <f t="shared" si="76"/>
        <v>2042263.3072</v>
      </c>
      <c r="Z210" s="14">
        <f t="shared" si="80"/>
        <v>0.989986381478811</v>
      </c>
      <c r="AA210" t="s">
        <v>1572</v>
      </c>
      <c r="AB210" t="str">
        <f t="shared" si="77"/>
        <v>Q3-2025</v>
      </c>
      <c r="AC210" t="str">
        <f t="shared" si="78"/>
        <v>Africa → Nigeria → Lagos</v>
      </c>
      <c r="AD210" t="str">
        <f t="shared" si="79"/>
        <v>Support</v>
      </c>
      <c r="AE210" s="8" t="str">
        <f t="shared" si="66"/>
        <v>High</v>
      </c>
      <c r="AF210" t="str">
        <f t="shared" si="81"/>
        <v>NIGERIA</v>
      </c>
      <c r="AG210" s="7">
        <v>44941</v>
      </c>
      <c r="AH210" t="str">
        <f t="shared" si="82"/>
        <v>Jan-2023</v>
      </c>
      <c r="AI210" s="9">
        <f t="shared" si="83"/>
        <v>45869</v>
      </c>
      <c r="AJ210">
        <f t="shared" si="87"/>
        <v>0</v>
      </c>
      <c r="AK210">
        <f t="shared" si="84"/>
        <v>0</v>
      </c>
      <c r="AL210" s="17">
        <f>MIN(N210,'Scenario Modelling'!$B$2)</f>
        <v>0.136</v>
      </c>
      <c r="AM210" s="10">
        <f>L210*(1+'Scenario Modelling'!$B$3)</f>
        <v>1385.6925</v>
      </c>
      <c r="AN210">
        <f>O210*(1+'Scenario Modelling'!$B$4)</f>
        <v>12</v>
      </c>
      <c r="AO210" s="28">
        <f t="shared" si="85"/>
        <v>21417.48864</v>
      </c>
      <c r="AP210" s="10">
        <f t="shared" si="86"/>
        <v>4789.17864</v>
      </c>
    </row>
    <row r="211" spans="1:42">
      <c r="A211" t="s">
        <v>683</v>
      </c>
      <c r="B211" s="7">
        <v>45567</v>
      </c>
      <c r="C211" s="7">
        <v>45588</v>
      </c>
      <c r="D211" t="s">
        <v>177</v>
      </c>
      <c r="E211" t="s">
        <v>309</v>
      </c>
      <c r="F211" t="s">
        <v>333</v>
      </c>
      <c r="G211" t="s">
        <v>180</v>
      </c>
      <c r="H211" t="s">
        <v>201</v>
      </c>
      <c r="I211" t="s">
        <v>236</v>
      </c>
      <c r="J211" t="s">
        <v>183</v>
      </c>
      <c r="K211" t="s">
        <v>684</v>
      </c>
      <c r="L211" s="10">
        <v>1095.61</v>
      </c>
      <c r="M211" s="10">
        <v>2366.51</v>
      </c>
      <c r="N211" s="17">
        <v>0.152</v>
      </c>
      <c r="O211">
        <v>9</v>
      </c>
      <c r="P211" t="str">
        <f t="shared" si="67"/>
        <v>Valid</v>
      </c>
      <c r="Q211" s="10">
        <f t="shared" si="68"/>
        <v>2366.51</v>
      </c>
      <c r="R211" t="b">
        <f t="shared" si="69"/>
        <v>0</v>
      </c>
      <c r="S211" s="17">
        <f t="shared" si="70"/>
        <v>0.152</v>
      </c>
      <c r="T211">
        <f t="shared" si="71"/>
        <v>21</v>
      </c>
      <c r="U211" s="26">
        <f t="shared" si="72"/>
        <v>45588</v>
      </c>
      <c r="V211">
        <f t="shared" si="73"/>
        <v>21</v>
      </c>
      <c r="W211" s="10">
        <f t="shared" si="74"/>
        <v>2126621.61432</v>
      </c>
      <c r="X211" s="10">
        <f t="shared" si="75"/>
        <v>21298.59</v>
      </c>
      <c r="Y211" s="10">
        <f t="shared" si="76"/>
        <v>2105323.02432</v>
      </c>
      <c r="Z211" s="14">
        <f t="shared" si="80"/>
        <v>0.989984776860829</v>
      </c>
      <c r="AA211" t="s">
        <v>1561</v>
      </c>
      <c r="AB211" t="str">
        <f t="shared" si="77"/>
        <v>Q4-2024</v>
      </c>
      <c r="AC211" t="str">
        <f t="shared" si="78"/>
        <v>Africa → South Africa → Durban</v>
      </c>
      <c r="AD211" t="str">
        <f t="shared" si="79"/>
        <v>Support</v>
      </c>
      <c r="AE211" s="8" t="str">
        <f t="shared" si="66"/>
        <v>Medium</v>
      </c>
      <c r="AF211" t="str">
        <f t="shared" si="81"/>
        <v>SOUTH AFRICA</v>
      </c>
      <c r="AG211" s="7">
        <v>44933</v>
      </c>
      <c r="AH211" t="str">
        <f t="shared" si="82"/>
        <v>Jan-2023</v>
      </c>
      <c r="AI211" s="9">
        <f t="shared" si="83"/>
        <v>45596</v>
      </c>
      <c r="AJ211">
        <f t="shared" si="87"/>
        <v>0</v>
      </c>
      <c r="AK211">
        <f t="shared" si="84"/>
        <v>0</v>
      </c>
      <c r="AL211" s="17">
        <f>MIN(N211,'Scenario Modelling'!$B$2)</f>
        <v>0.152</v>
      </c>
      <c r="AM211" s="10">
        <f>L211*(1+'Scenario Modelling'!$B$3)</f>
        <v>1259.9515</v>
      </c>
      <c r="AN211">
        <f>O211*(1+'Scenario Modelling'!$B$4)</f>
        <v>10.8</v>
      </c>
      <c r="AO211" s="28">
        <f t="shared" si="85"/>
        <v>21673.445184</v>
      </c>
      <c r="AP211" s="10">
        <f t="shared" si="86"/>
        <v>8065.968984</v>
      </c>
    </row>
    <row r="212" spans="1:42">
      <c r="A212" t="s">
        <v>685</v>
      </c>
      <c r="B212" s="7">
        <v>45852</v>
      </c>
      <c r="C212" s="7">
        <v>45873</v>
      </c>
      <c r="D212" t="s">
        <v>213</v>
      </c>
      <c r="E212" t="s">
        <v>214</v>
      </c>
      <c r="F212" t="s">
        <v>305</v>
      </c>
      <c r="G212" t="s">
        <v>209</v>
      </c>
      <c r="H212" t="s">
        <v>189</v>
      </c>
      <c r="I212" t="s">
        <v>253</v>
      </c>
      <c r="J212" t="s">
        <v>225</v>
      </c>
      <c r="K212" t="s">
        <v>686</v>
      </c>
      <c r="L212" s="10">
        <v>90.3</v>
      </c>
      <c r="M212" s="10">
        <v>131.76</v>
      </c>
      <c r="N212" s="17">
        <v>0.102</v>
      </c>
      <c r="O212">
        <v>15</v>
      </c>
      <c r="P212" t="str">
        <f t="shared" si="67"/>
        <v>Valid</v>
      </c>
      <c r="Q212" s="10">
        <f t="shared" si="68"/>
        <v>131.76</v>
      </c>
      <c r="R212" t="b">
        <f t="shared" si="69"/>
        <v>0</v>
      </c>
      <c r="S212" s="17">
        <f t="shared" si="70"/>
        <v>0.102</v>
      </c>
      <c r="T212">
        <f t="shared" si="71"/>
        <v>21</v>
      </c>
      <c r="U212" s="26">
        <f t="shared" si="72"/>
        <v>45873</v>
      </c>
      <c r="V212">
        <f t="shared" si="73"/>
        <v>21</v>
      </c>
      <c r="W212" s="10">
        <f t="shared" si="74"/>
        <v>197438.4072</v>
      </c>
      <c r="X212" s="10">
        <f t="shared" si="75"/>
        <v>1976.4</v>
      </c>
      <c r="Y212" s="10">
        <f t="shared" si="76"/>
        <v>195462.0072</v>
      </c>
      <c r="Z212" s="14">
        <f t="shared" si="80"/>
        <v>0.989989789585377</v>
      </c>
      <c r="AA212" t="s">
        <v>1572</v>
      </c>
      <c r="AB212" t="str">
        <f t="shared" si="77"/>
        <v>Q3-2025</v>
      </c>
      <c r="AC212" t="str">
        <f t="shared" si="78"/>
        <v>Americas → Canada → Montreal</v>
      </c>
      <c r="AD212" t="str">
        <f t="shared" si="79"/>
        <v>Peripherals</v>
      </c>
      <c r="AE212" s="8" t="str">
        <f t="shared" si="66"/>
        <v>High</v>
      </c>
      <c r="AF212" t="str">
        <f t="shared" si="81"/>
        <v>CANADA</v>
      </c>
      <c r="AG212" s="7">
        <v>44928</v>
      </c>
      <c r="AH212" t="str">
        <f t="shared" si="82"/>
        <v>Jan-2023</v>
      </c>
      <c r="AI212" s="9">
        <f t="shared" si="83"/>
        <v>45869</v>
      </c>
      <c r="AJ212">
        <f t="shared" si="87"/>
        <v>0</v>
      </c>
      <c r="AK212">
        <f t="shared" si="84"/>
        <v>0</v>
      </c>
      <c r="AL212" s="17">
        <f>MIN(N212,'Scenario Modelling'!$B$2)</f>
        <v>0.102</v>
      </c>
      <c r="AM212" s="10">
        <f>L212*(1+'Scenario Modelling'!$B$3)</f>
        <v>103.845</v>
      </c>
      <c r="AN212">
        <f>O212*(1+'Scenario Modelling'!$B$4)</f>
        <v>18</v>
      </c>
      <c r="AO212" s="28">
        <f t="shared" si="85"/>
        <v>2129.76864</v>
      </c>
      <c r="AP212" s="10">
        <f t="shared" si="86"/>
        <v>260.55864</v>
      </c>
    </row>
    <row r="213" spans="1:42">
      <c r="A213" t="s">
        <v>687</v>
      </c>
      <c r="B213" s="7">
        <v>45544</v>
      </c>
      <c r="C213" s="7">
        <v>45566</v>
      </c>
      <c r="D213" t="s">
        <v>206</v>
      </c>
      <c r="E213" t="s">
        <v>277</v>
      </c>
      <c r="F213" t="s">
        <v>278</v>
      </c>
      <c r="G213" t="s">
        <v>209</v>
      </c>
      <c r="H213" t="s">
        <v>259</v>
      </c>
      <c r="I213" t="s">
        <v>210</v>
      </c>
      <c r="J213" t="s">
        <v>191</v>
      </c>
      <c r="K213" t="s">
        <v>688</v>
      </c>
      <c r="L213" s="10">
        <v>1166.18</v>
      </c>
      <c r="M213" s="10">
        <v>1335.02</v>
      </c>
      <c r="N213" s="17">
        <v>0.128</v>
      </c>
      <c r="O213">
        <v>6</v>
      </c>
      <c r="P213" t="str">
        <f t="shared" si="67"/>
        <v>Valid</v>
      </c>
      <c r="Q213" s="10">
        <f t="shared" si="68"/>
        <v>1335.02</v>
      </c>
      <c r="R213" t="b">
        <f t="shared" si="69"/>
        <v>0</v>
      </c>
      <c r="S213" s="17">
        <f t="shared" si="70"/>
        <v>0.128</v>
      </c>
      <c r="T213">
        <f t="shared" si="71"/>
        <v>22</v>
      </c>
      <c r="U213" s="26">
        <f t="shared" si="72"/>
        <v>45566</v>
      </c>
      <c r="V213">
        <f t="shared" si="73"/>
        <v>22</v>
      </c>
      <c r="W213" s="10">
        <f t="shared" si="74"/>
        <v>799986.70464</v>
      </c>
      <c r="X213" s="10">
        <f t="shared" si="75"/>
        <v>8010.12</v>
      </c>
      <c r="Y213" s="10">
        <f t="shared" si="76"/>
        <v>791976.58464</v>
      </c>
      <c r="Z213" s="14">
        <f t="shared" si="80"/>
        <v>0.989987183595002</v>
      </c>
      <c r="AA213" t="s">
        <v>1592</v>
      </c>
      <c r="AB213" t="str">
        <f t="shared" si="77"/>
        <v>Q3-2024</v>
      </c>
      <c r="AC213" t="str">
        <f t="shared" si="78"/>
        <v>Asia → China → Shenzhen</v>
      </c>
      <c r="AD213" t="str">
        <f t="shared" si="79"/>
        <v>Peripherals</v>
      </c>
      <c r="AE213" s="8" t="str">
        <f t="shared" si="66"/>
        <v>Medium</v>
      </c>
      <c r="AF213" t="str">
        <f t="shared" si="81"/>
        <v>CHINA</v>
      </c>
      <c r="AG213" s="7">
        <v>44938</v>
      </c>
      <c r="AH213" t="str">
        <f t="shared" si="82"/>
        <v>Jan-2023</v>
      </c>
      <c r="AI213" s="9">
        <f t="shared" si="83"/>
        <v>45565</v>
      </c>
      <c r="AJ213">
        <f t="shared" si="87"/>
        <v>0</v>
      </c>
      <c r="AK213">
        <f t="shared" si="84"/>
        <v>0</v>
      </c>
      <c r="AL213" s="17">
        <f>MIN(N213,'Scenario Modelling'!$B$2)</f>
        <v>0.128</v>
      </c>
      <c r="AM213" s="10">
        <f>L213*(1+'Scenario Modelling'!$B$3)</f>
        <v>1341.107</v>
      </c>
      <c r="AN213">
        <f>O213*(1+'Scenario Modelling'!$B$4)</f>
        <v>7.2</v>
      </c>
      <c r="AO213" s="28">
        <f t="shared" si="85"/>
        <v>8381.789568</v>
      </c>
      <c r="AP213" s="10">
        <f t="shared" si="86"/>
        <v>-1274.180832</v>
      </c>
    </row>
    <row r="214" spans="1:42">
      <c r="A214" t="s">
        <v>689</v>
      </c>
      <c r="B214" s="7">
        <v>45686</v>
      </c>
      <c r="C214" s="7">
        <v>45694</v>
      </c>
      <c r="D214" t="s">
        <v>177</v>
      </c>
      <c r="E214" t="s">
        <v>178</v>
      </c>
      <c r="F214" t="s">
        <v>179</v>
      </c>
      <c r="G214" t="s">
        <v>188</v>
      </c>
      <c r="H214" t="s">
        <v>181</v>
      </c>
      <c r="I214" t="s">
        <v>217</v>
      </c>
      <c r="J214" t="s">
        <v>203</v>
      </c>
      <c r="K214" t="s">
        <v>690</v>
      </c>
      <c r="L214" s="10">
        <v>1445.27</v>
      </c>
      <c r="M214" s="10">
        <v>2691.45</v>
      </c>
      <c r="N214" s="17">
        <v>0</v>
      </c>
      <c r="O214">
        <v>9</v>
      </c>
      <c r="P214" t="str">
        <f t="shared" si="67"/>
        <v>Valid</v>
      </c>
      <c r="Q214" s="10">
        <f t="shared" si="68"/>
        <v>2691.45</v>
      </c>
      <c r="R214" t="b">
        <f t="shared" si="69"/>
        <v>0</v>
      </c>
      <c r="S214" s="17">
        <f t="shared" si="70"/>
        <v>0</v>
      </c>
      <c r="T214">
        <f t="shared" si="71"/>
        <v>8</v>
      </c>
      <c r="U214" s="26">
        <f t="shared" si="72"/>
        <v>45694</v>
      </c>
      <c r="V214">
        <f t="shared" si="73"/>
        <v>8</v>
      </c>
      <c r="W214" s="10">
        <f t="shared" si="74"/>
        <v>2422305</v>
      </c>
      <c r="X214" s="10">
        <f t="shared" si="75"/>
        <v>24223.05</v>
      </c>
      <c r="Y214" s="10">
        <f t="shared" si="76"/>
        <v>2398081.95</v>
      </c>
      <c r="Z214" s="14">
        <f t="shared" si="80"/>
        <v>0.99</v>
      </c>
      <c r="AA214" t="s">
        <v>1569</v>
      </c>
      <c r="AB214" t="str">
        <f t="shared" si="77"/>
        <v>Q1-2025</v>
      </c>
      <c r="AC214" t="str">
        <f t="shared" si="78"/>
        <v>Africa → Kenya → Kisumu</v>
      </c>
      <c r="AD214" t="str">
        <f t="shared" si="79"/>
        <v>Devices</v>
      </c>
      <c r="AE214" s="8" t="str">
        <f t="shared" si="66"/>
        <v>High</v>
      </c>
      <c r="AF214" t="str">
        <f t="shared" si="81"/>
        <v>KENYA</v>
      </c>
      <c r="AG214" s="7">
        <v>44946</v>
      </c>
      <c r="AH214" t="str">
        <f t="shared" si="82"/>
        <v>Jan-2023</v>
      </c>
      <c r="AI214" s="9">
        <f t="shared" si="83"/>
        <v>45688</v>
      </c>
      <c r="AJ214">
        <f t="shared" si="87"/>
        <v>0</v>
      </c>
      <c r="AK214">
        <f t="shared" si="84"/>
        <v>0</v>
      </c>
      <c r="AL214" s="17">
        <f>MIN(N214,'Scenario Modelling'!$B$2)</f>
        <v>0</v>
      </c>
      <c r="AM214" s="10">
        <f>L214*(1+'Scenario Modelling'!$B$3)</f>
        <v>1662.0605</v>
      </c>
      <c r="AN214">
        <f>O214*(1+'Scenario Modelling'!$B$4)</f>
        <v>10.8</v>
      </c>
      <c r="AO214" s="28">
        <f t="shared" si="85"/>
        <v>29067.66</v>
      </c>
      <c r="AP214" s="10">
        <f t="shared" si="86"/>
        <v>11117.4066</v>
      </c>
    </row>
    <row r="215" spans="1:42">
      <c r="A215" t="s">
        <v>691</v>
      </c>
      <c r="B215" s="7">
        <v>45240</v>
      </c>
      <c r="C215" s="7">
        <v>45258</v>
      </c>
      <c r="D215" t="s">
        <v>213</v>
      </c>
      <c r="E215" t="s">
        <v>234</v>
      </c>
      <c r="F215" t="s">
        <v>248</v>
      </c>
      <c r="G215" t="s">
        <v>188</v>
      </c>
      <c r="H215" t="s">
        <v>201</v>
      </c>
      <c r="I215" t="s">
        <v>210</v>
      </c>
      <c r="J215" t="s">
        <v>242</v>
      </c>
      <c r="K215" t="s">
        <v>692</v>
      </c>
      <c r="L215" s="10">
        <v>388.51</v>
      </c>
      <c r="M215" s="10">
        <v>776.46</v>
      </c>
      <c r="N215" s="17">
        <v>0.157</v>
      </c>
      <c r="O215">
        <v>12</v>
      </c>
      <c r="P215" t="str">
        <f t="shared" si="67"/>
        <v>Valid</v>
      </c>
      <c r="Q215" s="10">
        <f t="shared" si="68"/>
        <v>776.46</v>
      </c>
      <c r="R215" t="b">
        <f t="shared" si="69"/>
        <v>0</v>
      </c>
      <c r="S215" s="17">
        <f t="shared" si="70"/>
        <v>0.157</v>
      </c>
      <c r="T215">
        <f t="shared" si="71"/>
        <v>18</v>
      </c>
      <c r="U215" s="26">
        <f t="shared" si="72"/>
        <v>45258</v>
      </c>
      <c r="V215">
        <f t="shared" si="73"/>
        <v>18</v>
      </c>
      <c r="W215" s="10">
        <f t="shared" si="74"/>
        <v>930289.14936</v>
      </c>
      <c r="X215" s="10">
        <f t="shared" si="75"/>
        <v>9317.52</v>
      </c>
      <c r="Y215" s="10">
        <f t="shared" si="76"/>
        <v>920971.62936</v>
      </c>
      <c r="Z215" s="14">
        <f t="shared" si="80"/>
        <v>0.98998427531224</v>
      </c>
      <c r="AA215" t="s">
        <v>1593</v>
      </c>
      <c r="AB215" t="str">
        <f t="shared" si="77"/>
        <v>Q4-2023</v>
      </c>
      <c r="AC215" t="str">
        <f t="shared" si="78"/>
        <v>Americas → Brazil → Brasília</v>
      </c>
      <c r="AD215" t="str">
        <f t="shared" si="79"/>
        <v>Support</v>
      </c>
      <c r="AE215" s="8" t="str">
        <f t="shared" si="66"/>
        <v>Low</v>
      </c>
      <c r="AF215" t="str">
        <f t="shared" si="81"/>
        <v>BRAZIL</v>
      </c>
      <c r="AG215" s="7">
        <v>44955</v>
      </c>
      <c r="AH215" t="str">
        <f t="shared" si="82"/>
        <v>Jan-2023</v>
      </c>
      <c r="AI215" s="9">
        <f t="shared" si="83"/>
        <v>45260</v>
      </c>
      <c r="AJ215">
        <f t="shared" si="87"/>
        <v>0</v>
      </c>
      <c r="AK215">
        <f t="shared" si="84"/>
        <v>0</v>
      </c>
      <c r="AL215" s="17">
        <f>MIN(N215,'Scenario Modelling'!$B$2)</f>
        <v>0.157</v>
      </c>
      <c r="AM215" s="10">
        <f>L215*(1+'Scenario Modelling'!$B$3)</f>
        <v>446.7865</v>
      </c>
      <c r="AN215">
        <f>O215*(1+'Scenario Modelling'!$B$4)</f>
        <v>14.4</v>
      </c>
      <c r="AO215" s="28">
        <f t="shared" si="85"/>
        <v>9425.603232</v>
      </c>
      <c r="AP215" s="10">
        <f t="shared" si="86"/>
        <v>2991.877632</v>
      </c>
    </row>
    <row r="216" spans="1:42">
      <c r="A216" t="s">
        <v>693</v>
      </c>
      <c r="B216" s="7">
        <v>45351</v>
      </c>
      <c r="C216" s="7">
        <v>45381</v>
      </c>
      <c r="D216" t="s">
        <v>206</v>
      </c>
      <c r="E216" t="s">
        <v>207</v>
      </c>
      <c r="F216" t="s">
        <v>392</v>
      </c>
      <c r="G216" t="s">
        <v>223</v>
      </c>
      <c r="H216" t="s">
        <v>259</v>
      </c>
      <c r="I216" t="s">
        <v>195</v>
      </c>
      <c r="J216" t="s">
        <v>196</v>
      </c>
      <c r="K216" t="s">
        <v>694</v>
      </c>
      <c r="L216" s="10">
        <v>231.11</v>
      </c>
      <c r="M216" s="10">
        <v>318.17</v>
      </c>
      <c r="N216" s="17">
        <v>0.201</v>
      </c>
      <c r="O216">
        <v>60</v>
      </c>
      <c r="P216" t="str">
        <f t="shared" si="67"/>
        <v>Valid</v>
      </c>
      <c r="Q216" s="10">
        <f t="shared" si="68"/>
        <v>318.17</v>
      </c>
      <c r="R216" t="b">
        <f t="shared" si="69"/>
        <v>0</v>
      </c>
      <c r="S216" s="17">
        <f t="shared" si="70"/>
        <v>0.201</v>
      </c>
      <c r="T216">
        <f t="shared" si="71"/>
        <v>30</v>
      </c>
      <c r="U216" s="26">
        <f t="shared" si="72"/>
        <v>45381</v>
      </c>
      <c r="V216">
        <f t="shared" si="73"/>
        <v>30</v>
      </c>
      <c r="W216" s="10">
        <f t="shared" si="74"/>
        <v>1905182.8698</v>
      </c>
      <c r="X216" s="10">
        <f t="shared" si="75"/>
        <v>19090.2</v>
      </c>
      <c r="Y216" s="10">
        <f t="shared" si="76"/>
        <v>1886092.6698</v>
      </c>
      <c r="Z216" s="14">
        <f t="shared" si="80"/>
        <v>0.98997985951763</v>
      </c>
      <c r="AA216" t="s">
        <v>1594</v>
      </c>
      <c r="AB216" t="str">
        <f t="shared" si="77"/>
        <v>Q1-2024</v>
      </c>
      <c r="AC216" t="str">
        <f t="shared" si="78"/>
        <v>Asia → Japan → Nagoya</v>
      </c>
      <c r="AD216" t="str">
        <f t="shared" si="79"/>
        <v>Support</v>
      </c>
      <c r="AE216" s="8" t="str">
        <f t="shared" si="66"/>
        <v>Medium</v>
      </c>
      <c r="AF216" t="str">
        <f t="shared" si="81"/>
        <v>JAPAN</v>
      </c>
      <c r="AG216" s="7">
        <v>44988</v>
      </c>
      <c r="AH216" t="str">
        <f t="shared" si="82"/>
        <v>Mar-2023</v>
      </c>
      <c r="AI216" s="9">
        <f t="shared" si="83"/>
        <v>45351</v>
      </c>
      <c r="AJ216">
        <f t="shared" si="87"/>
        <v>0</v>
      </c>
      <c r="AK216">
        <f t="shared" si="84"/>
        <v>1</v>
      </c>
      <c r="AL216" s="17">
        <f>MIN(N216,'Scenario Modelling'!$B$2)</f>
        <v>0.201</v>
      </c>
      <c r="AM216" s="10">
        <f>L216*(1+'Scenario Modelling'!$B$3)</f>
        <v>265.7765</v>
      </c>
      <c r="AN216">
        <f>O216*(1+'Scenario Modelling'!$B$4)</f>
        <v>72</v>
      </c>
      <c r="AO216" s="28">
        <f t="shared" si="85"/>
        <v>18303.68376</v>
      </c>
      <c r="AP216" s="10">
        <f t="shared" si="86"/>
        <v>-832.22424</v>
      </c>
    </row>
    <row r="217" spans="1:42">
      <c r="A217" t="s">
        <v>695</v>
      </c>
      <c r="B217" s="7">
        <v>45280</v>
      </c>
      <c r="C217" s="7">
        <v>45305</v>
      </c>
      <c r="D217" t="s">
        <v>206</v>
      </c>
      <c r="E217" t="s">
        <v>221</v>
      </c>
      <c r="F217" t="s">
        <v>381</v>
      </c>
      <c r="G217" t="s">
        <v>200</v>
      </c>
      <c r="H217" t="s">
        <v>201</v>
      </c>
      <c r="I217" t="s">
        <v>210</v>
      </c>
      <c r="J217" t="s">
        <v>225</v>
      </c>
      <c r="K217" t="s">
        <v>696</v>
      </c>
      <c r="L217" s="10">
        <v>1085.61</v>
      </c>
      <c r="M217" s="10">
        <v>1246.41</v>
      </c>
      <c r="N217" s="17">
        <v>0.113</v>
      </c>
      <c r="O217">
        <v>7</v>
      </c>
      <c r="P217" t="str">
        <f t="shared" si="67"/>
        <v>Valid</v>
      </c>
      <c r="Q217" s="10">
        <f t="shared" si="68"/>
        <v>1246.41</v>
      </c>
      <c r="R217" t="b">
        <f t="shared" si="69"/>
        <v>0</v>
      </c>
      <c r="S217" s="17">
        <f t="shared" si="70"/>
        <v>0.113</v>
      </c>
      <c r="T217">
        <f t="shared" si="71"/>
        <v>25</v>
      </c>
      <c r="U217" s="26">
        <f t="shared" si="72"/>
        <v>45305</v>
      </c>
      <c r="V217">
        <f t="shared" si="73"/>
        <v>25</v>
      </c>
      <c r="W217" s="10">
        <f t="shared" si="74"/>
        <v>871501.08969</v>
      </c>
      <c r="X217" s="10">
        <f t="shared" si="75"/>
        <v>8724.87</v>
      </c>
      <c r="Y217" s="10">
        <f t="shared" si="76"/>
        <v>862776.21969</v>
      </c>
      <c r="Z217" s="14">
        <f t="shared" si="80"/>
        <v>0.989988687216555</v>
      </c>
      <c r="AA217" t="s">
        <v>1587</v>
      </c>
      <c r="AB217" t="str">
        <f t="shared" si="77"/>
        <v>Q4-2023</v>
      </c>
      <c r="AC217" t="str">
        <f t="shared" si="78"/>
        <v>Asia → India → Mumbai</v>
      </c>
      <c r="AD217" t="str">
        <f t="shared" si="79"/>
        <v>Peripherals</v>
      </c>
      <c r="AE217" s="8" t="str">
        <f t="shared" si="66"/>
        <v>Medium</v>
      </c>
      <c r="AF217" t="str">
        <f t="shared" si="81"/>
        <v>INDIA</v>
      </c>
      <c r="AG217" s="7">
        <v>44955</v>
      </c>
      <c r="AH217" t="str">
        <f t="shared" si="82"/>
        <v>Jan-2023</v>
      </c>
      <c r="AI217" s="9">
        <f t="shared" si="83"/>
        <v>45291</v>
      </c>
      <c r="AJ217">
        <f t="shared" si="87"/>
        <v>0</v>
      </c>
      <c r="AK217">
        <f t="shared" si="84"/>
        <v>0</v>
      </c>
      <c r="AL217" s="17">
        <f>MIN(N217,'Scenario Modelling'!$B$2)</f>
        <v>0.113</v>
      </c>
      <c r="AM217" s="10">
        <f>L217*(1+'Scenario Modelling'!$B$3)</f>
        <v>1248.4515</v>
      </c>
      <c r="AN217">
        <f>O217*(1+'Scenario Modelling'!$B$4)</f>
        <v>8.4</v>
      </c>
      <c r="AO217" s="28">
        <f t="shared" si="85"/>
        <v>9286.751628</v>
      </c>
      <c r="AP217" s="10">
        <f t="shared" si="86"/>
        <v>-1200.240972</v>
      </c>
    </row>
    <row r="218" spans="1:42">
      <c r="A218" t="s">
        <v>697</v>
      </c>
      <c r="B218" s="7">
        <v>44948</v>
      </c>
      <c r="C218" s="7">
        <v>44947</v>
      </c>
      <c r="D218" t="s">
        <v>239</v>
      </c>
      <c r="E218" t="s">
        <v>240</v>
      </c>
      <c r="F218" t="s">
        <v>320</v>
      </c>
      <c r="G218" t="s">
        <v>180</v>
      </c>
      <c r="H218" t="s">
        <v>259</v>
      </c>
      <c r="I218" t="s">
        <v>245</v>
      </c>
      <c r="J218" t="s">
        <v>225</v>
      </c>
      <c r="K218" t="s">
        <v>698</v>
      </c>
      <c r="L218" s="10">
        <v>150.86</v>
      </c>
      <c r="M218" s="10">
        <v>346.96</v>
      </c>
      <c r="N218" s="17">
        <v>0.196</v>
      </c>
      <c r="O218">
        <v>8</v>
      </c>
      <c r="P218" t="str">
        <f t="shared" si="67"/>
        <v>Valid</v>
      </c>
      <c r="Q218" s="10">
        <f t="shared" si="68"/>
        <v>346.96</v>
      </c>
      <c r="R218" t="b">
        <f t="shared" si="69"/>
        <v>0</v>
      </c>
      <c r="S218" s="17">
        <f t="shared" si="70"/>
        <v>0.196</v>
      </c>
      <c r="T218">
        <f t="shared" si="71"/>
        <v>-1</v>
      </c>
      <c r="U218" s="26">
        <f t="shared" si="72"/>
        <v>44955</v>
      </c>
      <c r="V218">
        <f t="shared" si="73"/>
        <v>7</v>
      </c>
      <c r="W218" s="10">
        <f t="shared" si="74"/>
        <v>277023.96672</v>
      </c>
      <c r="X218" s="10">
        <f t="shared" si="75"/>
        <v>2775.68</v>
      </c>
      <c r="Y218" s="10">
        <f t="shared" si="76"/>
        <v>274248.28672</v>
      </c>
      <c r="Z218" s="14">
        <f t="shared" si="80"/>
        <v>0.989980361508557</v>
      </c>
      <c r="AA218" t="s">
        <v>1564</v>
      </c>
      <c r="AB218" t="str">
        <f t="shared" si="77"/>
        <v>Q1-2023</v>
      </c>
      <c r="AC218" t="str">
        <f t="shared" si="78"/>
        <v>Europe → Germany → Munich</v>
      </c>
      <c r="AD218" t="str">
        <f t="shared" si="79"/>
        <v>Peripherals</v>
      </c>
      <c r="AE218" s="8" t="str">
        <f t="shared" si="66"/>
        <v>Low</v>
      </c>
      <c r="AF218" t="str">
        <f t="shared" si="81"/>
        <v>GERMANY</v>
      </c>
      <c r="AG218" s="7">
        <v>44948</v>
      </c>
      <c r="AH218" t="str">
        <f t="shared" si="82"/>
        <v>Jan-2023</v>
      </c>
      <c r="AI218" s="9">
        <f t="shared" si="83"/>
        <v>44957</v>
      </c>
      <c r="AJ218">
        <f t="shared" si="87"/>
        <v>1</v>
      </c>
      <c r="AK218">
        <f t="shared" si="84"/>
        <v>0</v>
      </c>
      <c r="AL218" s="17">
        <f>MIN(N218,'Scenario Modelling'!$B$2)</f>
        <v>0.196</v>
      </c>
      <c r="AM218" s="10">
        <f>L218*(1+'Scenario Modelling'!$B$3)</f>
        <v>173.489</v>
      </c>
      <c r="AN218">
        <f>O218*(1+'Scenario Modelling'!$B$4)</f>
        <v>9.6</v>
      </c>
      <c r="AO218" s="28">
        <f t="shared" si="85"/>
        <v>2677.976064</v>
      </c>
      <c r="AP218" s="10">
        <f t="shared" si="86"/>
        <v>1012.481664</v>
      </c>
    </row>
    <row r="219" spans="1:42">
      <c r="A219" t="s">
        <v>699</v>
      </c>
      <c r="B219" s="7">
        <v>45576</v>
      </c>
      <c r="C219" s="7">
        <v>45605</v>
      </c>
      <c r="D219" t="s">
        <v>206</v>
      </c>
      <c r="E219" t="s">
        <v>277</v>
      </c>
      <c r="F219" t="s">
        <v>323</v>
      </c>
      <c r="G219" t="s">
        <v>200</v>
      </c>
      <c r="H219" t="s">
        <v>189</v>
      </c>
      <c r="I219" t="s">
        <v>245</v>
      </c>
      <c r="J219" t="s">
        <v>191</v>
      </c>
      <c r="K219" t="s">
        <v>700</v>
      </c>
      <c r="L219" s="10">
        <v>391.64</v>
      </c>
      <c r="M219" s="10">
        <v>504.76</v>
      </c>
      <c r="N219" s="17">
        <v>0.004</v>
      </c>
      <c r="O219">
        <v>13</v>
      </c>
      <c r="P219" t="str">
        <f t="shared" si="67"/>
        <v>Valid</v>
      </c>
      <c r="Q219" s="10">
        <f t="shared" si="68"/>
        <v>504.76</v>
      </c>
      <c r="R219" t="b">
        <f t="shared" si="69"/>
        <v>0</v>
      </c>
      <c r="S219" s="17">
        <f t="shared" si="70"/>
        <v>0.004</v>
      </c>
      <c r="T219">
        <f t="shared" si="71"/>
        <v>29</v>
      </c>
      <c r="U219" s="26">
        <f t="shared" si="72"/>
        <v>45605</v>
      </c>
      <c r="V219">
        <f t="shared" si="73"/>
        <v>29</v>
      </c>
      <c r="W219" s="10">
        <f t="shared" si="74"/>
        <v>656161.75248</v>
      </c>
      <c r="X219" s="10">
        <f t="shared" si="75"/>
        <v>6561.88</v>
      </c>
      <c r="Y219" s="10">
        <f t="shared" si="76"/>
        <v>649599.87248</v>
      </c>
      <c r="Z219" s="14">
        <f t="shared" si="80"/>
        <v>0.989999599983999</v>
      </c>
      <c r="AA219" t="s">
        <v>1561</v>
      </c>
      <c r="AB219" t="str">
        <f t="shared" si="77"/>
        <v>Q4-2024</v>
      </c>
      <c r="AC219" t="str">
        <f t="shared" si="78"/>
        <v>Asia → China → Shanghai</v>
      </c>
      <c r="AD219" t="str">
        <f t="shared" si="79"/>
        <v>Peripherals</v>
      </c>
      <c r="AE219" s="8" t="str">
        <f t="shared" si="66"/>
        <v>Medium</v>
      </c>
      <c r="AF219" t="str">
        <f t="shared" si="81"/>
        <v>CHINA</v>
      </c>
      <c r="AG219" s="7">
        <v>44938</v>
      </c>
      <c r="AH219" t="str">
        <f t="shared" si="82"/>
        <v>Jan-2023</v>
      </c>
      <c r="AI219" s="9">
        <f t="shared" si="83"/>
        <v>45596</v>
      </c>
      <c r="AJ219">
        <f t="shared" si="87"/>
        <v>0</v>
      </c>
      <c r="AK219">
        <f t="shared" si="84"/>
        <v>0</v>
      </c>
      <c r="AL219" s="17">
        <f>MIN(N219,'Scenario Modelling'!$B$2)</f>
        <v>0.004</v>
      </c>
      <c r="AM219" s="10">
        <f>L219*(1+'Scenario Modelling'!$B$3)</f>
        <v>450.386</v>
      </c>
      <c r="AN219">
        <f>O219*(1+'Scenario Modelling'!$B$4)</f>
        <v>15.6</v>
      </c>
      <c r="AO219" s="28">
        <f t="shared" si="85"/>
        <v>7842.758976</v>
      </c>
      <c r="AP219" s="10">
        <f t="shared" si="86"/>
        <v>816.737376</v>
      </c>
    </row>
    <row r="220" spans="1:42">
      <c r="A220" t="s">
        <v>701</v>
      </c>
      <c r="B220" s="7">
        <v>45554</v>
      </c>
      <c r="C220" s="7">
        <v>45579</v>
      </c>
      <c r="D220" t="s">
        <v>213</v>
      </c>
      <c r="E220" t="s">
        <v>234</v>
      </c>
      <c r="F220" t="s">
        <v>386</v>
      </c>
      <c r="G220" t="s">
        <v>223</v>
      </c>
      <c r="H220" t="s">
        <v>181</v>
      </c>
      <c r="I220" t="s">
        <v>256</v>
      </c>
      <c r="J220" t="s">
        <v>191</v>
      </c>
      <c r="K220" t="s">
        <v>702</v>
      </c>
      <c r="L220" s="10">
        <v>386.96</v>
      </c>
      <c r="M220" s="10">
        <v>937.46</v>
      </c>
      <c r="N220" s="17">
        <v>0.266</v>
      </c>
      <c r="O220">
        <v>41</v>
      </c>
      <c r="P220" t="str">
        <f t="shared" si="67"/>
        <v>Valid</v>
      </c>
      <c r="Q220" s="10">
        <f t="shared" si="68"/>
        <v>937.46</v>
      </c>
      <c r="R220" t="b">
        <f t="shared" si="69"/>
        <v>0</v>
      </c>
      <c r="S220" s="17">
        <f t="shared" si="70"/>
        <v>0.266</v>
      </c>
      <c r="T220">
        <f t="shared" si="71"/>
        <v>25</v>
      </c>
      <c r="U220" s="26">
        <f t="shared" si="72"/>
        <v>45579</v>
      </c>
      <c r="V220">
        <f t="shared" si="73"/>
        <v>25</v>
      </c>
      <c r="W220" s="10">
        <f t="shared" si="74"/>
        <v>3833362.06124</v>
      </c>
      <c r="X220" s="10">
        <f t="shared" si="75"/>
        <v>38435.86</v>
      </c>
      <c r="Y220" s="10">
        <f t="shared" si="76"/>
        <v>3794926.20124</v>
      </c>
      <c r="Z220" s="14">
        <f t="shared" si="80"/>
        <v>0.989973329055287</v>
      </c>
      <c r="AA220" t="s">
        <v>1592</v>
      </c>
      <c r="AB220" t="str">
        <f t="shared" si="77"/>
        <v>Q3-2024</v>
      </c>
      <c r="AC220" t="str">
        <f t="shared" si="78"/>
        <v>Americas → Brazil → Rio de Janeiro</v>
      </c>
      <c r="AD220" t="str">
        <f t="shared" si="79"/>
        <v>Peripherals</v>
      </c>
      <c r="AE220" s="8" t="str">
        <f t="shared" si="66"/>
        <v>Medium</v>
      </c>
      <c r="AF220" t="str">
        <f t="shared" si="81"/>
        <v>BRAZIL</v>
      </c>
      <c r="AG220" s="7">
        <v>44955</v>
      </c>
      <c r="AH220" t="str">
        <f t="shared" si="82"/>
        <v>Jan-2023</v>
      </c>
      <c r="AI220" s="9">
        <f t="shared" si="83"/>
        <v>45565</v>
      </c>
      <c r="AJ220">
        <f t="shared" si="87"/>
        <v>0</v>
      </c>
      <c r="AK220">
        <f t="shared" si="84"/>
        <v>1</v>
      </c>
      <c r="AL220" s="17">
        <f>MIN(N220,'Scenario Modelling'!$B$2)</f>
        <v>0.25</v>
      </c>
      <c r="AM220" s="10">
        <f>L220*(1+'Scenario Modelling'!$B$3)</f>
        <v>445.004</v>
      </c>
      <c r="AN220">
        <f>O220*(1+'Scenario Modelling'!$B$4)</f>
        <v>49.2</v>
      </c>
      <c r="AO220" s="28">
        <f t="shared" si="85"/>
        <v>34592.274</v>
      </c>
      <c r="AP220" s="10">
        <f t="shared" si="86"/>
        <v>12698.0772</v>
      </c>
    </row>
    <row r="221" spans="1:42">
      <c r="A221" t="s">
        <v>703</v>
      </c>
      <c r="B221" s="7">
        <v>45894</v>
      </c>
      <c r="C221" s="7">
        <v>45924</v>
      </c>
      <c r="D221" t="s">
        <v>177</v>
      </c>
      <c r="E221" t="s">
        <v>178</v>
      </c>
      <c r="F221" t="s">
        <v>194</v>
      </c>
      <c r="G221" t="s">
        <v>209</v>
      </c>
      <c r="H221" t="s">
        <v>259</v>
      </c>
      <c r="I221" t="s">
        <v>217</v>
      </c>
      <c r="J221" t="s">
        <v>183</v>
      </c>
      <c r="K221" t="s">
        <v>704</v>
      </c>
      <c r="L221" s="10">
        <v>589.14</v>
      </c>
      <c r="M221" s="10">
        <v>1300.58</v>
      </c>
      <c r="N221" s="17">
        <v>0.055</v>
      </c>
      <c r="O221">
        <v>11</v>
      </c>
      <c r="P221" t="str">
        <f t="shared" si="67"/>
        <v>Valid</v>
      </c>
      <c r="Q221" s="10">
        <f t="shared" si="68"/>
        <v>1300.58</v>
      </c>
      <c r="R221" t="b">
        <f t="shared" si="69"/>
        <v>0</v>
      </c>
      <c r="S221" s="17">
        <f t="shared" si="70"/>
        <v>0.055</v>
      </c>
      <c r="T221">
        <f t="shared" si="71"/>
        <v>30</v>
      </c>
      <c r="U221" s="26">
        <f t="shared" si="72"/>
        <v>45924</v>
      </c>
      <c r="V221">
        <f t="shared" si="73"/>
        <v>30</v>
      </c>
      <c r="W221" s="10">
        <f t="shared" si="74"/>
        <v>1429851.1491</v>
      </c>
      <c r="X221" s="10">
        <f t="shared" si="75"/>
        <v>14306.38</v>
      </c>
      <c r="Y221" s="10">
        <f t="shared" si="76"/>
        <v>1415544.7691</v>
      </c>
      <c r="Z221" s="14">
        <f t="shared" si="80"/>
        <v>0.989994496973335</v>
      </c>
      <c r="AA221" t="s">
        <v>1590</v>
      </c>
      <c r="AB221" t="str">
        <f t="shared" si="77"/>
        <v>Q3-2025</v>
      </c>
      <c r="AC221" t="str">
        <f t="shared" si="78"/>
        <v>Africa → Kenya → Nairobi</v>
      </c>
      <c r="AD221" t="str">
        <f t="shared" si="79"/>
        <v>Support</v>
      </c>
      <c r="AE221" s="8" t="str">
        <f t="shared" si="66"/>
        <v>High</v>
      </c>
      <c r="AF221" t="str">
        <f t="shared" si="81"/>
        <v>KENYA</v>
      </c>
      <c r="AG221" s="7">
        <v>44946</v>
      </c>
      <c r="AH221" t="str">
        <f t="shared" si="82"/>
        <v>Jan-2023</v>
      </c>
      <c r="AI221" s="9">
        <f t="shared" si="83"/>
        <v>45900</v>
      </c>
      <c r="AJ221">
        <f t="shared" si="87"/>
        <v>0</v>
      </c>
      <c r="AK221">
        <f t="shared" si="84"/>
        <v>0</v>
      </c>
      <c r="AL221" s="17">
        <f>MIN(N221,'Scenario Modelling'!$B$2)</f>
        <v>0.055</v>
      </c>
      <c r="AM221" s="10">
        <f>L221*(1+'Scenario Modelling'!$B$3)</f>
        <v>677.511</v>
      </c>
      <c r="AN221">
        <f>O221*(1+'Scenario Modelling'!$B$4)</f>
        <v>13.2</v>
      </c>
      <c r="AO221" s="28">
        <f t="shared" si="85"/>
        <v>16223.43492</v>
      </c>
      <c r="AP221" s="10">
        <f t="shared" si="86"/>
        <v>7280.28972</v>
      </c>
    </row>
    <row r="222" spans="1:42">
      <c r="A222" t="s">
        <v>705</v>
      </c>
      <c r="B222" s="7">
        <v>45194</v>
      </c>
      <c r="C222" s="7">
        <v>45201</v>
      </c>
      <c r="D222" t="s">
        <v>213</v>
      </c>
      <c r="E222" t="s">
        <v>283</v>
      </c>
      <c r="F222" t="s">
        <v>548</v>
      </c>
      <c r="G222" t="s">
        <v>188</v>
      </c>
      <c r="H222" t="s">
        <v>201</v>
      </c>
      <c r="I222" t="s">
        <v>195</v>
      </c>
      <c r="J222" t="s">
        <v>242</v>
      </c>
      <c r="K222" t="s">
        <v>706</v>
      </c>
      <c r="L222" s="10">
        <v>145.58</v>
      </c>
      <c r="M222" s="10">
        <v>228.15</v>
      </c>
      <c r="N222" s="17">
        <v>0.204</v>
      </c>
      <c r="O222">
        <v>5</v>
      </c>
      <c r="P222" t="str">
        <f t="shared" si="67"/>
        <v>Valid</v>
      </c>
      <c r="Q222" s="10">
        <f t="shared" si="68"/>
        <v>228.15</v>
      </c>
      <c r="R222" t="b">
        <f t="shared" si="69"/>
        <v>0</v>
      </c>
      <c r="S222" s="17">
        <f t="shared" si="70"/>
        <v>0.204</v>
      </c>
      <c r="T222">
        <f t="shared" si="71"/>
        <v>7</v>
      </c>
      <c r="U222" s="26">
        <f t="shared" si="72"/>
        <v>45201</v>
      </c>
      <c r="V222">
        <f t="shared" si="73"/>
        <v>7</v>
      </c>
      <c r="W222" s="10">
        <f t="shared" si="74"/>
        <v>113842.287</v>
      </c>
      <c r="X222" s="10">
        <f t="shared" si="75"/>
        <v>1140.75</v>
      </c>
      <c r="Y222" s="10">
        <f t="shared" si="76"/>
        <v>112701.537</v>
      </c>
      <c r="Z222" s="14">
        <f t="shared" si="80"/>
        <v>0.98997955829893</v>
      </c>
      <c r="AA222" t="s">
        <v>1588</v>
      </c>
      <c r="AB222" t="str">
        <f t="shared" si="77"/>
        <v>Q3-2023</v>
      </c>
      <c r="AC222" t="str">
        <f t="shared" si="78"/>
        <v>Americas → USA → New York</v>
      </c>
      <c r="AD222" t="str">
        <f t="shared" si="79"/>
        <v>Support</v>
      </c>
      <c r="AE222" s="8" t="str">
        <f t="shared" si="66"/>
        <v>Low</v>
      </c>
      <c r="AF222" t="str">
        <f t="shared" si="81"/>
        <v>USA</v>
      </c>
      <c r="AG222" s="7">
        <v>44939</v>
      </c>
      <c r="AH222" t="str">
        <f t="shared" si="82"/>
        <v>Jan-2023</v>
      </c>
      <c r="AI222" s="9">
        <f t="shared" si="83"/>
        <v>45199</v>
      </c>
      <c r="AJ222">
        <f t="shared" si="87"/>
        <v>1</v>
      </c>
      <c r="AK222">
        <f t="shared" si="84"/>
        <v>1</v>
      </c>
      <c r="AL222" s="17">
        <f>MIN(N222,'Scenario Modelling'!$B$2)</f>
        <v>0.204</v>
      </c>
      <c r="AM222" s="10">
        <f>L222*(1+'Scenario Modelling'!$B$3)</f>
        <v>167.417</v>
      </c>
      <c r="AN222">
        <f>O222*(1+'Scenario Modelling'!$B$4)</f>
        <v>6</v>
      </c>
      <c r="AO222" s="28">
        <f t="shared" si="85"/>
        <v>1089.6444</v>
      </c>
      <c r="AP222" s="10">
        <f t="shared" si="86"/>
        <v>85.1424000000001</v>
      </c>
    </row>
    <row r="223" spans="1:42">
      <c r="A223" t="s">
        <v>707</v>
      </c>
      <c r="B223" s="7">
        <v>45164</v>
      </c>
      <c r="C223" s="7">
        <v>45179</v>
      </c>
      <c r="D223" t="s">
        <v>177</v>
      </c>
      <c r="E223" t="s">
        <v>309</v>
      </c>
      <c r="F223" t="s">
        <v>419</v>
      </c>
      <c r="G223" t="s">
        <v>200</v>
      </c>
      <c r="H223" t="s">
        <v>259</v>
      </c>
      <c r="I223" t="s">
        <v>287</v>
      </c>
      <c r="J223" t="s">
        <v>183</v>
      </c>
      <c r="K223" t="s">
        <v>708</v>
      </c>
      <c r="L223" s="10">
        <v>241.14</v>
      </c>
      <c r="M223" s="10">
        <v>496.52</v>
      </c>
      <c r="N223" s="17">
        <v>0.093</v>
      </c>
      <c r="O223">
        <v>10</v>
      </c>
      <c r="P223" t="str">
        <f t="shared" si="67"/>
        <v>Valid</v>
      </c>
      <c r="Q223" s="10">
        <f t="shared" si="68"/>
        <v>496.52</v>
      </c>
      <c r="R223" t="b">
        <f t="shared" si="69"/>
        <v>0</v>
      </c>
      <c r="S223" s="17">
        <f t="shared" si="70"/>
        <v>0.093</v>
      </c>
      <c r="T223">
        <f t="shared" si="71"/>
        <v>15</v>
      </c>
      <c r="U223" s="26">
        <f t="shared" si="72"/>
        <v>45179</v>
      </c>
      <c r="V223">
        <f t="shared" si="73"/>
        <v>15</v>
      </c>
      <c r="W223" s="10">
        <f t="shared" si="74"/>
        <v>496058.2364</v>
      </c>
      <c r="X223" s="10">
        <f t="shared" si="75"/>
        <v>4965.2</v>
      </c>
      <c r="Y223" s="10">
        <f t="shared" si="76"/>
        <v>491093.0364</v>
      </c>
      <c r="Z223" s="14">
        <f t="shared" si="80"/>
        <v>0.989990691342949</v>
      </c>
      <c r="AA223" t="s">
        <v>1585</v>
      </c>
      <c r="AB223" t="str">
        <f t="shared" si="77"/>
        <v>Q3-2023</v>
      </c>
      <c r="AC223" t="str">
        <f t="shared" si="78"/>
        <v>Africa → South Africa → Cape Town</v>
      </c>
      <c r="AD223" t="str">
        <f t="shared" si="79"/>
        <v>Support</v>
      </c>
      <c r="AE223" s="8" t="str">
        <f t="shared" si="66"/>
        <v>Low</v>
      </c>
      <c r="AF223" t="str">
        <f t="shared" si="81"/>
        <v>SOUTH AFRICA</v>
      </c>
      <c r="AG223" s="7">
        <v>44933</v>
      </c>
      <c r="AH223" t="str">
        <f t="shared" si="82"/>
        <v>Jan-2023</v>
      </c>
      <c r="AI223" s="9">
        <f t="shared" si="83"/>
        <v>45169</v>
      </c>
      <c r="AJ223">
        <f t="shared" si="87"/>
        <v>0</v>
      </c>
      <c r="AK223">
        <f t="shared" si="84"/>
        <v>0</v>
      </c>
      <c r="AL223" s="17">
        <f>MIN(N223,'Scenario Modelling'!$B$2)</f>
        <v>0.093</v>
      </c>
      <c r="AM223" s="10">
        <f>L223*(1+'Scenario Modelling'!$B$3)</f>
        <v>277.311</v>
      </c>
      <c r="AN223">
        <f>O223*(1+'Scenario Modelling'!$B$4)</f>
        <v>12</v>
      </c>
      <c r="AO223" s="28">
        <f t="shared" si="85"/>
        <v>5404.12368</v>
      </c>
      <c r="AP223" s="10">
        <f t="shared" si="86"/>
        <v>2076.39168</v>
      </c>
    </row>
    <row r="224" spans="1:42">
      <c r="A224" t="s">
        <v>709</v>
      </c>
      <c r="B224" s="7">
        <v>45854</v>
      </c>
      <c r="C224" s="7">
        <v>45855</v>
      </c>
      <c r="D224" t="s">
        <v>177</v>
      </c>
      <c r="E224" t="s">
        <v>309</v>
      </c>
      <c r="F224" t="s">
        <v>333</v>
      </c>
      <c r="G224" t="s">
        <v>223</v>
      </c>
      <c r="H224" t="s">
        <v>216</v>
      </c>
      <c r="I224" t="s">
        <v>217</v>
      </c>
      <c r="J224" t="s">
        <v>196</v>
      </c>
      <c r="K224" t="s">
        <v>710</v>
      </c>
      <c r="L224" s="10">
        <v>1198.9</v>
      </c>
      <c r="M224" s="10">
        <v>2941.2</v>
      </c>
      <c r="N224" s="17">
        <v>0.051</v>
      </c>
      <c r="O224">
        <v>24</v>
      </c>
      <c r="P224" t="str">
        <f t="shared" si="67"/>
        <v>Valid</v>
      </c>
      <c r="Q224" s="10">
        <f t="shared" si="68"/>
        <v>2941.2</v>
      </c>
      <c r="R224" t="b">
        <f t="shared" si="69"/>
        <v>0</v>
      </c>
      <c r="S224" s="17">
        <f t="shared" si="70"/>
        <v>0.051</v>
      </c>
      <c r="T224">
        <f t="shared" si="71"/>
        <v>1</v>
      </c>
      <c r="U224" s="26">
        <f t="shared" si="72"/>
        <v>45855</v>
      </c>
      <c r="V224">
        <f t="shared" si="73"/>
        <v>1</v>
      </c>
      <c r="W224" s="10">
        <f t="shared" si="74"/>
        <v>7055279.9712</v>
      </c>
      <c r="X224" s="10">
        <f t="shared" si="75"/>
        <v>70588.8</v>
      </c>
      <c r="Y224" s="10">
        <f t="shared" si="76"/>
        <v>6984691.1712</v>
      </c>
      <c r="Z224" s="14">
        <f t="shared" si="80"/>
        <v>0.989994897397673</v>
      </c>
      <c r="AA224" t="s">
        <v>1572</v>
      </c>
      <c r="AB224" t="str">
        <f t="shared" si="77"/>
        <v>Q3-2025</v>
      </c>
      <c r="AC224" t="str">
        <f t="shared" si="78"/>
        <v>Africa → South Africa → Durban</v>
      </c>
      <c r="AD224" t="str">
        <f t="shared" si="79"/>
        <v>Support</v>
      </c>
      <c r="AE224" s="8" t="str">
        <f t="shared" si="66"/>
        <v>High</v>
      </c>
      <c r="AF224" t="str">
        <f t="shared" si="81"/>
        <v>SOUTH AFRICA</v>
      </c>
      <c r="AG224" s="7">
        <v>44933</v>
      </c>
      <c r="AH224" t="str">
        <f t="shared" si="82"/>
        <v>Jan-2023</v>
      </c>
      <c r="AI224" s="9">
        <f t="shared" si="83"/>
        <v>45869</v>
      </c>
      <c r="AJ224">
        <f t="shared" si="87"/>
        <v>1</v>
      </c>
      <c r="AK224">
        <f t="shared" si="84"/>
        <v>0</v>
      </c>
      <c r="AL224" s="17">
        <f>MIN(N224,'Scenario Modelling'!$B$2)</f>
        <v>0.051</v>
      </c>
      <c r="AM224" s="10">
        <f>L224*(1+'Scenario Modelling'!$B$3)</f>
        <v>1378.735</v>
      </c>
      <c r="AN224">
        <f>O224*(1+'Scenario Modelling'!$B$4)</f>
        <v>28.8</v>
      </c>
      <c r="AO224" s="28">
        <f t="shared" si="85"/>
        <v>80386.52544</v>
      </c>
      <c r="AP224" s="10">
        <f t="shared" si="86"/>
        <v>40678.95744</v>
      </c>
    </row>
    <row r="225" spans="1:42">
      <c r="A225" t="s">
        <v>711</v>
      </c>
      <c r="B225" s="7">
        <v>45035</v>
      </c>
      <c r="C225" s="7">
        <v>45053</v>
      </c>
      <c r="D225" t="s">
        <v>239</v>
      </c>
      <c r="E225" t="s">
        <v>269</v>
      </c>
      <c r="F225" t="s">
        <v>270</v>
      </c>
      <c r="G225" t="s">
        <v>266</v>
      </c>
      <c r="H225" t="s">
        <v>181</v>
      </c>
      <c r="I225" t="s">
        <v>287</v>
      </c>
      <c r="J225" t="s">
        <v>218</v>
      </c>
      <c r="K225" t="s">
        <v>712</v>
      </c>
      <c r="L225" s="10">
        <v>1089.15</v>
      </c>
      <c r="M225" s="10">
        <v>1088.2</v>
      </c>
      <c r="N225" s="17">
        <v>0.051</v>
      </c>
      <c r="O225">
        <v>15</v>
      </c>
      <c r="P225" t="str">
        <f t="shared" si="67"/>
        <v>Valid</v>
      </c>
      <c r="Q225" s="10">
        <f t="shared" si="68"/>
        <v>1088.2</v>
      </c>
      <c r="R225" t="b">
        <f t="shared" si="69"/>
        <v>0</v>
      </c>
      <c r="S225" s="17">
        <f t="shared" si="70"/>
        <v>0.051</v>
      </c>
      <c r="T225">
        <f t="shared" si="71"/>
        <v>18</v>
      </c>
      <c r="U225" s="26">
        <f t="shared" si="72"/>
        <v>45053</v>
      </c>
      <c r="V225">
        <f t="shared" si="73"/>
        <v>18</v>
      </c>
      <c r="W225" s="10">
        <f t="shared" si="74"/>
        <v>1631467.527</v>
      </c>
      <c r="X225" s="10">
        <f t="shared" si="75"/>
        <v>16323</v>
      </c>
      <c r="Y225" s="10">
        <f t="shared" si="76"/>
        <v>1615144.527</v>
      </c>
      <c r="Z225" s="14">
        <f t="shared" si="80"/>
        <v>0.989994897397673</v>
      </c>
      <c r="AA225" t="s">
        <v>1571</v>
      </c>
      <c r="AB225" t="str">
        <f t="shared" si="77"/>
        <v>Q2-2023</v>
      </c>
      <c r="AC225" t="str">
        <f t="shared" si="78"/>
        <v>Europe → United Kingdom → Birmingham</v>
      </c>
      <c r="AD225" t="str">
        <f t="shared" si="79"/>
        <v>Devices</v>
      </c>
      <c r="AE225" s="8" t="str">
        <f t="shared" si="66"/>
        <v>Low</v>
      </c>
      <c r="AF225" t="str">
        <f t="shared" si="81"/>
        <v>UNITED KINGDOM</v>
      </c>
      <c r="AG225" s="7">
        <v>44945</v>
      </c>
      <c r="AH225" t="str">
        <f t="shared" si="82"/>
        <v>Jan-2023</v>
      </c>
      <c r="AI225" s="9">
        <f t="shared" si="83"/>
        <v>45046</v>
      </c>
      <c r="AJ225">
        <f t="shared" si="87"/>
        <v>0</v>
      </c>
      <c r="AK225">
        <f t="shared" si="84"/>
        <v>0</v>
      </c>
      <c r="AL225" s="17">
        <f>MIN(N225,'Scenario Modelling'!$B$2)</f>
        <v>0.051</v>
      </c>
      <c r="AM225" s="10">
        <f>L225*(1+'Scenario Modelling'!$B$3)</f>
        <v>1252.5225</v>
      </c>
      <c r="AN225">
        <f>O225*(1+'Scenario Modelling'!$B$4)</f>
        <v>18</v>
      </c>
      <c r="AO225" s="28">
        <f t="shared" si="85"/>
        <v>18588.6324</v>
      </c>
      <c r="AP225" s="10">
        <f t="shared" si="86"/>
        <v>-3956.7726</v>
      </c>
    </row>
    <row r="226" spans="1:42">
      <c r="A226" t="s">
        <v>713</v>
      </c>
      <c r="B226" s="7">
        <v>45279</v>
      </c>
      <c r="C226" s="7">
        <v>45280</v>
      </c>
      <c r="D226" t="s">
        <v>213</v>
      </c>
      <c r="E226" t="s">
        <v>234</v>
      </c>
      <c r="F226" t="s">
        <v>386</v>
      </c>
      <c r="G226" t="s">
        <v>209</v>
      </c>
      <c r="H226" t="s">
        <v>216</v>
      </c>
      <c r="I226" t="s">
        <v>190</v>
      </c>
      <c r="J226" t="s">
        <v>203</v>
      </c>
      <c r="K226" t="s">
        <v>714</v>
      </c>
      <c r="L226" s="10">
        <v>1080.43</v>
      </c>
      <c r="M226" s="10">
        <v>2529.15</v>
      </c>
      <c r="N226" s="17">
        <v>0.147</v>
      </c>
      <c r="O226">
        <v>10</v>
      </c>
      <c r="P226" t="str">
        <f t="shared" si="67"/>
        <v>Valid</v>
      </c>
      <c r="Q226" s="10">
        <f t="shared" si="68"/>
        <v>2529.15</v>
      </c>
      <c r="R226" t="b">
        <f t="shared" si="69"/>
        <v>0</v>
      </c>
      <c r="S226" s="17">
        <f t="shared" si="70"/>
        <v>0.147</v>
      </c>
      <c r="T226">
        <f t="shared" si="71"/>
        <v>1</v>
      </c>
      <c r="U226" s="26">
        <f t="shared" si="72"/>
        <v>45280</v>
      </c>
      <c r="V226">
        <f t="shared" si="73"/>
        <v>1</v>
      </c>
      <c r="W226" s="10">
        <f t="shared" si="74"/>
        <v>2525432.1495</v>
      </c>
      <c r="X226" s="10">
        <f t="shared" si="75"/>
        <v>25291.5</v>
      </c>
      <c r="Y226" s="10">
        <f t="shared" si="76"/>
        <v>2500140.6495</v>
      </c>
      <c r="Z226" s="14">
        <f t="shared" si="80"/>
        <v>0.989985278359188</v>
      </c>
      <c r="AA226" t="s">
        <v>1587</v>
      </c>
      <c r="AB226" t="str">
        <f t="shared" si="77"/>
        <v>Q4-2023</v>
      </c>
      <c r="AC226" t="str">
        <f t="shared" si="78"/>
        <v>Americas → Brazil → Rio de Janeiro</v>
      </c>
      <c r="AD226" t="str">
        <f t="shared" si="79"/>
        <v>Devices</v>
      </c>
      <c r="AE226" s="8" t="str">
        <f t="shared" si="66"/>
        <v>Medium</v>
      </c>
      <c r="AF226" t="str">
        <f t="shared" si="81"/>
        <v>BRAZIL</v>
      </c>
      <c r="AG226" s="7">
        <v>44955</v>
      </c>
      <c r="AH226" t="str">
        <f t="shared" si="82"/>
        <v>Jan-2023</v>
      </c>
      <c r="AI226" s="9">
        <f t="shared" si="83"/>
        <v>45291</v>
      </c>
      <c r="AJ226">
        <f t="shared" si="87"/>
        <v>1</v>
      </c>
      <c r="AK226">
        <f t="shared" si="84"/>
        <v>0</v>
      </c>
      <c r="AL226" s="17">
        <f>MIN(N226,'Scenario Modelling'!$B$2)</f>
        <v>0.147</v>
      </c>
      <c r="AM226" s="10">
        <f>L226*(1+'Scenario Modelling'!$B$3)</f>
        <v>1242.4945</v>
      </c>
      <c r="AN226">
        <f>O226*(1+'Scenario Modelling'!$B$4)</f>
        <v>12</v>
      </c>
      <c r="AO226" s="28">
        <f t="shared" si="85"/>
        <v>25888.3794</v>
      </c>
      <c r="AP226" s="10">
        <f t="shared" si="86"/>
        <v>10978.4454</v>
      </c>
    </row>
    <row r="227" spans="1:42">
      <c r="A227" t="s">
        <v>715</v>
      </c>
      <c r="B227" s="7">
        <v>45137</v>
      </c>
      <c r="C227" s="7">
        <v>45145</v>
      </c>
      <c r="D227" t="s">
        <v>206</v>
      </c>
      <c r="E227" t="s">
        <v>207</v>
      </c>
      <c r="F227" t="s">
        <v>392</v>
      </c>
      <c r="G227" t="s">
        <v>188</v>
      </c>
      <c r="H227" t="s">
        <v>201</v>
      </c>
      <c r="I227" t="s">
        <v>236</v>
      </c>
      <c r="J227" t="s">
        <v>196</v>
      </c>
      <c r="K227" t="s">
        <v>716</v>
      </c>
      <c r="L227" s="10">
        <v>1352.44</v>
      </c>
      <c r="M227" s="10">
        <v>2698.01</v>
      </c>
      <c r="N227" s="17">
        <v>0.131</v>
      </c>
      <c r="O227">
        <v>13</v>
      </c>
      <c r="P227" t="str">
        <f t="shared" si="67"/>
        <v>Valid</v>
      </c>
      <c r="Q227" s="10">
        <f t="shared" si="68"/>
        <v>2698.01</v>
      </c>
      <c r="R227" t="b">
        <f t="shared" si="69"/>
        <v>0</v>
      </c>
      <c r="S227" s="17">
        <f t="shared" si="70"/>
        <v>0.131</v>
      </c>
      <c r="T227">
        <f t="shared" si="71"/>
        <v>8</v>
      </c>
      <c r="U227" s="26">
        <f t="shared" si="72"/>
        <v>45145</v>
      </c>
      <c r="V227">
        <f t="shared" si="73"/>
        <v>8</v>
      </c>
      <c r="W227" s="10">
        <f t="shared" si="74"/>
        <v>3502818.28897</v>
      </c>
      <c r="X227" s="10">
        <f t="shared" si="75"/>
        <v>35074.13</v>
      </c>
      <c r="Y227" s="10">
        <f t="shared" si="76"/>
        <v>3467744.15897</v>
      </c>
      <c r="Z227" s="14">
        <f t="shared" si="80"/>
        <v>0.98998688281649</v>
      </c>
      <c r="AA227" t="s">
        <v>1584</v>
      </c>
      <c r="AB227" t="str">
        <f t="shared" si="77"/>
        <v>Q3-2023</v>
      </c>
      <c r="AC227" t="str">
        <f t="shared" si="78"/>
        <v>Asia → Japan → Nagoya</v>
      </c>
      <c r="AD227" t="str">
        <f t="shared" si="79"/>
        <v>Support</v>
      </c>
      <c r="AE227" s="8" t="str">
        <f t="shared" si="66"/>
        <v>Low</v>
      </c>
      <c r="AF227" t="str">
        <f t="shared" si="81"/>
        <v>JAPAN</v>
      </c>
      <c r="AG227" s="7">
        <v>44988</v>
      </c>
      <c r="AH227" t="str">
        <f t="shared" si="82"/>
        <v>Mar-2023</v>
      </c>
      <c r="AI227" s="9">
        <f t="shared" si="83"/>
        <v>45138</v>
      </c>
      <c r="AJ227">
        <f t="shared" si="87"/>
        <v>0</v>
      </c>
      <c r="AK227">
        <f t="shared" si="84"/>
        <v>0</v>
      </c>
      <c r="AL227" s="17">
        <f>MIN(N227,'Scenario Modelling'!$B$2)</f>
        <v>0.131</v>
      </c>
      <c r="AM227" s="10">
        <f>L227*(1+'Scenario Modelling'!$B$3)</f>
        <v>1555.306</v>
      </c>
      <c r="AN227">
        <f>O227*(1+'Scenario Modelling'!$B$4)</f>
        <v>15.6</v>
      </c>
      <c r="AO227" s="28">
        <f t="shared" si="85"/>
        <v>36575.302764</v>
      </c>
      <c r="AP227" s="10">
        <f t="shared" si="86"/>
        <v>12312.529164</v>
      </c>
    </row>
    <row r="228" spans="1:42">
      <c r="A228" t="s">
        <v>717</v>
      </c>
      <c r="B228" s="7">
        <v>45203</v>
      </c>
      <c r="C228" s="7">
        <v>45228</v>
      </c>
      <c r="D228" t="s">
        <v>213</v>
      </c>
      <c r="E228" t="s">
        <v>283</v>
      </c>
      <c r="F228" t="s">
        <v>328</v>
      </c>
      <c r="G228" t="s">
        <v>223</v>
      </c>
      <c r="H228" t="s">
        <v>216</v>
      </c>
      <c r="I228" t="s">
        <v>229</v>
      </c>
      <c r="J228" t="s">
        <v>242</v>
      </c>
      <c r="K228" t="s">
        <v>718</v>
      </c>
      <c r="L228" s="10">
        <v>1239.84</v>
      </c>
      <c r="M228" s="10">
        <v>1482.75</v>
      </c>
      <c r="N228" s="17">
        <v>0.067</v>
      </c>
      <c r="O228">
        <v>4</v>
      </c>
      <c r="P228" t="str">
        <f t="shared" si="67"/>
        <v>Valid</v>
      </c>
      <c r="Q228" s="10">
        <f t="shared" si="68"/>
        <v>1482.75</v>
      </c>
      <c r="R228" t="b">
        <f t="shared" si="69"/>
        <v>0</v>
      </c>
      <c r="S228" s="17">
        <f t="shared" si="70"/>
        <v>0.067</v>
      </c>
      <c r="T228">
        <f t="shared" si="71"/>
        <v>25</v>
      </c>
      <c r="U228" s="26">
        <f t="shared" si="72"/>
        <v>45228</v>
      </c>
      <c r="V228">
        <f t="shared" si="73"/>
        <v>25</v>
      </c>
      <c r="W228" s="10">
        <f t="shared" si="74"/>
        <v>592702.623</v>
      </c>
      <c r="X228" s="10">
        <f t="shared" si="75"/>
        <v>5931</v>
      </c>
      <c r="Y228" s="10">
        <f t="shared" si="76"/>
        <v>586771.623</v>
      </c>
      <c r="Z228" s="14">
        <f t="shared" si="80"/>
        <v>0.98999329550799</v>
      </c>
      <c r="AA228" t="s">
        <v>1595</v>
      </c>
      <c r="AB228" t="str">
        <f t="shared" si="77"/>
        <v>Q4-2023</v>
      </c>
      <c r="AC228" t="str">
        <f t="shared" si="78"/>
        <v>Americas → USA → San Francisco</v>
      </c>
      <c r="AD228" t="str">
        <f t="shared" si="79"/>
        <v>Support</v>
      </c>
      <c r="AE228" s="8" t="str">
        <f t="shared" si="66"/>
        <v>Low</v>
      </c>
      <c r="AF228" t="str">
        <f t="shared" si="81"/>
        <v>USA</v>
      </c>
      <c r="AG228" s="7">
        <v>44939</v>
      </c>
      <c r="AH228" t="str">
        <f t="shared" si="82"/>
        <v>Jan-2023</v>
      </c>
      <c r="AI228" s="9">
        <f t="shared" si="83"/>
        <v>45230</v>
      </c>
      <c r="AJ228">
        <f t="shared" si="87"/>
        <v>0</v>
      </c>
      <c r="AK228">
        <f t="shared" si="84"/>
        <v>0</v>
      </c>
      <c r="AL228" s="17">
        <f>MIN(N228,'Scenario Modelling'!$B$2)</f>
        <v>0.067</v>
      </c>
      <c r="AM228" s="10">
        <f>L228*(1+'Scenario Modelling'!$B$3)</f>
        <v>1425.816</v>
      </c>
      <c r="AN228">
        <f>O228*(1+'Scenario Modelling'!$B$4)</f>
        <v>4.8</v>
      </c>
      <c r="AO228" s="28">
        <f t="shared" si="85"/>
        <v>6640.3476</v>
      </c>
      <c r="AP228" s="10">
        <f t="shared" si="86"/>
        <v>-203.569199999998</v>
      </c>
    </row>
    <row r="229" spans="1:42">
      <c r="A229" t="s">
        <v>719</v>
      </c>
      <c r="B229" s="7">
        <v>45879</v>
      </c>
      <c r="C229" s="7">
        <v>45899</v>
      </c>
      <c r="D229" t="s">
        <v>213</v>
      </c>
      <c r="E229" t="s">
        <v>283</v>
      </c>
      <c r="F229" t="s">
        <v>328</v>
      </c>
      <c r="G229" t="s">
        <v>180</v>
      </c>
      <c r="H229" t="s">
        <v>201</v>
      </c>
      <c r="I229" t="s">
        <v>256</v>
      </c>
      <c r="J229" t="s">
        <v>191</v>
      </c>
      <c r="K229" t="s">
        <v>720</v>
      </c>
      <c r="L229" s="10">
        <v>933.29</v>
      </c>
      <c r="M229" s="10">
        <v>1456.81</v>
      </c>
      <c r="N229" s="17">
        <v>0.123</v>
      </c>
      <c r="O229">
        <v>13</v>
      </c>
      <c r="P229" t="str">
        <f t="shared" si="67"/>
        <v>Valid</v>
      </c>
      <c r="Q229" s="10">
        <f t="shared" si="68"/>
        <v>1456.81</v>
      </c>
      <c r="R229" t="b">
        <f t="shared" si="69"/>
        <v>0</v>
      </c>
      <c r="S229" s="17">
        <f t="shared" si="70"/>
        <v>0.123</v>
      </c>
      <c r="T229">
        <f t="shared" si="71"/>
        <v>20</v>
      </c>
      <c r="U229" s="26">
        <f t="shared" si="72"/>
        <v>45899</v>
      </c>
      <c r="V229">
        <f t="shared" si="73"/>
        <v>20</v>
      </c>
      <c r="W229" s="10">
        <f t="shared" si="74"/>
        <v>1891523.56081</v>
      </c>
      <c r="X229" s="10">
        <f t="shared" si="75"/>
        <v>18938.53</v>
      </c>
      <c r="Y229" s="10">
        <f t="shared" si="76"/>
        <v>1872585.03081</v>
      </c>
      <c r="Z229" s="14">
        <f t="shared" si="80"/>
        <v>0.989987684852368</v>
      </c>
      <c r="AA229" t="s">
        <v>1590</v>
      </c>
      <c r="AB229" t="str">
        <f t="shared" si="77"/>
        <v>Q3-2025</v>
      </c>
      <c r="AC229" t="str">
        <f t="shared" si="78"/>
        <v>Americas → USA → San Francisco</v>
      </c>
      <c r="AD229" t="str">
        <f t="shared" si="79"/>
        <v>Peripherals</v>
      </c>
      <c r="AE229" s="8" t="str">
        <f t="shared" si="66"/>
        <v>High</v>
      </c>
      <c r="AF229" t="str">
        <f t="shared" si="81"/>
        <v>USA</v>
      </c>
      <c r="AG229" s="7">
        <v>44939</v>
      </c>
      <c r="AH229" t="str">
        <f t="shared" si="82"/>
        <v>Jan-2023</v>
      </c>
      <c r="AI229" s="9">
        <f t="shared" si="83"/>
        <v>45900</v>
      </c>
      <c r="AJ229">
        <f t="shared" si="87"/>
        <v>0</v>
      </c>
      <c r="AK229">
        <f t="shared" si="84"/>
        <v>0</v>
      </c>
      <c r="AL229" s="17">
        <f>MIN(N229,'Scenario Modelling'!$B$2)</f>
        <v>0.123</v>
      </c>
      <c r="AM229" s="10">
        <f>L229*(1+'Scenario Modelling'!$B$3)</f>
        <v>1073.2835</v>
      </c>
      <c r="AN229">
        <f>O229*(1+'Scenario Modelling'!$B$4)</f>
        <v>15.6</v>
      </c>
      <c r="AO229" s="28">
        <f t="shared" si="85"/>
        <v>19930.908972</v>
      </c>
      <c r="AP229" s="10">
        <f t="shared" si="86"/>
        <v>3187.686372</v>
      </c>
    </row>
    <row r="230" spans="1:42">
      <c r="A230" t="s">
        <v>721</v>
      </c>
      <c r="B230" s="7">
        <v>44992</v>
      </c>
      <c r="C230" s="7">
        <v>45017</v>
      </c>
      <c r="D230" t="s">
        <v>177</v>
      </c>
      <c r="E230" t="s">
        <v>178</v>
      </c>
      <c r="F230" t="s">
        <v>194</v>
      </c>
      <c r="G230" t="s">
        <v>209</v>
      </c>
      <c r="H230" t="s">
        <v>201</v>
      </c>
      <c r="I230" t="s">
        <v>306</v>
      </c>
      <c r="J230" t="s">
        <v>191</v>
      </c>
      <c r="K230" t="s">
        <v>722</v>
      </c>
      <c r="L230" s="10">
        <v>1024.1</v>
      </c>
      <c r="M230" s="10">
        <v>918.19</v>
      </c>
      <c r="N230" s="17">
        <v>0.189</v>
      </c>
      <c r="O230">
        <v>10</v>
      </c>
      <c r="P230" t="str">
        <f t="shared" si="67"/>
        <v>Valid</v>
      </c>
      <c r="Q230" s="10">
        <f t="shared" si="68"/>
        <v>918.19</v>
      </c>
      <c r="R230" t="b">
        <f t="shared" si="69"/>
        <v>0</v>
      </c>
      <c r="S230" s="17">
        <f t="shared" si="70"/>
        <v>0.189</v>
      </c>
      <c r="T230">
        <f t="shared" si="71"/>
        <v>25</v>
      </c>
      <c r="U230" s="26">
        <f t="shared" si="72"/>
        <v>45017</v>
      </c>
      <c r="V230">
        <f t="shared" si="73"/>
        <v>25</v>
      </c>
      <c r="W230" s="10">
        <f t="shared" si="74"/>
        <v>916454.6209</v>
      </c>
      <c r="X230" s="10">
        <f t="shared" si="75"/>
        <v>9181.9</v>
      </c>
      <c r="Y230" s="10">
        <f t="shared" si="76"/>
        <v>907272.7209</v>
      </c>
      <c r="Z230" s="14">
        <f t="shared" si="80"/>
        <v>0.989981064211359</v>
      </c>
      <c r="AA230" t="s">
        <v>1582</v>
      </c>
      <c r="AB230" t="str">
        <f t="shared" si="77"/>
        <v>Q1-2023</v>
      </c>
      <c r="AC230" t="str">
        <f t="shared" si="78"/>
        <v>Africa → Kenya → Nairobi</v>
      </c>
      <c r="AD230" t="str">
        <f t="shared" si="79"/>
        <v>Peripherals</v>
      </c>
      <c r="AE230" s="8" t="str">
        <f t="shared" si="66"/>
        <v>Low</v>
      </c>
      <c r="AF230" t="str">
        <f t="shared" si="81"/>
        <v>KENYA</v>
      </c>
      <c r="AG230" s="7">
        <v>44946</v>
      </c>
      <c r="AH230" t="str">
        <f t="shared" si="82"/>
        <v>Jan-2023</v>
      </c>
      <c r="AI230" s="9">
        <f t="shared" si="83"/>
        <v>45016</v>
      </c>
      <c r="AJ230">
        <f t="shared" si="87"/>
        <v>0</v>
      </c>
      <c r="AK230">
        <f t="shared" si="84"/>
        <v>0</v>
      </c>
      <c r="AL230" s="17">
        <f>MIN(N230,'Scenario Modelling'!$B$2)</f>
        <v>0.189</v>
      </c>
      <c r="AM230" s="10">
        <f>L230*(1+'Scenario Modelling'!$B$3)</f>
        <v>1177.715</v>
      </c>
      <c r="AN230">
        <f>O230*(1+'Scenario Modelling'!$B$4)</f>
        <v>12</v>
      </c>
      <c r="AO230" s="28">
        <f t="shared" si="85"/>
        <v>8935.82508</v>
      </c>
      <c r="AP230" s="10">
        <f t="shared" si="86"/>
        <v>-5196.75492</v>
      </c>
    </row>
    <row r="231" spans="1:42">
      <c r="A231" t="s">
        <v>723</v>
      </c>
      <c r="B231" s="7">
        <v>45069</v>
      </c>
      <c r="C231" s="7">
        <v>45087</v>
      </c>
      <c r="D231" t="s">
        <v>206</v>
      </c>
      <c r="E231" t="s">
        <v>277</v>
      </c>
      <c r="F231" t="s">
        <v>323</v>
      </c>
      <c r="G231" t="s">
        <v>180</v>
      </c>
      <c r="H231" t="s">
        <v>216</v>
      </c>
      <c r="I231" t="s">
        <v>224</v>
      </c>
      <c r="J231" t="s">
        <v>183</v>
      </c>
      <c r="K231" t="s">
        <v>724</v>
      </c>
      <c r="L231" s="10">
        <v>54.62</v>
      </c>
      <c r="M231" s="10">
        <v>48.94</v>
      </c>
      <c r="N231" s="17">
        <v>0.148</v>
      </c>
      <c r="O231">
        <v>16</v>
      </c>
      <c r="P231" t="str">
        <f t="shared" si="67"/>
        <v>Valid</v>
      </c>
      <c r="Q231" s="10">
        <f t="shared" si="68"/>
        <v>48.94</v>
      </c>
      <c r="R231" t="b">
        <f t="shared" si="69"/>
        <v>0</v>
      </c>
      <c r="S231" s="17">
        <f t="shared" si="70"/>
        <v>0.148</v>
      </c>
      <c r="T231">
        <f t="shared" si="71"/>
        <v>18</v>
      </c>
      <c r="U231" s="26">
        <f t="shared" si="72"/>
        <v>45087</v>
      </c>
      <c r="V231">
        <f t="shared" si="73"/>
        <v>18</v>
      </c>
      <c r="W231" s="10">
        <f t="shared" si="74"/>
        <v>78188.11008</v>
      </c>
      <c r="X231" s="10">
        <f t="shared" si="75"/>
        <v>783.04</v>
      </c>
      <c r="Y231" s="10">
        <f t="shared" si="76"/>
        <v>77405.07008</v>
      </c>
      <c r="Z231" s="14">
        <f t="shared" si="80"/>
        <v>0.989985178063534</v>
      </c>
      <c r="AA231" t="s">
        <v>1574</v>
      </c>
      <c r="AB231" t="str">
        <f t="shared" si="77"/>
        <v>Q2-2023</v>
      </c>
      <c r="AC231" t="str">
        <f t="shared" si="78"/>
        <v>Asia → China → Shanghai</v>
      </c>
      <c r="AD231" t="str">
        <f t="shared" si="79"/>
        <v>Support</v>
      </c>
      <c r="AE231" s="8" t="str">
        <f t="shared" si="66"/>
        <v>Low</v>
      </c>
      <c r="AF231" t="str">
        <f t="shared" si="81"/>
        <v>CHINA</v>
      </c>
      <c r="AG231" s="7">
        <v>44938</v>
      </c>
      <c r="AH231" t="str">
        <f t="shared" si="82"/>
        <v>Jan-2023</v>
      </c>
      <c r="AI231" s="9">
        <f t="shared" si="83"/>
        <v>45077</v>
      </c>
      <c r="AJ231">
        <f t="shared" si="87"/>
        <v>0</v>
      </c>
      <c r="AK231">
        <f t="shared" si="84"/>
        <v>0</v>
      </c>
      <c r="AL231" s="17">
        <f>MIN(N231,'Scenario Modelling'!$B$2)</f>
        <v>0.148</v>
      </c>
      <c r="AM231" s="10">
        <f>L231*(1+'Scenario Modelling'!$B$3)</f>
        <v>62.813</v>
      </c>
      <c r="AN231">
        <f>O231*(1+'Scenario Modelling'!$B$4)</f>
        <v>19.2</v>
      </c>
      <c r="AO231" s="28">
        <f t="shared" si="85"/>
        <v>800.580096</v>
      </c>
      <c r="AP231" s="10">
        <f t="shared" si="86"/>
        <v>-405.429504</v>
      </c>
    </row>
    <row r="232" spans="1:42">
      <c r="A232" t="s">
        <v>725</v>
      </c>
      <c r="B232" s="7">
        <v>45771</v>
      </c>
      <c r="C232" s="7">
        <v>45783</v>
      </c>
      <c r="D232" t="s">
        <v>213</v>
      </c>
      <c r="E232" t="s">
        <v>234</v>
      </c>
      <c r="F232" t="s">
        <v>248</v>
      </c>
      <c r="G232" t="s">
        <v>209</v>
      </c>
      <c r="H232" t="s">
        <v>189</v>
      </c>
      <c r="I232" t="s">
        <v>182</v>
      </c>
      <c r="J232" t="s">
        <v>203</v>
      </c>
      <c r="K232" t="s">
        <v>726</v>
      </c>
      <c r="L232" s="10">
        <v>394.13</v>
      </c>
      <c r="M232" s="10">
        <v>932.29</v>
      </c>
      <c r="N232" s="17">
        <v>0.109</v>
      </c>
      <c r="O232">
        <v>7</v>
      </c>
      <c r="P232" t="str">
        <f t="shared" si="67"/>
        <v>Valid</v>
      </c>
      <c r="Q232" s="10">
        <f t="shared" si="68"/>
        <v>932.29</v>
      </c>
      <c r="R232" t="b">
        <f t="shared" si="69"/>
        <v>0</v>
      </c>
      <c r="S232" s="17">
        <f t="shared" si="70"/>
        <v>0.109</v>
      </c>
      <c r="T232">
        <f t="shared" si="71"/>
        <v>12</v>
      </c>
      <c r="U232" s="26">
        <f t="shared" si="72"/>
        <v>45783</v>
      </c>
      <c r="V232">
        <f t="shared" si="73"/>
        <v>12</v>
      </c>
      <c r="W232" s="10">
        <f t="shared" si="74"/>
        <v>651891.66273</v>
      </c>
      <c r="X232" s="10">
        <f t="shared" si="75"/>
        <v>6526.03</v>
      </c>
      <c r="Y232" s="10">
        <f t="shared" si="76"/>
        <v>645365.63273</v>
      </c>
      <c r="Z232" s="14">
        <f t="shared" si="80"/>
        <v>0.989989088106036</v>
      </c>
      <c r="AA232" t="s">
        <v>1578</v>
      </c>
      <c r="AB232" t="str">
        <f t="shared" si="77"/>
        <v>Q2-2025</v>
      </c>
      <c r="AC232" t="str">
        <f t="shared" si="78"/>
        <v>Americas → Brazil → Brasília</v>
      </c>
      <c r="AD232" t="str">
        <f t="shared" si="79"/>
        <v>Devices</v>
      </c>
      <c r="AE232" s="8" t="str">
        <f t="shared" si="66"/>
        <v>High</v>
      </c>
      <c r="AF232" t="str">
        <f t="shared" si="81"/>
        <v>BRAZIL</v>
      </c>
      <c r="AG232" s="7">
        <v>44955</v>
      </c>
      <c r="AH232" t="str">
        <f t="shared" si="82"/>
        <v>Jan-2023</v>
      </c>
      <c r="AI232" s="9">
        <f t="shared" si="83"/>
        <v>45777</v>
      </c>
      <c r="AJ232">
        <f t="shared" si="87"/>
        <v>0</v>
      </c>
      <c r="AK232">
        <f t="shared" si="84"/>
        <v>0</v>
      </c>
      <c r="AL232" s="17">
        <f>MIN(N232,'Scenario Modelling'!$B$2)</f>
        <v>0.109</v>
      </c>
      <c r="AM232" s="10">
        <f>L232*(1+'Scenario Modelling'!$B$3)</f>
        <v>453.2495</v>
      </c>
      <c r="AN232">
        <f>O232*(1+'Scenario Modelling'!$B$4)</f>
        <v>8.4</v>
      </c>
      <c r="AO232" s="28">
        <f t="shared" si="85"/>
        <v>6977.631276</v>
      </c>
      <c r="AP232" s="10">
        <f t="shared" si="86"/>
        <v>3170.335476</v>
      </c>
    </row>
    <row r="233" spans="1:42">
      <c r="A233" t="s">
        <v>727</v>
      </c>
      <c r="B233" s="7">
        <v>45538</v>
      </c>
      <c r="C233" s="7">
        <v>45543</v>
      </c>
      <c r="D233" t="s">
        <v>177</v>
      </c>
      <c r="E233" t="s">
        <v>186</v>
      </c>
      <c r="F233" t="s">
        <v>199</v>
      </c>
      <c r="G233" t="s">
        <v>223</v>
      </c>
      <c r="H233" t="s">
        <v>259</v>
      </c>
      <c r="I233" t="s">
        <v>256</v>
      </c>
      <c r="J233" t="s">
        <v>191</v>
      </c>
      <c r="K233" t="s">
        <v>728</v>
      </c>
      <c r="L233" s="10">
        <v>197.63</v>
      </c>
      <c r="M233" s="10">
        <v>325.79</v>
      </c>
      <c r="N233" s="17">
        <v>0.116</v>
      </c>
      <c r="O233">
        <v>10</v>
      </c>
      <c r="P233" t="str">
        <f t="shared" si="67"/>
        <v>Valid</v>
      </c>
      <c r="Q233" s="10">
        <f t="shared" si="68"/>
        <v>325.79</v>
      </c>
      <c r="R233" t="b">
        <f t="shared" si="69"/>
        <v>0</v>
      </c>
      <c r="S233" s="17">
        <f t="shared" si="70"/>
        <v>0.116</v>
      </c>
      <c r="T233">
        <f t="shared" si="71"/>
        <v>5</v>
      </c>
      <c r="U233" s="26">
        <f t="shared" si="72"/>
        <v>45543</v>
      </c>
      <c r="V233">
        <f t="shared" si="73"/>
        <v>5</v>
      </c>
      <c r="W233" s="10">
        <f t="shared" si="74"/>
        <v>325412.0836</v>
      </c>
      <c r="X233" s="10">
        <f t="shared" si="75"/>
        <v>3257.9</v>
      </c>
      <c r="Y233" s="10">
        <f t="shared" si="76"/>
        <v>322154.1836</v>
      </c>
      <c r="Z233" s="14">
        <f t="shared" si="80"/>
        <v>0.989988386528373</v>
      </c>
      <c r="AA233" t="s">
        <v>1592</v>
      </c>
      <c r="AB233" t="str">
        <f t="shared" si="77"/>
        <v>Q3-2024</v>
      </c>
      <c r="AC233" t="str">
        <f t="shared" si="78"/>
        <v>Africa → Nigeria → Lagos</v>
      </c>
      <c r="AD233" t="str">
        <f t="shared" si="79"/>
        <v>Peripherals</v>
      </c>
      <c r="AE233" s="8" t="str">
        <f t="shared" si="66"/>
        <v>Medium</v>
      </c>
      <c r="AF233" t="str">
        <f t="shared" si="81"/>
        <v>NIGERIA</v>
      </c>
      <c r="AG233" s="7">
        <v>44941</v>
      </c>
      <c r="AH233" t="str">
        <f t="shared" si="82"/>
        <v>Jan-2023</v>
      </c>
      <c r="AI233" s="9">
        <f t="shared" si="83"/>
        <v>45565</v>
      </c>
      <c r="AJ233">
        <f t="shared" si="87"/>
        <v>1</v>
      </c>
      <c r="AK233">
        <f t="shared" si="84"/>
        <v>0</v>
      </c>
      <c r="AL233" s="17">
        <f>MIN(N233,'Scenario Modelling'!$B$2)</f>
        <v>0.116</v>
      </c>
      <c r="AM233" s="10">
        <f>L233*(1+'Scenario Modelling'!$B$3)</f>
        <v>227.2745</v>
      </c>
      <c r="AN233">
        <f>O233*(1+'Scenario Modelling'!$B$4)</f>
        <v>12</v>
      </c>
      <c r="AO233" s="28">
        <f t="shared" si="85"/>
        <v>3455.98032</v>
      </c>
      <c r="AP233" s="10">
        <f t="shared" si="86"/>
        <v>728.686320000001</v>
      </c>
    </row>
    <row r="234" spans="1:42">
      <c r="A234" t="s">
        <v>729</v>
      </c>
      <c r="B234" s="7">
        <v>45540</v>
      </c>
      <c r="C234" s="7">
        <v>45560</v>
      </c>
      <c r="D234" t="s">
        <v>206</v>
      </c>
      <c r="E234" t="s">
        <v>207</v>
      </c>
      <c r="F234" t="s">
        <v>208</v>
      </c>
      <c r="G234" t="s">
        <v>266</v>
      </c>
      <c r="H234" t="s">
        <v>216</v>
      </c>
      <c r="I234" t="s">
        <v>306</v>
      </c>
      <c r="J234" t="s">
        <v>225</v>
      </c>
      <c r="K234" t="s">
        <v>730</v>
      </c>
      <c r="L234" s="10">
        <v>195.54</v>
      </c>
      <c r="M234" s="10">
        <v>405.97</v>
      </c>
      <c r="N234" s="17">
        <v>0.187</v>
      </c>
      <c r="O234">
        <v>16</v>
      </c>
      <c r="P234" t="str">
        <f t="shared" si="67"/>
        <v>Valid</v>
      </c>
      <c r="Q234" s="10">
        <f t="shared" si="68"/>
        <v>405.97</v>
      </c>
      <c r="R234" t="b">
        <f t="shared" si="69"/>
        <v>0</v>
      </c>
      <c r="S234" s="17">
        <f t="shared" si="70"/>
        <v>0.187</v>
      </c>
      <c r="T234">
        <f t="shared" si="71"/>
        <v>20</v>
      </c>
      <c r="U234" s="26">
        <f t="shared" si="72"/>
        <v>45560</v>
      </c>
      <c r="V234">
        <f t="shared" si="73"/>
        <v>20</v>
      </c>
      <c r="W234" s="10">
        <f t="shared" si="74"/>
        <v>648337.33776</v>
      </c>
      <c r="X234" s="10">
        <f t="shared" si="75"/>
        <v>6495.52</v>
      </c>
      <c r="Y234" s="10">
        <f t="shared" si="76"/>
        <v>641841.81776</v>
      </c>
      <c r="Z234" s="14">
        <f t="shared" si="80"/>
        <v>0.989981264965485</v>
      </c>
      <c r="AA234" t="s">
        <v>1592</v>
      </c>
      <c r="AB234" t="str">
        <f t="shared" si="77"/>
        <v>Q3-2024</v>
      </c>
      <c r="AC234" t="str">
        <f t="shared" si="78"/>
        <v>Asia → Japan → Osaka</v>
      </c>
      <c r="AD234" t="str">
        <f t="shared" si="79"/>
        <v>Peripherals</v>
      </c>
      <c r="AE234" s="8" t="str">
        <f t="shared" si="66"/>
        <v>Medium</v>
      </c>
      <c r="AF234" t="str">
        <f t="shared" si="81"/>
        <v>JAPAN</v>
      </c>
      <c r="AG234" s="7">
        <v>44988</v>
      </c>
      <c r="AH234" t="str">
        <f t="shared" si="82"/>
        <v>Mar-2023</v>
      </c>
      <c r="AI234" s="9">
        <f t="shared" si="83"/>
        <v>45565</v>
      </c>
      <c r="AJ234">
        <f t="shared" si="87"/>
        <v>0</v>
      </c>
      <c r="AK234">
        <f t="shared" si="84"/>
        <v>0</v>
      </c>
      <c r="AL234" s="17">
        <f>MIN(N234,'Scenario Modelling'!$B$2)</f>
        <v>0.187</v>
      </c>
      <c r="AM234" s="10">
        <f>L234*(1+'Scenario Modelling'!$B$3)</f>
        <v>224.871</v>
      </c>
      <c r="AN234">
        <f>O234*(1+'Scenario Modelling'!$B$4)</f>
        <v>19.2</v>
      </c>
      <c r="AO234" s="28">
        <f t="shared" si="85"/>
        <v>6337.029312</v>
      </c>
      <c r="AP234" s="10">
        <f t="shared" si="86"/>
        <v>2019.506112</v>
      </c>
    </row>
    <row r="235" spans="1:42">
      <c r="A235" t="s">
        <v>731</v>
      </c>
      <c r="B235" s="7">
        <v>44999</v>
      </c>
      <c r="C235" s="7">
        <v>45015</v>
      </c>
      <c r="D235" t="s">
        <v>177</v>
      </c>
      <c r="E235" t="s">
        <v>309</v>
      </c>
      <c r="F235" t="s">
        <v>419</v>
      </c>
      <c r="G235" t="s">
        <v>209</v>
      </c>
      <c r="H235" t="s">
        <v>216</v>
      </c>
      <c r="I235" t="s">
        <v>256</v>
      </c>
      <c r="J235" t="s">
        <v>183</v>
      </c>
      <c r="K235" t="s">
        <v>732</v>
      </c>
      <c r="L235" s="10">
        <v>1309.77</v>
      </c>
      <c r="M235" s="10">
        <v>1589.07</v>
      </c>
      <c r="N235" s="17">
        <v>0.102</v>
      </c>
      <c r="O235">
        <v>10</v>
      </c>
      <c r="P235" t="str">
        <f t="shared" si="67"/>
        <v>Valid</v>
      </c>
      <c r="Q235" s="10">
        <f t="shared" si="68"/>
        <v>1589.07</v>
      </c>
      <c r="R235" t="b">
        <f t="shared" si="69"/>
        <v>0</v>
      </c>
      <c r="S235" s="17">
        <f t="shared" si="70"/>
        <v>0.102</v>
      </c>
      <c r="T235">
        <f t="shared" si="71"/>
        <v>16</v>
      </c>
      <c r="U235" s="26">
        <f t="shared" si="72"/>
        <v>45015</v>
      </c>
      <c r="V235">
        <f t="shared" si="73"/>
        <v>16</v>
      </c>
      <c r="W235" s="10">
        <f t="shared" si="74"/>
        <v>1587449.1486</v>
      </c>
      <c r="X235" s="10">
        <f t="shared" si="75"/>
        <v>15890.7</v>
      </c>
      <c r="Y235" s="10">
        <f t="shared" si="76"/>
        <v>1571558.4486</v>
      </c>
      <c r="Z235" s="14">
        <f t="shared" si="80"/>
        <v>0.989989789585377</v>
      </c>
      <c r="AA235" t="s">
        <v>1582</v>
      </c>
      <c r="AB235" t="str">
        <f t="shared" si="77"/>
        <v>Q1-2023</v>
      </c>
      <c r="AC235" t="str">
        <f t="shared" si="78"/>
        <v>Africa → South Africa → Cape Town</v>
      </c>
      <c r="AD235" t="str">
        <f t="shared" si="79"/>
        <v>Support</v>
      </c>
      <c r="AE235" s="8" t="str">
        <f t="shared" si="66"/>
        <v>Low</v>
      </c>
      <c r="AF235" t="str">
        <f t="shared" si="81"/>
        <v>SOUTH AFRICA</v>
      </c>
      <c r="AG235" s="7">
        <v>44933</v>
      </c>
      <c r="AH235" t="str">
        <f t="shared" si="82"/>
        <v>Jan-2023</v>
      </c>
      <c r="AI235" s="9">
        <f t="shared" si="83"/>
        <v>45016</v>
      </c>
      <c r="AJ235">
        <f t="shared" si="87"/>
        <v>0</v>
      </c>
      <c r="AK235">
        <f t="shared" si="84"/>
        <v>0</v>
      </c>
      <c r="AL235" s="17">
        <f>MIN(N235,'Scenario Modelling'!$B$2)</f>
        <v>0.102</v>
      </c>
      <c r="AM235" s="10">
        <f>L235*(1+'Scenario Modelling'!$B$3)</f>
        <v>1506.2355</v>
      </c>
      <c r="AN235">
        <f>O235*(1+'Scenario Modelling'!$B$4)</f>
        <v>12</v>
      </c>
      <c r="AO235" s="28">
        <f t="shared" si="85"/>
        <v>17123.81832</v>
      </c>
      <c r="AP235" s="10">
        <f t="shared" si="86"/>
        <v>-951.007679999997</v>
      </c>
    </row>
    <row r="236" spans="1:42">
      <c r="A236" t="s">
        <v>733</v>
      </c>
      <c r="B236" s="7">
        <v>45302</v>
      </c>
      <c r="C236" s="7">
        <v>45324</v>
      </c>
      <c r="D236" t="s">
        <v>206</v>
      </c>
      <c r="E236" t="s">
        <v>207</v>
      </c>
      <c r="F236" t="s">
        <v>392</v>
      </c>
      <c r="G236" t="s">
        <v>223</v>
      </c>
      <c r="H236" t="s">
        <v>189</v>
      </c>
      <c r="I236" t="s">
        <v>1589</v>
      </c>
      <c r="J236" t="s">
        <v>191</v>
      </c>
      <c r="K236" t="s">
        <v>734</v>
      </c>
      <c r="L236" s="10">
        <v>1237.68</v>
      </c>
      <c r="M236" s="10">
        <v>1432.8</v>
      </c>
      <c r="N236" s="17">
        <v>0.068</v>
      </c>
      <c r="O236">
        <v>13</v>
      </c>
      <c r="P236" t="str">
        <f t="shared" si="67"/>
        <v>Valid</v>
      </c>
      <c r="Q236" s="10">
        <f t="shared" si="68"/>
        <v>1432.8</v>
      </c>
      <c r="R236" t="b">
        <f t="shared" si="69"/>
        <v>0</v>
      </c>
      <c r="S236" s="17">
        <f t="shared" si="70"/>
        <v>0.068</v>
      </c>
      <c r="T236">
        <f t="shared" si="71"/>
        <v>22</v>
      </c>
      <c r="U236" s="26">
        <f t="shared" si="72"/>
        <v>45324</v>
      </c>
      <c r="V236">
        <f t="shared" si="73"/>
        <v>22</v>
      </c>
      <c r="W236" s="10">
        <f t="shared" si="74"/>
        <v>1861373.4048</v>
      </c>
      <c r="X236" s="10">
        <f t="shared" si="75"/>
        <v>18626.4</v>
      </c>
      <c r="Y236" s="10">
        <f t="shared" si="76"/>
        <v>1842747.0048</v>
      </c>
      <c r="Z236" s="14">
        <f t="shared" si="80"/>
        <v>0.989993195372854</v>
      </c>
      <c r="AA236" t="s">
        <v>1568</v>
      </c>
      <c r="AB236" t="str">
        <f t="shared" si="77"/>
        <v>Q1-2024</v>
      </c>
      <c r="AC236" t="str">
        <f t="shared" si="78"/>
        <v>Asia → Japan → Nagoya</v>
      </c>
      <c r="AD236" t="str">
        <f t="shared" si="79"/>
        <v>Peripherals</v>
      </c>
      <c r="AE236" s="8" t="str">
        <f t="shared" si="66"/>
        <v>Medium</v>
      </c>
      <c r="AF236" t="str">
        <f t="shared" si="81"/>
        <v>JAPAN</v>
      </c>
      <c r="AG236" s="7">
        <v>44988</v>
      </c>
      <c r="AH236" t="str">
        <f t="shared" si="82"/>
        <v>Mar-2023</v>
      </c>
      <c r="AI236" s="9">
        <f t="shared" si="83"/>
        <v>45322</v>
      </c>
      <c r="AJ236">
        <f t="shared" si="87"/>
        <v>0</v>
      </c>
      <c r="AK236">
        <f t="shared" si="84"/>
        <v>0</v>
      </c>
      <c r="AL236" s="17">
        <f>MIN(N236,'Scenario Modelling'!$B$2)</f>
        <v>0.068</v>
      </c>
      <c r="AM236" s="10">
        <f>L236*(1+'Scenario Modelling'!$B$3)</f>
        <v>1423.332</v>
      </c>
      <c r="AN236">
        <f>O236*(1+'Scenario Modelling'!$B$4)</f>
        <v>15.6</v>
      </c>
      <c r="AO236" s="28">
        <f t="shared" si="85"/>
        <v>20831.76576</v>
      </c>
      <c r="AP236" s="10">
        <f t="shared" si="86"/>
        <v>-1372.21344</v>
      </c>
    </row>
    <row r="237" spans="1:42">
      <c r="A237" t="s">
        <v>735</v>
      </c>
      <c r="B237" s="7">
        <v>45548</v>
      </c>
      <c r="C237" s="7">
        <v>45567</v>
      </c>
      <c r="D237" t="s">
        <v>177</v>
      </c>
      <c r="E237" t="s">
        <v>178</v>
      </c>
      <c r="F237" t="s">
        <v>274</v>
      </c>
      <c r="G237" t="s">
        <v>223</v>
      </c>
      <c r="H237" t="s">
        <v>181</v>
      </c>
      <c r="I237" t="s">
        <v>271</v>
      </c>
      <c r="J237" t="s">
        <v>203</v>
      </c>
      <c r="K237" t="s">
        <v>736</v>
      </c>
      <c r="L237" s="10">
        <v>1338.99</v>
      </c>
      <c r="M237" s="10">
        <v>1765.76</v>
      </c>
      <c r="N237" s="17">
        <v>0.126</v>
      </c>
      <c r="O237">
        <v>24</v>
      </c>
      <c r="P237" t="str">
        <f t="shared" si="67"/>
        <v>Valid</v>
      </c>
      <c r="Q237" s="10">
        <f t="shared" si="68"/>
        <v>1765.76</v>
      </c>
      <c r="R237" t="b">
        <f t="shared" si="69"/>
        <v>0</v>
      </c>
      <c r="S237" s="17">
        <f t="shared" si="70"/>
        <v>0.126</v>
      </c>
      <c r="T237">
        <f t="shared" si="71"/>
        <v>19</v>
      </c>
      <c r="U237" s="26">
        <f t="shared" si="72"/>
        <v>45567</v>
      </c>
      <c r="V237">
        <f t="shared" si="73"/>
        <v>19</v>
      </c>
      <c r="W237" s="10">
        <f t="shared" si="74"/>
        <v>4232484.34176</v>
      </c>
      <c r="X237" s="10">
        <f t="shared" si="75"/>
        <v>42378.24</v>
      </c>
      <c r="Y237" s="10">
        <f t="shared" si="76"/>
        <v>4190106.10176</v>
      </c>
      <c r="Z237" s="14">
        <f t="shared" si="80"/>
        <v>0.989987384103971</v>
      </c>
      <c r="AA237" t="s">
        <v>1592</v>
      </c>
      <c r="AB237" t="str">
        <f t="shared" si="77"/>
        <v>Q3-2024</v>
      </c>
      <c r="AC237" t="str">
        <f t="shared" si="78"/>
        <v>Africa → Kenya → Mombasa</v>
      </c>
      <c r="AD237" t="str">
        <f t="shared" si="79"/>
        <v>Devices</v>
      </c>
      <c r="AE237" s="8" t="str">
        <f t="shared" si="66"/>
        <v>Medium</v>
      </c>
      <c r="AF237" t="str">
        <f t="shared" si="81"/>
        <v>KENYA</v>
      </c>
      <c r="AG237" s="7">
        <v>44946</v>
      </c>
      <c r="AH237" t="str">
        <f t="shared" si="82"/>
        <v>Jan-2023</v>
      </c>
      <c r="AI237" s="9">
        <f t="shared" si="83"/>
        <v>45565</v>
      </c>
      <c r="AJ237">
        <f t="shared" si="87"/>
        <v>0</v>
      </c>
      <c r="AK237">
        <f t="shared" si="84"/>
        <v>0</v>
      </c>
      <c r="AL237" s="17">
        <f>MIN(N237,'Scenario Modelling'!$B$2)</f>
        <v>0.126</v>
      </c>
      <c r="AM237" s="10">
        <f>L237*(1+'Scenario Modelling'!$B$3)</f>
        <v>1539.8385</v>
      </c>
      <c r="AN237">
        <f>O237*(1+'Scenario Modelling'!$B$4)</f>
        <v>28.8</v>
      </c>
      <c r="AO237" s="28">
        <f t="shared" si="85"/>
        <v>44446.298112</v>
      </c>
      <c r="AP237" s="10">
        <f t="shared" si="86"/>
        <v>98.9493120000035</v>
      </c>
    </row>
    <row r="238" spans="1:42">
      <c r="A238" t="s">
        <v>737</v>
      </c>
      <c r="B238" s="7">
        <v>45855</v>
      </c>
      <c r="C238" s="7">
        <v>45861</v>
      </c>
      <c r="D238" t="s">
        <v>213</v>
      </c>
      <c r="E238" t="s">
        <v>214</v>
      </c>
      <c r="F238" t="s">
        <v>340</v>
      </c>
      <c r="G238" t="s">
        <v>209</v>
      </c>
      <c r="H238" t="s">
        <v>189</v>
      </c>
      <c r="I238" t="s">
        <v>253</v>
      </c>
      <c r="J238" t="s">
        <v>183</v>
      </c>
      <c r="K238" t="s">
        <v>738</v>
      </c>
      <c r="L238" s="10">
        <v>1364.89</v>
      </c>
      <c r="M238" s="10">
        <v>2757.54</v>
      </c>
      <c r="N238" s="17">
        <v>0.172</v>
      </c>
      <c r="O238">
        <v>61</v>
      </c>
      <c r="P238" t="str">
        <f t="shared" si="67"/>
        <v>Valid</v>
      </c>
      <c r="Q238" s="10">
        <f t="shared" si="68"/>
        <v>2757.54</v>
      </c>
      <c r="R238" t="b">
        <f t="shared" si="69"/>
        <v>0</v>
      </c>
      <c r="S238" s="17">
        <f t="shared" si="70"/>
        <v>0.172</v>
      </c>
      <c r="T238">
        <f t="shared" si="71"/>
        <v>6</v>
      </c>
      <c r="U238" s="26">
        <f t="shared" si="72"/>
        <v>45861</v>
      </c>
      <c r="V238">
        <f t="shared" si="73"/>
        <v>6</v>
      </c>
      <c r="W238" s="10">
        <f t="shared" si="74"/>
        <v>16792061.89032</v>
      </c>
      <c r="X238" s="10">
        <f t="shared" si="75"/>
        <v>168209.94</v>
      </c>
      <c r="Y238" s="10">
        <f t="shared" si="76"/>
        <v>16623851.95032</v>
      </c>
      <c r="Z238" s="14">
        <f t="shared" si="80"/>
        <v>0.989982770365028</v>
      </c>
      <c r="AA238" t="s">
        <v>1572</v>
      </c>
      <c r="AB238" t="str">
        <f t="shared" si="77"/>
        <v>Q3-2025</v>
      </c>
      <c r="AC238" t="str">
        <f t="shared" si="78"/>
        <v>Americas → Canada → Vancouver</v>
      </c>
      <c r="AD238" t="str">
        <f t="shared" si="79"/>
        <v>Support</v>
      </c>
      <c r="AE238" s="8" t="str">
        <f t="shared" si="66"/>
        <v>High</v>
      </c>
      <c r="AF238" t="str">
        <f t="shared" si="81"/>
        <v>CANADA</v>
      </c>
      <c r="AG238" s="7">
        <v>44928</v>
      </c>
      <c r="AH238" t="str">
        <f t="shared" si="82"/>
        <v>Jan-2023</v>
      </c>
      <c r="AI238" s="9">
        <f t="shared" si="83"/>
        <v>45869</v>
      </c>
      <c r="AJ238">
        <f t="shared" si="87"/>
        <v>1</v>
      </c>
      <c r="AK238">
        <f t="shared" si="84"/>
        <v>0</v>
      </c>
      <c r="AL238" s="17">
        <f>MIN(N238,'Scenario Modelling'!$B$2)</f>
        <v>0.172</v>
      </c>
      <c r="AM238" s="10">
        <f>L238*(1+'Scenario Modelling'!$B$3)</f>
        <v>1569.6235</v>
      </c>
      <c r="AN238">
        <f>O238*(1+'Scenario Modelling'!$B$4)</f>
        <v>73.2</v>
      </c>
      <c r="AO238" s="28">
        <f t="shared" si="85"/>
        <v>167133.396384</v>
      </c>
      <c r="AP238" s="10">
        <f t="shared" si="86"/>
        <v>52236.956184</v>
      </c>
    </row>
    <row r="239" spans="1:42">
      <c r="A239" t="s">
        <v>739</v>
      </c>
      <c r="B239" s="7">
        <v>45258</v>
      </c>
      <c r="C239" s="7">
        <v>45267</v>
      </c>
      <c r="D239" t="s">
        <v>206</v>
      </c>
      <c r="E239" t="s">
        <v>221</v>
      </c>
      <c r="F239" t="s">
        <v>302</v>
      </c>
      <c r="G239" t="s">
        <v>266</v>
      </c>
      <c r="H239" t="s">
        <v>201</v>
      </c>
      <c r="I239" t="s">
        <v>210</v>
      </c>
      <c r="J239" t="s">
        <v>203</v>
      </c>
      <c r="K239" t="s">
        <v>740</v>
      </c>
      <c r="L239" s="10">
        <v>699.33</v>
      </c>
      <c r="M239" s="10">
        <v>873.75</v>
      </c>
      <c r="N239" s="17">
        <v>0.235</v>
      </c>
      <c r="O239">
        <v>10</v>
      </c>
      <c r="P239" t="str">
        <f t="shared" si="67"/>
        <v>Valid</v>
      </c>
      <c r="Q239" s="10">
        <f t="shared" si="68"/>
        <v>873.75</v>
      </c>
      <c r="R239" t="b">
        <f t="shared" si="69"/>
        <v>0</v>
      </c>
      <c r="S239" s="17">
        <f t="shared" si="70"/>
        <v>0.235</v>
      </c>
      <c r="T239">
        <f t="shared" si="71"/>
        <v>9</v>
      </c>
      <c r="U239" s="26">
        <f t="shared" si="72"/>
        <v>45267</v>
      </c>
      <c r="V239">
        <f t="shared" si="73"/>
        <v>9</v>
      </c>
      <c r="W239" s="10">
        <f t="shared" si="74"/>
        <v>871696.6875</v>
      </c>
      <c r="X239" s="10">
        <f t="shared" si="75"/>
        <v>8737.5</v>
      </c>
      <c r="Y239" s="10">
        <f t="shared" si="76"/>
        <v>862959.1875</v>
      </c>
      <c r="Z239" s="14">
        <f t="shared" si="80"/>
        <v>0.989976444644916</v>
      </c>
      <c r="AA239" t="s">
        <v>1593</v>
      </c>
      <c r="AB239" t="str">
        <f t="shared" si="77"/>
        <v>Q4-2023</v>
      </c>
      <c r="AC239" t="str">
        <f t="shared" si="78"/>
        <v>Asia → India → Delhi</v>
      </c>
      <c r="AD239" t="str">
        <f t="shared" si="79"/>
        <v>Devices</v>
      </c>
      <c r="AE239" s="8" t="str">
        <f t="shared" si="66"/>
        <v>Low</v>
      </c>
      <c r="AF239" t="str">
        <f t="shared" si="81"/>
        <v>INDIA</v>
      </c>
      <c r="AG239" s="7">
        <v>44955</v>
      </c>
      <c r="AH239" t="str">
        <f t="shared" si="82"/>
        <v>Jan-2023</v>
      </c>
      <c r="AI239" s="9">
        <f t="shared" si="83"/>
        <v>45260</v>
      </c>
      <c r="AJ239">
        <f t="shared" si="87"/>
        <v>0</v>
      </c>
      <c r="AK239">
        <f t="shared" si="84"/>
        <v>1</v>
      </c>
      <c r="AL239" s="17">
        <f>MIN(N239,'Scenario Modelling'!$B$2)</f>
        <v>0.235</v>
      </c>
      <c r="AM239" s="10">
        <f>L239*(1+'Scenario Modelling'!$B$3)</f>
        <v>804.2295</v>
      </c>
      <c r="AN239">
        <f>O239*(1+'Scenario Modelling'!$B$4)</f>
        <v>12</v>
      </c>
      <c r="AO239" s="28">
        <f t="shared" si="85"/>
        <v>8021.025</v>
      </c>
      <c r="AP239" s="10">
        <f t="shared" si="86"/>
        <v>-1629.729</v>
      </c>
    </row>
    <row r="240" spans="1:42">
      <c r="A240" t="s">
        <v>741</v>
      </c>
      <c r="B240" s="7">
        <v>45381</v>
      </c>
      <c r="C240" s="7">
        <v>45406</v>
      </c>
      <c r="D240" t="s">
        <v>213</v>
      </c>
      <c r="E240" t="s">
        <v>283</v>
      </c>
      <c r="F240" t="s">
        <v>487</v>
      </c>
      <c r="G240" t="s">
        <v>200</v>
      </c>
      <c r="H240" t="s">
        <v>189</v>
      </c>
      <c r="I240" t="s">
        <v>202</v>
      </c>
      <c r="J240" t="s">
        <v>218</v>
      </c>
      <c r="K240" t="s">
        <v>742</v>
      </c>
      <c r="L240" s="10">
        <v>160.82</v>
      </c>
      <c r="M240" s="10">
        <v>258.52</v>
      </c>
      <c r="N240" s="17">
        <v>0.13</v>
      </c>
      <c r="O240">
        <v>17</v>
      </c>
      <c r="P240" t="str">
        <f t="shared" si="67"/>
        <v>Valid</v>
      </c>
      <c r="Q240" s="10">
        <f t="shared" si="68"/>
        <v>258.52</v>
      </c>
      <c r="R240" t="b">
        <f t="shared" si="69"/>
        <v>0</v>
      </c>
      <c r="S240" s="17">
        <f t="shared" si="70"/>
        <v>0.13</v>
      </c>
      <c r="T240">
        <f t="shared" si="71"/>
        <v>25</v>
      </c>
      <c r="U240" s="26">
        <f t="shared" si="72"/>
        <v>45406</v>
      </c>
      <c r="V240">
        <f t="shared" si="73"/>
        <v>25</v>
      </c>
      <c r="W240" s="10">
        <f t="shared" si="74"/>
        <v>438912.6708</v>
      </c>
      <c r="X240" s="10">
        <f t="shared" si="75"/>
        <v>4394.84</v>
      </c>
      <c r="Y240" s="10">
        <f t="shared" si="76"/>
        <v>434517.8308</v>
      </c>
      <c r="Z240" s="14">
        <f t="shared" si="80"/>
        <v>0.989986983078001</v>
      </c>
      <c r="AA240" t="s">
        <v>1560</v>
      </c>
      <c r="AB240" t="str">
        <f t="shared" si="77"/>
        <v>Q1-2024</v>
      </c>
      <c r="AC240" t="str">
        <f t="shared" si="78"/>
        <v>Americas → USA → Austin</v>
      </c>
      <c r="AD240" t="str">
        <f t="shared" si="79"/>
        <v>Devices</v>
      </c>
      <c r="AE240" s="8" t="str">
        <f t="shared" si="66"/>
        <v>Medium</v>
      </c>
      <c r="AF240" t="str">
        <f t="shared" si="81"/>
        <v>USA</v>
      </c>
      <c r="AG240" s="7">
        <v>44939</v>
      </c>
      <c r="AH240" t="str">
        <f t="shared" si="82"/>
        <v>Jan-2023</v>
      </c>
      <c r="AI240" s="9">
        <f t="shared" si="83"/>
        <v>45382</v>
      </c>
      <c r="AJ240">
        <f t="shared" si="87"/>
        <v>0</v>
      </c>
      <c r="AK240">
        <f t="shared" si="84"/>
        <v>0</v>
      </c>
      <c r="AL240" s="17">
        <f>MIN(N240,'Scenario Modelling'!$B$2)</f>
        <v>0.13</v>
      </c>
      <c r="AM240" s="10">
        <f>L240*(1+'Scenario Modelling'!$B$3)</f>
        <v>184.943</v>
      </c>
      <c r="AN240">
        <f>O240*(1+'Scenario Modelling'!$B$4)</f>
        <v>20.4</v>
      </c>
      <c r="AO240" s="28">
        <f t="shared" si="85"/>
        <v>4588.21296</v>
      </c>
      <c r="AP240" s="10">
        <f t="shared" si="86"/>
        <v>815.37576</v>
      </c>
    </row>
    <row r="241" spans="1:42">
      <c r="A241" t="s">
        <v>743</v>
      </c>
      <c r="B241" s="7">
        <v>45188</v>
      </c>
      <c r="C241" s="7">
        <v>45207</v>
      </c>
      <c r="D241" t="s">
        <v>206</v>
      </c>
      <c r="E241" t="s">
        <v>221</v>
      </c>
      <c r="F241" t="s">
        <v>222</v>
      </c>
      <c r="G241" t="s">
        <v>188</v>
      </c>
      <c r="H241" t="s">
        <v>259</v>
      </c>
      <c r="I241" t="s">
        <v>190</v>
      </c>
      <c r="J241" t="s">
        <v>191</v>
      </c>
      <c r="K241" t="s">
        <v>744</v>
      </c>
      <c r="L241" s="10">
        <v>385.32</v>
      </c>
      <c r="M241" s="10">
        <v>606.76</v>
      </c>
      <c r="N241" s="17">
        <v>0.086</v>
      </c>
      <c r="O241">
        <v>8</v>
      </c>
      <c r="P241" t="str">
        <f t="shared" si="67"/>
        <v>Valid</v>
      </c>
      <c r="Q241" s="10">
        <f t="shared" si="68"/>
        <v>606.76</v>
      </c>
      <c r="R241" t="b">
        <f t="shared" si="69"/>
        <v>0</v>
      </c>
      <c r="S241" s="17">
        <f t="shared" si="70"/>
        <v>0.086</v>
      </c>
      <c r="T241">
        <f t="shared" si="71"/>
        <v>19</v>
      </c>
      <c r="U241" s="26">
        <f t="shared" si="72"/>
        <v>45207</v>
      </c>
      <c r="V241">
        <f t="shared" si="73"/>
        <v>19</v>
      </c>
      <c r="W241" s="10">
        <f t="shared" si="74"/>
        <v>484990.54912</v>
      </c>
      <c r="X241" s="10">
        <f t="shared" si="75"/>
        <v>4854.08</v>
      </c>
      <c r="Y241" s="10">
        <f t="shared" si="76"/>
        <v>480136.46912</v>
      </c>
      <c r="Z241" s="14">
        <f t="shared" si="80"/>
        <v>0.989991392597634</v>
      </c>
      <c r="AA241" t="s">
        <v>1588</v>
      </c>
      <c r="AB241" t="str">
        <f t="shared" si="77"/>
        <v>Q3-2023</v>
      </c>
      <c r="AC241" t="str">
        <f t="shared" si="78"/>
        <v>Asia → India → Bengaluru</v>
      </c>
      <c r="AD241" t="str">
        <f t="shared" si="79"/>
        <v>Peripherals</v>
      </c>
      <c r="AE241" s="8" t="str">
        <f t="shared" si="66"/>
        <v>Low</v>
      </c>
      <c r="AF241" t="str">
        <f t="shared" si="81"/>
        <v>INDIA</v>
      </c>
      <c r="AG241" s="7">
        <v>44955</v>
      </c>
      <c r="AH241" t="str">
        <f t="shared" si="82"/>
        <v>Jan-2023</v>
      </c>
      <c r="AI241" s="9">
        <f t="shared" si="83"/>
        <v>45199</v>
      </c>
      <c r="AJ241">
        <f t="shared" si="87"/>
        <v>0</v>
      </c>
      <c r="AK241">
        <f t="shared" si="84"/>
        <v>0</v>
      </c>
      <c r="AL241" s="17">
        <f>MIN(N241,'Scenario Modelling'!$B$2)</f>
        <v>0.086</v>
      </c>
      <c r="AM241" s="10">
        <f>L241*(1+'Scenario Modelling'!$B$3)</f>
        <v>443.118</v>
      </c>
      <c r="AN241">
        <f>O241*(1+'Scenario Modelling'!$B$4)</f>
        <v>9.6</v>
      </c>
      <c r="AO241" s="28">
        <f t="shared" si="85"/>
        <v>5323.954944</v>
      </c>
      <c r="AP241" s="10">
        <f t="shared" si="86"/>
        <v>1070.022144</v>
      </c>
    </row>
    <row r="242" spans="1:42">
      <c r="A242" t="s">
        <v>745</v>
      </c>
      <c r="B242" s="7">
        <v>45793</v>
      </c>
      <c r="C242" s="7">
        <v>45804</v>
      </c>
      <c r="D242" t="s">
        <v>206</v>
      </c>
      <c r="E242" t="s">
        <v>277</v>
      </c>
      <c r="F242" t="s">
        <v>499</v>
      </c>
      <c r="G242" t="s">
        <v>266</v>
      </c>
      <c r="H242" t="s">
        <v>189</v>
      </c>
      <c r="I242" t="s">
        <v>245</v>
      </c>
      <c r="J242" t="s">
        <v>203</v>
      </c>
      <c r="K242" t="s">
        <v>746</v>
      </c>
      <c r="L242" s="10">
        <v>918.12</v>
      </c>
      <c r="M242" s="10">
        <v>1337.69</v>
      </c>
      <c r="N242" s="17">
        <v>0.095</v>
      </c>
      <c r="O242">
        <v>8</v>
      </c>
      <c r="P242" t="str">
        <f t="shared" si="67"/>
        <v>Valid</v>
      </c>
      <c r="Q242" s="10">
        <f t="shared" si="68"/>
        <v>1337.69</v>
      </c>
      <c r="R242" t="b">
        <f t="shared" si="69"/>
        <v>0</v>
      </c>
      <c r="S242" s="17">
        <f t="shared" si="70"/>
        <v>0.095</v>
      </c>
      <c r="T242">
        <f t="shared" si="71"/>
        <v>11</v>
      </c>
      <c r="U242" s="26">
        <f t="shared" si="72"/>
        <v>45804</v>
      </c>
      <c r="V242">
        <f t="shared" si="73"/>
        <v>11</v>
      </c>
      <c r="W242" s="10">
        <f t="shared" si="74"/>
        <v>1069135.3556</v>
      </c>
      <c r="X242" s="10">
        <f t="shared" si="75"/>
        <v>10701.52</v>
      </c>
      <c r="Y242" s="10">
        <f t="shared" si="76"/>
        <v>1058433.8356</v>
      </c>
      <c r="Z242" s="14">
        <f t="shared" si="80"/>
        <v>0.989990490966418</v>
      </c>
      <c r="AA242" t="s">
        <v>1567</v>
      </c>
      <c r="AB242" t="str">
        <f t="shared" si="77"/>
        <v>Q2-2025</v>
      </c>
      <c r="AC242" t="str">
        <f t="shared" si="78"/>
        <v>Asia → China → Beijing</v>
      </c>
      <c r="AD242" t="str">
        <f t="shared" si="79"/>
        <v>Devices</v>
      </c>
      <c r="AE242" s="8" t="str">
        <f t="shared" si="66"/>
        <v>High</v>
      </c>
      <c r="AF242" t="str">
        <f t="shared" si="81"/>
        <v>CHINA</v>
      </c>
      <c r="AG242" s="7">
        <v>44938</v>
      </c>
      <c r="AH242" t="str">
        <f t="shared" si="82"/>
        <v>Jan-2023</v>
      </c>
      <c r="AI242" s="9">
        <f t="shared" si="83"/>
        <v>45808</v>
      </c>
      <c r="AJ242">
        <f t="shared" si="87"/>
        <v>0</v>
      </c>
      <c r="AK242">
        <f t="shared" si="84"/>
        <v>0</v>
      </c>
      <c r="AL242" s="17">
        <f>MIN(N242,'Scenario Modelling'!$B$2)</f>
        <v>0.095</v>
      </c>
      <c r="AM242" s="10">
        <f>L242*(1+'Scenario Modelling'!$B$3)</f>
        <v>1055.838</v>
      </c>
      <c r="AN242">
        <f>O242*(1+'Scenario Modelling'!$B$4)</f>
        <v>9.6</v>
      </c>
      <c r="AO242" s="28">
        <f t="shared" si="85"/>
        <v>11621.85072</v>
      </c>
      <c r="AP242" s="10">
        <f t="shared" si="86"/>
        <v>1485.80592</v>
      </c>
    </row>
    <row r="243" spans="1:42">
      <c r="A243" t="s">
        <v>747</v>
      </c>
      <c r="B243" s="7">
        <v>45871</v>
      </c>
      <c r="C243" s="7">
        <v>45877</v>
      </c>
      <c r="D243" t="s">
        <v>206</v>
      </c>
      <c r="E243" t="s">
        <v>207</v>
      </c>
      <c r="F243" t="s">
        <v>208</v>
      </c>
      <c r="G243" t="s">
        <v>209</v>
      </c>
      <c r="H243" t="s">
        <v>259</v>
      </c>
      <c r="I243" t="s">
        <v>287</v>
      </c>
      <c r="J243" t="s">
        <v>218</v>
      </c>
      <c r="K243" t="s">
        <v>748</v>
      </c>
      <c r="L243" s="10">
        <v>1225.94</v>
      </c>
      <c r="M243" s="10">
        <v>1793.08</v>
      </c>
      <c r="N243" s="17">
        <v>0.136</v>
      </c>
      <c r="O243">
        <v>22</v>
      </c>
      <c r="P243" t="str">
        <f t="shared" si="67"/>
        <v>Valid</v>
      </c>
      <c r="Q243" s="10">
        <f t="shared" si="68"/>
        <v>1793.08</v>
      </c>
      <c r="R243" t="b">
        <f t="shared" si="69"/>
        <v>0</v>
      </c>
      <c r="S243" s="17">
        <f t="shared" si="70"/>
        <v>0.136</v>
      </c>
      <c r="T243">
        <f t="shared" si="71"/>
        <v>6</v>
      </c>
      <c r="U243" s="26">
        <f t="shared" si="72"/>
        <v>45877</v>
      </c>
      <c r="V243">
        <f t="shared" si="73"/>
        <v>6</v>
      </c>
      <c r="W243" s="10">
        <f t="shared" si="74"/>
        <v>3939411.10464</v>
      </c>
      <c r="X243" s="10">
        <f t="shared" si="75"/>
        <v>39447.76</v>
      </c>
      <c r="Y243" s="10">
        <f t="shared" si="76"/>
        <v>3899963.34464</v>
      </c>
      <c r="Z243" s="14">
        <f t="shared" si="80"/>
        <v>0.989986381478811</v>
      </c>
      <c r="AA243" t="s">
        <v>1590</v>
      </c>
      <c r="AB243" t="str">
        <f t="shared" si="77"/>
        <v>Q3-2025</v>
      </c>
      <c r="AC243" t="str">
        <f t="shared" si="78"/>
        <v>Asia → Japan → Osaka</v>
      </c>
      <c r="AD243" t="str">
        <f t="shared" si="79"/>
        <v>Devices</v>
      </c>
      <c r="AE243" s="8" t="str">
        <f t="shared" si="66"/>
        <v>High</v>
      </c>
      <c r="AF243" t="str">
        <f t="shared" si="81"/>
        <v>JAPAN</v>
      </c>
      <c r="AG243" s="7">
        <v>44988</v>
      </c>
      <c r="AH243" t="str">
        <f t="shared" si="82"/>
        <v>Mar-2023</v>
      </c>
      <c r="AI243" s="9">
        <f t="shared" si="83"/>
        <v>45900</v>
      </c>
      <c r="AJ243">
        <f t="shared" si="87"/>
        <v>1</v>
      </c>
      <c r="AK243">
        <f t="shared" si="84"/>
        <v>0</v>
      </c>
      <c r="AL243" s="17">
        <f>MIN(N243,'Scenario Modelling'!$B$2)</f>
        <v>0.136</v>
      </c>
      <c r="AM243" s="10">
        <f>L243*(1+'Scenario Modelling'!$B$3)</f>
        <v>1409.831</v>
      </c>
      <c r="AN243">
        <f>O243*(1+'Scenario Modelling'!$B$4)</f>
        <v>26.4</v>
      </c>
      <c r="AO243" s="28">
        <f t="shared" si="85"/>
        <v>40899.437568</v>
      </c>
      <c r="AP243" s="10">
        <f t="shared" si="86"/>
        <v>3679.899168</v>
      </c>
    </row>
    <row r="244" spans="1:42">
      <c r="A244" t="s">
        <v>749</v>
      </c>
      <c r="B244" s="7">
        <v>45630</v>
      </c>
      <c r="C244" s="7">
        <v>45638</v>
      </c>
      <c r="D244" t="s">
        <v>239</v>
      </c>
      <c r="E244" t="s">
        <v>240</v>
      </c>
      <c r="F244" t="s">
        <v>496</v>
      </c>
      <c r="G244" t="s">
        <v>266</v>
      </c>
      <c r="H244" t="s">
        <v>201</v>
      </c>
      <c r="I244" t="s">
        <v>217</v>
      </c>
      <c r="J244" t="s">
        <v>191</v>
      </c>
      <c r="K244" t="s">
        <v>750</v>
      </c>
      <c r="L244" s="10">
        <v>72.06</v>
      </c>
      <c r="M244" s="10">
        <v>122.74</v>
      </c>
      <c r="N244" s="17">
        <v>0.238</v>
      </c>
      <c r="O244">
        <v>8</v>
      </c>
      <c r="P244" t="str">
        <f t="shared" si="67"/>
        <v>Valid</v>
      </c>
      <c r="Q244" s="10">
        <f t="shared" si="68"/>
        <v>122.74</v>
      </c>
      <c r="R244" t="b">
        <f t="shared" si="69"/>
        <v>0</v>
      </c>
      <c r="S244" s="17">
        <f t="shared" si="70"/>
        <v>0.238</v>
      </c>
      <c r="T244">
        <f t="shared" si="71"/>
        <v>8</v>
      </c>
      <c r="U244" s="26">
        <f t="shared" si="72"/>
        <v>45638</v>
      </c>
      <c r="V244">
        <f t="shared" si="73"/>
        <v>8</v>
      </c>
      <c r="W244" s="10">
        <f t="shared" si="74"/>
        <v>97958.30304</v>
      </c>
      <c r="X244" s="10">
        <f t="shared" si="75"/>
        <v>981.92</v>
      </c>
      <c r="Y244" s="10">
        <f t="shared" si="76"/>
        <v>96976.38304</v>
      </c>
      <c r="Z244" s="14">
        <f t="shared" si="80"/>
        <v>0.989976143220866</v>
      </c>
      <c r="AA244" t="s">
        <v>1565</v>
      </c>
      <c r="AB244" t="str">
        <f t="shared" si="77"/>
        <v>Q4-2024</v>
      </c>
      <c r="AC244" t="str">
        <f t="shared" si="78"/>
        <v>Europe → Germany → Frankfurt</v>
      </c>
      <c r="AD244" t="str">
        <f t="shared" si="79"/>
        <v>Peripherals</v>
      </c>
      <c r="AE244" s="8" t="str">
        <f t="shared" si="66"/>
        <v>High</v>
      </c>
      <c r="AF244" t="str">
        <f t="shared" si="81"/>
        <v>GERMANY</v>
      </c>
      <c r="AG244" s="7">
        <v>44948</v>
      </c>
      <c r="AH244" t="str">
        <f t="shared" si="82"/>
        <v>Jan-2023</v>
      </c>
      <c r="AI244" s="9">
        <f t="shared" si="83"/>
        <v>45657</v>
      </c>
      <c r="AJ244">
        <f t="shared" si="87"/>
        <v>0</v>
      </c>
      <c r="AK244">
        <f t="shared" si="84"/>
        <v>1</v>
      </c>
      <c r="AL244" s="17">
        <f>MIN(N244,'Scenario Modelling'!$B$2)</f>
        <v>0.238</v>
      </c>
      <c r="AM244" s="10">
        <f>L244*(1+'Scenario Modelling'!$B$3)</f>
        <v>82.869</v>
      </c>
      <c r="AN244">
        <f>O244*(1+'Scenario Modelling'!$B$4)</f>
        <v>9.6</v>
      </c>
      <c r="AO244" s="28">
        <f t="shared" si="85"/>
        <v>897.867648</v>
      </c>
      <c r="AP244" s="10">
        <f t="shared" si="86"/>
        <v>102.325248</v>
      </c>
    </row>
    <row r="245" spans="1:42">
      <c r="A245" t="s">
        <v>751</v>
      </c>
      <c r="B245" s="7">
        <v>45035</v>
      </c>
      <c r="C245" s="7">
        <v>45044</v>
      </c>
      <c r="D245" t="s">
        <v>213</v>
      </c>
      <c r="E245" t="s">
        <v>234</v>
      </c>
      <c r="F245" t="s">
        <v>386</v>
      </c>
      <c r="G245" t="s">
        <v>180</v>
      </c>
      <c r="H245" t="s">
        <v>216</v>
      </c>
      <c r="I245" t="s">
        <v>271</v>
      </c>
      <c r="J245" t="s">
        <v>203</v>
      </c>
      <c r="K245" t="s">
        <v>752</v>
      </c>
      <c r="L245" s="10">
        <v>1013.54</v>
      </c>
      <c r="M245" s="10">
        <v>927.93</v>
      </c>
      <c r="N245" s="17">
        <v>0.175</v>
      </c>
      <c r="O245">
        <v>16</v>
      </c>
      <c r="P245" t="str">
        <f t="shared" si="67"/>
        <v>Valid</v>
      </c>
      <c r="Q245" s="10">
        <f t="shared" si="68"/>
        <v>927.93</v>
      </c>
      <c r="R245" t="b">
        <f t="shared" si="69"/>
        <v>0</v>
      </c>
      <c r="S245" s="17">
        <f t="shared" si="70"/>
        <v>0.175</v>
      </c>
      <c r="T245">
        <f t="shared" si="71"/>
        <v>9</v>
      </c>
      <c r="U245" s="26">
        <f t="shared" si="72"/>
        <v>45044</v>
      </c>
      <c r="V245">
        <f t="shared" si="73"/>
        <v>9</v>
      </c>
      <c r="W245" s="10">
        <f t="shared" si="74"/>
        <v>1482089.796</v>
      </c>
      <c r="X245" s="10">
        <f t="shared" si="75"/>
        <v>14846.88</v>
      </c>
      <c r="Y245" s="10">
        <f t="shared" si="76"/>
        <v>1467242.916</v>
      </c>
      <c r="Z245" s="14">
        <f t="shared" si="80"/>
        <v>0.989982469321312</v>
      </c>
      <c r="AA245" t="s">
        <v>1571</v>
      </c>
      <c r="AB245" t="str">
        <f t="shared" si="77"/>
        <v>Q2-2023</v>
      </c>
      <c r="AC245" t="str">
        <f t="shared" si="78"/>
        <v>Americas → Brazil → Rio de Janeiro</v>
      </c>
      <c r="AD245" t="str">
        <f t="shared" si="79"/>
        <v>Devices</v>
      </c>
      <c r="AE245" s="8" t="str">
        <f t="shared" si="66"/>
        <v>Low</v>
      </c>
      <c r="AF245" t="str">
        <f t="shared" si="81"/>
        <v>BRAZIL</v>
      </c>
      <c r="AG245" s="7">
        <v>44955</v>
      </c>
      <c r="AH245" t="str">
        <f t="shared" si="82"/>
        <v>Jan-2023</v>
      </c>
      <c r="AI245" s="9">
        <f t="shared" si="83"/>
        <v>45046</v>
      </c>
      <c r="AJ245">
        <f t="shared" si="87"/>
        <v>0</v>
      </c>
      <c r="AK245">
        <f t="shared" si="84"/>
        <v>0</v>
      </c>
      <c r="AL245" s="17">
        <f>MIN(N245,'Scenario Modelling'!$B$2)</f>
        <v>0.175</v>
      </c>
      <c r="AM245" s="10">
        <f>L245*(1+'Scenario Modelling'!$B$3)</f>
        <v>1165.571</v>
      </c>
      <c r="AN245">
        <f>O245*(1+'Scenario Modelling'!$B$4)</f>
        <v>19.2</v>
      </c>
      <c r="AO245" s="28">
        <f t="shared" si="85"/>
        <v>14698.4112</v>
      </c>
      <c r="AP245" s="10">
        <f t="shared" si="86"/>
        <v>-7680.552</v>
      </c>
    </row>
    <row r="246" spans="1:42">
      <c r="A246" t="s">
        <v>753</v>
      </c>
      <c r="B246" s="7">
        <v>45357</v>
      </c>
      <c r="C246" s="7">
        <v>45377</v>
      </c>
      <c r="D246" t="s">
        <v>177</v>
      </c>
      <c r="E246" t="s">
        <v>186</v>
      </c>
      <c r="F246" t="s">
        <v>187</v>
      </c>
      <c r="G246" t="s">
        <v>209</v>
      </c>
      <c r="H246" t="s">
        <v>201</v>
      </c>
      <c r="I246" t="s">
        <v>195</v>
      </c>
      <c r="J246" t="s">
        <v>203</v>
      </c>
      <c r="K246" t="s">
        <v>754</v>
      </c>
      <c r="L246" s="10">
        <v>65.64</v>
      </c>
      <c r="M246" s="10">
        <v>151.88</v>
      </c>
      <c r="N246" s="17">
        <v>0.167</v>
      </c>
      <c r="O246">
        <v>23</v>
      </c>
      <c r="P246" t="str">
        <f t="shared" si="67"/>
        <v>Valid</v>
      </c>
      <c r="Q246" s="10">
        <f t="shared" si="68"/>
        <v>151.88</v>
      </c>
      <c r="R246" t="b">
        <f t="shared" si="69"/>
        <v>0</v>
      </c>
      <c r="S246" s="17">
        <f t="shared" si="70"/>
        <v>0.167</v>
      </c>
      <c r="T246">
        <f t="shared" si="71"/>
        <v>20</v>
      </c>
      <c r="U246" s="26">
        <f t="shared" si="72"/>
        <v>45377</v>
      </c>
      <c r="V246">
        <f t="shared" si="73"/>
        <v>20</v>
      </c>
      <c r="W246" s="10">
        <f t="shared" si="74"/>
        <v>348740.62892</v>
      </c>
      <c r="X246" s="10">
        <f t="shared" si="75"/>
        <v>3493.24</v>
      </c>
      <c r="Y246" s="10">
        <f t="shared" si="76"/>
        <v>345247.38892</v>
      </c>
      <c r="Z246" s="14">
        <f t="shared" si="80"/>
        <v>0.989983272064347</v>
      </c>
      <c r="AA246" t="s">
        <v>1560</v>
      </c>
      <c r="AB246" t="str">
        <f t="shared" si="77"/>
        <v>Q1-2024</v>
      </c>
      <c r="AC246" t="str">
        <f t="shared" si="78"/>
        <v>Africa → Nigeria → Port Harcourt</v>
      </c>
      <c r="AD246" t="str">
        <f t="shared" si="79"/>
        <v>Devices</v>
      </c>
      <c r="AE246" s="8" t="str">
        <f t="shared" ref="AE246:AE309" si="88">IF(B246&lt;=PERCENTILE($B$2:$B$632,0.33),"Low",IF(B246&lt;=PERCENTILE($B$2:$B$632,0.66),"Medium","High"))</f>
        <v>Medium</v>
      </c>
      <c r="AF246" t="str">
        <f t="shared" si="81"/>
        <v>NIGERIA</v>
      </c>
      <c r="AG246" s="7">
        <v>44941</v>
      </c>
      <c r="AH246" t="str">
        <f t="shared" si="82"/>
        <v>Jan-2023</v>
      </c>
      <c r="AI246" s="9">
        <f t="shared" si="83"/>
        <v>45382</v>
      </c>
      <c r="AJ246">
        <f t="shared" si="87"/>
        <v>0</v>
      </c>
      <c r="AK246">
        <f t="shared" si="84"/>
        <v>0</v>
      </c>
      <c r="AL246" s="17">
        <f>MIN(N246,'Scenario Modelling'!$B$2)</f>
        <v>0.167</v>
      </c>
      <c r="AM246" s="10">
        <f>L246*(1+'Scenario Modelling'!$B$3)</f>
        <v>75.486</v>
      </c>
      <c r="AN246">
        <f>O246*(1+'Scenario Modelling'!$B$4)</f>
        <v>27.6</v>
      </c>
      <c r="AO246" s="28">
        <f t="shared" si="85"/>
        <v>3491.842704</v>
      </c>
      <c r="AP246" s="10">
        <f t="shared" si="86"/>
        <v>1408.429104</v>
      </c>
    </row>
    <row r="247" spans="1:42">
      <c r="A247" t="s">
        <v>755</v>
      </c>
      <c r="B247" s="7">
        <v>45338</v>
      </c>
      <c r="C247" s="7">
        <v>45355</v>
      </c>
      <c r="D247" t="s">
        <v>213</v>
      </c>
      <c r="E247" t="s">
        <v>214</v>
      </c>
      <c r="F247" t="s">
        <v>305</v>
      </c>
      <c r="G247" t="s">
        <v>200</v>
      </c>
      <c r="H247" t="s">
        <v>181</v>
      </c>
      <c r="I247" t="s">
        <v>306</v>
      </c>
      <c r="J247" t="s">
        <v>218</v>
      </c>
      <c r="K247" t="s">
        <v>756</v>
      </c>
      <c r="L247" s="10">
        <v>1350.98</v>
      </c>
      <c r="M247" s="10">
        <v>2210.4</v>
      </c>
      <c r="N247" s="17">
        <v>0.263</v>
      </c>
      <c r="O247">
        <v>6</v>
      </c>
      <c r="P247" t="str">
        <f t="shared" si="67"/>
        <v>Valid</v>
      </c>
      <c r="Q247" s="10">
        <f t="shared" si="68"/>
        <v>2210.4</v>
      </c>
      <c r="R247" t="b">
        <f t="shared" si="69"/>
        <v>0</v>
      </c>
      <c r="S247" s="17">
        <f t="shared" si="70"/>
        <v>0.263</v>
      </c>
      <c r="T247">
        <f t="shared" si="71"/>
        <v>17</v>
      </c>
      <c r="U247" s="26">
        <f t="shared" si="72"/>
        <v>45355</v>
      </c>
      <c r="V247">
        <f t="shared" si="73"/>
        <v>17</v>
      </c>
      <c r="W247" s="10">
        <f t="shared" si="74"/>
        <v>1322751.9888</v>
      </c>
      <c r="X247" s="10">
        <f t="shared" si="75"/>
        <v>13262.4</v>
      </c>
      <c r="Y247" s="10">
        <f t="shared" si="76"/>
        <v>1309489.5888</v>
      </c>
      <c r="Z247" s="14">
        <f t="shared" si="80"/>
        <v>0.989973630648606</v>
      </c>
      <c r="AA247" t="s">
        <v>1594</v>
      </c>
      <c r="AB247" t="str">
        <f t="shared" si="77"/>
        <v>Q1-2024</v>
      </c>
      <c r="AC247" t="str">
        <f t="shared" si="78"/>
        <v>Americas → Canada → Montreal</v>
      </c>
      <c r="AD247" t="str">
        <f t="shared" si="79"/>
        <v>Devices</v>
      </c>
      <c r="AE247" s="8" t="str">
        <f t="shared" si="88"/>
        <v>Medium</v>
      </c>
      <c r="AF247" t="str">
        <f t="shared" si="81"/>
        <v>CANADA</v>
      </c>
      <c r="AG247" s="7">
        <v>44928</v>
      </c>
      <c r="AH247" t="str">
        <f t="shared" si="82"/>
        <v>Jan-2023</v>
      </c>
      <c r="AI247" s="9">
        <f t="shared" si="83"/>
        <v>45351</v>
      </c>
      <c r="AJ247">
        <f t="shared" si="87"/>
        <v>0</v>
      </c>
      <c r="AK247">
        <f t="shared" si="84"/>
        <v>1</v>
      </c>
      <c r="AL247" s="17">
        <f>MIN(N247,'Scenario Modelling'!$B$2)</f>
        <v>0.25</v>
      </c>
      <c r="AM247" s="10">
        <f>L247*(1+'Scenario Modelling'!$B$3)</f>
        <v>1553.627</v>
      </c>
      <c r="AN247">
        <f>O247*(1+'Scenario Modelling'!$B$4)</f>
        <v>7.2</v>
      </c>
      <c r="AO247" s="28">
        <f t="shared" si="85"/>
        <v>11936.16</v>
      </c>
      <c r="AP247" s="10">
        <f t="shared" si="86"/>
        <v>750.045600000002</v>
      </c>
    </row>
    <row r="248" spans="1:42">
      <c r="A248" t="s">
        <v>757</v>
      </c>
      <c r="B248" s="7">
        <v>45769</v>
      </c>
      <c r="C248" s="7">
        <v>45779</v>
      </c>
      <c r="D248" t="s">
        <v>239</v>
      </c>
      <c r="E248" t="s">
        <v>240</v>
      </c>
      <c r="F248" t="s">
        <v>241</v>
      </c>
      <c r="G248" t="s">
        <v>180</v>
      </c>
      <c r="H248" t="s">
        <v>201</v>
      </c>
      <c r="I248" t="s">
        <v>182</v>
      </c>
      <c r="J248" t="s">
        <v>225</v>
      </c>
      <c r="K248" t="s">
        <v>758</v>
      </c>
      <c r="L248" s="10">
        <v>20.15</v>
      </c>
      <c r="M248" s="10">
        <v>39.74</v>
      </c>
      <c r="N248" s="17">
        <v>0.151</v>
      </c>
      <c r="O248">
        <v>18</v>
      </c>
      <c r="P248" t="str">
        <f t="shared" si="67"/>
        <v>Valid</v>
      </c>
      <c r="Q248" s="10">
        <f t="shared" si="68"/>
        <v>39.74</v>
      </c>
      <c r="R248" t="b">
        <f t="shared" si="69"/>
        <v>0</v>
      </c>
      <c r="S248" s="17">
        <f t="shared" si="70"/>
        <v>0.151</v>
      </c>
      <c r="T248">
        <f t="shared" si="71"/>
        <v>10</v>
      </c>
      <c r="U248" s="26">
        <f t="shared" si="72"/>
        <v>45779</v>
      </c>
      <c r="V248">
        <f t="shared" si="73"/>
        <v>10</v>
      </c>
      <c r="W248" s="10">
        <f t="shared" si="74"/>
        <v>71423.98668</v>
      </c>
      <c r="X248" s="10">
        <f t="shared" si="75"/>
        <v>715.32</v>
      </c>
      <c r="Y248" s="10">
        <f t="shared" si="76"/>
        <v>70708.66668</v>
      </c>
      <c r="Z248" s="14">
        <f t="shared" si="80"/>
        <v>0.989984877164518</v>
      </c>
      <c r="AA248" t="s">
        <v>1578</v>
      </c>
      <c r="AB248" t="str">
        <f t="shared" si="77"/>
        <v>Q2-2025</v>
      </c>
      <c r="AC248" t="str">
        <f t="shared" si="78"/>
        <v>Europe → Germany → Berlin</v>
      </c>
      <c r="AD248" t="str">
        <f t="shared" si="79"/>
        <v>Peripherals</v>
      </c>
      <c r="AE248" s="8" t="str">
        <f t="shared" si="88"/>
        <v>High</v>
      </c>
      <c r="AF248" t="str">
        <f t="shared" si="81"/>
        <v>GERMANY</v>
      </c>
      <c r="AG248" s="7">
        <v>44948</v>
      </c>
      <c r="AH248" t="str">
        <f t="shared" si="82"/>
        <v>Jan-2023</v>
      </c>
      <c r="AI248" s="9">
        <f t="shared" si="83"/>
        <v>45777</v>
      </c>
      <c r="AJ248">
        <f t="shared" si="87"/>
        <v>0</v>
      </c>
      <c r="AK248">
        <f t="shared" si="84"/>
        <v>0</v>
      </c>
      <c r="AL248" s="17">
        <f>MIN(N248,'Scenario Modelling'!$B$2)</f>
        <v>0.151</v>
      </c>
      <c r="AM248" s="10">
        <f>L248*(1+'Scenario Modelling'!$B$3)</f>
        <v>23.1725</v>
      </c>
      <c r="AN248">
        <f>O248*(1+'Scenario Modelling'!$B$4)</f>
        <v>21.6</v>
      </c>
      <c r="AO248" s="28">
        <f t="shared" si="85"/>
        <v>728.768016</v>
      </c>
      <c r="AP248" s="10">
        <f t="shared" si="86"/>
        <v>228.242016</v>
      </c>
    </row>
    <row r="249" spans="1:42">
      <c r="A249" t="s">
        <v>759</v>
      </c>
      <c r="B249" s="7">
        <v>45604</v>
      </c>
      <c r="C249" s="7">
        <v>45604</v>
      </c>
      <c r="D249" t="s">
        <v>177</v>
      </c>
      <c r="E249" t="s">
        <v>178</v>
      </c>
      <c r="F249" t="s">
        <v>296</v>
      </c>
      <c r="G249" t="s">
        <v>266</v>
      </c>
      <c r="H249" t="s">
        <v>201</v>
      </c>
      <c r="I249" t="s">
        <v>271</v>
      </c>
      <c r="J249" t="s">
        <v>196</v>
      </c>
      <c r="K249" t="s">
        <v>760</v>
      </c>
      <c r="L249" s="10">
        <v>803.28</v>
      </c>
      <c r="M249" s="10">
        <v>1009</v>
      </c>
      <c r="N249" s="17">
        <v>0.11</v>
      </c>
      <c r="O249">
        <v>4</v>
      </c>
      <c r="P249" t="str">
        <f t="shared" si="67"/>
        <v>Valid</v>
      </c>
      <c r="Q249" s="10">
        <f t="shared" si="68"/>
        <v>1009</v>
      </c>
      <c r="R249" t="b">
        <f t="shared" si="69"/>
        <v>0</v>
      </c>
      <c r="S249" s="17">
        <f t="shared" si="70"/>
        <v>0.11</v>
      </c>
      <c r="T249">
        <f t="shared" si="71"/>
        <v>0</v>
      </c>
      <c r="U249" s="26">
        <f t="shared" si="72"/>
        <v>45604</v>
      </c>
      <c r="V249">
        <f t="shared" si="73"/>
        <v>0</v>
      </c>
      <c r="W249" s="10">
        <f t="shared" si="74"/>
        <v>403156.04</v>
      </c>
      <c r="X249" s="10">
        <f t="shared" si="75"/>
        <v>4036</v>
      </c>
      <c r="Y249" s="10">
        <f t="shared" si="76"/>
        <v>399120.04</v>
      </c>
      <c r="Z249" s="14">
        <f t="shared" si="80"/>
        <v>0.989988987886675</v>
      </c>
      <c r="AA249" t="s">
        <v>1577</v>
      </c>
      <c r="AB249" t="str">
        <f t="shared" si="77"/>
        <v>Q4-2024</v>
      </c>
      <c r="AC249" t="str">
        <f t="shared" si="78"/>
        <v>Africa → Kenya → Nakuru</v>
      </c>
      <c r="AD249" t="str">
        <f t="shared" si="79"/>
        <v>Support</v>
      </c>
      <c r="AE249" s="8" t="str">
        <f t="shared" si="88"/>
        <v>High</v>
      </c>
      <c r="AF249" t="str">
        <f t="shared" si="81"/>
        <v>KENYA</v>
      </c>
      <c r="AG249" s="7">
        <v>44946</v>
      </c>
      <c r="AH249" t="str">
        <f t="shared" si="82"/>
        <v>Jan-2023</v>
      </c>
      <c r="AI249" s="9">
        <f t="shared" si="83"/>
        <v>45626</v>
      </c>
      <c r="AJ249">
        <f t="shared" si="87"/>
        <v>1</v>
      </c>
      <c r="AK249">
        <f t="shared" si="84"/>
        <v>0</v>
      </c>
      <c r="AL249" s="17">
        <f>MIN(N249,'Scenario Modelling'!$B$2)</f>
        <v>0.11</v>
      </c>
      <c r="AM249" s="10">
        <f>L249*(1+'Scenario Modelling'!$B$3)</f>
        <v>923.772</v>
      </c>
      <c r="AN249">
        <f>O249*(1+'Scenario Modelling'!$B$4)</f>
        <v>4.8</v>
      </c>
      <c r="AO249" s="28">
        <f t="shared" si="85"/>
        <v>4310.448</v>
      </c>
      <c r="AP249" s="10">
        <f t="shared" si="86"/>
        <v>-123.6576</v>
      </c>
    </row>
    <row r="250" spans="1:42">
      <c r="A250" t="s">
        <v>761</v>
      </c>
      <c r="B250" s="7">
        <v>45912</v>
      </c>
      <c r="C250" s="7">
        <v>45930</v>
      </c>
      <c r="D250" t="s">
        <v>206</v>
      </c>
      <c r="E250" t="s">
        <v>207</v>
      </c>
      <c r="F250" t="s">
        <v>392</v>
      </c>
      <c r="G250" t="s">
        <v>200</v>
      </c>
      <c r="H250" t="s">
        <v>201</v>
      </c>
      <c r="I250" t="s">
        <v>245</v>
      </c>
      <c r="J250" t="s">
        <v>225</v>
      </c>
      <c r="K250" t="s">
        <v>762</v>
      </c>
      <c r="L250" s="10">
        <v>1212.99</v>
      </c>
      <c r="M250" s="10">
        <v>1653.64</v>
      </c>
      <c r="N250" s="17">
        <v>0.107</v>
      </c>
      <c r="O250">
        <v>8</v>
      </c>
      <c r="P250" t="str">
        <f t="shared" si="67"/>
        <v>Valid</v>
      </c>
      <c r="Q250" s="10">
        <f t="shared" si="68"/>
        <v>1653.64</v>
      </c>
      <c r="R250" t="b">
        <f t="shared" si="69"/>
        <v>0</v>
      </c>
      <c r="S250" s="17">
        <f t="shared" si="70"/>
        <v>0.107</v>
      </c>
      <c r="T250">
        <f t="shared" si="71"/>
        <v>18</v>
      </c>
      <c r="U250" s="26">
        <f t="shared" si="72"/>
        <v>45930</v>
      </c>
      <c r="V250">
        <f t="shared" si="73"/>
        <v>18</v>
      </c>
      <c r="W250" s="10">
        <f t="shared" si="74"/>
        <v>1321496.48416</v>
      </c>
      <c r="X250" s="10">
        <f t="shared" si="75"/>
        <v>13229.12</v>
      </c>
      <c r="Y250" s="10">
        <f t="shared" si="76"/>
        <v>1308267.36416</v>
      </c>
      <c r="Z250" s="14">
        <f t="shared" si="80"/>
        <v>0.989989288538736</v>
      </c>
      <c r="AA250" t="s">
        <v>1570</v>
      </c>
      <c r="AB250" t="str">
        <f t="shared" si="77"/>
        <v>Q3-2025</v>
      </c>
      <c r="AC250" t="str">
        <f t="shared" si="78"/>
        <v>Asia → Japan → Nagoya</v>
      </c>
      <c r="AD250" t="str">
        <f t="shared" si="79"/>
        <v>Peripherals</v>
      </c>
      <c r="AE250" s="8" t="str">
        <f t="shared" si="88"/>
        <v>High</v>
      </c>
      <c r="AF250" t="str">
        <f t="shared" si="81"/>
        <v>JAPAN</v>
      </c>
      <c r="AG250" s="7">
        <v>44988</v>
      </c>
      <c r="AH250" t="str">
        <f t="shared" si="82"/>
        <v>Mar-2023</v>
      </c>
      <c r="AI250" s="9">
        <f t="shared" si="83"/>
        <v>45930</v>
      </c>
      <c r="AJ250">
        <f t="shared" si="87"/>
        <v>0</v>
      </c>
      <c r="AK250">
        <f t="shared" si="84"/>
        <v>0</v>
      </c>
      <c r="AL250" s="17">
        <f>MIN(N250,'Scenario Modelling'!$B$2)</f>
        <v>0.107</v>
      </c>
      <c r="AM250" s="10">
        <f>L250*(1+'Scenario Modelling'!$B$3)</f>
        <v>1394.9385</v>
      </c>
      <c r="AN250">
        <f>O250*(1+'Scenario Modelling'!$B$4)</f>
        <v>9.6</v>
      </c>
      <c r="AO250" s="28">
        <f t="shared" si="85"/>
        <v>14176.324992</v>
      </c>
      <c r="AP250" s="10">
        <f t="shared" si="86"/>
        <v>784.915392000001</v>
      </c>
    </row>
    <row r="251" spans="1:42">
      <c r="A251" t="s">
        <v>763</v>
      </c>
      <c r="B251" s="7">
        <v>45537</v>
      </c>
      <c r="C251" s="7">
        <v>45543</v>
      </c>
      <c r="D251" t="s">
        <v>213</v>
      </c>
      <c r="E251" t="s">
        <v>283</v>
      </c>
      <c r="F251" t="s">
        <v>487</v>
      </c>
      <c r="G251" t="s">
        <v>209</v>
      </c>
      <c r="H251" t="s">
        <v>259</v>
      </c>
      <c r="I251" t="s">
        <v>253</v>
      </c>
      <c r="J251" t="s">
        <v>183</v>
      </c>
      <c r="K251" t="s">
        <v>764</v>
      </c>
      <c r="L251" s="10">
        <v>462.94</v>
      </c>
      <c r="M251" s="10">
        <v>1015.7</v>
      </c>
      <c r="N251" s="17">
        <v>0.143</v>
      </c>
      <c r="O251">
        <v>14</v>
      </c>
      <c r="P251" t="str">
        <f t="shared" si="67"/>
        <v>Valid</v>
      </c>
      <c r="Q251" s="10">
        <f t="shared" si="68"/>
        <v>1015.7</v>
      </c>
      <c r="R251" t="b">
        <f t="shared" si="69"/>
        <v>0</v>
      </c>
      <c r="S251" s="17">
        <f t="shared" si="70"/>
        <v>0.143</v>
      </c>
      <c r="T251">
        <f t="shared" si="71"/>
        <v>6</v>
      </c>
      <c r="U251" s="26">
        <f t="shared" si="72"/>
        <v>45543</v>
      </c>
      <c r="V251">
        <f t="shared" si="73"/>
        <v>6</v>
      </c>
      <c r="W251" s="10">
        <f t="shared" si="74"/>
        <v>1419946.5686</v>
      </c>
      <c r="X251" s="10">
        <f t="shared" si="75"/>
        <v>14219.8</v>
      </c>
      <c r="Y251" s="10">
        <f t="shared" si="76"/>
        <v>1405726.7686</v>
      </c>
      <c r="Z251" s="14">
        <f t="shared" si="80"/>
        <v>0.989985679521716</v>
      </c>
      <c r="AA251" t="s">
        <v>1592</v>
      </c>
      <c r="AB251" t="str">
        <f t="shared" si="77"/>
        <v>Q3-2024</v>
      </c>
      <c r="AC251" t="str">
        <f t="shared" si="78"/>
        <v>Americas → USA → Austin</v>
      </c>
      <c r="AD251" t="str">
        <f t="shared" si="79"/>
        <v>Support</v>
      </c>
      <c r="AE251" s="8" t="str">
        <f t="shared" si="88"/>
        <v>Medium</v>
      </c>
      <c r="AF251" t="str">
        <f t="shared" si="81"/>
        <v>USA</v>
      </c>
      <c r="AG251" s="7">
        <v>44939</v>
      </c>
      <c r="AH251" t="str">
        <f t="shared" si="82"/>
        <v>Jan-2023</v>
      </c>
      <c r="AI251" s="9">
        <f t="shared" si="83"/>
        <v>45565</v>
      </c>
      <c r="AJ251">
        <f t="shared" si="87"/>
        <v>1</v>
      </c>
      <c r="AK251">
        <f t="shared" si="84"/>
        <v>0</v>
      </c>
      <c r="AL251" s="17">
        <f>MIN(N251,'Scenario Modelling'!$B$2)</f>
        <v>0.143</v>
      </c>
      <c r="AM251" s="10">
        <f>L251*(1+'Scenario Modelling'!$B$3)</f>
        <v>532.381</v>
      </c>
      <c r="AN251">
        <f>O251*(1+'Scenario Modelling'!$B$4)</f>
        <v>16.8</v>
      </c>
      <c r="AO251" s="28">
        <f t="shared" si="85"/>
        <v>14623.64232</v>
      </c>
      <c r="AP251" s="10">
        <f t="shared" si="86"/>
        <v>5679.64152</v>
      </c>
    </row>
    <row r="252" spans="1:42">
      <c r="A252" t="s">
        <v>765</v>
      </c>
      <c r="B252" s="7">
        <v>44989</v>
      </c>
      <c r="C252" s="7">
        <v>45009</v>
      </c>
      <c r="D252" t="s">
        <v>213</v>
      </c>
      <c r="E252" t="s">
        <v>214</v>
      </c>
      <c r="F252" t="s">
        <v>305</v>
      </c>
      <c r="G252" t="s">
        <v>209</v>
      </c>
      <c r="H252" t="s">
        <v>216</v>
      </c>
      <c r="I252" t="s">
        <v>195</v>
      </c>
      <c r="J252" t="s">
        <v>218</v>
      </c>
      <c r="K252" t="s">
        <v>766</v>
      </c>
      <c r="L252" s="10">
        <v>481.71</v>
      </c>
      <c r="M252" s="10">
        <v>912.45</v>
      </c>
      <c r="N252" s="17">
        <v>0.203</v>
      </c>
      <c r="O252">
        <v>24</v>
      </c>
      <c r="P252" t="str">
        <f t="shared" si="67"/>
        <v>Valid</v>
      </c>
      <c r="Q252" s="10">
        <f t="shared" si="68"/>
        <v>912.45</v>
      </c>
      <c r="R252" t="b">
        <f t="shared" si="69"/>
        <v>0</v>
      </c>
      <c r="S252" s="17">
        <f t="shared" si="70"/>
        <v>0.203</v>
      </c>
      <c r="T252">
        <f t="shared" si="71"/>
        <v>20</v>
      </c>
      <c r="U252" s="26">
        <f t="shared" si="72"/>
        <v>45009</v>
      </c>
      <c r="V252">
        <f t="shared" si="73"/>
        <v>20</v>
      </c>
      <c r="W252" s="10">
        <f t="shared" si="74"/>
        <v>2185434.5436</v>
      </c>
      <c r="X252" s="10">
        <f t="shared" si="75"/>
        <v>21898.8</v>
      </c>
      <c r="Y252" s="10">
        <f t="shared" si="76"/>
        <v>2163535.7436</v>
      </c>
      <c r="Z252" s="14">
        <f t="shared" si="80"/>
        <v>0.989979658707176</v>
      </c>
      <c r="AA252" t="s">
        <v>1582</v>
      </c>
      <c r="AB252" t="str">
        <f t="shared" si="77"/>
        <v>Q1-2023</v>
      </c>
      <c r="AC252" t="str">
        <f t="shared" si="78"/>
        <v>Americas → Canada → Montreal</v>
      </c>
      <c r="AD252" t="str">
        <f t="shared" si="79"/>
        <v>Devices</v>
      </c>
      <c r="AE252" s="8" t="str">
        <f t="shared" si="88"/>
        <v>Low</v>
      </c>
      <c r="AF252" t="str">
        <f t="shared" si="81"/>
        <v>CANADA</v>
      </c>
      <c r="AG252" s="7">
        <v>44928</v>
      </c>
      <c r="AH252" t="str">
        <f t="shared" si="82"/>
        <v>Jan-2023</v>
      </c>
      <c r="AI252" s="9">
        <f t="shared" si="83"/>
        <v>45016</v>
      </c>
      <c r="AJ252">
        <f t="shared" si="87"/>
        <v>0</v>
      </c>
      <c r="AK252">
        <f t="shared" si="84"/>
        <v>1</v>
      </c>
      <c r="AL252" s="17">
        <f>MIN(N252,'Scenario Modelling'!$B$2)</f>
        <v>0.203</v>
      </c>
      <c r="AM252" s="10">
        <f>L252*(1+'Scenario Modelling'!$B$3)</f>
        <v>553.9665</v>
      </c>
      <c r="AN252">
        <f>O252*(1+'Scenario Modelling'!$B$4)</f>
        <v>28.8</v>
      </c>
      <c r="AO252" s="28">
        <f t="shared" si="85"/>
        <v>20944.01232</v>
      </c>
      <c r="AP252" s="10">
        <f t="shared" si="86"/>
        <v>4989.77712</v>
      </c>
    </row>
    <row r="253" spans="1:42">
      <c r="A253" t="s">
        <v>767</v>
      </c>
      <c r="B253" s="7">
        <v>45366</v>
      </c>
      <c r="C253" s="7">
        <v>45391</v>
      </c>
      <c r="D253" t="s">
        <v>213</v>
      </c>
      <c r="E253" t="s">
        <v>214</v>
      </c>
      <c r="F253" t="s">
        <v>340</v>
      </c>
      <c r="G253" t="s">
        <v>209</v>
      </c>
      <c r="H253" t="s">
        <v>189</v>
      </c>
      <c r="I253" t="s">
        <v>245</v>
      </c>
      <c r="J253" t="s">
        <v>225</v>
      </c>
      <c r="K253" t="s">
        <v>768</v>
      </c>
      <c r="L253" s="10">
        <v>648.64</v>
      </c>
      <c r="M253" s="10">
        <v>815.19</v>
      </c>
      <c r="N253" s="17">
        <v>0.225</v>
      </c>
      <c r="O253">
        <v>28</v>
      </c>
      <c r="P253" t="str">
        <f t="shared" si="67"/>
        <v>Valid</v>
      </c>
      <c r="Q253" s="10">
        <f t="shared" si="68"/>
        <v>815.19</v>
      </c>
      <c r="R253" t="b">
        <f t="shared" si="69"/>
        <v>0</v>
      </c>
      <c r="S253" s="17">
        <f t="shared" si="70"/>
        <v>0.225</v>
      </c>
      <c r="T253">
        <f t="shared" si="71"/>
        <v>25</v>
      </c>
      <c r="U253" s="26">
        <f t="shared" si="72"/>
        <v>45391</v>
      </c>
      <c r="V253">
        <f t="shared" si="73"/>
        <v>25</v>
      </c>
      <c r="W253" s="10">
        <f t="shared" si="74"/>
        <v>2277396.303</v>
      </c>
      <c r="X253" s="10">
        <f t="shared" si="75"/>
        <v>22825.32</v>
      </c>
      <c r="Y253" s="10">
        <f t="shared" si="76"/>
        <v>2254570.983</v>
      </c>
      <c r="Z253" s="14">
        <f t="shared" si="80"/>
        <v>0.989977449260837</v>
      </c>
      <c r="AA253" t="s">
        <v>1560</v>
      </c>
      <c r="AB253" t="str">
        <f t="shared" si="77"/>
        <v>Q1-2024</v>
      </c>
      <c r="AC253" t="str">
        <f t="shared" si="78"/>
        <v>Americas → Canada → Vancouver</v>
      </c>
      <c r="AD253" t="str">
        <f t="shared" si="79"/>
        <v>Peripherals</v>
      </c>
      <c r="AE253" s="8" t="str">
        <f t="shared" si="88"/>
        <v>Medium</v>
      </c>
      <c r="AF253" t="str">
        <f t="shared" si="81"/>
        <v>CANADA</v>
      </c>
      <c r="AG253" s="7">
        <v>44928</v>
      </c>
      <c r="AH253" t="str">
        <f t="shared" si="82"/>
        <v>Jan-2023</v>
      </c>
      <c r="AI253" s="9">
        <f t="shared" si="83"/>
        <v>45382</v>
      </c>
      <c r="AJ253">
        <f t="shared" si="87"/>
        <v>0</v>
      </c>
      <c r="AK253">
        <f t="shared" si="84"/>
        <v>1</v>
      </c>
      <c r="AL253" s="17">
        <f>MIN(N253,'Scenario Modelling'!$B$2)</f>
        <v>0.225</v>
      </c>
      <c r="AM253" s="10">
        <f>L253*(1+'Scenario Modelling'!$B$3)</f>
        <v>745.936</v>
      </c>
      <c r="AN253">
        <f>O253*(1+'Scenario Modelling'!$B$4)</f>
        <v>33.6</v>
      </c>
      <c r="AO253" s="28">
        <f t="shared" si="85"/>
        <v>21227.5476</v>
      </c>
      <c r="AP253" s="10">
        <f t="shared" si="86"/>
        <v>-3835.90199999999</v>
      </c>
    </row>
    <row r="254" spans="1:42">
      <c r="A254" t="s">
        <v>769</v>
      </c>
      <c r="B254" s="7">
        <v>45502</v>
      </c>
      <c r="C254" s="7">
        <v>45504</v>
      </c>
      <c r="D254" t="s">
        <v>213</v>
      </c>
      <c r="E254" t="s">
        <v>283</v>
      </c>
      <c r="F254" t="s">
        <v>548</v>
      </c>
      <c r="G254" t="s">
        <v>188</v>
      </c>
      <c r="H254" t="s">
        <v>201</v>
      </c>
      <c r="I254" t="s">
        <v>195</v>
      </c>
      <c r="J254" t="s">
        <v>191</v>
      </c>
      <c r="K254" t="s">
        <v>770</v>
      </c>
      <c r="L254" s="10">
        <v>798.97</v>
      </c>
      <c r="M254" s="10">
        <v>1814.06</v>
      </c>
      <c r="N254" s="17">
        <v>0.122</v>
      </c>
      <c r="O254">
        <v>16</v>
      </c>
      <c r="P254" t="str">
        <f t="shared" si="67"/>
        <v>Valid</v>
      </c>
      <c r="Q254" s="10">
        <f t="shared" si="68"/>
        <v>1814.06</v>
      </c>
      <c r="R254" t="b">
        <f t="shared" si="69"/>
        <v>0</v>
      </c>
      <c r="S254" s="17">
        <f t="shared" si="70"/>
        <v>0.122</v>
      </c>
      <c r="T254">
        <f t="shared" si="71"/>
        <v>2</v>
      </c>
      <c r="U254" s="26">
        <f t="shared" si="72"/>
        <v>45504</v>
      </c>
      <c r="V254">
        <f t="shared" si="73"/>
        <v>2</v>
      </c>
      <c r="W254" s="10">
        <f t="shared" si="74"/>
        <v>2898954.95488</v>
      </c>
      <c r="X254" s="10">
        <f t="shared" si="75"/>
        <v>29024.96</v>
      </c>
      <c r="Y254" s="10">
        <f t="shared" si="76"/>
        <v>2869929.99488</v>
      </c>
      <c r="Z254" s="14">
        <f t="shared" si="80"/>
        <v>0.989987785097819</v>
      </c>
      <c r="AA254" t="s">
        <v>1573</v>
      </c>
      <c r="AB254" t="str">
        <f t="shared" si="77"/>
        <v>Q3-2024</v>
      </c>
      <c r="AC254" t="str">
        <f t="shared" si="78"/>
        <v>Americas → USA → New York</v>
      </c>
      <c r="AD254" t="str">
        <f t="shared" si="79"/>
        <v>Peripherals</v>
      </c>
      <c r="AE254" s="8" t="str">
        <f t="shared" si="88"/>
        <v>Medium</v>
      </c>
      <c r="AF254" t="str">
        <f t="shared" si="81"/>
        <v>USA</v>
      </c>
      <c r="AG254" s="7">
        <v>44939</v>
      </c>
      <c r="AH254" t="str">
        <f t="shared" si="82"/>
        <v>Jan-2023</v>
      </c>
      <c r="AI254" s="9">
        <f t="shared" si="83"/>
        <v>45504</v>
      </c>
      <c r="AJ254">
        <f t="shared" si="87"/>
        <v>1</v>
      </c>
      <c r="AK254">
        <f t="shared" si="84"/>
        <v>0</v>
      </c>
      <c r="AL254" s="17">
        <f>MIN(N254,'Scenario Modelling'!$B$2)</f>
        <v>0.122</v>
      </c>
      <c r="AM254" s="10">
        <f>L254*(1+'Scenario Modelling'!$B$3)</f>
        <v>918.8155</v>
      </c>
      <c r="AN254">
        <f>O254*(1+'Scenario Modelling'!$B$4)</f>
        <v>19.2</v>
      </c>
      <c r="AO254" s="28">
        <f t="shared" si="85"/>
        <v>30580.697856</v>
      </c>
      <c r="AP254" s="10">
        <f t="shared" si="86"/>
        <v>12939.440256</v>
      </c>
    </row>
    <row r="255" spans="1:42">
      <c r="A255" t="s">
        <v>771</v>
      </c>
      <c r="B255" s="7">
        <v>45592</v>
      </c>
      <c r="C255" s="7">
        <v>45616</v>
      </c>
      <c r="D255" t="s">
        <v>206</v>
      </c>
      <c r="E255" t="s">
        <v>207</v>
      </c>
      <c r="F255" t="s">
        <v>392</v>
      </c>
      <c r="G255" t="s">
        <v>200</v>
      </c>
      <c r="H255" t="s">
        <v>189</v>
      </c>
      <c r="I255" t="s">
        <v>253</v>
      </c>
      <c r="J255" t="s">
        <v>225</v>
      </c>
      <c r="K255" t="s">
        <v>772</v>
      </c>
      <c r="L255" s="10">
        <v>317.25</v>
      </c>
      <c r="M255" s="10">
        <v>758.92</v>
      </c>
      <c r="N255" s="17">
        <v>0.053</v>
      </c>
      <c r="O255">
        <v>9</v>
      </c>
      <c r="P255" t="str">
        <f t="shared" si="67"/>
        <v>Valid</v>
      </c>
      <c r="Q255" s="10">
        <f t="shared" si="68"/>
        <v>758.92</v>
      </c>
      <c r="R255" t="b">
        <f t="shared" si="69"/>
        <v>0</v>
      </c>
      <c r="S255" s="17">
        <f t="shared" si="70"/>
        <v>0.053</v>
      </c>
      <c r="T255">
        <f t="shared" si="71"/>
        <v>24</v>
      </c>
      <c r="U255" s="26">
        <f t="shared" si="72"/>
        <v>45616</v>
      </c>
      <c r="V255">
        <f t="shared" si="73"/>
        <v>24</v>
      </c>
      <c r="W255" s="10">
        <f t="shared" si="74"/>
        <v>682665.99516</v>
      </c>
      <c r="X255" s="10">
        <f t="shared" si="75"/>
        <v>6830.28</v>
      </c>
      <c r="Y255" s="10">
        <f t="shared" si="76"/>
        <v>675835.71516</v>
      </c>
      <c r="Z255" s="14">
        <f t="shared" si="80"/>
        <v>0.98999469718951</v>
      </c>
      <c r="AA255" t="s">
        <v>1561</v>
      </c>
      <c r="AB255" t="str">
        <f t="shared" si="77"/>
        <v>Q4-2024</v>
      </c>
      <c r="AC255" t="str">
        <f t="shared" si="78"/>
        <v>Asia → Japan → Nagoya</v>
      </c>
      <c r="AD255" t="str">
        <f t="shared" si="79"/>
        <v>Peripherals</v>
      </c>
      <c r="AE255" s="8" t="str">
        <f t="shared" si="88"/>
        <v>High</v>
      </c>
      <c r="AF255" t="str">
        <f t="shared" si="81"/>
        <v>JAPAN</v>
      </c>
      <c r="AG255" s="7">
        <v>44988</v>
      </c>
      <c r="AH255" t="str">
        <f t="shared" si="82"/>
        <v>Mar-2023</v>
      </c>
      <c r="AI255" s="9">
        <f t="shared" si="83"/>
        <v>45596</v>
      </c>
      <c r="AJ255">
        <f t="shared" si="87"/>
        <v>0</v>
      </c>
      <c r="AK255">
        <f t="shared" si="84"/>
        <v>0</v>
      </c>
      <c r="AL255" s="17">
        <f>MIN(N255,'Scenario Modelling'!$B$2)</f>
        <v>0.053</v>
      </c>
      <c r="AM255" s="10">
        <f>L255*(1+'Scenario Modelling'!$B$3)</f>
        <v>364.8375</v>
      </c>
      <c r="AN255">
        <f>O255*(1+'Scenario Modelling'!$B$4)</f>
        <v>10.8</v>
      </c>
      <c r="AO255" s="28">
        <f t="shared" si="85"/>
        <v>7761.930192</v>
      </c>
      <c r="AP255" s="10">
        <f t="shared" si="86"/>
        <v>3821.685192</v>
      </c>
    </row>
    <row r="256" spans="1:42">
      <c r="A256" t="s">
        <v>773</v>
      </c>
      <c r="B256" s="7">
        <v>45411</v>
      </c>
      <c r="C256" s="7">
        <v>45431</v>
      </c>
      <c r="D256" t="s">
        <v>239</v>
      </c>
      <c r="E256" t="s">
        <v>240</v>
      </c>
      <c r="F256" t="s">
        <v>496</v>
      </c>
      <c r="G256" t="s">
        <v>266</v>
      </c>
      <c r="H256" t="s">
        <v>201</v>
      </c>
      <c r="I256" t="s">
        <v>182</v>
      </c>
      <c r="J256" t="s">
        <v>218</v>
      </c>
      <c r="K256" t="s">
        <v>774</v>
      </c>
      <c r="L256" s="10">
        <v>668.97</v>
      </c>
      <c r="M256" s="10">
        <v>1667.44</v>
      </c>
      <c r="N256" s="17">
        <v>0.034</v>
      </c>
      <c r="O256">
        <v>15</v>
      </c>
      <c r="P256" t="str">
        <f t="shared" si="67"/>
        <v>Valid</v>
      </c>
      <c r="Q256" s="10">
        <f t="shared" si="68"/>
        <v>1667.44</v>
      </c>
      <c r="R256" t="b">
        <f t="shared" si="69"/>
        <v>0</v>
      </c>
      <c r="S256" s="17">
        <f t="shared" si="70"/>
        <v>0.034</v>
      </c>
      <c r="T256">
        <f t="shared" si="71"/>
        <v>20</v>
      </c>
      <c r="U256" s="26">
        <f t="shared" si="72"/>
        <v>45431</v>
      </c>
      <c r="V256">
        <f t="shared" si="73"/>
        <v>20</v>
      </c>
      <c r="W256" s="10">
        <f t="shared" si="74"/>
        <v>2500309.6056</v>
      </c>
      <c r="X256" s="10">
        <f t="shared" si="75"/>
        <v>25011.6</v>
      </c>
      <c r="Y256" s="10">
        <f t="shared" si="76"/>
        <v>2475298.0056</v>
      </c>
      <c r="Z256" s="14">
        <f t="shared" si="80"/>
        <v>0.989996598843607</v>
      </c>
      <c r="AA256" t="s">
        <v>1580</v>
      </c>
      <c r="AB256" t="str">
        <f t="shared" si="77"/>
        <v>Q2-2024</v>
      </c>
      <c r="AC256" t="str">
        <f t="shared" si="78"/>
        <v>Europe → Germany → Frankfurt</v>
      </c>
      <c r="AD256" t="str">
        <f t="shared" si="79"/>
        <v>Devices</v>
      </c>
      <c r="AE256" s="8" t="str">
        <f t="shared" si="88"/>
        <v>Medium</v>
      </c>
      <c r="AF256" t="str">
        <f t="shared" si="81"/>
        <v>GERMANY</v>
      </c>
      <c r="AG256" s="7">
        <v>44948</v>
      </c>
      <c r="AH256" t="str">
        <f t="shared" si="82"/>
        <v>Jan-2023</v>
      </c>
      <c r="AI256" s="9">
        <f t="shared" si="83"/>
        <v>45412</v>
      </c>
      <c r="AJ256">
        <f t="shared" si="87"/>
        <v>0</v>
      </c>
      <c r="AK256">
        <f t="shared" si="84"/>
        <v>0</v>
      </c>
      <c r="AL256" s="17">
        <f>MIN(N256,'Scenario Modelling'!$B$2)</f>
        <v>0.034</v>
      </c>
      <c r="AM256" s="10">
        <f>L256*(1+'Scenario Modelling'!$B$3)</f>
        <v>769.3155</v>
      </c>
      <c r="AN256">
        <f>O256*(1+'Scenario Modelling'!$B$4)</f>
        <v>18</v>
      </c>
      <c r="AO256" s="28">
        <f t="shared" si="85"/>
        <v>28993.44672</v>
      </c>
      <c r="AP256" s="10">
        <f t="shared" si="86"/>
        <v>15145.76772</v>
      </c>
    </row>
    <row r="257" spans="1:42">
      <c r="A257" t="s">
        <v>775</v>
      </c>
      <c r="B257" s="7">
        <v>45204</v>
      </c>
      <c r="C257" s="7">
        <v>45205</v>
      </c>
      <c r="D257" t="s">
        <v>206</v>
      </c>
      <c r="E257" t="s">
        <v>221</v>
      </c>
      <c r="F257" t="s">
        <v>222</v>
      </c>
      <c r="G257" t="s">
        <v>200</v>
      </c>
      <c r="H257" t="s">
        <v>189</v>
      </c>
      <c r="I257" t="s">
        <v>195</v>
      </c>
      <c r="J257" t="s">
        <v>183</v>
      </c>
      <c r="K257" t="s">
        <v>776</v>
      </c>
      <c r="L257" s="10">
        <v>1470.26</v>
      </c>
      <c r="M257" s="10">
        <v>2562.55</v>
      </c>
      <c r="N257" s="17">
        <v>0.173</v>
      </c>
      <c r="O257">
        <v>9</v>
      </c>
      <c r="P257" t="str">
        <f t="shared" si="67"/>
        <v>Valid</v>
      </c>
      <c r="Q257" s="10">
        <f t="shared" si="68"/>
        <v>2562.55</v>
      </c>
      <c r="R257" t="b">
        <f t="shared" si="69"/>
        <v>0</v>
      </c>
      <c r="S257" s="17">
        <f t="shared" si="70"/>
        <v>0.173</v>
      </c>
      <c r="T257">
        <f t="shared" si="71"/>
        <v>1</v>
      </c>
      <c r="U257" s="26">
        <f t="shared" si="72"/>
        <v>45205</v>
      </c>
      <c r="V257">
        <f t="shared" si="73"/>
        <v>1</v>
      </c>
      <c r="W257" s="10">
        <f t="shared" si="74"/>
        <v>2302305.10965</v>
      </c>
      <c r="X257" s="10">
        <f t="shared" si="75"/>
        <v>23062.95</v>
      </c>
      <c r="Y257" s="10">
        <f t="shared" si="76"/>
        <v>2279242.15965</v>
      </c>
      <c r="Z257" s="14">
        <f t="shared" si="80"/>
        <v>0.989982670019133</v>
      </c>
      <c r="AA257" t="s">
        <v>1595</v>
      </c>
      <c r="AB257" t="str">
        <f t="shared" si="77"/>
        <v>Q4-2023</v>
      </c>
      <c r="AC257" t="str">
        <f t="shared" si="78"/>
        <v>Asia → India → Bengaluru</v>
      </c>
      <c r="AD257" t="str">
        <f t="shared" si="79"/>
        <v>Support</v>
      </c>
      <c r="AE257" s="8" t="str">
        <f t="shared" si="88"/>
        <v>Low</v>
      </c>
      <c r="AF257" t="str">
        <f t="shared" si="81"/>
        <v>INDIA</v>
      </c>
      <c r="AG257" s="7">
        <v>44955</v>
      </c>
      <c r="AH257" t="str">
        <f t="shared" si="82"/>
        <v>Jan-2023</v>
      </c>
      <c r="AI257" s="9">
        <f t="shared" si="83"/>
        <v>45230</v>
      </c>
      <c r="AJ257">
        <f t="shared" si="87"/>
        <v>1</v>
      </c>
      <c r="AK257">
        <f t="shared" si="84"/>
        <v>0</v>
      </c>
      <c r="AL257" s="17">
        <f>MIN(N257,'Scenario Modelling'!$B$2)</f>
        <v>0.173</v>
      </c>
      <c r="AM257" s="10">
        <f>L257*(1+'Scenario Modelling'!$B$3)</f>
        <v>1690.799</v>
      </c>
      <c r="AN257">
        <f>O257*(1+'Scenario Modelling'!$B$4)</f>
        <v>10.8</v>
      </c>
      <c r="AO257" s="28">
        <f t="shared" si="85"/>
        <v>22887.67158</v>
      </c>
      <c r="AP257" s="10">
        <f t="shared" si="86"/>
        <v>4627.04238</v>
      </c>
    </row>
    <row r="258" spans="1:42">
      <c r="A258" t="s">
        <v>777</v>
      </c>
      <c r="B258" s="7">
        <v>45035</v>
      </c>
      <c r="C258" s="7">
        <v>45053</v>
      </c>
      <c r="D258" t="s">
        <v>239</v>
      </c>
      <c r="E258" t="s">
        <v>269</v>
      </c>
      <c r="F258" t="s">
        <v>313</v>
      </c>
      <c r="G258" t="s">
        <v>200</v>
      </c>
      <c r="H258" t="s">
        <v>259</v>
      </c>
      <c r="I258" t="s">
        <v>253</v>
      </c>
      <c r="J258" t="s">
        <v>196</v>
      </c>
      <c r="K258" t="s">
        <v>778</v>
      </c>
      <c r="L258" s="10">
        <v>516.96</v>
      </c>
      <c r="M258" s="10">
        <v>745.38</v>
      </c>
      <c r="N258" s="17">
        <v>0.197</v>
      </c>
      <c r="O258">
        <v>4</v>
      </c>
      <c r="P258" t="str">
        <f t="shared" ref="P258:P321" si="89">IF(M258&gt;0,"Valid")</f>
        <v>Valid</v>
      </c>
      <c r="Q258" s="10">
        <f t="shared" ref="Q258:Q321" si="90">ABS(M258)</f>
        <v>745.38</v>
      </c>
      <c r="R258" t="b">
        <f t="shared" ref="R258:R321" si="91">IF(N258&gt;30%,"Excess")</f>
        <v>0</v>
      </c>
      <c r="S258" s="17">
        <f t="shared" ref="S258:S321" si="92">IF(R258="Excess",30%,N258)</f>
        <v>0.197</v>
      </c>
      <c r="T258">
        <f t="shared" ref="T258:T321" si="93">(C258-B258)</f>
        <v>18</v>
      </c>
      <c r="U258" s="26">
        <f t="shared" ref="U258:U321" si="94">IF(C258&lt;B258,B258+7,C258)</f>
        <v>45053</v>
      </c>
      <c r="V258">
        <f t="shared" ref="V258:V321" si="95">(U258-B258)</f>
        <v>18</v>
      </c>
      <c r="W258" s="10">
        <f t="shared" ref="W258:W321" si="96">(Q258*O258*(100-S258))</f>
        <v>297564.64056</v>
      </c>
      <c r="X258" s="10">
        <f t="shared" ref="X258:X321" si="97">(Q258*O258)</f>
        <v>2981.52</v>
      </c>
      <c r="Y258" s="10">
        <f t="shared" ref="Y258:Y321" si="98">W258-X258</f>
        <v>294583.12056</v>
      </c>
      <c r="Z258" s="14">
        <f t="shared" si="80"/>
        <v>0.989980261114395</v>
      </c>
      <c r="AA258" t="s">
        <v>1571</v>
      </c>
      <c r="AB258" t="str">
        <f t="shared" ref="AB258:AB321" si="99">"Q"&amp;ROUNDUP(MONTH(B258)/3,0)&amp;"-"&amp;YEAR(B258)</f>
        <v>Q2-2023</v>
      </c>
      <c r="AC258" t="str">
        <f t="shared" ref="AC258:AC321" si="100">D258&amp;" → "&amp;E258&amp;" → "&amp;F258</f>
        <v>Europe → United Kingdom → London</v>
      </c>
      <c r="AD258" t="str">
        <f t="shared" ref="AD258:AD321" si="101">IF(OR(J258="Laptops",J258="Phones"),"Devices",IF(OR(J258="Monitors",J258="Printers"),"Peripherals","Support"))</f>
        <v>Support</v>
      </c>
      <c r="AE258" s="8" t="str">
        <f t="shared" si="88"/>
        <v>Low</v>
      </c>
      <c r="AF258" t="str">
        <f t="shared" si="81"/>
        <v>UNITED KINGDOM</v>
      </c>
      <c r="AG258" s="7">
        <v>44945</v>
      </c>
      <c r="AH258" t="str">
        <f t="shared" si="82"/>
        <v>Jan-2023</v>
      </c>
      <c r="AI258" s="9">
        <f t="shared" si="83"/>
        <v>45046</v>
      </c>
      <c r="AJ258">
        <f t="shared" si="87"/>
        <v>0</v>
      </c>
      <c r="AK258">
        <f t="shared" si="84"/>
        <v>0</v>
      </c>
      <c r="AL258" s="17">
        <f>MIN(N258,'Scenario Modelling'!$B$2)</f>
        <v>0.197</v>
      </c>
      <c r="AM258" s="10">
        <f>L258*(1+'Scenario Modelling'!$B$3)</f>
        <v>594.504</v>
      </c>
      <c r="AN258">
        <f>O258*(1+'Scenario Modelling'!$B$4)</f>
        <v>4.8</v>
      </c>
      <c r="AO258" s="28">
        <f t="shared" si="85"/>
        <v>2872.992672</v>
      </c>
      <c r="AP258" s="10">
        <f t="shared" si="86"/>
        <v>19.3734719999997</v>
      </c>
    </row>
    <row r="259" spans="1:42">
      <c r="A259" t="s">
        <v>779</v>
      </c>
      <c r="B259" s="7">
        <v>45835</v>
      </c>
      <c r="C259" s="7">
        <v>45843</v>
      </c>
      <c r="D259" t="s">
        <v>239</v>
      </c>
      <c r="E259" t="s">
        <v>240</v>
      </c>
      <c r="F259" t="s">
        <v>320</v>
      </c>
      <c r="G259" t="s">
        <v>223</v>
      </c>
      <c r="H259" t="s">
        <v>259</v>
      </c>
      <c r="I259" t="s">
        <v>202</v>
      </c>
      <c r="J259" t="s">
        <v>225</v>
      </c>
      <c r="K259" t="s">
        <v>780</v>
      </c>
      <c r="L259" s="10">
        <v>314.93</v>
      </c>
      <c r="M259" s="10">
        <v>687.95</v>
      </c>
      <c r="N259" s="17">
        <v>0.205</v>
      </c>
      <c r="O259">
        <v>8</v>
      </c>
      <c r="P259" t="str">
        <f t="shared" si="89"/>
        <v>Valid</v>
      </c>
      <c r="Q259" s="10">
        <f t="shared" si="90"/>
        <v>687.95</v>
      </c>
      <c r="R259" t="b">
        <f t="shared" si="91"/>
        <v>0</v>
      </c>
      <c r="S259" s="17">
        <f t="shared" si="92"/>
        <v>0.205</v>
      </c>
      <c r="T259">
        <f t="shared" si="93"/>
        <v>8</v>
      </c>
      <c r="U259" s="26">
        <f t="shared" si="94"/>
        <v>45843</v>
      </c>
      <c r="V259">
        <f t="shared" si="95"/>
        <v>8</v>
      </c>
      <c r="W259" s="10">
        <f t="shared" si="96"/>
        <v>549231.762</v>
      </c>
      <c r="X259" s="10">
        <f t="shared" si="97"/>
        <v>5503.6</v>
      </c>
      <c r="Y259" s="10">
        <f t="shared" si="98"/>
        <v>543728.162</v>
      </c>
      <c r="Z259" s="14">
        <f t="shared" ref="Z259:Z322" si="102">Y259/W259</f>
        <v>0.989979457888672</v>
      </c>
      <c r="AA259" t="s">
        <v>1575</v>
      </c>
      <c r="AB259" t="str">
        <f t="shared" si="99"/>
        <v>Q2-2025</v>
      </c>
      <c r="AC259" t="str">
        <f t="shared" si="100"/>
        <v>Europe → Germany → Munich</v>
      </c>
      <c r="AD259" t="str">
        <f t="shared" si="101"/>
        <v>Peripherals</v>
      </c>
      <c r="AE259" s="8" t="str">
        <f t="shared" si="88"/>
        <v>High</v>
      </c>
      <c r="AF259" t="str">
        <f t="shared" ref="AF259:AF322" si="103">UPPER(TRIM(CLEAN(SUBSTITUTE(E259,CHAR(160),""))))</f>
        <v>GERMANY</v>
      </c>
      <c r="AG259" s="7">
        <v>44948</v>
      </c>
      <c r="AH259" t="str">
        <f t="shared" ref="AH259:AH322" si="104">TEXT(AG259,"MMM-YYYY")</f>
        <v>Jan-2023</v>
      </c>
      <c r="AI259" s="9">
        <f t="shared" ref="AI259:AI322" si="105">EOMONTH(B259,0)</f>
        <v>45838</v>
      </c>
      <c r="AJ259">
        <f t="shared" si="87"/>
        <v>0</v>
      </c>
      <c r="AK259">
        <f t="shared" ref="AK259:AK322" si="106">IF(N259&gt;20%,1,0)</f>
        <v>1</v>
      </c>
      <c r="AL259" s="17">
        <f>MIN(N259,'Scenario Modelling'!$B$2)</f>
        <v>0.205</v>
      </c>
      <c r="AM259" s="10">
        <f>L259*(1+'Scenario Modelling'!$B$3)</f>
        <v>362.1695</v>
      </c>
      <c r="AN259">
        <f>O259*(1+'Scenario Modelling'!$B$4)</f>
        <v>9.6</v>
      </c>
      <c r="AO259" s="28">
        <f t="shared" ref="AO259:AO322" si="107">AN259*M259*(1-AL259)</f>
        <v>5250.4344</v>
      </c>
      <c r="AP259" s="10">
        <f t="shared" ref="AP259:AP322" si="108">(M259*(1-AL259)-AM259)*AN259</f>
        <v>1773.6072</v>
      </c>
    </row>
    <row r="260" spans="1:42">
      <c r="A260" t="s">
        <v>781</v>
      </c>
      <c r="B260" s="7">
        <v>45210</v>
      </c>
      <c r="C260" s="7">
        <v>45212</v>
      </c>
      <c r="D260" t="s">
        <v>213</v>
      </c>
      <c r="E260" t="s">
        <v>234</v>
      </c>
      <c r="F260" t="s">
        <v>248</v>
      </c>
      <c r="G260" t="s">
        <v>209</v>
      </c>
      <c r="H260" t="s">
        <v>216</v>
      </c>
      <c r="I260" t="s">
        <v>1589</v>
      </c>
      <c r="J260" t="s">
        <v>242</v>
      </c>
      <c r="K260" t="s">
        <v>782</v>
      </c>
      <c r="L260" s="10">
        <v>715.94</v>
      </c>
      <c r="M260" s="10">
        <v>550.07</v>
      </c>
      <c r="N260" s="17">
        <v>0.14</v>
      </c>
      <c r="O260">
        <v>16</v>
      </c>
      <c r="P260" t="str">
        <f t="shared" si="89"/>
        <v>Valid</v>
      </c>
      <c r="Q260" s="10">
        <f t="shared" si="90"/>
        <v>550.07</v>
      </c>
      <c r="R260" t="b">
        <f t="shared" si="91"/>
        <v>0</v>
      </c>
      <c r="S260" s="17">
        <f t="shared" si="92"/>
        <v>0.14</v>
      </c>
      <c r="T260">
        <f t="shared" si="93"/>
        <v>2</v>
      </c>
      <c r="U260" s="26">
        <f t="shared" si="94"/>
        <v>45212</v>
      </c>
      <c r="V260">
        <f t="shared" si="95"/>
        <v>2</v>
      </c>
      <c r="W260" s="10">
        <f t="shared" si="96"/>
        <v>878879.8432</v>
      </c>
      <c r="X260" s="10">
        <f t="shared" si="97"/>
        <v>8801.12</v>
      </c>
      <c r="Y260" s="10">
        <f t="shared" si="98"/>
        <v>870078.7232</v>
      </c>
      <c r="Z260" s="14">
        <f t="shared" si="102"/>
        <v>0.989985980372522</v>
      </c>
      <c r="AA260" t="s">
        <v>1595</v>
      </c>
      <c r="AB260" t="str">
        <f t="shared" si="99"/>
        <v>Q4-2023</v>
      </c>
      <c r="AC260" t="str">
        <f t="shared" si="100"/>
        <v>Americas → Brazil → Brasília</v>
      </c>
      <c r="AD260" t="str">
        <f t="shared" si="101"/>
        <v>Support</v>
      </c>
      <c r="AE260" s="8" t="str">
        <f t="shared" si="88"/>
        <v>Low</v>
      </c>
      <c r="AF260" t="str">
        <f t="shared" si="103"/>
        <v>BRAZIL</v>
      </c>
      <c r="AG260" s="7">
        <v>44955</v>
      </c>
      <c r="AH260" t="str">
        <f t="shared" si="104"/>
        <v>Jan-2023</v>
      </c>
      <c r="AI260" s="9">
        <f t="shared" si="105"/>
        <v>45230</v>
      </c>
      <c r="AJ260">
        <f t="shared" ref="AJ260:AJ323" si="109">IF(V260&lt;=7,1,0)</f>
        <v>1</v>
      </c>
      <c r="AK260">
        <f t="shared" si="106"/>
        <v>0</v>
      </c>
      <c r="AL260" s="17">
        <f>MIN(N260,'Scenario Modelling'!$B$2)</f>
        <v>0.14</v>
      </c>
      <c r="AM260" s="10">
        <f>L260*(1+'Scenario Modelling'!$B$3)</f>
        <v>823.331</v>
      </c>
      <c r="AN260">
        <f>O260*(1+'Scenario Modelling'!$B$4)</f>
        <v>19.2</v>
      </c>
      <c r="AO260" s="28">
        <f t="shared" si="107"/>
        <v>9082.75584</v>
      </c>
      <c r="AP260" s="10">
        <f t="shared" si="108"/>
        <v>-6725.19936</v>
      </c>
    </row>
    <row r="261" spans="1:42">
      <c r="A261" t="s">
        <v>783</v>
      </c>
      <c r="B261" s="7">
        <v>45066</v>
      </c>
      <c r="C261" s="7">
        <v>45084</v>
      </c>
      <c r="D261" t="s">
        <v>177</v>
      </c>
      <c r="E261" t="s">
        <v>186</v>
      </c>
      <c r="F261" t="s">
        <v>187</v>
      </c>
      <c r="G261" t="s">
        <v>266</v>
      </c>
      <c r="H261" t="s">
        <v>216</v>
      </c>
      <c r="I261" t="s">
        <v>224</v>
      </c>
      <c r="J261" t="s">
        <v>183</v>
      </c>
      <c r="K261" t="s">
        <v>784</v>
      </c>
      <c r="L261" s="10">
        <v>1120.06</v>
      </c>
      <c r="M261" s="10">
        <v>2068.21</v>
      </c>
      <c r="N261" s="17">
        <v>0.078</v>
      </c>
      <c r="O261">
        <v>12</v>
      </c>
      <c r="P261" t="str">
        <f t="shared" si="89"/>
        <v>Valid</v>
      </c>
      <c r="Q261" s="10">
        <f t="shared" si="90"/>
        <v>2068.21</v>
      </c>
      <c r="R261" t="b">
        <f t="shared" si="91"/>
        <v>0</v>
      </c>
      <c r="S261" s="17">
        <f t="shared" si="92"/>
        <v>0.078</v>
      </c>
      <c r="T261">
        <f t="shared" si="93"/>
        <v>18</v>
      </c>
      <c r="U261" s="26">
        <f t="shared" si="94"/>
        <v>45084</v>
      </c>
      <c r="V261">
        <f t="shared" si="95"/>
        <v>18</v>
      </c>
      <c r="W261" s="10">
        <f t="shared" si="96"/>
        <v>2479916.15544</v>
      </c>
      <c r="X261" s="10">
        <f t="shared" si="97"/>
        <v>24818.52</v>
      </c>
      <c r="Y261" s="10">
        <f t="shared" si="98"/>
        <v>2455097.63544</v>
      </c>
      <c r="Z261" s="14">
        <f t="shared" si="102"/>
        <v>0.989992193911251</v>
      </c>
      <c r="AA261" t="s">
        <v>1574</v>
      </c>
      <c r="AB261" t="str">
        <f t="shared" si="99"/>
        <v>Q2-2023</v>
      </c>
      <c r="AC261" t="str">
        <f t="shared" si="100"/>
        <v>Africa → Nigeria → Port Harcourt</v>
      </c>
      <c r="AD261" t="str">
        <f t="shared" si="101"/>
        <v>Support</v>
      </c>
      <c r="AE261" s="8" t="str">
        <f t="shared" si="88"/>
        <v>Low</v>
      </c>
      <c r="AF261" t="str">
        <f t="shared" si="103"/>
        <v>NIGERIA</v>
      </c>
      <c r="AG261" s="7">
        <v>44941</v>
      </c>
      <c r="AH261" t="str">
        <f t="shared" si="104"/>
        <v>Jan-2023</v>
      </c>
      <c r="AI261" s="9">
        <f t="shared" si="105"/>
        <v>45077</v>
      </c>
      <c r="AJ261">
        <f t="shared" si="109"/>
        <v>0</v>
      </c>
      <c r="AK261">
        <f t="shared" si="106"/>
        <v>0</v>
      </c>
      <c r="AL261" s="17">
        <f>MIN(N261,'Scenario Modelling'!$B$2)</f>
        <v>0.078</v>
      </c>
      <c r="AM261" s="10">
        <f>L261*(1+'Scenario Modelling'!$B$3)</f>
        <v>1288.069</v>
      </c>
      <c r="AN261">
        <f>O261*(1+'Scenario Modelling'!$B$4)</f>
        <v>14.4</v>
      </c>
      <c r="AO261" s="28">
        <f t="shared" si="107"/>
        <v>27459.210528</v>
      </c>
      <c r="AP261" s="10">
        <f t="shared" si="108"/>
        <v>8911.016928</v>
      </c>
    </row>
    <row r="262" spans="1:42">
      <c r="A262" t="s">
        <v>785</v>
      </c>
      <c r="B262" s="7">
        <v>45073</v>
      </c>
      <c r="C262" s="7">
        <v>45096</v>
      </c>
      <c r="D262" t="s">
        <v>239</v>
      </c>
      <c r="E262" t="s">
        <v>240</v>
      </c>
      <c r="F262" t="s">
        <v>241</v>
      </c>
      <c r="G262" t="s">
        <v>188</v>
      </c>
      <c r="H262" t="s">
        <v>181</v>
      </c>
      <c r="I262" t="s">
        <v>229</v>
      </c>
      <c r="J262" t="s">
        <v>242</v>
      </c>
      <c r="K262" t="s">
        <v>786</v>
      </c>
      <c r="L262" s="10">
        <v>1471.58</v>
      </c>
      <c r="M262" s="10">
        <v>2576.65</v>
      </c>
      <c r="N262" s="17">
        <v>0.004</v>
      </c>
      <c r="O262">
        <v>7</v>
      </c>
      <c r="P262" t="str">
        <f t="shared" si="89"/>
        <v>Valid</v>
      </c>
      <c r="Q262" s="10">
        <f t="shared" si="90"/>
        <v>2576.65</v>
      </c>
      <c r="R262" t="b">
        <f t="shared" si="91"/>
        <v>0</v>
      </c>
      <c r="S262" s="17">
        <f t="shared" si="92"/>
        <v>0.004</v>
      </c>
      <c r="T262">
        <f t="shared" si="93"/>
        <v>23</v>
      </c>
      <c r="U262" s="26">
        <f t="shared" si="94"/>
        <v>45096</v>
      </c>
      <c r="V262">
        <f t="shared" si="95"/>
        <v>23</v>
      </c>
      <c r="W262" s="10">
        <f t="shared" si="96"/>
        <v>1803582.8538</v>
      </c>
      <c r="X262" s="10">
        <f t="shared" si="97"/>
        <v>18036.55</v>
      </c>
      <c r="Y262" s="10">
        <f t="shared" si="98"/>
        <v>1785546.3038</v>
      </c>
      <c r="Z262" s="14">
        <f t="shared" si="102"/>
        <v>0.989999599983999</v>
      </c>
      <c r="AA262" t="s">
        <v>1574</v>
      </c>
      <c r="AB262" t="str">
        <f t="shared" si="99"/>
        <v>Q2-2023</v>
      </c>
      <c r="AC262" t="str">
        <f t="shared" si="100"/>
        <v>Europe → Germany → Berlin</v>
      </c>
      <c r="AD262" t="str">
        <f t="shared" si="101"/>
        <v>Support</v>
      </c>
      <c r="AE262" s="8" t="str">
        <f t="shared" si="88"/>
        <v>Low</v>
      </c>
      <c r="AF262" t="str">
        <f t="shared" si="103"/>
        <v>GERMANY</v>
      </c>
      <c r="AG262" s="7">
        <v>44948</v>
      </c>
      <c r="AH262" t="str">
        <f t="shared" si="104"/>
        <v>Jan-2023</v>
      </c>
      <c r="AI262" s="9">
        <f t="shared" si="105"/>
        <v>45077</v>
      </c>
      <c r="AJ262">
        <f t="shared" si="109"/>
        <v>0</v>
      </c>
      <c r="AK262">
        <f t="shared" si="106"/>
        <v>0</v>
      </c>
      <c r="AL262" s="17">
        <f>MIN(N262,'Scenario Modelling'!$B$2)</f>
        <v>0.004</v>
      </c>
      <c r="AM262" s="10">
        <f>L262*(1+'Scenario Modelling'!$B$3)</f>
        <v>1692.317</v>
      </c>
      <c r="AN262">
        <f>O262*(1+'Scenario Modelling'!$B$4)</f>
        <v>8.4</v>
      </c>
      <c r="AO262" s="28">
        <f t="shared" si="107"/>
        <v>21557.28456</v>
      </c>
      <c r="AP262" s="10">
        <f t="shared" si="108"/>
        <v>7341.82176</v>
      </c>
    </row>
    <row r="263" spans="1:42">
      <c r="A263" t="s">
        <v>787</v>
      </c>
      <c r="B263" s="7">
        <v>45142</v>
      </c>
      <c r="C263" s="7">
        <v>45162</v>
      </c>
      <c r="D263" t="s">
        <v>213</v>
      </c>
      <c r="E263" t="s">
        <v>234</v>
      </c>
      <c r="F263" t="s">
        <v>248</v>
      </c>
      <c r="G263" t="s">
        <v>200</v>
      </c>
      <c r="H263" t="s">
        <v>259</v>
      </c>
      <c r="I263" t="s">
        <v>1589</v>
      </c>
      <c r="J263" t="s">
        <v>196</v>
      </c>
      <c r="K263" t="s">
        <v>788</v>
      </c>
      <c r="L263" s="10">
        <v>582.88</v>
      </c>
      <c r="M263" s="10">
        <v>1044.14</v>
      </c>
      <c r="N263" s="17">
        <v>0.216</v>
      </c>
      <c r="O263">
        <v>10</v>
      </c>
      <c r="P263" t="str">
        <f t="shared" si="89"/>
        <v>Valid</v>
      </c>
      <c r="Q263" s="10">
        <f t="shared" si="90"/>
        <v>1044.14</v>
      </c>
      <c r="R263" t="b">
        <f t="shared" si="91"/>
        <v>0</v>
      </c>
      <c r="S263" s="17">
        <f t="shared" si="92"/>
        <v>0.216</v>
      </c>
      <c r="T263">
        <f t="shared" si="93"/>
        <v>20</v>
      </c>
      <c r="U263" s="26">
        <f t="shared" si="94"/>
        <v>45162</v>
      </c>
      <c r="V263">
        <f t="shared" si="95"/>
        <v>20</v>
      </c>
      <c r="W263" s="10">
        <f t="shared" si="96"/>
        <v>1041884.6576</v>
      </c>
      <c r="X263" s="10">
        <f t="shared" si="97"/>
        <v>10441.4</v>
      </c>
      <c r="Y263" s="10">
        <f t="shared" si="98"/>
        <v>1031443.2576</v>
      </c>
      <c r="Z263" s="14">
        <f t="shared" si="102"/>
        <v>0.989978353243005</v>
      </c>
      <c r="AA263" t="s">
        <v>1585</v>
      </c>
      <c r="AB263" t="str">
        <f t="shared" si="99"/>
        <v>Q3-2023</v>
      </c>
      <c r="AC263" t="str">
        <f t="shared" si="100"/>
        <v>Americas → Brazil → Brasília</v>
      </c>
      <c r="AD263" t="str">
        <f t="shared" si="101"/>
        <v>Support</v>
      </c>
      <c r="AE263" s="8" t="str">
        <f t="shared" si="88"/>
        <v>Low</v>
      </c>
      <c r="AF263" t="str">
        <f t="shared" si="103"/>
        <v>BRAZIL</v>
      </c>
      <c r="AG263" s="7">
        <v>44955</v>
      </c>
      <c r="AH263" t="str">
        <f t="shared" si="104"/>
        <v>Jan-2023</v>
      </c>
      <c r="AI263" s="9">
        <f t="shared" si="105"/>
        <v>45169</v>
      </c>
      <c r="AJ263">
        <f t="shared" si="109"/>
        <v>0</v>
      </c>
      <c r="AK263">
        <f t="shared" si="106"/>
        <v>1</v>
      </c>
      <c r="AL263" s="17">
        <f>MIN(N263,'Scenario Modelling'!$B$2)</f>
        <v>0.216</v>
      </c>
      <c r="AM263" s="10">
        <f>L263*(1+'Scenario Modelling'!$B$3)</f>
        <v>670.312</v>
      </c>
      <c r="AN263">
        <f>O263*(1+'Scenario Modelling'!$B$4)</f>
        <v>12</v>
      </c>
      <c r="AO263" s="28">
        <f t="shared" si="107"/>
        <v>9823.26912</v>
      </c>
      <c r="AP263" s="10">
        <f t="shared" si="108"/>
        <v>1779.52512</v>
      </c>
    </row>
    <row r="264" spans="1:42">
      <c r="A264" t="s">
        <v>789</v>
      </c>
      <c r="B264" s="7">
        <v>45829</v>
      </c>
      <c r="C264" s="7">
        <v>45835</v>
      </c>
      <c r="D264" t="s">
        <v>177</v>
      </c>
      <c r="E264" t="s">
        <v>309</v>
      </c>
      <c r="F264" t="s">
        <v>333</v>
      </c>
      <c r="G264" t="s">
        <v>266</v>
      </c>
      <c r="H264" t="s">
        <v>216</v>
      </c>
      <c r="I264" t="s">
        <v>287</v>
      </c>
      <c r="J264" t="s">
        <v>203</v>
      </c>
      <c r="K264" t="s">
        <v>790</v>
      </c>
      <c r="L264" s="10">
        <v>93.91</v>
      </c>
      <c r="M264" s="10">
        <v>99.04</v>
      </c>
      <c r="N264" s="17">
        <v>0.057</v>
      </c>
      <c r="O264">
        <v>6</v>
      </c>
      <c r="P264" t="str">
        <f t="shared" si="89"/>
        <v>Valid</v>
      </c>
      <c r="Q264" s="10">
        <f t="shared" si="90"/>
        <v>99.04</v>
      </c>
      <c r="R264" t="b">
        <f t="shared" si="91"/>
        <v>0</v>
      </c>
      <c r="S264" s="17">
        <f t="shared" si="92"/>
        <v>0.057</v>
      </c>
      <c r="T264">
        <f t="shared" si="93"/>
        <v>6</v>
      </c>
      <c r="U264" s="26">
        <f t="shared" si="94"/>
        <v>45835</v>
      </c>
      <c r="V264">
        <f t="shared" si="95"/>
        <v>6</v>
      </c>
      <c r="W264" s="10">
        <f t="shared" si="96"/>
        <v>59390.12832</v>
      </c>
      <c r="X264" s="10">
        <f t="shared" si="97"/>
        <v>594.24</v>
      </c>
      <c r="Y264" s="10">
        <f t="shared" si="98"/>
        <v>58795.88832</v>
      </c>
      <c r="Z264" s="14">
        <f t="shared" si="102"/>
        <v>0.989994296749147</v>
      </c>
      <c r="AA264" t="s">
        <v>1575</v>
      </c>
      <c r="AB264" t="str">
        <f t="shared" si="99"/>
        <v>Q2-2025</v>
      </c>
      <c r="AC264" t="str">
        <f t="shared" si="100"/>
        <v>Africa → South Africa → Durban</v>
      </c>
      <c r="AD264" t="str">
        <f t="shared" si="101"/>
        <v>Devices</v>
      </c>
      <c r="AE264" s="8" t="str">
        <f t="shared" si="88"/>
        <v>High</v>
      </c>
      <c r="AF264" t="str">
        <f t="shared" si="103"/>
        <v>SOUTH AFRICA</v>
      </c>
      <c r="AG264" s="7">
        <v>44933</v>
      </c>
      <c r="AH264" t="str">
        <f t="shared" si="104"/>
        <v>Jan-2023</v>
      </c>
      <c r="AI264" s="9">
        <f t="shared" si="105"/>
        <v>45838</v>
      </c>
      <c r="AJ264">
        <f t="shared" si="109"/>
        <v>1</v>
      </c>
      <c r="AK264">
        <f t="shared" si="106"/>
        <v>0</v>
      </c>
      <c r="AL264" s="17">
        <f>MIN(N264,'Scenario Modelling'!$B$2)</f>
        <v>0.057</v>
      </c>
      <c r="AM264" s="10">
        <f>L264*(1+'Scenario Modelling'!$B$3)</f>
        <v>107.9965</v>
      </c>
      <c r="AN264">
        <f>O264*(1+'Scenario Modelling'!$B$4)</f>
        <v>7.2</v>
      </c>
      <c r="AO264" s="28">
        <f t="shared" si="107"/>
        <v>672.441984</v>
      </c>
      <c r="AP264" s="10">
        <f t="shared" si="108"/>
        <v>-105.132816</v>
      </c>
    </row>
    <row r="265" spans="1:42">
      <c r="A265" t="s">
        <v>791</v>
      </c>
      <c r="B265" s="7">
        <v>45763</v>
      </c>
      <c r="C265" s="7">
        <v>45773</v>
      </c>
      <c r="D265" t="s">
        <v>177</v>
      </c>
      <c r="E265" t="s">
        <v>186</v>
      </c>
      <c r="F265" t="s">
        <v>187</v>
      </c>
      <c r="G265" t="s">
        <v>266</v>
      </c>
      <c r="H265" t="s">
        <v>201</v>
      </c>
      <c r="I265" t="s">
        <v>245</v>
      </c>
      <c r="J265" t="s">
        <v>218</v>
      </c>
      <c r="K265" t="s">
        <v>792</v>
      </c>
      <c r="L265" s="10">
        <v>1457.44</v>
      </c>
      <c r="M265" s="10">
        <v>1996.81</v>
      </c>
      <c r="N265" s="17">
        <v>0.126</v>
      </c>
      <c r="O265">
        <v>23</v>
      </c>
      <c r="P265" t="str">
        <f t="shared" si="89"/>
        <v>Valid</v>
      </c>
      <c r="Q265" s="10">
        <f t="shared" si="90"/>
        <v>1996.81</v>
      </c>
      <c r="R265" t="b">
        <f t="shared" si="91"/>
        <v>0</v>
      </c>
      <c r="S265" s="17">
        <f t="shared" si="92"/>
        <v>0.126</v>
      </c>
      <c r="T265">
        <f t="shared" si="93"/>
        <v>10</v>
      </c>
      <c r="U265" s="26">
        <f t="shared" si="94"/>
        <v>45773</v>
      </c>
      <c r="V265">
        <f t="shared" si="95"/>
        <v>10</v>
      </c>
      <c r="W265" s="10">
        <f t="shared" si="96"/>
        <v>4586876.24462</v>
      </c>
      <c r="X265" s="10">
        <f t="shared" si="97"/>
        <v>45926.63</v>
      </c>
      <c r="Y265" s="10">
        <f t="shared" si="98"/>
        <v>4540949.61462</v>
      </c>
      <c r="Z265" s="14">
        <f t="shared" si="102"/>
        <v>0.989987384103971</v>
      </c>
      <c r="AA265" t="s">
        <v>1578</v>
      </c>
      <c r="AB265" t="str">
        <f t="shared" si="99"/>
        <v>Q2-2025</v>
      </c>
      <c r="AC265" t="str">
        <f t="shared" si="100"/>
        <v>Africa → Nigeria → Port Harcourt</v>
      </c>
      <c r="AD265" t="str">
        <f t="shared" si="101"/>
        <v>Devices</v>
      </c>
      <c r="AE265" s="8" t="str">
        <f t="shared" si="88"/>
        <v>High</v>
      </c>
      <c r="AF265" t="str">
        <f t="shared" si="103"/>
        <v>NIGERIA</v>
      </c>
      <c r="AG265" s="7">
        <v>44941</v>
      </c>
      <c r="AH265" t="str">
        <f t="shared" si="104"/>
        <v>Jan-2023</v>
      </c>
      <c r="AI265" s="9">
        <f t="shared" si="105"/>
        <v>45777</v>
      </c>
      <c r="AJ265">
        <f t="shared" si="109"/>
        <v>0</v>
      </c>
      <c r="AK265">
        <f t="shared" si="106"/>
        <v>0</v>
      </c>
      <c r="AL265" s="17">
        <f>MIN(N265,'Scenario Modelling'!$B$2)</f>
        <v>0.126</v>
      </c>
      <c r="AM265" s="10">
        <f>L265*(1+'Scenario Modelling'!$B$3)</f>
        <v>1676.056</v>
      </c>
      <c r="AN265">
        <f>O265*(1+'Scenario Modelling'!$B$4)</f>
        <v>27.6</v>
      </c>
      <c r="AO265" s="28">
        <f t="shared" si="107"/>
        <v>48167.849544</v>
      </c>
      <c r="AP265" s="10">
        <f t="shared" si="108"/>
        <v>1908.703944</v>
      </c>
    </row>
    <row r="266" spans="1:42">
      <c r="A266" t="s">
        <v>793</v>
      </c>
      <c r="B266" s="7">
        <v>45902</v>
      </c>
      <c r="C266" s="7">
        <v>45911</v>
      </c>
      <c r="D266" t="s">
        <v>213</v>
      </c>
      <c r="E266" t="s">
        <v>214</v>
      </c>
      <c r="F266" t="s">
        <v>215</v>
      </c>
      <c r="G266" t="s">
        <v>180</v>
      </c>
      <c r="H266" t="s">
        <v>216</v>
      </c>
      <c r="I266" t="s">
        <v>271</v>
      </c>
      <c r="J266" t="s">
        <v>191</v>
      </c>
      <c r="K266" t="s">
        <v>794</v>
      </c>
      <c r="L266" s="10">
        <v>1207.63</v>
      </c>
      <c r="M266" s="10">
        <v>921.68</v>
      </c>
      <c r="N266" s="17">
        <v>0.196</v>
      </c>
      <c r="O266">
        <v>17</v>
      </c>
      <c r="P266" t="str">
        <f t="shared" si="89"/>
        <v>Valid</v>
      </c>
      <c r="Q266" s="10">
        <f t="shared" si="90"/>
        <v>921.68</v>
      </c>
      <c r="R266" t="b">
        <f t="shared" si="91"/>
        <v>0</v>
      </c>
      <c r="S266" s="17">
        <f t="shared" si="92"/>
        <v>0.196</v>
      </c>
      <c r="T266">
        <f t="shared" si="93"/>
        <v>9</v>
      </c>
      <c r="U266" s="26">
        <f t="shared" si="94"/>
        <v>45911</v>
      </c>
      <c r="V266">
        <f t="shared" si="95"/>
        <v>9</v>
      </c>
      <c r="W266" s="10">
        <f t="shared" si="96"/>
        <v>1563784.96224</v>
      </c>
      <c r="X266" s="10">
        <f t="shared" si="97"/>
        <v>15668.56</v>
      </c>
      <c r="Y266" s="10">
        <f t="shared" si="98"/>
        <v>1548116.40224</v>
      </c>
      <c r="Z266" s="14">
        <f t="shared" si="102"/>
        <v>0.989980361508557</v>
      </c>
      <c r="AA266" t="s">
        <v>1570</v>
      </c>
      <c r="AB266" t="str">
        <f t="shared" si="99"/>
        <v>Q3-2025</v>
      </c>
      <c r="AC266" t="str">
        <f t="shared" si="100"/>
        <v>Americas → Canada → Toronto</v>
      </c>
      <c r="AD266" t="str">
        <f t="shared" si="101"/>
        <v>Peripherals</v>
      </c>
      <c r="AE266" s="8" t="str">
        <f t="shared" si="88"/>
        <v>High</v>
      </c>
      <c r="AF266" t="str">
        <f t="shared" si="103"/>
        <v>CANADA</v>
      </c>
      <c r="AG266" s="7">
        <v>44928</v>
      </c>
      <c r="AH266" t="str">
        <f t="shared" si="104"/>
        <v>Jan-2023</v>
      </c>
      <c r="AI266" s="9">
        <f t="shared" si="105"/>
        <v>45930</v>
      </c>
      <c r="AJ266">
        <f t="shared" si="109"/>
        <v>0</v>
      </c>
      <c r="AK266">
        <f t="shared" si="106"/>
        <v>0</v>
      </c>
      <c r="AL266" s="17">
        <f>MIN(N266,'Scenario Modelling'!$B$2)</f>
        <v>0.196</v>
      </c>
      <c r="AM266" s="10">
        <f>L266*(1+'Scenario Modelling'!$B$3)</f>
        <v>1388.7745</v>
      </c>
      <c r="AN266">
        <f>O266*(1+'Scenario Modelling'!$B$4)</f>
        <v>20.4</v>
      </c>
      <c r="AO266" s="28">
        <f t="shared" si="107"/>
        <v>15117.026688</v>
      </c>
      <c r="AP266" s="10">
        <f t="shared" si="108"/>
        <v>-13213.973112</v>
      </c>
    </row>
    <row r="267" spans="1:42">
      <c r="A267" t="s">
        <v>795</v>
      </c>
      <c r="B267" s="7">
        <v>45573</v>
      </c>
      <c r="C267" s="7">
        <v>45573</v>
      </c>
      <c r="D267" t="s">
        <v>239</v>
      </c>
      <c r="E267" t="s">
        <v>269</v>
      </c>
      <c r="F267" t="s">
        <v>313</v>
      </c>
      <c r="G267" t="s">
        <v>180</v>
      </c>
      <c r="H267" t="s">
        <v>189</v>
      </c>
      <c r="I267" t="s">
        <v>224</v>
      </c>
      <c r="J267" t="s">
        <v>225</v>
      </c>
      <c r="K267" t="s">
        <v>796</v>
      </c>
      <c r="L267" s="10">
        <v>1108.11</v>
      </c>
      <c r="M267" s="10">
        <v>2503.79</v>
      </c>
      <c r="N267" s="17">
        <v>0.184</v>
      </c>
      <c r="O267">
        <v>19</v>
      </c>
      <c r="P267" t="str">
        <f t="shared" si="89"/>
        <v>Valid</v>
      </c>
      <c r="Q267" s="10">
        <f t="shared" si="90"/>
        <v>2503.79</v>
      </c>
      <c r="R267" t="b">
        <f t="shared" si="91"/>
        <v>0</v>
      </c>
      <c r="S267" s="17">
        <f t="shared" si="92"/>
        <v>0.184</v>
      </c>
      <c r="T267">
        <f t="shared" si="93"/>
        <v>0</v>
      </c>
      <c r="U267" s="26">
        <f t="shared" si="94"/>
        <v>45573</v>
      </c>
      <c r="V267">
        <f t="shared" si="95"/>
        <v>0</v>
      </c>
      <c r="W267" s="10">
        <f t="shared" si="96"/>
        <v>4748447.75016</v>
      </c>
      <c r="X267" s="10">
        <f t="shared" si="97"/>
        <v>47572.01</v>
      </c>
      <c r="Y267" s="10">
        <f t="shared" si="98"/>
        <v>4700875.74016</v>
      </c>
      <c r="Z267" s="14">
        <f t="shared" si="102"/>
        <v>0.98998156608159</v>
      </c>
      <c r="AA267" t="s">
        <v>1561</v>
      </c>
      <c r="AB267" t="str">
        <f t="shared" si="99"/>
        <v>Q4-2024</v>
      </c>
      <c r="AC267" t="str">
        <f t="shared" si="100"/>
        <v>Europe → United Kingdom → London</v>
      </c>
      <c r="AD267" t="str">
        <f t="shared" si="101"/>
        <v>Peripherals</v>
      </c>
      <c r="AE267" s="8" t="str">
        <f t="shared" si="88"/>
        <v>Medium</v>
      </c>
      <c r="AF267" t="str">
        <f t="shared" si="103"/>
        <v>UNITED KINGDOM</v>
      </c>
      <c r="AG267" s="7">
        <v>44945</v>
      </c>
      <c r="AH267" t="str">
        <f t="shared" si="104"/>
        <v>Jan-2023</v>
      </c>
      <c r="AI267" s="9">
        <f t="shared" si="105"/>
        <v>45596</v>
      </c>
      <c r="AJ267">
        <f t="shared" si="109"/>
        <v>1</v>
      </c>
      <c r="AK267">
        <f t="shared" si="106"/>
        <v>0</v>
      </c>
      <c r="AL267" s="17">
        <f>MIN(N267,'Scenario Modelling'!$B$2)</f>
        <v>0.184</v>
      </c>
      <c r="AM267" s="10">
        <f>L267*(1+'Scenario Modelling'!$B$3)</f>
        <v>1274.3265</v>
      </c>
      <c r="AN267">
        <f>O267*(1+'Scenario Modelling'!$B$4)</f>
        <v>22.8</v>
      </c>
      <c r="AO267" s="28">
        <f t="shared" si="107"/>
        <v>46582.512192</v>
      </c>
      <c r="AP267" s="10">
        <f t="shared" si="108"/>
        <v>17527.867992</v>
      </c>
    </row>
    <row r="268" spans="1:42">
      <c r="A268" t="s">
        <v>797</v>
      </c>
      <c r="B268" s="7">
        <v>45053</v>
      </c>
      <c r="C268" s="7">
        <v>45051</v>
      </c>
      <c r="D268" t="s">
        <v>177</v>
      </c>
      <c r="E268" t="s">
        <v>186</v>
      </c>
      <c r="F268" t="s">
        <v>187</v>
      </c>
      <c r="G268" t="s">
        <v>200</v>
      </c>
      <c r="H268" t="s">
        <v>201</v>
      </c>
      <c r="I268" t="s">
        <v>236</v>
      </c>
      <c r="J268" t="s">
        <v>183</v>
      </c>
      <c r="K268" t="s">
        <v>798</v>
      </c>
      <c r="L268" s="10">
        <v>1269.65</v>
      </c>
      <c r="M268" s="10">
        <v>2462.77</v>
      </c>
      <c r="N268" s="17">
        <v>0.107</v>
      </c>
      <c r="O268">
        <v>8</v>
      </c>
      <c r="P268" t="str">
        <f t="shared" si="89"/>
        <v>Valid</v>
      </c>
      <c r="Q268" s="10">
        <f t="shared" si="90"/>
        <v>2462.77</v>
      </c>
      <c r="R268" t="b">
        <f t="shared" si="91"/>
        <v>0</v>
      </c>
      <c r="S268" s="17">
        <f t="shared" si="92"/>
        <v>0.107</v>
      </c>
      <c r="T268">
        <f t="shared" si="93"/>
        <v>-2</v>
      </c>
      <c r="U268" s="26">
        <f t="shared" si="94"/>
        <v>45060</v>
      </c>
      <c r="V268">
        <f t="shared" si="95"/>
        <v>7</v>
      </c>
      <c r="W268" s="10">
        <f t="shared" si="96"/>
        <v>1968107.86888</v>
      </c>
      <c r="X268" s="10">
        <f t="shared" si="97"/>
        <v>19702.16</v>
      </c>
      <c r="Y268" s="10">
        <f t="shared" si="98"/>
        <v>1948405.70888</v>
      </c>
      <c r="Z268" s="14">
        <f t="shared" si="102"/>
        <v>0.989989288538736</v>
      </c>
      <c r="AA268" t="s">
        <v>1574</v>
      </c>
      <c r="AB268" t="str">
        <f t="shared" si="99"/>
        <v>Q2-2023</v>
      </c>
      <c r="AC268" t="str">
        <f t="shared" si="100"/>
        <v>Africa → Nigeria → Port Harcourt</v>
      </c>
      <c r="AD268" t="str">
        <f t="shared" si="101"/>
        <v>Support</v>
      </c>
      <c r="AE268" s="8" t="str">
        <f t="shared" si="88"/>
        <v>Low</v>
      </c>
      <c r="AF268" t="str">
        <f t="shared" si="103"/>
        <v>NIGERIA</v>
      </c>
      <c r="AG268" s="7">
        <v>44941</v>
      </c>
      <c r="AH268" t="str">
        <f t="shared" si="104"/>
        <v>Jan-2023</v>
      </c>
      <c r="AI268" s="9">
        <f t="shared" si="105"/>
        <v>45077</v>
      </c>
      <c r="AJ268">
        <f t="shared" si="109"/>
        <v>1</v>
      </c>
      <c r="AK268">
        <f t="shared" si="106"/>
        <v>0</v>
      </c>
      <c r="AL268" s="17">
        <f>MIN(N268,'Scenario Modelling'!$B$2)</f>
        <v>0.107</v>
      </c>
      <c r="AM268" s="10">
        <f>L268*(1+'Scenario Modelling'!$B$3)</f>
        <v>1460.0975</v>
      </c>
      <c r="AN268">
        <f>O268*(1+'Scenario Modelling'!$B$4)</f>
        <v>9.6</v>
      </c>
      <c r="AO268" s="28">
        <f t="shared" si="107"/>
        <v>21112.834656</v>
      </c>
      <c r="AP268" s="10">
        <f t="shared" si="108"/>
        <v>7095.898656</v>
      </c>
    </row>
    <row r="269" spans="1:42">
      <c r="A269" t="s">
        <v>799</v>
      </c>
      <c r="B269" s="7">
        <v>45284</v>
      </c>
      <c r="C269" s="7">
        <v>45292</v>
      </c>
      <c r="D269" t="s">
        <v>213</v>
      </c>
      <c r="E269" t="s">
        <v>234</v>
      </c>
      <c r="F269" t="s">
        <v>235</v>
      </c>
      <c r="G269" t="s">
        <v>188</v>
      </c>
      <c r="H269" t="s">
        <v>259</v>
      </c>
      <c r="I269" t="s">
        <v>182</v>
      </c>
      <c r="J269" t="s">
        <v>203</v>
      </c>
      <c r="K269" t="s">
        <v>800</v>
      </c>
      <c r="L269" s="10">
        <v>526.49</v>
      </c>
      <c r="M269" s="10">
        <v>496.2</v>
      </c>
      <c r="N269" s="17">
        <v>0</v>
      </c>
      <c r="O269">
        <v>14</v>
      </c>
      <c r="P269" t="str">
        <f t="shared" si="89"/>
        <v>Valid</v>
      </c>
      <c r="Q269" s="10">
        <f t="shared" si="90"/>
        <v>496.2</v>
      </c>
      <c r="R269" t="b">
        <f t="shared" si="91"/>
        <v>0</v>
      </c>
      <c r="S269" s="17">
        <f t="shared" si="92"/>
        <v>0</v>
      </c>
      <c r="T269">
        <f t="shared" si="93"/>
        <v>8</v>
      </c>
      <c r="U269" s="26">
        <f t="shared" si="94"/>
        <v>45292</v>
      </c>
      <c r="V269">
        <f t="shared" si="95"/>
        <v>8</v>
      </c>
      <c r="W269" s="10">
        <f t="shared" si="96"/>
        <v>694680</v>
      </c>
      <c r="X269" s="10">
        <f t="shared" si="97"/>
        <v>6946.8</v>
      </c>
      <c r="Y269" s="10">
        <f t="shared" si="98"/>
        <v>687733.2</v>
      </c>
      <c r="Z269" s="14">
        <f t="shared" si="102"/>
        <v>0.99</v>
      </c>
      <c r="AA269" t="s">
        <v>1587</v>
      </c>
      <c r="AB269" t="str">
        <f t="shared" si="99"/>
        <v>Q4-2023</v>
      </c>
      <c r="AC269" t="str">
        <f t="shared" si="100"/>
        <v>Americas → Brazil → São Paulo</v>
      </c>
      <c r="AD269" t="str">
        <f t="shared" si="101"/>
        <v>Devices</v>
      </c>
      <c r="AE269" s="8" t="str">
        <f t="shared" si="88"/>
        <v>Medium</v>
      </c>
      <c r="AF269" t="str">
        <f t="shared" si="103"/>
        <v>BRAZIL</v>
      </c>
      <c r="AG269" s="7">
        <v>44955</v>
      </c>
      <c r="AH269" t="str">
        <f t="shared" si="104"/>
        <v>Jan-2023</v>
      </c>
      <c r="AI269" s="9">
        <f t="shared" si="105"/>
        <v>45291</v>
      </c>
      <c r="AJ269">
        <f t="shared" si="109"/>
        <v>0</v>
      </c>
      <c r="AK269">
        <f t="shared" si="106"/>
        <v>0</v>
      </c>
      <c r="AL269" s="17">
        <f>MIN(N269,'Scenario Modelling'!$B$2)</f>
        <v>0</v>
      </c>
      <c r="AM269" s="10">
        <f>L269*(1+'Scenario Modelling'!$B$3)</f>
        <v>605.4635</v>
      </c>
      <c r="AN269">
        <f>O269*(1+'Scenario Modelling'!$B$4)</f>
        <v>16.8</v>
      </c>
      <c r="AO269" s="28">
        <f t="shared" si="107"/>
        <v>8336.16</v>
      </c>
      <c r="AP269" s="10">
        <f t="shared" si="108"/>
        <v>-1835.6268</v>
      </c>
    </row>
    <row r="270" spans="1:42">
      <c r="A270" t="s">
        <v>801</v>
      </c>
      <c r="B270" s="7">
        <v>45301</v>
      </c>
      <c r="C270" s="7">
        <v>45314</v>
      </c>
      <c r="D270" t="s">
        <v>239</v>
      </c>
      <c r="E270" t="s">
        <v>251</v>
      </c>
      <c r="F270" t="s">
        <v>252</v>
      </c>
      <c r="G270" t="s">
        <v>180</v>
      </c>
      <c r="H270" t="s">
        <v>259</v>
      </c>
      <c r="I270" t="s">
        <v>236</v>
      </c>
      <c r="J270" t="s">
        <v>191</v>
      </c>
      <c r="K270" t="s">
        <v>802</v>
      </c>
      <c r="L270" s="10">
        <v>720</v>
      </c>
      <c r="M270" s="10">
        <v>907.59</v>
      </c>
      <c r="N270" s="17">
        <v>0.154</v>
      </c>
      <c r="O270">
        <v>10</v>
      </c>
      <c r="P270" t="str">
        <f t="shared" si="89"/>
        <v>Valid</v>
      </c>
      <c r="Q270" s="10">
        <f t="shared" si="90"/>
        <v>907.59</v>
      </c>
      <c r="R270" t="b">
        <f t="shared" si="91"/>
        <v>0</v>
      </c>
      <c r="S270" s="17">
        <f t="shared" si="92"/>
        <v>0.154</v>
      </c>
      <c r="T270">
        <f t="shared" si="93"/>
        <v>13</v>
      </c>
      <c r="U270" s="26">
        <f t="shared" si="94"/>
        <v>45314</v>
      </c>
      <c r="V270">
        <f t="shared" si="95"/>
        <v>13</v>
      </c>
      <c r="W270" s="10">
        <f t="shared" si="96"/>
        <v>906192.3114</v>
      </c>
      <c r="X270" s="10">
        <f t="shared" si="97"/>
        <v>9075.9</v>
      </c>
      <c r="Y270" s="10">
        <f t="shared" si="98"/>
        <v>897116.4114</v>
      </c>
      <c r="Z270" s="14">
        <f t="shared" si="102"/>
        <v>0.989984576247421</v>
      </c>
      <c r="AA270" t="s">
        <v>1568</v>
      </c>
      <c r="AB270" t="str">
        <f t="shared" si="99"/>
        <v>Q1-2024</v>
      </c>
      <c r="AC270" t="str">
        <f t="shared" si="100"/>
        <v>Europe → France → Marseille</v>
      </c>
      <c r="AD270" t="str">
        <f t="shared" si="101"/>
        <v>Peripherals</v>
      </c>
      <c r="AE270" s="8" t="str">
        <f t="shared" si="88"/>
        <v>Medium</v>
      </c>
      <c r="AF270" t="str">
        <f t="shared" si="103"/>
        <v>FRANCE</v>
      </c>
      <c r="AG270" s="7">
        <v>44936</v>
      </c>
      <c r="AH270" t="str">
        <f t="shared" si="104"/>
        <v>Jan-2023</v>
      </c>
      <c r="AI270" s="9">
        <f t="shared" si="105"/>
        <v>45322</v>
      </c>
      <c r="AJ270">
        <f t="shared" si="109"/>
        <v>0</v>
      </c>
      <c r="AK270">
        <f t="shared" si="106"/>
        <v>0</v>
      </c>
      <c r="AL270" s="17">
        <f>MIN(N270,'Scenario Modelling'!$B$2)</f>
        <v>0.154</v>
      </c>
      <c r="AM270" s="10">
        <f>L270*(1+'Scenario Modelling'!$B$3)</f>
        <v>828</v>
      </c>
      <c r="AN270">
        <f>O270*(1+'Scenario Modelling'!$B$4)</f>
        <v>12</v>
      </c>
      <c r="AO270" s="28">
        <f t="shared" si="107"/>
        <v>9213.85368</v>
      </c>
      <c r="AP270" s="10">
        <f t="shared" si="108"/>
        <v>-722.146319999998</v>
      </c>
    </row>
    <row r="271" spans="1:42">
      <c r="A271" t="s">
        <v>803</v>
      </c>
      <c r="B271" s="7">
        <v>45141</v>
      </c>
      <c r="C271" s="7">
        <v>45152</v>
      </c>
      <c r="D271" t="s">
        <v>213</v>
      </c>
      <c r="E271" t="s">
        <v>234</v>
      </c>
      <c r="F271" t="s">
        <v>248</v>
      </c>
      <c r="G271" t="s">
        <v>180</v>
      </c>
      <c r="H271" t="s">
        <v>259</v>
      </c>
      <c r="I271" t="s">
        <v>190</v>
      </c>
      <c r="J271" t="s">
        <v>242</v>
      </c>
      <c r="K271" t="s">
        <v>804</v>
      </c>
      <c r="L271" s="10">
        <v>232.73</v>
      </c>
      <c r="M271" s="10">
        <v>334.19</v>
      </c>
      <c r="N271" s="17">
        <v>0.134</v>
      </c>
      <c r="O271">
        <v>25</v>
      </c>
      <c r="P271" t="str">
        <f t="shared" si="89"/>
        <v>Valid</v>
      </c>
      <c r="Q271" s="10">
        <f t="shared" si="90"/>
        <v>334.19</v>
      </c>
      <c r="R271" t="b">
        <f t="shared" si="91"/>
        <v>0</v>
      </c>
      <c r="S271" s="17">
        <f t="shared" si="92"/>
        <v>0.134</v>
      </c>
      <c r="T271">
        <f t="shared" si="93"/>
        <v>11</v>
      </c>
      <c r="U271" s="26">
        <f t="shared" si="94"/>
        <v>45152</v>
      </c>
      <c r="V271">
        <f t="shared" si="95"/>
        <v>11</v>
      </c>
      <c r="W271" s="10">
        <f t="shared" si="96"/>
        <v>834355.4635</v>
      </c>
      <c r="X271" s="10">
        <f t="shared" si="97"/>
        <v>8354.75</v>
      </c>
      <c r="Y271" s="10">
        <f t="shared" si="98"/>
        <v>826000.7135</v>
      </c>
      <c r="Z271" s="14">
        <f t="shared" si="102"/>
        <v>0.989986582019907</v>
      </c>
      <c r="AA271" t="s">
        <v>1585</v>
      </c>
      <c r="AB271" t="str">
        <f t="shared" si="99"/>
        <v>Q3-2023</v>
      </c>
      <c r="AC271" t="str">
        <f t="shared" si="100"/>
        <v>Americas → Brazil → Brasília</v>
      </c>
      <c r="AD271" t="str">
        <f t="shared" si="101"/>
        <v>Support</v>
      </c>
      <c r="AE271" s="8" t="str">
        <f t="shared" si="88"/>
        <v>Low</v>
      </c>
      <c r="AF271" t="str">
        <f t="shared" si="103"/>
        <v>BRAZIL</v>
      </c>
      <c r="AG271" s="7">
        <v>44955</v>
      </c>
      <c r="AH271" t="str">
        <f t="shared" si="104"/>
        <v>Jan-2023</v>
      </c>
      <c r="AI271" s="9">
        <f t="shared" si="105"/>
        <v>45169</v>
      </c>
      <c r="AJ271">
        <f t="shared" si="109"/>
        <v>0</v>
      </c>
      <c r="AK271">
        <f t="shared" si="106"/>
        <v>0</v>
      </c>
      <c r="AL271" s="17">
        <f>MIN(N271,'Scenario Modelling'!$B$2)</f>
        <v>0.134</v>
      </c>
      <c r="AM271" s="10">
        <f>L271*(1+'Scenario Modelling'!$B$3)</f>
        <v>267.6395</v>
      </c>
      <c r="AN271">
        <f>O271*(1+'Scenario Modelling'!$B$4)</f>
        <v>30</v>
      </c>
      <c r="AO271" s="28">
        <f t="shared" si="107"/>
        <v>8682.2562</v>
      </c>
      <c r="AP271" s="10">
        <f t="shared" si="108"/>
        <v>653.071200000002</v>
      </c>
    </row>
    <row r="272" spans="1:42">
      <c r="A272" t="s">
        <v>805</v>
      </c>
      <c r="B272" s="7">
        <v>45707</v>
      </c>
      <c r="C272" s="7">
        <v>45725</v>
      </c>
      <c r="D272" t="s">
        <v>206</v>
      </c>
      <c r="E272" t="s">
        <v>221</v>
      </c>
      <c r="F272" t="s">
        <v>302</v>
      </c>
      <c r="G272" t="s">
        <v>223</v>
      </c>
      <c r="H272" t="s">
        <v>259</v>
      </c>
      <c r="I272" t="s">
        <v>229</v>
      </c>
      <c r="J272" t="s">
        <v>225</v>
      </c>
      <c r="K272" t="s">
        <v>806</v>
      </c>
      <c r="L272" s="10">
        <v>325.87</v>
      </c>
      <c r="M272" s="10">
        <v>538.79</v>
      </c>
      <c r="N272" s="17">
        <v>0.174</v>
      </c>
      <c r="O272">
        <v>16</v>
      </c>
      <c r="P272" t="str">
        <f t="shared" si="89"/>
        <v>Valid</v>
      </c>
      <c r="Q272" s="10">
        <f t="shared" si="90"/>
        <v>538.79</v>
      </c>
      <c r="R272" t="b">
        <f t="shared" si="91"/>
        <v>0</v>
      </c>
      <c r="S272" s="17">
        <f t="shared" si="92"/>
        <v>0.174</v>
      </c>
      <c r="T272">
        <f t="shared" si="93"/>
        <v>18</v>
      </c>
      <c r="U272" s="26">
        <f t="shared" si="94"/>
        <v>45725</v>
      </c>
      <c r="V272">
        <f t="shared" si="95"/>
        <v>18</v>
      </c>
      <c r="W272" s="10">
        <f t="shared" si="96"/>
        <v>860564.00864</v>
      </c>
      <c r="X272" s="10">
        <f t="shared" si="97"/>
        <v>8620.64</v>
      </c>
      <c r="Y272" s="10">
        <f t="shared" si="98"/>
        <v>851943.36864</v>
      </c>
      <c r="Z272" s="14">
        <f t="shared" si="102"/>
        <v>0.989982569671228</v>
      </c>
      <c r="AA272" t="s">
        <v>1586</v>
      </c>
      <c r="AB272" t="str">
        <f t="shared" si="99"/>
        <v>Q1-2025</v>
      </c>
      <c r="AC272" t="str">
        <f t="shared" si="100"/>
        <v>Asia → India → Delhi</v>
      </c>
      <c r="AD272" t="str">
        <f t="shared" si="101"/>
        <v>Peripherals</v>
      </c>
      <c r="AE272" s="8" t="str">
        <f t="shared" si="88"/>
        <v>High</v>
      </c>
      <c r="AF272" t="str">
        <f t="shared" si="103"/>
        <v>INDIA</v>
      </c>
      <c r="AG272" s="7">
        <v>44955</v>
      </c>
      <c r="AH272" t="str">
        <f t="shared" si="104"/>
        <v>Jan-2023</v>
      </c>
      <c r="AI272" s="9">
        <f t="shared" si="105"/>
        <v>45716</v>
      </c>
      <c r="AJ272">
        <f t="shared" si="109"/>
        <v>0</v>
      </c>
      <c r="AK272">
        <f t="shared" si="106"/>
        <v>0</v>
      </c>
      <c r="AL272" s="17">
        <f>MIN(N272,'Scenario Modelling'!$B$2)</f>
        <v>0.174</v>
      </c>
      <c r="AM272" s="10">
        <f>L272*(1+'Scenario Modelling'!$B$3)</f>
        <v>374.7505</v>
      </c>
      <c r="AN272">
        <f>O272*(1+'Scenario Modelling'!$B$4)</f>
        <v>19.2</v>
      </c>
      <c r="AO272" s="28">
        <f t="shared" si="107"/>
        <v>8544.778368</v>
      </c>
      <c r="AP272" s="10">
        <f t="shared" si="108"/>
        <v>1349.568768</v>
      </c>
    </row>
    <row r="273" spans="1:42">
      <c r="A273" t="s">
        <v>807</v>
      </c>
      <c r="B273" s="7">
        <v>45382</v>
      </c>
      <c r="C273" s="7">
        <v>45399</v>
      </c>
      <c r="D273" t="s">
        <v>239</v>
      </c>
      <c r="E273" t="s">
        <v>240</v>
      </c>
      <c r="F273" t="s">
        <v>496</v>
      </c>
      <c r="G273" t="s">
        <v>188</v>
      </c>
      <c r="H273" t="s">
        <v>259</v>
      </c>
      <c r="I273" t="s">
        <v>253</v>
      </c>
      <c r="J273" t="s">
        <v>225</v>
      </c>
      <c r="K273" t="s">
        <v>808</v>
      </c>
      <c r="L273" s="10">
        <v>1025.51</v>
      </c>
      <c r="M273" s="10">
        <v>1436.54</v>
      </c>
      <c r="N273" s="17">
        <v>0.139</v>
      </c>
      <c r="O273">
        <v>28</v>
      </c>
      <c r="P273" t="str">
        <f t="shared" si="89"/>
        <v>Valid</v>
      </c>
      <c r="Q273" s="10">
        <f t="shared" si="90"/>
        <v>1436.54</v>
      </c>
      <c r="R273" t="b">
        <f t="shared" si="91"/>
        <v>0</v>
      </c>
      <c r="S273" s="17">
        <f t="shared" si="92"/>
        <v>0.139</v>
      </c>
      <c r="T273">
        <f t="shared" si="93"/>
        <v>17</v>
      </c>
      <c r="U273" s="26">
        <f t="shared" si="94"/>
        <v>45399</v>
      </c>
      <c r="V273">
        <f t="shared" si="95"/>
        <v>17</v>
      </c>
      <c r="W273" s="10">
        <f t="shared" si="96"/>
        <v>4016720.98632</v>
      </c>
      <c r="X273" s="10">
        <f t="shared" si="97"/>
        <v>40223.12</v>
      </c>
      <c r="Y273" s="10">
        <f t="shared" si="98"/>
        <v>3976497.86632</v>
      </c>
      <c r="Z273" s="14">
        <f t="shared" si="102"/>
        <v>0.989986080652106</v>
      </c>
      <c r="AA273" t="s">
        <v>1560</v>
      </c>
      <c r="AB273" t="str">
        <f t="shared" si="99"/>
        <v>Q1-2024</v>
      </c>
      <c r="AC273" t="str">
        <f t="shared" si="100"/>
        <v>Europe → Germany → Frankfurt</v>
      </c>
      <c r="AD273" t="str">
        <f t="shared" si="101"/>
        <v>Peripherals</v>
      </c>
      <c r="AE273" s="8" t="str">
        <f t="shared" si="88"/>
        <v>Medium</v>
      </c>
      <c r="AF273" t="str">
        <f t="shared" si="103"/>
        <v>GERMANY</v>
      </c>
      <c r="AG273" s="7">
        <v>44948</v>
      </c>
      <c r="AH273" t="str">
        <f t="shared" si="104"/>
        <v>Jan-2023</v>
      </c>
      <c r="AI273" s="9">
        <f t="shared" si="105"/>
        <v>45382</v>
      </c>
      <c r="AJ273">
        <f t="shared" si="109"/>
        <v>0</v>
      </c>
      <c r="AK273">
        <f t="shared" si="106"/>
        <v>0</v>
      </c>
      <c r="AL273" s="17">
        <f>MIN(N273,'Scenario Modelling'!$B$2)</f>
        <v>0.139</v>
      </c>
      <c r="AM273" s="10">
        <f>L273*(1+'Scenario Modelling'!$B$3)</f>
        <v>1179.3365</v>
      </c>
      <c r="AN273">
        <f>O273*(1+'Scenario Modelling'!$B$4)</f>
        <v>33.6</v>
      </c>
      <c r="AO273" s="28">
        <f t="shared" si="107"/>
        <v>41558.527584</v>
      </c>
      <c r="AP273" s="10">
        <f t="shared" si="108"/>
        <v>1932.821184</v>
      </c>
    </row>
    <row r="274" spans="1:42">
      <c r="A274" t="s">
        <v>809</v>
      </c>
      <c r="B274" s="7">
        <v>45131</v>
      </c>
      <c r="C274" s="7">
        <v>45151</v>
      </c>
      <c r="D274" t="s">
        <v>213</v>
      </c>
      <c r="E274" t="s">
        <v>214</v>
      </c>
      <c r="F274" t="s">
        <v>305</v>
      </c>
      <c r="G274" t="s">
        <v>188</v>
      </c>
      <c r="H274" t="s">
        <v>259</v>
      </c>
      <c r="I274" t="s">
        <v>182</v>
      </c>
      <c r="J274" t="s">
        <v>225</v>
      </c>
      <c r="K274" t="s">
        <v>810</v>
      </c>
      <c r="L274" s="10">
        <v>1082.38</v>
      </c>
      <c r="M274" s="10">
        <v>1766.55</v>
      </c>
      <c r="N274" s="17">
        <v>0.164</v>
      </c>
      <c r="O274">
        <v>20</v>
      </c>
      <c r="P274" t="str">
        <f t="shared" si="89"/>
        <v>Valid</v>
      </c>
      <c r="Q274" s="10">
        <f t="shared" si="90"/>
        <v>1766.55</v>
      </c>
      <c r="R274" t="b">
        <f t="shared" si="91"/>
        <v>0</v>
      </c>
      <c r="S274" s="17">
        <f t="shared" si="92"/>
        <v>0.164</v>
      </c>
      <c r="T274">
        <f t="shared" si="93"/>
        <v>20</v>
      </c>
      <c r="U274" s="26">
        <f t="shared" si="94"/>
        <v>45151</v>
      </c>
      <c r="V274">
        <f t="shared" si="95"/>
        <v>20</v>
      </c>
      <c r="W274" s="10">
        <f t="shared" si="96"/>
        <v>3527305.716</v>
      </c>
      <c r="X274" s="10">
        <f t="shared" si="97"/>
        <v>35331</v>
      </c>
      <c r="Y274" s="10">
        <f t="shared" si="98"/>
        <v>3491974.716</v>
      </c>
      <c r="Z274" s="14">
        <f t="shared" si="102"/>
        <v>0.989983573059818</v>
      </c>
      <c r="AA274" t="s">
        <v>1584</v>
      </c>
      <c r="AB274" t="str">
        <f t="shared" si="99"/>
        <v>Q3-2023</v>
      </c>
      <c r="AC274" t="str">
        <f t="shared" si="100"/>
        <v>Americas → Canada → Montreal</v>
      </c>
      <c r="AD274" t="str">
        <f t="shared" si="101"/>
        <v>Peripherals</v>
      </c>
      <c r="AE274" s="8" t="str">
        <f t="shared" si="88"/>
        <v>Low</v>
      </c>
      <c r="AF274" t="str">
        <f t="shared" si="103"/>
        <v>CANADA</v>
      </c>
      <c r="AG274" s="7">
        <v>44928</v>
      </c>
      <c r="AH274" t="str">
        <f t="shared" si="104"/>
        <v>Jan-2023</v>
      </c>
      <c r="AI274" s="9">
        <f t="shared" si="105"/>
        <v>45138</v>
      </c>
      <c r="AJ274">
        <f t="shared" si="109"/>
        <v>0</v>
      </c>
      <c r="AK274">
        <f t="shared" si="106"/>
        <v>0</v>
      </c>
      <c r="AL274" s="17">
        <f>MIN(N274,'Scenario Modelling'!$B$2)</f>
        <v>0.164</v>
      </c>
      <c r="AM274" s="10">
        <f>L274*(1+'Scenario Modelling'!$B$3)</f>
        <v>1244.737</v>
      </c>
      <c r="AN274">
        <f>O274*(1+'Scenario Modelling'!$B$4)</f>
        <v>24</v>
      </c>
      <c r="AO274" s="28">
        <f t="shared" si="107"/>
        <v>35444.0592</v>
      </c>
      <c r="AP274" s="10">
        <f t="shared" si="108"/>
        <v>5570.37119999999</v>
      </c>
    </row>
    <row r="275" spans="1:42">
      <c r="A275" t="s">
        <v>811</v>
      </c>
      <c r="B275" s="7">
        <v>45367</v>
      </c>
      <c r="C275" s="7">
        <v>45395</v>
      </c>
      <c r="D275" t="s">
        <v>239</v>
      </c>
      <c r="E275" t="s">
        <v>251</v>
      </c>
      <c r="F275" t="s">
        <v>378</v>
      </c>
      <c r="G275" t="s">
        <v>223</v>
      </c>
      <c r="H275" t="s">
        <v>189</v>
      </c>
      <c r="I275" t="s">
        <v>256</v>
      </c>
      <c r="J275" t="s">
        <v>191</v>
      </c>
      <c r="K275" t="s">
        <v>812</v>
      </c>
      <c r="L275" s="10">
        <v>287.61</v>
      </c>
      <c r="M275" s="10">
        <v>628.54</v>
      </c>
      <c r="N275" s="17">
        <v>0.135</v>
      </c>
      <c r="O275">
        <v>21</v>
      </c>
      <c r="P275" t="str">
        <f t="shared" si="89"/>
        <v>Valid</v>
      </c>
      <c r="Q275" s="10">
        <f t="shared" si="90"/>
        <v>628.54</v>
      </c>
      <c r="R275" t="b">
        <f t="shared" si="91"/>
        <v>0</v>
      </c>
      <c r="S275" s="17">
        <f t="shared" si="92"/>
        <v>0.135</v>
      </c>
      <c r="T275">
        <f t="shared" si="93"/>
        <v>28</v>
      </c>
      <c r="U275" s="26">
        <f t="shared" si="94"/>
        <v>45395</v>
      </c>
      <c r="V275">
        <f t="shared" si="95"/>
        <v>28</v>
      </c>
      <c r="W275" s="10">
        <f t="shared" si="96"/>
        <v>1318152.0891</v>
      </c>
      <c r="X275" s="10">
        <f t="shared" si="97"/>
        <v>13199.34</v>
      </c>
      <c r="Y275" s="10">
        <f t="shared" si="98"/>
        <v>1304952.7491</v>
      </c>
      <c r="Z275" s="14">
        <f t="shared" si="102"/>
        <v>0.989986481750363</v>
      </c>
      <c r="AA275" t="s">
        <v>1560</v>
      </c>
      <c r="AB275" t="str">
        <f t="shared" si="99"/>
        <v>Q1-2024</v>
      </c>
      <c r="AC275" t="str">
        <f t="shared" si="100"/>
        <v>Europe → France → Paris</v>
      </c>
      <c r="AD275" t="str">
        <f t="shared" si="101"/>
        <v>Peripherals</v>
      </c>
      <c r="AE275" s="8" t="str">
        <f t="shared" si="88"/>
        <v>Medium</v>
      </c>
      <c r="AF275" t="str">
        <f t="shared" si="103"/>
        <v>FRANCE</v>
      </c>
      <c r="AG275" s="7">
        <v>44936</v>
      </c>
      <c r="AH275" t="str">
        <f t="shared" si="104"/>
        <v>Jan-2023</v>
      </c>
      <c r="AI275" s="9">
        <f t="shared" si="105"/>
        <v>45382</v>
      </c>
      <c r="AJ275">
        <f t="shared" si="109"/>
        <v>0</v>
      </c>
      <c r="AK275">
        <f t="shared" si="106"/>
        <v>0</v>
      </c>
      <c r="AL275" s="17">
        <f>MIN(N275,'Scenario Modelling'!$B$2)</f>
        <v>0.135</v>
      </c>
      <c r="AM275" s="10">
        <f>L275*(1+'Scenario Modelling'!$B$3)</f>
        <v>330.7515</v>
      </c>
      <c r="AN275">
        <f>O275*(1+'Scenario Modelling'!$B$4)</f>
        <v>25.2</v>
      </c>
      <c r="AO275" s="28">
        <f t="shared" si="107"/>
        <v>13700.91492</v>
      </c>
      <c r="AP275" s="10">
        <f t="shared" si="108"/>
        <v>5365.97712</v>
      </c>
    </row>
    <row r="276" spans="1:42">
      <c r="A276" t="s">
        <v>813</v>
      </c>
      <c r="B276" s="7">
        <v>45316</v>
      </c>
      <c r="C276" s="7">
        <v>45318</v>
      </c>
      <c r="D276" t="s">
        <v>213</v>
      </c>
      <c r="E276" t="s">
        <v>234</v>
      </c>
      <c r="F276" t="s">
        <v>235</v>
      </c>
      <c r="G276" t="s">
        <v>200</v>
      </c>
      <c r="H276" t="s">
        <v>201</v>
      </c>
      <c r="I276" t="s">
        <v>287</v>
      </c>
      <c r="J276" t="s">
        <v>218</v>
      </c>
      <c r="K276" t="s">
        <v>814</v>
      </c>
      <c r="L276" s="10">
        <v>1410.97</v>
      </c>
      <c r="M276" s="10">
        <v>1650.75</v>
      </c>
      <c r="N276" s="17">
        <v>0.135</v>
      </c>
      <c r="O276">
        <v>6</v>
      </c>
      <c r="P276" t="str">
        <f t="shared" si="89"/>
        <v>Valid</v>
      </c>
      <c r="Q276" s="10">
        <f t="shared" si="90"/>
        <v>1650.75</v>
      </c>
      <c r="R276" t="b">
        <f t="shared" si="91"/>
        <v>0</v>
      </c>
      <c r="S276" s="17">
        <f t="shared" si="92"/>
        <v>0.135</v>
      </c>
      <c r="T276">
        <f t="shared" si="93"/>
        <v>2</v>
      </c>
      <c r="U276" s="26">
        <f t="shared" si="94"/>
        <v>45318</v>
      </c>
      <c r="V276">
        <f t="shared" si="95"/>
        <v>2</v>
      </c>
      <c r="W276" s="10">
        <f t="shared" si="96"/>
        <v>989112.8925</v>
      </c>
      <c r="X276" s="10">
        <f t="shared" si="97"/>
        <v>9904.5</v>
      </c>
      <c r="Y276" s="10">
        <f t="shared" si="98"/>
        <v>979208.3925</v>
      </c>
      <c r="Z276" s="14">
        <f t="shared" si="102"/>
        <v>0.989986481750363</v>
      </c>
      <c r="AA276" t="s">
        <v>1568</v>
      </c>
      <c r="AB276" t="str">
        <f t="shared" si="99"/>
        <v>Q1-2024</v>
      </c>
      <c r="AC276" t="str">
        <f t="shared" si="100"/>
        <v>Americas → Brazil → São Paulo</v>
      </c>
      <c r="AD276" t="str">
        <f t="shared" si="101"/>
        <v>Devices</v>
      </c>
      <c r="AE276" s="8" t="str">
        <f t="shared" si="88"/>
        <v>Medium</v>
      </c>
      <c r="AF276" t="str">
        <f t="shared" si="103"/>
        <v>BRAZIL</v>
      </c>
      <c r="AG276" s="7">
        <v>44955</v>
      </c>
      <c r="AH276" t="str">
        <f t="shared" si="104"/>
        <v>Jan-2023</v>
      </c>
      <c r="AI276" s="9">
        <f t="shared" si="105"/>
        <v>45322</v>
      </c>
      <c r="AJ276">
        <f t="shared" si="109"/>
        <v>1</v>
      </c>
      <c r="AK276">
        <f t="shared" si="106"/>
        <v>0</v>
      </c>
      <c r="AL276" s="17">
        <f>MIN(N276,'Scenario Modelling'!$B$2)</f>
        <v>0.135</v>
      </c>
      <c r="AM276" s="10">
        <f>L276*(1+'Scenario Modelling'!$B$3)</f>
        <v>1622.6155</v>
      </c>
      <c r="AN276">
        <f>O276*(1+'Scenario Modelling'!$B$4)</f>
        <v>7.2</v>
      </c>
      <c r="AO276" s="28">
        <f t="shared" si="107"/>
        <v>10280.871</v>
      </c>
      <c r="AP276" s="10">
        <f t="shared" si="108"/>
        <v>-1401.9606</v>
      </c>
    </row>
    <row r="277" spans="1:42">
      <c r="A277" t="s">
        <v>815</v>
      </c>
      <c r="B277" s="7">
        <v>45378</v>
      </c>
      <c r="C277" s="7">
        <v>45393</v>
      </c>
      <c r="D277" t="s">
        <v>213</v>
      </c>
      <c r="E277" t="s">
        <v>283</v>
      </c>
      <c r="F277" t="s">
        <v>328</v>
      </c>
      <c r="G277" t="s">
        <v>223</v>
      </c>
      <c r="H277" t="s">
        <v>259</v>
      </c>
      <c r="I277" t="s">
        <v>229</v>
      </c>
      <c r="J277" t="s">
        <v>196</v>
      </c>
      <c r="K277" t="s">
        <v>816</v>
      </c>
      <c r="L277" s="10">
        <v>1338.35</v>
      </c>
      <c r="M277" s="10">
        <v>2247.14</v>
      </c>
      <c r="N277" s="17">
        <v>0.115</v>
      </c>
      <c r="O277">
        <v>40</v>
      </c>
      <c r="P277" t="str">
        <f t="shared" si="89"/>
        <v>Valid</v>
      </c>
      <c r="Q277" s="10">
        <f t="shared" si="90"/>
        <v>2247.14</v>
      </c>
      <c r="R277" t="b">
        <f t="shared" si="91"/>
        <v>0</v>
      </c>
      <c r="S277" s="17">
        <f t="shared" si="92"/>
        <v>0.115</v>
      </c>
      <c r="T277">
        <f t="shared" si="93"/>
        <v>15</v>
      </c>
      <c r="U277" s="26">
        <f t="shared" si="94"/>
        <v>45393</v>
      </c>
      <c r="V277">
        <f t="shared" si="95"/>
        <v>15</v>
      </c>
      <c r="W277" s="10">
        <f t="shared" si="96"/>
        <v>8978223.156</v>
      </c>
      <c r="X277" s="10">
        <f t="shared" si="97"/>
        <v>89885.6</v>
      </c>
      <c r="Y277" s="10">
        <f t="shared" si="98"/>
        <v>8888337.556</v>
      </c>
      <c r="Z277" s="14">
        <f t="shared" si="102"/>
        <v>0.989988486759774</v>
      </c>
      <c r="AA277" t="s">
        <v>1560</v>
      </c>
      <c r="AB277" t="str">
        <f t="shared" si="99"/>
        <v>Q1-2024</v>
      </c>
      <c r="AC277" t="str">
        <f t="shared" si="100"/>
        <v>Americas → USA → San Francisco</v>
      </c>
      <c r="AD277" t="str">
        <f t="shared" si="101"/>
        <v>Support</v>
      </c>
      <c r="AE277" s="8" t="str">
        <f t="shared" si="88"/>
        <v>Medium</v>
      </c>
      <c r="AF277" t="str">
        <f t="shared" si="103"/>
        <v>USA</v>
      </c>
      <c r="AG277" s="7">
        <v>44939</v>
      </c>
      <c r="AH277" t="str">
        <f t="shared" si="104"/>
        <v>Jan-2023</v>
      </c>
      <c r="AI277" s="9">
        <f t="shared" si="105"/>
        <v>45382</v>
      </c>
      <c r="AJ277">
        <f t="shared" si="109"/>
        <v>0</v>
      </c>
      <c r="AK277">
        <f t="shared" si="106"/>
        <v>0</v>
      </c>
      <c r="AL277" s="17">
        <f>MIN(N277,'Scenario Modelling'!$B$2)</f>
        <v>0.115</v>
      </c>
      <c r="AM277" s="10">
        <f>L277*(1+'Scenario Modelling'!$B$3)</f>
        <v>1539.1025</v>
      </c>
      <c r="AN277">
        <f>O277*(1+'Scenario Modelling'!$B$4)</f>
        <v>48</v>
      </c>
      <c r="AO277" s="28">
        <f t="shared" si="107"/>
        <v>95458.5072</v>
      </c>
      <c r="AP277" s="10">
        <f t="shared" si="108"/>
        <v>21581.5872</v>
      </c>
    </row>
    <row r="278" spans="1:42">
      <c r="A278" t="s">
        <v>817</v>
      </c>
      <c r="B278" s="7">
        <v>45832</v>
      </c>
      <c r="C278" s="7">
        <v>45852</v>
      </c>
      <c r="D278" t="s">
        <v>239</v>
      </c>
      <c r="E278" t="s">
        <v>240</v>
      </c>
      <c r="F278" t="s">
        <v>241</v>
      </c>
      <c r="G278" t="s">
        <v>180</v>
      </c>
      <c r="H278" t="s">
        <v>259</v>
      </c>
      <c r="I278" t="s">
        <v>229</v>
      </c>
      <c r="J278" t="s">
        <v>242</v>
      </c>
      <c r="K278" t="s">
        <v>818</v>
      </c>
      <c r="L278" s="10">
        <v>385.08</v>
      </c>
      <c r="M278" s="10">
        <v>893.19</v>
      </c>
      <c r="N278" s="17">
        <v>0.151</v>
      </c>
      <c r="O278">
        <v>8</v>
      </c>
      <c r="P278" t="str">
        <f t="shared" si="89"/>
        <v>Valid</v>
      </c>
      <c r="Q278" s="10">
        <f t="shared" si="90"/>
        <v>893.19</v>
      </c>
      <c r="R278" t="b">
        <f t="shared" si="91"/>
        <v>0</v>
      </c>
      <c r="S278" s="17">
        <f t="shared" si="92"/>
        <v>0.151</v>
      </c>
      <c r="T278">
        <f t="shared" si="93"/>
        <v>20</v>
      </c>
      <c r="U278" s="26">
        <f t="shared" si="94"/>
        <v>45852</v>
      </c>
      <c r="V278">
        <f t="shared" si="95"/>
        <v>20</v>
      </c>
      <c r="W278" s="10">
        <f t="shared" si="96"/>
        <v>713473.02648</v>
      </c>
      <c r="X278" s="10">
        <f t="shared" si="97"/>
        <v>7145.52</v>
      </c>
      <c r="Y278" s="10">
        <f t="shared" si="98"/>
        <v>706327.50648</v>
      </c>
      <c r="Z278" s="14">
        <f t="shared" si="102"/>
        <v>0.989984877164518</v>
      </c>
      <c r="AA278" t="s">
        <v>1575</v>
      </c>
      <c r="AB278" t="str">
        <f t="shared" si="99"/>
        <v>Q2-2025</v>
      </c>
      <c r="AC278" t="str">
        <f t="shared" si="100"/>
        <v>Europe → Germany → Berlin</v>
      </c>
      <c r="AD278" t="str">
        <f t="shared" si="101"/>
        <v>Support</v>
      </c>
      <c r="AE278" s="8" t="str">
        <f t="shared" si="88"/>
        <v>High</v>
      </c>
      <c r="AF278" t="str">
        <f t="shared" si="103"/>
        <v>GERMANY</v>
      </c>
      <c r="AG278" s="7">
        <v>44948</v>
      </c>
      <c r="AH278" t="str">
        <f t="shared" si="104"/>
        <v>Jan-2023</v>
      </c>
      <c r="AI278" s="9">
        <f t="shared" si="105"/>
        <v>45838</v>
      </c>
      <c r="AJ278">
        <f t="shared" si="109"/>
        <v>0</v>
      </c>
      <c r="AK278">
        <f t="shared" si="106"/>
        <v>0</v>
      </c>
      <c r="AL278" s="17">
        <f>MIN(N278,'Scenario Modelling'!$B$2)</f>
        <v>0.151</v>
      </c>
      <c r="AM278" s="10">
        <f>L278*(1+'Scenario Modelling'!$B$3)</f>
        <v>442.842</v>
      </c>
      <c r="AN278">
        <f>O278*(1+'Scenario Modelling'!$B$4)</f>
        <v>9.6</v>
      </c>
      <c r="AO278" s="28">
        <f t="shared" si="107"/>
        <v>7279.855776</v>
      </c>
      <c r="AP278" s="10">
        <f t="shared" si="108"/>
        <v>3028.572576</v>
      </c>
    </row>
    <row r="279" spans="1:42">
      <c r="A279" t="s">
        <v>819</v>
      </c>
      <c r="B279" s="7">
        <v>45459</v>
      </c>
      <c r="C279" s="7">
        <v>45476</v>
      </c>
      <c r="D279" t="s">
        <v>177</v>
      </c>
      <c r="E279" t="s">
        <v>309</v>
      </c>
      <c r="F279" t="s">
        <v>310</v>
      </c>
      <c r="G279" t="s">
        <v>266</v>
      </c>
      <c r="H279" t="s">
        <v>201</v>
      </c>
      <c r="I279" t="s">
        <v>245</v>
      </c>
      <c r="J279" t="s">
        <v>203</v>
      </c>
      <c r="K279" t="s">
        <v>820</v>
      </c>
      <c r="L279" s="10">
        <v>1173.83</v>
      </c>
      <c r="M279" s="10">
        <v>2328.9</v>
      </c>
      <c r="N279" s="17">
        <v>0.12</v>
      </c>
      <c r="O279">
        <v>17</v>
      </c>
      <c r="P279" t="str">
        <f t="shared" si="89"/>
        <v>Valid</v>
      </c>
      <c r="Q279" s="10">
        <f t="shared" si="90"/>
        <v>2328.9</v>
      </c>
      <c r="R279" t="b">
        <f t="shared" si="91"/>
        <v>0</v>
      </c>
      <c r="S279" s="17">
        <f t="shared" si="92"/>
        <v>0.12</v>
      </c>
      <c r="T279">
        <f t="shared" si="93"/>
        <v>17</v>
      </c>
      <c r="U279" s="26">
        <f t="shared" si="94"/>
        <v>45476</v>
      </c>
      <c r="V279">
        <f t="shared" si="95"/>
        <v>17</v>
      </c>
      <c r="W279" s="10">
        <f t="shared" si="96"/>
        <v>3954379.044</v>
      </c>
      <c r="X279" s="10">
        <f t="shared" si="97"/>
        <v>39591.3</v>
      </c>
      <c r="Y279" s="10">
        <f t="shared" si="98"/>
        <v>3914787.744</v>
      </c>
      <c r="Z279" s="14">
        <f t="shared" si="102"/>
        <v>0.989987985582699</v>
      </c>
      <c r="AA279" t="s">
        <v>1576</v>
      </c>
      <c r="AB279" t="str">
        <f t="shared" si="99"/>
        <v>Q2-2024</v>
      </c>
      <c r="AC279" t="str">
        <f t="shared" si="100"/>
        <v>Africa → South Africa → Johannesburg</v>
      </c>
      <c r="AD279" t="str">
        <f t="shared" si="101"/>
        <v>Devices</v>
      </c>
      <c r="AE279" s="8" t="str">
        <f t="shared" si="88"/>
        <v>Medium</v>
      </c>
      <c r="AF279" t="str">
        <f t="shared" si="103"/>
        <v>SOUTH AFRICA</v>
      </c>
      <c r="AG279" s="7">
        <v>44933</v>
      </c>
      <c r="AH279" t="str">
        <f t="shared" si="104"/>
        <v>Jan-2023</v>
      </c>
      <c r="AI279" s="9">
        <f t="shared" si="105"/>
        <v>45473</v>
      </c>
      <c r="AJ279">
        <f t="shared" si="109"/>
        <v>0</v>
      </c>
      <c r="AK279">
        <f t="shared" si="106"/>
        <v>0</v>
      </c>
      <c r="AL279" s="17">
        <f>MIN(N279,'Scenario Modelling'!$B$2)</f>
        <v>0.12</v>
      </c>
      <c r="AM279" s="10">
        <f>L279*(1+'Scenario Modelling'!$B$3)</f>
        <v>1349.9045</v>
      </c>
      <c r="AN279">
        <f>O279*(1+'Scenario Modelling'!$B$4)</f>
        <v>20.4</v>
      </c>
      <c r="AO279" s="28">
        <f t="shared" si="107"/>
        <v>41808.4128</v>
      </c>
      <c r="AP279" s="10">
        <f t="shared" si="108"/>
        <v>14270.361</v>
      </c>
    </row>
    <row r="280" spans="1:42">
      <c r="A280" t="s">
        <v>821</v>
      </c>
      <c r="B280" s="7">
        <v>45229</v>
      </c>
      <c r="C280" s="7">
        <v>45244</v>
      </c>
      <c r="D280" t="s">
        <v>206</v>
      </c>
      <c r="E280" t="s">
        <v>221</v>
      </c>
      <c r="F280" t="s">
        <v>222</v>
      </c>
      <c r="G280" t="s">
        <v>180</v>
      </c>
      <c r="H280" t="s">
        <v>189</v>
      </c>
      <c r="I280" t="s">
        <v>245</v>
      </c>
      <c r="J280" t="s">
        <v>218</v>
      </c>
      <c r="K280" t="s">
        <v>822</v>
      </c>
      <c r="L280" s="10">
        <v>953.46</v>
      </c>
      <c r="M280" s="10">
        <v>2066.75</v>
      </c>
      <c r="N280" s="17">
        <v>0.138</v>
      </c>
      <c r="O280">
        <v>5</v>
      </c>
      <c r="P280" t="str">
        <f t="shared" si="89"/>
        <v>Valid</v>
      </c>
      <c r="Q280" s="10">
        <f t="shared" si="90"/>
        <v>2066.75</v>
      </c>
      <c r="R280" t="b">
        <f t="shared" si="91"/>
        <v>0</v>
      </c>
      <c r="S280" s="17">
        <f t="shared" si="92"/>
        <v>0.138</v>
      </c>
      <c r="T280">
        <f t="shared" si="93"/>
        <v>15</v>
      </c>
      <c r="U280" s="26">
        <f t="shared" si="94"/>
        <v>45244</v>
      </c>
      <c r="V280">
        <f t="shared" si="95"/>
        <v>15</v>
      </c>
      <c r="W280" s="10">
        <f t="shared" si="96"/>
        <v>1031948.9425</v>
      </c>
      <c r="X280" s="10">
        <f t="shared" si="97"/>
        <v>10333.75</v>
      </c>
      <c r="Y280" s="10">
        <f t="shared" si="98"/>
        <v>1021615.1925</v>
      </c>
      <c r="Z280" s="14">
        <f t="shared" si="102"/>
        <v>0.989986180929683</v>
      </c>
      <c r="AA280" t="s">
        <v>1595</v>
      </c>
      <c r="AB280" t="str">
        <f t="shared" si="99"/>
        <v>Q4-2023</v>
      </c>
      <c r="AC280" t="str">
        <f t="shared" si="100"/>
        <v>Asia → India → Bengaluru</v>
      </c>
      <c r="AD280" t="str">
        <f t="shared" si="101"/>
        <v>Devices</v>
      </c>
      <c r="AE280" s="8" t="str">
        <f t="shared" si="88"/>
        <v>Low</v>
      </c>
      <c r="AF280" t="str">
        <f t="shared" si="103"/>
        <v>INDIA</v>
      </c>
      <c r="AG280" s="7">
        <v>44955</v>
      </c>
      <c r="AH280" t="str">
        <f t="shared" si="104"/>
        <v>Jan-2023</v>
      </c>
      <c r="AI280" s="9">
        <f t="shared" si="105"/>
        <v>45230</v>
      </c>
      <c r="AJ280">
        <f t="shared" si="109"/>
        <v>0</v>
      </c>
      <c r="AK280">
        <f t="shared" si="106"/>
        <v>0</v>
      </c>
      <c r="AL280" s="17">
        <f>MIN(N280,'Scenario Modelling'!$B$2)</f>
        <v>0.138</v>
      </c>
      <c r="AM280" s="10">
        <f>L280*(1+'Scenario Modelling'!$B$3)</f>
        <v>1096.479</v>
      </c>
      <c r="AN280">
        <f>O280*(1+'Scenario Modelling'!$B$4)</f>
        <v>6</v>
      </c>
      <c r="AO280" s="28">
        <f t="shared" si="107"/>
        <v>10689.231</v>
      </c>
      <c r="AP280" s="10">
        <f t="shared" si="108"/>
        <v>4110.357</v>
      </c>
    </row>
    <row r="281" spans="1:42">
      <c r="A281" t="s">
        <v>823</v>
      </c>
      <c r="B281" s="7">
        <v>45092</v>
      </c>
      <c r="C281" s="7">
        <v>45100</v>
      </c>
      <c r="D281" t="s">
        <v>213</v>
      </c>
      <c r="E281" t="s">
        <v>283</v>
      </c>
      <c r="F281" t="s">
        <v>328</v>
      </c>
      <c r="G281" t="s">
        <v>209</v>
      </c>
      <c r="H281" t="s">
        <v>216</v>
      </c>
      <c r="I281" t="s">
        <v>229</v>
      </c>
      <c r="J281" t="s">
        <v>225</v>
      </c>
      <c r="K281" t="s">
        <v>824</v>
      </c>
      <c r="L281" s="10">
        <v>1097.09</v>
      </c>
      <c r="M281" s="10">
        <v>2182.31</v>
      </c>
      <c r="N281" s="17">
        <v>0.112</v>
      </c>
      <c r="O281">
        <v>9</v>
      </c>
      <c r="P281" t="str">
        <f t="shared" si="89"/>
        <v>Valid</v>
      </c>
      <c r="Q281" s="10">
        <f t="shared" si="90"/>
        <v>2182.31</v>
      </c>
      <c r="R281" t="b">
        <f t="shared" si="91"/>
        <v>0</v>
      </c>
      <c r="S281" s="17">
        <f t="shared" si="92"/>
        <v>0.112</v>
      </c>
      <c r="T281">
        <f t="shared" si="93"/>
        <v>8</v>
      </c>
      <c r="U281" s="26">
        <f t="shared" si="94"/>
        <v>45100</v>
      </c>
      <c r="V281">
        <f t="shared" si="95"/>
        <v>8</v>
      </c>
      <c r="W281" s="10">
        <f t="shared" si="96"/>
        <v>1961879.23152</v>
      </c>
      <c r="X281" s="10">
        <f t="shared" si="97"/>
        <v>19640.79</v>
      </c>
      <c r="Y281" s="10">
        <f t="shared" si="98"/>
        <v>1942238.44152</v>
      </c>
      <c r="Z281" s="14">
        <f t="shared" si="102"/>
        <v>0.989988787441935</v>
      </c>
      <c r="AA281" t="s">
        <v>1583</v>
      </c>
      <c r="AB281" t="str">
        <f t="shared" si="99"/>
        <v>Q2-2023</v>
      </c>
      <c r="AC281" t="str">
        <f t="shared" si="100"/>
        <v>Americas → USA → San Francisco</v>
      </c>
      <c r="AD281" t="str">
        <f t="shared" si="101"/>
        <v>Peripherals</v>
      </c>
      <c r="AE281" s="8" t="str">
        <f t="shared" si="88"/>
        <v>Low</v>
      </c>
      <c r="AF281" t="str">
        <f t="shared" si="103"/>
        <v>USA</v>
      </c>
      <c r="AG281" s="7">
        <v>44939</v>
      </c>
      <c r="AH281" t="str">
        <f t="shared" si="104"/>
        <v>Jan-2023</v>
      </c>
      <c r="AI281" s="9">
        <f t="shared" si="105"/>
        <v>45107</v>
      </c>
      <c r="AJ281">
        <f t="shared" si="109"/>
        <v>0</v>
      </c>
      <c r="AK281">
        <f t="shared" si="106"/>
        <v>0</v>
      </c>
      <c r="AL281" s="17">
        <f>MIN(N281,'Scenario Modelling'!$B$2)</f>
        <v>0.112</v>
      </c>
      <c r="AM281" s="10">
        <f>L281*(1+'Scenario Modelling'!$B$3)</f>
        <v>1261.6535</v>
      </c>
      <c r="AN281">
        <f>O281*(1+'Scenario Modelling'!$B$4)</f>
        <v>10.8</v>
      </c>
      <c r="AO281" s="28">
        <f t="shared" si="107"/>
        <v>20929.225824</v>
      </c>
      <c r="AP281" s="10">
        <f t="shared" si="108"/>
        <v>7303.368024</v>
      </c>
    </row>
    <row r="282" spans="1:42">
      <c r="A282" t="s">
        <v>825</v>
      </c>
      <c r="B282" s="7">
        <v>45730</v>
      </c>
      <c r="C282" s="7">
        <v>45745</v>
      </c>
      <c r="D282" t="s">
        <v>206</v>
      </c>
      <c r="E282" t="s">
        <v>207</v>
      </c>
      <c r="F282" t="s">
        <v>375</v>
      </c>
      <c r="G282" t="s">
        <v>200</v>
      </c>
      <c r="H282" t="s">
        <v>259</v>
      </c>
      <c r="I282" t="s">
        <v>253</v>
      </c>
      <c r="J282" t="s">
        <v>196</v>
      </c>
      <c r="K282" t="s">
        <v>826</v>
      </c>
      <c r="L282" s="10">
        <v>1106.96</v>
      </c>
      <c r="M282" s="10">
        <v>2726.62</v>
      </c>
      <c r="N282" s="17">
        <v>0.317</v>
      </c>
      <c r="O282">
        <v>7</v>
      </c>
      <c r="P282" t="str">
        <f t="shared" si="89"/>
        <v>Valid</v>
      </c>
      <c r="Q282" s="10">
        <f t="shared" si="90"/>
        <v>2726.62</v>
      </c>
      <c r="R282" t="str">
        <f t="shared" si="91"/>
        <v>Excess</v>
      </c>
      <c r="S282" s="17">
        <f t="shared" si="92"/>
        <v>0.3</v>
      </c>
      <c r="T282">
        <f t="shared" si="93"/>
        <v>15</v>
      </c>
      <c r="U282" s="26">
        <f t="shared" si="94"/>
        <v>45745</v>
      </c>
      <c r="V282">
        <f t="shared" si="95"/>
        <v>15</v>
      </c>
      <c r="W282" s="10">
        <f t="shared" si="96"/>
        <v>1902908.098</v>
      </c>
      <c r="X282" s="10">
        <f t="shared" si="97"/>
        <v>19086.34</v>
      </c>
      <c r="Y282" s="10">
        <f t="shared" si="98"/>
        <v>1883821.758</v>
      </c>
      <c r="Z282" s="14">
        <f t="shared" si="102"/>
        <v>0.989969909729188</v>
      </c>
      <c r="AA282" t="s">
        <v>1563</v>
      </c>
      <c r="AB282" t="str">
        <f t="shared" si="99"/>
        <v>Q1-2025</v>
      </c>
      <c r="AC282" t="str">
        <f t="shared" si="100"/>
        <v>Asia → Japan → Tokyo</v>
      </c>
      <c r="AD282" t="str">
        <f t="shared" si="101"/>
        <v>Support</v>
      </c>
      <c r="AE282" s="8" t="str">
        <f t="shared" si="88"/>
        <v>High</v>
      </c>
      <c r="AF282" t="str">
        <f t="shared" si="103"/>
        <v>JAPAN</v>
      </c>
      <c r="AG282" s="7">
        <v>44988</v>
      </c>
      <c r="AH282" t="str">
        <f t="shared" si="104"/>
        <v>Mar-2023</v>
      </c>
      <c r="AI282" s="9">
        <f t="shared" si="105"/>
        <v>45747</v>
      </c>
      <c r="AJ282">
        <f t="shared" si="109"/>
        <v>0</v>
      </c>
      <c r="AK282">
        <f t="shared" si="106"/>
        <v>1</v>
      </c>
      <c r="AL282" s="17">
        <f>MIN(N282,'Scenario Modelling'!$B$2)</f>
        <v>0.25</v>
      </c>
      <c r="AM282" s="10">
        <f>L282*(1+'Scenario Modelling'!$B$3)</f>
        <v>1273.004</v>
      </c>
      <c r="AN282">
        <f>O282*(1+'Scenario Modelling'!$B$4)</f>
        <v>8.4</v>
      </c>
      <c r="AO282" s="28">
        <f t="shared" si="107"/>
        <v>17177.706</v>
      </c>
      <c r="AP282" s="10">
        <f t="shared" si="108"/>
        <v>6484.4724</v>
      </c>
    </row>
    <row r="283" spans="1:42">
      <c r="A283" t="s">
        <v>827</v>
      </c>
      <c r="B283" s="7">
        <v>45153</v>
      </c>
      <c r="C283" s="7">
        <v>45163</v>
      </c>
      <c r="D283" t="s">
        <v>177</v>
      </c>
      <c r="E283" t="s">
        <v>178</v>
      </c>
      <c r="F283" t="s">
        <v>194</v>
      </c>
      <c r="G283" t="s">
        <v>223</v>
      </c>
      <c r="H283" t="s">
        <v>181</v>
      </c>
      <c r="I283" t="s">
        <v>287</v>
      </c>
      <c r="J283" t="s">
        <v>203</v>
      </c>
      <c r="K283" t="s">
        <v>828</v>
      </c>
      <c r="L283" s="10">
        <v>91.85</v>
      </c>
      <c r="M283" s="10">
        <v>111.29</v>
      </c>
      <c r="N283" s="17">
        <v>0</v>
      </c>
      <c r="O283">
        <v>6</v>
      </c>
      <c r="P283" t="str">
        <f t="shared" si="89"/>
        <v>Valid</v>
      </c>
      <c r="Q283" s="10">
        <f t="shared" si="90"/>
        <v>111.29</v>
      </c>
      <c r="R283" t="b">
        <f t="shared" si="91"/>
        <v>0</v>
      </c>
      <c r="S283" s="17">
        <f t="shared" si="92"/>
        <v>0</v>
      </c>
      <c r="T283">
        <f t="shared" si="93"/>
        <v>10</v>
      </c>
      <c r="U283" s="26">
        <f t="shared" si="94"/>
        <v>45163</v>
      </c>
      <c r="V283">
        <f t="shared" si="95"/>
        <v>10</v>
      </c>
      <c r="W283" s="10">
        <f t="shared" si="96"/>
        <v>66774</v>
      </c>
      <c r="X283" s="10">
        <f t="shared" si="97"/>
        <v>667.74</v>
      </c>
      <c r="Y283" s="10">
        <f t="shared" si="98"/>
        <v>66106.26</v>
      </c>
      <c r="Z283" s="14">
        <f t="shared" si="102"/>
        <v>0.99</v>
      </c>
      <c r="AA283" t="s">
        <v>1585</v>
      </c>
      <c r="AB283" t="str">
        <f t="shared" si="99"/>
        <v>Q3-2023</v>
      </c>
      <c r="AC283" t="str">
        <f t="shared" si="100"/>
        <v>Africa → Kenya → Nairobi</v>
      </c>
      <c r="AD283" t="str">
        <f t="shared" si="101"/>
        <v>Devices</v>
      </c>
      <c r="AE283" s="8" t="str">
        <f t="shared" si="88"/>
        <v>Low</v>
      </c>
      <c r="AF283" t="str">
        <f t="shared" si="103"/>
        <v>KENYA</v>
      </c>
      <c r="AG283" s="7">
        <v>44946</v>
      </c>
      <c r="AH283" t="str">
        <f t="shared" si="104"/>
        <v>Jan-2023</v>
      </c>
      <c r="AI283" s="9">
        <f t="shared" si="105"/>
        <v>45169</v>
      </c>
      <c r="AJ283">
        <f t="shared" si="109"/>
        <v>0</v>
      </c>
      <c r="AK283">
        <f t="shared" si="106"/>
        <v>0</v>
      </c>
      <c r="AL283" s="17">
        <f>MIN(N283,'Scenario Modelling'!$B$2)</f>
        <v>0</v>
      </c>
      <c r="AM283" s="10">
        <f>L283*(1+'Scenario Modelling'!$B$3)</f>
        <v>105.6275</v>
      </c>
      <c r="AN283">
        <f>O283*(1+'Scenario Modelling'!$B$4)</f>
        <v>7.2</v>
      </c>
      <c r="AO283" s="28">
        <f t="shared" si="107"/>
        <v>801.288</v>
      </c>
      <c r="AP283" s="10">
        <f t="shared" si="108"/>
        <v>40.7700000000002</v>
      </c>
    </row>
    <row r="284" spans="1:42">
      <c r="A284" t="s">
        <v>829</v>
      </c>
      <c r="B284" s="7">
        <v>45794</v>
      </c>
      <c r="C284" s="7">
        <v>45805</v>
      </c>
      <c r="D284" t="s">
        <v>206</v>
      </c>
      <c r="E284" t="s">
        <v>221</v>
      </c>
      <c r="F284" t="s">
        <v>222</v>
      </c>
      <c r="G284" t="s">
        <v>180</v>
      </c>
      <c r="H284" t="s">
        <v>216</v>
      </c>
      <c r="I284" t="s">
        <v>217</v>
      </c>
      <c r="J284" t="s">
        <v>218</v>
      </c>
      <c r="K284" t="s">
        <v>830</v>
      </c>
      <c r="L284" s="10">
        <v>623.4</v>
      </c>
      <c r="M284" s="10">
        <v>1100.09</v>
      </c>
      <c r="N284" s="17">
        <v>0.114</v>
      </c>
      <c r="O284">
        <v>12</v>
      </c>
      <c r="P284" t="str">
        <f t="shared" si="89"/>
        <v>Valid</v>
      </c>
      <c r="Q284" s="10">
        <f t="shared" si="90"/>
        <v>1100.09</v>
      </c>
      <c r="R284" t="b">
        <f t="shared" si="91"/>
        <v>0</v>
      </c>
      <c r="S284" s="17">
        <f t="shared" si="92"/>
        <v>0.114</v>
      </c>
      <c r="T284">
        <f t="shared" si="93"/>
        <v>11</v>
      </c>
      <c r="U284" s="26">
        <f t="shared" si="94"/>
        <v>45805</v>
      </c>
      <c r="V284">
        <f t="shared" si="95"/>
        <v>11</v>
      </c>
      <c r="W284" s="10">
        <f t="shared" si="96"/>
        <v>1318603.07688</v>
      </c>
      <c r="X284" s="10">
        <f t="shared" si="97"/>
        <v>13201.08</v>
      </c>
      <c r="Y284" s="10">
        <f t="shared" si="98"/>
        <v>1305401.99688</v>
      </c>
      <c r="Z284" s="14">
        <f t="shared" si="102"/>
        <v>0.989988586989168</v>
      </c>
      <c r="AA284" t="s">
        <v>1567</v>
      </c>
      <c r="AB284" t="str">
        <f t="shared" si="99"/>
        <v>Q2-2025</v>
      </c>
      <c r="AC284" t="str">
        <f t="shared" si="100"/>
        <v>Asia → India → Bengaluru</v>
      </c>
      <c r="AD284" t="str">
        <f t="shared" si="101"/>
        <v>Devices</v>
      </c>
      <c r="AE284" s="8" t="str">
        <f t="shared" si="88"/>
        <v>High</v>
      </c>
      <c r="AF284" t="str">
        <f t="shared" si="103"/>
        <v>INDIA</v>
      </c>
      <c r="AG284" s="7">
        <v>44955</v>
      </c>
      <c r="AH284" t="str">
        <f t="shared" si="104"/>
        <v>Jan-2023</v>
      </c>
      <c r="AI284" s="9">
        <f t="shared" si="105"/>
        <v>45808</v>
      </c>
      <c r="AJ284">
        <f t="shared" si="109"/>
        <v>0</v>
      </c>
      <c r="AK284">
        <f t="shared" si="106"/>
        <v>0</v>
      </c>
      <c r="AL284" s="17">
        <f>MIN(N284,'Scenario Modelling'!$B$2)</f>
        <v>0.114</v>
      </c>
      <c r="AM284" s="10">
        <f>L284*(1+'Scenario Modelling'!$B$3)</f>
        <v>716.91</v>
      </c>
      <c r="AN284">
        <f>O284*(1+'Scenario Modelling'!$B$4)</f>
        <v>14.4</v>
      </c>
      <c r="AO284" s="28">
        <f t="shared" si="107"/>
        <v>14035.388256</v>
      </c>
      <c r="AP284" s="10">
        <f t="shared" si="108"/>
        <v>3711.884256</v>
      </c>
    </row>
    <row r="285" spans="1:42">
      <c r="A285" t="s">
        <v>831</v>
      </c>
      <c r="B285" s="7">
        <v>45304</v>
      </c>
      <c r="C285" s="7">
        <v>45327</v>
      </c>
      <c r="D285" t="s">
        <v>239</v>
      </c>
      <c r="E285" t="s">
        <v>240</v>
      </c>
      <c r="F285" t="s">
        <v>496</v>
      </c>
      <c r="G285" t="s">
        <v>188</v>
      </c>
      <c r="H285" t="s">
        <v>259</v>
      </c>
      <c r="I285" t="s">
        <v>217</v>
      </c>
      <c r="J285" t="s">
        <v>218</v>
      </c>
      <c r="K285" t="s">
        <v>832</v>
      </c>
      <c r="L285" s="10">
        <v>1017.93</v>
      </c>
      <c r="M285" s="10">
        <v>1529.14</v>
      </c>
      <c r="N285" s="17">
        <v>0.155</v>
      </c>
      <c r="O285">
        <v>12</v>
      </c>
      <c r="P285" t="str">
        <f t="shared" si="89"/>
        <v>Valid</v>
      </c>
      <c r="Q285" s="10">
        <f t="shared" si="90"/>
        <v>1529.14</v>
      </c>
      <c r="R285" t="b">
        <f t="shared" si="91"/>
        <v>0</v>
      </c>
      <c r="S285" s="17">
        <f t="shared" si="92"/>
        <v>0.155</v>
      </c>
      <c r="T285">
        <f t="shared" si="93"/>
        <v>23</v>
      </c>
      <c r="U285" s="26">
        <f t="shared" si="94"/>
        <v>45327</v>
      </c>
      <c r="V285">
        <f t="shared" si="95"/>
        <v>23</v>
      </c>
      <c r="W285" s="10">
        <f t="shared" si="96"/>
        <v>1832123.7996</v>
      </c>
      <c r="X285" s="10">
        <f t="shared" si="97"/>
        <v>18349.68</v>
      </c>
      <c r="Y285" s="10">
        <f t="shared" si="98"/>
        <v>1813774.1196</v>
      </c>
      <c r="Z285" s="14">
        <f t="shared" si="102"/>
        <v>0.989984475937703</v>
      </c>
      <c r="AA285" t="s">
        <v>1568</v>
      </c>
      <c r="AB285" t="str">
        <f t="shared" si="99"/>
        <v>Q1-2024</v>
      </c>
      <c r="AC285" t="str">
        <f t="shared" si="100"/>
        <v>Europe → Germany → Frankfurt</v>
      </c>
      <c r="AD285" t="str">
        <f t="shared" si="101"/>
        <v>Devices</v>
      </c>
      <c r="AE285" s="8" t="str">
        <f t="shared" si="88"/>
        <v>Medium</v>
      </c>
      <c r="AF285" t="str">
        <f t="shared" si="103"/>
        <v>GERMANY</v>
      </c>
      <c r="AG285" s="7">
        <v>44948</v>
      </c>
      <c r="AH285" t="str">
        <f t="shared" si="104"/>
        <v>Jan-2023</v>
      </c>
      <c r="AI285" s="9">
        <f t="shared" si="105"/>
        <v>45322</v>
      </c>
      <c r="AJ285">
        <f t="shared" si="109"/>
        <v>0</v>
      </c>
      <c r="AK285">
        <f t="shared" si="106"/>
        <v>0</v>
      </c>
      <c r="AL285" s="17">
        <f>MIN(N285,'Scenario Modelling'!$B$2)</f>
        <v>0.155</v>
      </c>
      <c r="AM285" s="10">
        <f>L285*(1+'Scenario Modelling'!$B$3)</f>
        <v>1170.6195</v>
      </c>
      <c r="AN285">
        <f>O285*(1+'Scenario Modelling'!$B$4)</f>
        <v>14.4</v>
      </c>
      <c r="AO285" s="28">
        <f t="shared" si="107"/>
        <v>18606.57552</v>
      </c>
      <c r="AP285" s="10">
        <f t="shared" si="108"/>
        <v>1749.65472</v>
      </c>
    </row>
    <row r="286" spans="1:42">
      <c r="A286" t="s">
        <v>833</v>
      </c>
      <c r="B286" s="7">
        <v>45101</v>
      </c>
      <c r="C286" s="7">
        <v>45128</v>
      </c>
      <c r="D286" t="s">
        <v>206</v>
      </c>
      <c r="E286" t="s">
        <v>207</v>
      </c>
      <c r="F286" t="s">
        <v>392</v>
      </c>
      <c r="G286" t="s">
        <v>209</v>
      </c>
      <c r="H286" t="s">
        <v>201</v>
      </c>
      <c r="I286" t="s">
        <v>190</v>
      </c>
      <c r="J286" t="s">
        <v>203</v>
      </c>
      <c r="K286" t="s">
        <v>834</v>
      </c>
      <c r="L286" s="10">
        <v>554.76</v>
      </c>
      <c r="M286" s="10">
        <v>728.69</v>
      </c>
      <c r="N286" s="17">
        <v>0.22</v>
      </c>
      <c r="O286">
        <v>7</v>
      </c>
      <c r="P286" t="str">
        <f t="shared" si="89"/>
        <v>Valid</v>
      </c>
      <c r="Q286" s="10">
        <f t="shared" si="90"/>
        <v>728.69</v>
      </c>
      <c r="R286" t="b">
        <f t="shared" si="91"/>
        <v>0</v>
      </c>
      <c r="S286" s="17">
        <f t="shared" si="92"/>
        <v>0.22</v>
      </c>
      <c r="T286">
        <f t="shared" si="93"/>
        <v>27</v>
      </c>
      <c r="U286" s="26">
        <f t="shared" si="94"/>
        <v>45128</v>
      </c>
      <c r="V286">
        <f t="shared" si="95"/>
        <v>27</v>
      </c>
      <c r="W286" s="10">
        <f t="shared" si="96"/>
        <v>508960.8174</v>
      </c>
      <c r="X286" s="10">
        <f t="shared" si="97"/>
        <v>5100.83</v>
      </c>
      <c r="Y286" s="10">
        <f t="shared" si="98"/>
        <v>503859.9874</v>
      </c>
      <c r="Z286" s="14">
        <f t="shared" si="102"/>
        <v>0.989977951493285</v>
      </c>
      <c r="AA286" t="s">
        <v>1583</v>
      </c>
      <c r="AB286" t="str">
        <f t="shared" si="99"/>
        <v>Q2-2023</v>
      </c>
      <c r="AC286" t="str">
        <f t="shared" si="100"/>
        <v>Asia → Japan → Nagoya</v>
      </c>
      <c r="AD286" t="str">
        <f t="shared" si="101"/>
        <v>Devices</v>
      </c>
      <c r="AE286" s="8" t="str">
        <f t="shared" si="88"/>
        <v>Low</v>
      </c>
      <c r="AF286" t="str">
        <f t="shared" si="103"/>
        <v>JAPAN</v>
      </c>
      <c r="AG286" s="7">
        <v>44988</v>
      </c>
      <c r="AH286" t="str">
        <f t="shared" si="104"/>
        <v>Mar-2023</v>
      </c>
      <c r="AI286" s="9">
        <f t="shared" si="105"/>
        <v>45107</v>
      </c>
      <c r="AJ286">
        <f t="shared" si="109"/>
        <v>0</v>
      </c>
      <c r="AK286">
        <f t="shared" si="106"/>
        <v>1</v>
      </c>
      <c r="AL286" s="17">
        <f>MIN(N286,'Scenario Modelling'!$B$2)</f>
        <v>0.22</v>
      </c>
      <c r="AM286" s="10">
        <f>L286*(1+'Scenario Modelling'!$B$3)</f>
        <v>637.974</v>
      </c>
      <c r="AN286">
        <f>O286*(1+'Scenario Modelling'!$B$4)</f>
        <v>8.4</v>
      </c>
      <c r="AO286" s="28">
        <f t="shared" si="107"/>
        <v>4774.37688</v>
      </c>
      <c r="AP286" s="10">
        <f t="shared" si="108"/>
        <v>-584.604719999999</v>
      </c>
    </row>
    <row r="287" spans="1:42">
      <c r="A287" t="s">
        <v>835</v>
      </c>
      <c r="B287" s="7">
        <v>45751</v>
      </c>
      <c r="C287" s="7">
        <v>45760</v>
      </c>
      <c r="D287" t="s">
        <v>239</v>
      </c>
      <c r="E287" t="s">
        <v>240</v>
      </c>
      <c r="F287" t="s">
        <v>320</v>
      </c>
      <c r="G287" t="s">
        <v>209</v>
      </c>
      <c r="H287" t="s">
        <v>201</v>
      </c>
      <c r="I287" t="s">
        <v>245</v>
      </c>
      <c r="J287" t="s">
        <v>203</v>
      </c>
      <c r="K287" t="s">
        <v>836</v>
      </c>
      <c r="L287" s="10">
        <v>7.02</v>
      </c>
      <c r="M287" s="10">
        <v>6.28</v>
      </c>
      <c r="N287" s="17">
        <v>0.134</v>
      </c>
      <c r="O287">
        <v>14</v>
      </c>
      <c r="P287" t="str">
        <f t="shared" si="89"/>
        <v>Valid</v>
      </c>
      <c r="Q287" s="10">
        <f t="shared" si="90"/>
        <v>6.28</v>
      </c>
      <c r="R287" t="b">
        <f t="shared" si="91"/>
        <v>0</v>
      </c>
      <c r="S287" s="17">
        <f t="shared" si="92"/>
        <v>0.134</v>
      </c>
      <c r="T287">
        <f t="shared" si="93"/>
        <v>9</v>
      </c>
      <c r="U287" s="26">
        <f t="shared" si="94"/>
        <v>45760</v>
      </c>
      <c r="V287">
        <f t="shared" si="95"/>
        <v>9</v>
      </c>
      <c r="W287" s="10">
        <f t="shared" si="96"/>
        <v>8780.21872</v>
      </c>
      <c r="X287" s="10">
        <f t="shared" si="97"/>
        <v>87.92</v>
      </c>
      <c r="Y287" s="10">
        <f t="shared" si="98"/>
        <v>8692.29872</v>
      </c>
      <c r="Z287" s="14">
        <f t="shared" si="102"/>
        <v>0.989986582019907</v>
      </c>
      <c r="AA287" t="s">
        <v>1578</v>
      </c>
      <c r="AB287" t="str">
        <f t="shared" si="99"/>
        <v>Q2-2025</v>
      </c>
      <c r="AC287" t="str">
        <f t="shared" si="100"/>
        <v>Europe → Germany → Munich</v>
      </c>
      <c r="AD287" t="str">
        <f t="shared" si="101"/>
        <v>Devices</v>
      </c>
      <c r="AE287" s="8" t="str">
        <f t="shared" si="88"/>
        <v>High</v>
      </c>
      <c r="AF287" t="str">
        <f t="shared" si="103"/>
        <v>GERMANY</v>
      </c>
      <c r="AG287" s="7">
        <v>44948</v>
      </c>
      <c r="AH287" t="str">
        <f t="shared" si="104"/>
        <v>Jan-2023</v>
      </c>
      <c r="AI287" s="9">
        <f t="shared" si="105"/>
        <v>45777</v>
      </c>
      <c r="AJ287">
        <f t="shared" si="109"/>
        <v>0</v>
      </c>
      <c r="AK287">
        <f t="shared" si="106"/>
        <v>0</v>
      </c>
      <c r="AL287" s="17">
        <f>MIN(N287,'Scenario Modelling'!$B$2)</f>
        <v>0.134</v>
      </c>
      <c r="AM287" s="10">
        <f>L287*(1+'Scenario Modelling'!$B$3)</f>
        <v>8.073</v>
      </c>
      <c r="AN287">
        <f>O287*(1+'Scenario Modelling'!$B$4)</f>
        <v>16.8</v>
      </c>
      <c r="AO287" s="28">
        <f t="shared" si="107"/>
        <v>91.366464</v>
      </c>
      <c r="AP287" s="10">
        <f t="shared" si="108"/>
        <v>-44.259936</v>
      </c>
    </row>
    <row r="288" spans="1:42">
      <c r="A288" t="s">
        <v>837</v>
      </c>
      <c r="B288" s="7">
        <v>45542</v>
      </c>
      <c r="C288" s="7">
        <v>45542</v>
      </c>
      <c r="D288" t="s">
        <v>206</v>
      </c>
      <c r="E288" t="s">
        <v>221</v>
      </c>
      <c r="F288" t="s">
        <v>381</v>
      </c>
      <c r="G288" t="s">
        <v>188</v>
      </c>
      <c r="H288" t="s">
        <v>216</v>
      </c>
      <c r="I288" t="s">
        <v>217</v>
      </c>
      <c r="J288" t="s">
        <v>196</v>
      </c>
      <c r="K288" t="s">
        <v>838</v>
      </c>
      <c r="L288" s="10">
        <v>1066.65</v>
      </c>
      <c r="M288" s="10">
        <v>2569.77</v>
      </c>
      <c r="N288" s="17">
        <v>0.134</v>
      </c>
      <c r="O288">
        <v>9</v>
      </c>
      <c r="P288" t="str">
        <f t="shared" si="89"/>
        <v>Valid</v>
      </c>
      <c r="Q288" s="10">
        <f t="shared" si="90"/>
        <v>2569.77</v>
      </c>
      <c r="R288" t="b">
        <f t="shared" si="91"/>
        <v>0</v>
      </c>
      <c r="S288" s="17">
        <f t="shared" si="92"/>
        <v>0.134</v>
      </c>
      <c r="T288">
        <f t="shared" si="93"/>
        <v>0</v>
      </c>
      <c r="U288" s="26">
        <f t="shared" si="94"/>
        <v>45542</v>
      </c>
      <c r="V288">
        <f t="shared" si="95"/>
        <v>0</v>
      </c>
      <c r="W288" s="10">
        <f t="shared" si="96"/>
        <v>2309693.85738</v>
      </c>
      <c r="X288" s="10">
        <f t="shared" si="97"/>
        <v>23127.93</v>
      </c>
      <c r="Y288" s="10">
        <f t="shared" si="98"/>
        <v>2286565.92738</v>
      </c>
      <c r="Z288" s="14">
        <f t="shared" si="102"/>
        <v>0.989986582019907</v>
      </c>
      <c r="AA288" t="s">
        <v>1592</v>
      </c>
      <c r="AB288" t="str">
        <f t="shared" si="99"/>
        <v>Q3-2024</v>
      </c>
      <c r="AC288" t="str">
        <f t="shared" si="100"/>
        <v>Asia → India → Mumbai</v>
      </c>
      <c r="AD288" t="str">
        <f t="shared" si="101"/>
        <v>Support</v>
      </c>
      <c r="AE288" s="8" t="str">
        <f t="shared" si="88"/>
        <v>Medium</v>
      </c>
      <c r="AF288" t="str">
        <f t="shared" si="103"/>
        <v>INDIA</v>
      </c>
      <c r="AG288" s="7">
        <v>44955</v>
      </c>
      <c r="AH288" t="str">
        <f t="shared" si="104"/>
        <v>Jan-2023</v>
      </c>
      <c r="AI288" s="9">
        <f t="shared" si="105"/>
        <v>45565</v>
      </c>
      <c r="AJ288">
        <f t="shared" si="109"/>
        <v>1</v>
      </c>
      <c r="AK288">
        <f t="shared" si="106"/>
        <v>0</v>
      </c>
      <c r="AL288" s="17">
        <f>MIN(N288,'Scenario Modelling'!$B$2)</f>
        <v>0.134</v>
      </c>
      <c r="AM288" s="10">
        <f>L288*(1+'Scenario Modelling'!$B$3)</f>
        <v>1226.6475</v>
      </c>
      <c r="AN288">
        <f>O288*(1+'Scenario Modelling'!$B$4)</f>
        <v>10.8</v>
      </c>
      <c r="AO288" s="28">
        <f t="shared" si="107"/>
        <v>24034.544856</v>
      </c>
      <c r="AP288" s="10">
        <f t="shared" si="108"/>
        <v>10786.751856</v>
      </c>
    </row>
    <row r="289" spans="1:42">
      <c r="A289" t="s">
        <v>839</v>
      </c>
      <c r="B289" s="7">
        <v>45319</v>
      </c>
      <c r="C289" s="7">
        <v>45321</v>
      </c>
      <c r="D289" t="s">
        <v>177</v>
      </c>
      <c r="E289" t="s">
        <v>309</v>
      </c>
      <c r="F289" t="s">
        <v>419</v>
      </c>
      <c r="G289" t="s">
        <v>209</v>
      </c>
      <c r="H289" t="s">
        <v>259</v>
      </c>
      <c r="I289" t="s">
        <v>245</v>
      </c>
      <c r="J289" t="s">
        <v>242</v>
      </c>
      <c r="K289" t="s">
        <v>840</v>
      </c>
      <c r="L289" s="10">
        <v>798.45</v>
      </c>
      <c r="M289" s="10">
        <v>1592.02</v>
      </c>
      <c r="N289" s="17">
        <v>0.066</v>
      </c>
      <c r="O289">
        <v>18</v>
      </c>
      <c r="P289" t="str">
        <f t="shared" si="89"/>
        <v>Valid</v>
      </c>
      <c r="Q289" s="10">
        <f t="shared" si="90"/>
        <v>1592.02</v>
      </c>
      <c r="R289" t="b">
        <f t="shared" si="91"/>
        <v>0</v>
      </c>
      <c r="S289" s="17">
        <f t="shared" si="92"/>
        <v>0.066</v>
      </c>
      <c r="T289">
        <f t="shared" si="93"/>
        <v>2</v>
      </c>
      <c r="U289" s="26">
        <f t="shared" si="94"/>
        <v>45321</v>
      </c>
      <c r="V289">
        <f t="shared" si="95"/>
        <v>2</v>
      </c>
      <c r="W289" s="10">
        <f t="shared" si="96"/>
        <v>2863744.68024</v>
      </c>
      <c r="X289" s="10">
        <f t="shared" si="97"/>
        <v>28656.36</v>
      </c>
      <c r="Y289" s="10">
        <f t="shared" si="98"/>
        <v>2835088.32024</v>
      </c>
      <c r="Z289" s="14">
        <f t="shared" si="102"/>
        <v>0.989993395641123</v>
      </c>
      <c r="AA289" t="s">
        <v>1568</v>
      </c>
      <c r="AB289" t="str">
        <f t="shared" si="99"/>
        <v>Q1-2024</v>
      </c>
      <c r="AC289" t="str">
        <f t="shared" si="100"/>
        <v>Africa → South Africa → Cape Town</v>
      </c>
      <c r="AD289" t="str">
        <f t="shared" si="101"/>
        <v>Support</v>
      </c>
      <c r="AE289" s="8" t="str">
        <f t="shared" si="88"/>
        <v>Medium</v>
      </c>
      <c r="AF289" t="str">
        <f t="shared" si="103"/>
        <v>SOUTH AFRICA</v>
      </c>
      <c r="AG289" s="7">
        <v>44933</v>
      </c>
      <c r="AH289" t="str">
        <f t="shared" si="104"/>
        <v>Jan-2023</v>
      </c>
      <c r="AI289" s="9">
        <f t="shared" si="105"/>
        <v>45322</v>
      </c>
      <c r="AJ289">
        <f t="shared" si="109"/>
        <v>1</v>
      </c>
      <c r="AK289">
        <f t="shared" si="106"/>
        <v>0</v>
      </c>
      <c r="AL289" s="17">
        <f>MIN(N289,'Scenario Modelling'!$B$2)</f>
        <v>0.066</v>
      </c>
      <c r="AM289" s="10">
        <f>L289*(1+'Scenario Modelling'!$B$3)</f>
        <v>918.2175</v>
      </c>
      <c r="AN289">
        <f>O289*(1+'Scenario Modelling'!$B$4)</f>
        <v>21.6</v>
      </c>
      <c r="AO289" s="28">
        <f t="shared" si="107"/>
        <v>32118.048288</v>
      </c>
      <c r="AP289" s="10">
        <f t="shared" si="108"/>
        <v>12284.550288</v>
      </c>
    </row>
    <row r="290" spans="1:42">
      <c r="A290" t="s">
        <v>841</v>
      </c>
      <c r="B290" s="7">
        <v>45125</v>
      </c>
      <c r="C290" s="7">
        <v>45148</v>
      </c>
      <c r="D290" t="s">
        <v>177</v>
      </c>
      <c r="E290" t="s">
        <v>309</v>
      </c>
      <c r="F290" t="s">
        <v>310</v>
      </c>
      <c r="G290" t="s">
        <v>223</v>
      </c>
      <c r="H290" t="s">
        <v>181</v>
      </c>
      <c r="I290" t="s">
        <v>210</v>
      </c>
      <c r="J290" t="s">
        <v>183</v>
      </c>
      <c r="K290" t="s">
        <v>842</v>
      </c>
      <c r="L290" s="10">
        <v>1271.56</v>
      </c>
      <c r="M290" s="10">
        <v>995.47</v>
      </c>
      <c r="N290" s="17">
        <v>0.192</v>
      </c>
      <c r="O290">
        <v>13</v>
      </c>
      <c r="P290" t="str">
        <f t="shared" si="89"/>
        <v>Valid</v>
      </c>
      <c r="Q290" s="10">
        <f t="shared" si="90"/>
        <v>995.47</v>
      </c>
      <c r="R290" t="b">
        <f t="shared" si="91"/>
        <v>0</v>
      </c>
      <c r="S290" s="17">
        <f t="shared" si="92"/>
        <v>0.192</v>
      </c>
      <c r="T290">
        <f t="shared" si="93"/>
        <v>23</v>
      </c>
      <c r="U290" s="26">
        <f t="shared" si="94"/>
        <v>45148</v>
      </c>
      <c r="V290">
        <f t="shared" si="95"/>
        <v>23</v>
      </c>
      <c r="W290" s="10">
        <f t="shared" si="96"/>
        <v>1291626.30688</v>
      </c>
      <c r="X290" s="10">
        <f t="shared" si="97"/>
        <v>12941.11</v>
      </c>
      <c r="Y290" s="10">
        <f t="shared" si="98"/>
        <v>1278685.19688</v>
      </c>
      <c r="Z290" s="14">
        <f t="shared" si="102"/>
        <v>0.989980763065085</v>
      </c>
      <c r="AA290" t="s">
        <v>1584</v>
      </c>
      <c r="AB290" t="str">
        <f t="shared" si="99"/>
        <v>Q3-2023</v>
      </c>
      <c r="AC290" t="str">
        <f t="shared" si="100"/>
        <v>Africa → South Africa → Johannesburg</v>
      </c>
      <c r="AD290" t="str">
        <f t="shared" si="101"/>
        <v>Support</v>
      </c>
      <c r="AE290" s="8" t="str">
        <f t="shared" si="88"/>
        <v>Low</v>
      </c>
      <c r="AF290" t="str">
        <f t="shared" si="103"/>
        <v>SOUTH AFRICA</v>
      </c>
      <c r="AG290" s="7">
        <v>44933</v>
      </c>
      <c r="AH290" t="str">
        <f t="shared" si="104"/>
        <v>Jan-2023</v>
      </c>
      <c r="AI290" s="9">
        <f t="shared" si="105"/>
        <v>45138</v>
      </c>
      <c r="AJ290">
        <f t="shared" si="109"/>
        <v>0</v>
      </c>
      <c r="AK290">
        <f t="shared" si="106"/>
        <v>0</v>
      </c>
      <c r="AL290" s="17">
        <f>MIN(N290,'Scenario Modelling'!$B$2)</f>
        <v>0.192</v>
      </c>
      <c r="AM290" s="10">
        <f>L290*(1+'Scenario Modelling'!$B$3)</f>
        <v>1462.294</v>
      </c>
      <c r="AN290">
        <f>O290*(1+'Scenario Modelling'!$B$4)</f>
        <v>15.6</v>
      </c>
      <c r="AO290" s="28">
        <f t="shared" si="107"/>
        <v>12547.700256</v>
      </c>
      <c r="AP290" s="10">
        <f t="shared" si="108"/>
        <v>-10264.086144</v>
      </c>
    </row>
    <row r="291" spans="1:42">
      <c r="A291" t="s">
        <v>843</v>
      </c>
      <c r="B291" s="7">
        <v>45897</v>
      </c>
      <c r="C291" s="7">
        <v>45895</v>
      </c>
      <c r="D291" t="s">
        <v>177</v>
      </c>
      <c r="E291" t="s">
        <v>186</v>
      </c>
      <c r="F291" t="s">
        <v>187</v>
      </c>
      <c r="G291" t="s">
        <v>223</v>
      </c>
      <c r="H291" t="s">
        <v>181</v>
      </c>
      <c r="I291" t="s">
        <v>236</v>
      </c>
      <c r="J291" t="s">
        <v>242</v>
      </c>
      <c r="K291" t="s">
        <v>844</v>
      </c>
      <c r="L291" s="10">
        <v>521.06</v>
      </c>
      <c r="M291" s="10">
        <v>1240.31</v>
      </c>
      <c r="N291" s="17">
        <v>0.146</v>
      </c>
      <c r="O291">
        <v>18</v>
      </c>
      <c r="P291" t="str">
        <f t="shared" si="89"/>
        <v>Valid</v>
      </c>
      <c r="Q291" s="10">
        <f t="shared" si="90"/>
        <v>1240.31</v>
      </c>
      <c r="R291" t="b">
        <f t="shared" si="91"/>
        <v>0</v>
      </c>
      <c r="S291" s="17">
        <f t="shared" si="92"/>
        <v>0.146</v>
      </c>
      <c r="T291">
        <f t="shared" si="93"/>
        <v>-2</v>
      </c>
      <c r="U291" s="26">
        <f t="shared" si="94"/>
        <v>45904</v>
      </c>
      <c r="V291">
        <f t="shared" si="95"/>
        <v>7</v>
      </c>
      <c r="W291" s="10">
        <f t="shared" si="96"/>
        <v>2229298.46532</v>
      </c>
      <c r="X291" s="10">
        <f t="shared" si="97"/>
        <v>22325.58</v>
      </c>
      <c r="Y291" s="10">
        <f t="shared" si="98"/>
        <v>2206972.88532</v>
      </c>
      <c r="Z291" s="14">
        <f t="shared" si="102"/>
        <v>0.989985378652833</v>
      </c>
      <c r="AA291" t="s">
        <v>1590</v>
      </c>
      <c r="AB291" t="str">
        <f t="shared" si="99"/>
        <v>Q3-2025</v>
      </c>
      <c r="AC291" t="str">
        <f t="shared" si="100"/>
        <v>Africa → Nigeria → Port Harcourt</v>
      </c>
      <c r="AD291" t="str">
        <f t="shared" si="101"/>
        <v>Support</v>
      </c>
      <c r="AE291" s="8" t="str">
        <f t="shared" si="88"/>
        <v>High</v>
      </c>
      <c r="AF291" t="str">
        <f t="shared" si="103"/>
        <v>NIGERIA</v>
      </c>
      <c r="AG291" s="7">
        <v>44941</v>
      </c>
      <c r="AH291" t="str">
        <f t="shared" si="104"/>
        <v>Jan-2023</v>
      </c>
      <c r="AI291" s="9">
        <f t="shared" si="105"/>
        <v>45900</v>
      </c>
      <c r="AJ291">
        <f t="shared" si="109"/>
        <v>1</v>
      </c>
      <c r="AK291">
        <f t="shared" si="106"/>
        <v>0</v>
      </c>
      <c r="AL291" s="17">
        <f>MIN(N291,'Scenario Modelling'!$B$2)</f>
        <v>0.146</v>
      </c>
      <c r="AM291" s="10">
        <f>L291*(1+'Scenario Modelling'!$B$3)</f>
        <v>599.219</v>
      </c>
      <c r="AN291">
        <f>O291*(1+'Scenario Modelling'!$B$4)</f>
        <v>21.6</v>
      </c>
      <c r="AO291" s="28">
        <f t="shared" si="107"/>
        <v>22879.254384</v>
      </c>
      <c r="AP291" s="10">
        <f t="shared" si="108"/>
        <v>9936.123984</v>
      </c>
    </row>
    <row r="292" spans="1:42">
      <c r="A292" t="s">
        <v>845</v>
      </c>
      <c r="B292" s="7">
        <v>45746</v>
      </c>
      <c r="C292" s="7">
        <v>45754</v>
      </c>
      <c r="D292" t="s">
        <v>213</v>
      </c>
      <c r="E292" t="s">
        <v>234</v>
      </c>
      <c r="F292" t="s">
        <v>235</v>
      </c>
      <c r="G292" t="s">
        <v>200</v>
      </c>
      <c r="H292" t="s">
        <v>259</v>
      </c>
      <c r="I292" t="s">
        <v>210</v>
      </c>
      <c r="J292" t="s">
        <v>191</v>
      </c>
      <c r="K292" t="s">
        <v>846</v>
      </c>
      <c r="L292" s="10">
        <v>71.62</v>
      </c>
      <c r="M292" s="10">
        <v>118.37</v>
      </c>
      <c r="N292" s="17">
        <v>0.156</v>
      </c>
      <c r="O292">
        <v>11</v>
      </c>
      <c r="P292" t="str">
        <f t="shared" si="89"/>
        <v>Valid</v>
      </c>
      <c r="Q292" s="10">
        <f t="shared" si="90"/>
        <v>118.37</v>
      </c>
      <c r="R292" t="b">
        <f t="shared" si="91"/>
        <v>0</v>
      </c>
      <c r="S292" s="17">
        <f t="shared" si="92"/>
        <v>0.156</v>
      </c>
      <c r="T292">
        <f t="shared" si="93"/>
        <v>8</v>
      </c>
      <c r="U292" s="26">
        <f t="shared" si="94"/>
        <v>45754</v>
      </c>
      <c r="V292">
        <f t="shared" si="95"/>
        <v>8</v>
      </c>
      <c r="W292" s="10">
        <f t="shared" si="96"/>
        <v>130003.87708</v>
      </c>
      <c r="X292" s="10">
        <f t="shared" si="97"/>
        <v>1302.07</v>
      </c>
      <c r="Y292" s="10">
        <f t="shared" si="98"/>
        <v>128701.80708</v>
      </c>
      <c r="Z292" s="14">
        <f t="shared" si="102"/>
        <v>0.989984375625977</v>
      </c>
      <c r="AA292" t="s">
        <v>1563</v>
      </c>
      <c r="AB292" t="str">
        <f t="shared" si="99"/>
        <v>Q1-2025</v>
      </c>
      <c r="AC292" t="str">
        <f t="shared" si="100"/>
        <v>Americas → Brazil → São Paulo</v>
      </c>
      <c r="AD292" t="str">
        <f t="shared" si="101"/>
        <v>Peripherals</v>
      </c>
      <c r="AE292" s="8" t="str">
        <f t="shared" si="88"/>
        <v>High</v>
      </c>
      <c r="AF292" t="str">
        <f t="shared" si="103"/>
        <v>BRAZIL</v>
      </c>
      <c r="AG292" s="7">
        <v>44955</v>
      </c>
      <c r="AH292" t="str">
        <f t="shared" si="104"/>
        <v>Jan-2023</v>
      </c>
      <c r="AI292" s="9">
        <f t="shared" si="105"/>
        <v>45747</v>
      </c>
      <c r="AJ292">
        <f t="shared" si="109"/>
        <v>0</v>
      </c>
      <c r="AK292">
        <f t="shared" si="106"/>
        <v>0</v>
      </c>
      <c r="AL292" s="17">
        <f>MIN(N292,'Scenario Modelling'!$B$2)</f>
        <v>0.156</v>
      </c>
      <c r="AM292" s="10">
        <f>L292*(1+'Scenario Modelling'!$B$3)</f>
        <v>82.363</v>
      </c>
      <c r="AN292">
        <f>O292*(1+'Scenario Modelling'!$B$4)</f>
        <v>13.2</v>
      </c>
      <c r="AO292" s="28">
        <f t="shared" si="107"/>
        <v>1318.736496</v>
      </c>
      <c r="AP292" s="10">
        <f t="shared" si="108"/>
        <v>231.544896</v>
      </c>
    </row>
    <row r="293" spans="1:42">
      <c r="A293" t="s">
        <v>847</v>
      </c>
      <c r="B293" s="7">
        <v>45220</v>
      </c>
      <c r="C293" s="7">
        <v>45239</v>
      </c>
      <c r="D293" t="s">
        <v>239</v>
      </c>
      <c r="E293" t="s">
        <v>269</v>
      </c>
      <c r="F293" t="s">
        <v>313</v>
      </c>
      <c r="G293" t="s">
        <v>200</v>
      </c>
      <c r="H293" t="s">
        <v>259</v>
      </c>
      <c r="I293" t="s">
        <v>236</v>
      </c>
      <c r="J293" t="s">
        <v>242</v>
      </c>
      <c r="K293" t="s">
        <v>848</v>
      </c>
      <c r="L293" s="10">
        <v>1142.48</v>
      </c>
      <c r="M293" s="10">
        <v>2105.53</v>
      </c>
      <c r="N293" s="17">
        <v>0.207</v>
      </c>
      <c r="O293">
        <v>14</v>
      </c>
      <c r="P293" t="str">
        <f t="shared" si="89"/>
        <v>Valid</v>
      </c>
      <c r="Q293" s="10">
        <f t="shared" si="90"/>
        <v>2105.53</v>
      </c>
      <c r="R293" t="b">
        <f t="shared" si="91"/>
        <v>0</v>
      </c>
      <c r="S293" s="17">
        <f t="shared" si="92"/>
        <v>0.207</v>
      </c>
      <c r="T293">
        <f t="shared" si="93"/>
        <v>19</v>
      </c>
      <c r="U293" s="26">
        <f t="shared" si="94"/>
        <v>45239</v>
      </c>
      <c r="V293">
        <f t="shared" si="95"/>
        <v>19</v>
      </c>
      <c r="W293" s="10">
        <f t="shared" si="96"/>
        <v>2941640.17406</v>
      </c>
      <c r="X293" s="10">
        <f t="shared" si="97"/>
        <v>29477.42</v>
      </c>
      <c r="Y293" s="10">
        <f t="shared" si="98"/>
        <v>2912162.75406</v>
      </c>
      <c r="Z293" s="14">
        <f t="shared" si="102"/>
        <v>0.989979257062119</v>
      </c>
      <c r="AA293" t="s">
        <v>1595</v>
      </c>
      <c r="AB293" t="str">
        <f t="shared" si="99"/>
        <v>Q4-2023</v>
      </c>
      <c r="AC293" t="str">
        <f t="shared" si="100"/>
        <v>Europe → United Kingdom → London</v>
      </c>
      <c r="AD293" t="str">
        <f t="shared" si="101"/>
        <v>Support</v>
      </c>
      <c r="AE293" s="8" t="str">
        <f t="shared" si="88"/>
        <v>Low</v>
      </c>
      <c r="AF293" t="str">
        <f t="shared" si="103"/>
        <v>UNITED KINGDOM</v>
      </c>
      <c r="AG293" s="7">
        <v>44945</v>
      </c>
      <c r="AH293" t="str">
        <f t="shared" si="104"/>
        <v>Jan-2023</v>
      </c>
      <c r="AI293" s="9">
        <f t="shared" si="105"/>
        <v>45230</v>
      </c>
      <c r="AJ293">
        <f t="shared" si="109"/>
        <v>0</v>
      </c>
      <c r="AK293">
        <f t="shared" si="106"/>
        <v>1</v>
      </c>
      <c r="AL293" s="17">
        <f>MIN(N293,'Scenario Modelling'!$B$2)</f>
        <v>0.207</v>
      </c>
      <c r="AM293" s="10">
        <f>L293*(1+'Scenario Modelling'!$B$3)</f>
        <v>1313.852</v>
      </c>
      <c r="AN293">
        <f>O293*(1+'Scenario Modelling'!$B$4)</f>
        <v>16.8</v>
      </c>
      <c r="AO293" s="28">
        <f t="shared" si="107"/>
        <v>28050.712872</v>
      </c>
      <c r="AP293" s="10">
        <f t="shared" si="108"/>
        <v>5977.99927200001</v>
      </c>
    </row>
    <row r="294" spans="1:42">
      <c r="A294" t="s">
        <v>849</v>
      </c>
      <c r="B294" s="7">
        <v>45161</v>
      </c>
      <c r="C294" s="7">
        <v>45191</v>
      </c>
      <c r="D294" t="s">
        <v>239</v>
      </c>
      <c r="E294" t="s">
        <v>269</v>
      </c>
      <c r="F294" t="s">
        <v>313</v>
      </c>
      <c r="G294" t="s">
        <v>209</v>
      </c>
      <c r="H294" t="s">
        <v>216</v>
      </c>
      <c r="I294" t="s">
        <v>229</v>
      </c>
      <c r="J294" t="s">
        <v>242</v>
      </c>
      <c r="K294" t="s">
        <v>850</v>
      </c>
      <c r="L294" s="10">
        <v>209.81</v>
      </c>
      <c r="M294" s="10">
        <v>523</v>
      </c>
      <c r="N294" s="17">
        <v>0.059</v>
      </c>
      <c r="O294">
        <v>15</v>
      </c>
      <c r="P294" t="str">
        <f t="shared" si="89"/>
        <v>Valid</v>
      </c>
      <c r="Q294" s="10">
        <f t="shared" si="90"/>
        <v>523</v>
      </c>
      <c r="R294" t="b">
        <f t="shared" si="91"/>
        <v>0</v>
      </c>
      <c r="S294" s="17">
        <f t="shared" si="92"/>
        <v>0.059</v>
      </c>
      <c r="T294">
        <f t="shared" si="93"/>
        <v>30</v>
      </c>
      <c r="U294" s="26">
        <f t="shared" si="94"/>
        <v>45191</v>
      </c>
      <c r="V294">
        <f t="shared" si="95"/>
        <v>30</v>
      </c>
      <c r="W294" s="10">
        <f t="shared" si="96"/>
        <v>784037.145</v>
      </c>
      <c r="X294" s="10">
        <f t="shared" si="97"/>
        <v>7845</v>
      </c>
      <c r="Y294" s="10">
        <f t="shared" si="98"/>
        <v>776192.145</v>
      </c>
      <c r="Z294" s="14">
        <f t="shared" si="102"/>
        <v>0.989994096516945</v>
      </c>
      <c r="AA294" t="s">
        <v>1585</v>
      </c>
      <c r="AB294" t="str">
        <f t="shared" si="99"/>
        <v>Q3-2023</v>
      </c>
      <c r="AC294" t="str">
        <f t="shared" si="100"/>
        <v>Europe → United Kingdom → London</v>
      </c>
      <c r="AD294" t="str">
        <f t="shared" si="101"/>
        <v>Support</v>
      </c>
      <c r="AE294" s="8" t="str">
        <f t="shared" si="88"/>
        <v>Low</v>
      </c>
      <c r="AF294" t="str">
        <f t="shared" si="103"/>
        <v>UNITED KINGDOM</v>
      </c>
      <c r="AG294" s="7">
        <v>44945</v>
      </c>
      <c r="AH294" t="str">
        <f t="shared" si="104"/>
        <v>Jan-2023</v>
      </c>
      <c r="AI294" s="9">
        <f t="shared" si="105"/>
        <v>45169</v>
      </c>
      <c r="AJ294">
        <f t="shared" si="109"/>
        <v>0</v>
      </c>
      <c r="AK294">
        <f t="shared" si="106"/>
        <v>0</v>
      </c>
      <c r="AL294" s="17">
        <f>MIN(N294,'Scenario Modelling'!$B$2)</f>
        <v>0.059</v>
      </c>
      <c r="AM294" s="10">
        <f>L294*(1+'Scenario Modelling'!$B$3)</f>
        <v>241.2815</v>
      </c>
      <c r="AN294">
        <f>O294*(1+'Scenario Modelling'!$B$4)</f>
        <v>18</v>
      </c>
      <c r="AO294" s="28">
        <f t="shared" si="107"/>
        <v>8858.574</v>
      </c>
      <c r="AP294" s="10">
        <f t="shared" si="108"/>
        <v>4515.507</v>
      </c>
    </row>
    <row r="295" spans="1:42">
      <c r="A295" t="s">
        <v>851</v>
      </c>
      <c r="B295" s="7">
        <v>45758</v>
      </c>
      <c r="C295" s="7">
        <v>45781</v>
      </c>
      <c r="D295" t="s">
        <v>206</v>
      </c>
      <c r="E295" t="s">
        <v>207</v>
      </c>
      <c r="F295" t="s">
        <v>208</v>
      </c>
      <c r="G295" t="s">
        <v>223</v>
      </c>
      <c r="H295" t="s">
        <v>189</v>
      </c>
      <c r="I295" t="s">
        <v>271</v>
      </c>
      <c r="J295" t="s">
        <v>183</v>
      </c>
      <c r="K295" t="s">
        <v>852</v>
      </c>
      <c r="L295" s="10">
        <v>786.2</v>
      </c>
      <c r="M295" s="10">
        <v>1075.3</v>
      </c>
      <c r="N295" s="17">
        <v>0.08</v>
      </c>
      <c r="O295">
        <v>9</v>
      </c>
      <c r="P295" t="str">
        <f t="shared" si="89"/>
        <v>Valid</v>
      </c>
      <c r="Q295" s="10">
        <f t="shared" si="90"/>
        <v>1075.3</v>
      </c>
      <c r="R295" t="b">
        <f t="shared" si="91"/>
        <v>0</v>
      </c>
      <c r="S295" s="17">
        <f t="shared" si="92"/>
        <v>0.08</v>
      </c>
      <c r="T295">
        <f t="shared" si="93"/>
        <v>23</v>
      </c>
      <c r="U295" s="26">
        <f t="shared" si="94"/>
        <v>45781</v>
      </c>
      <c r="V295">
        <f t="shared" si="95"/>
        <v>23</v>
      </c>
      <c r="W295" s="10">
        <f t="shared" si="96"/>
        <v>966995.784</v>
      </c>
      <c r="X295" s="10">
        <f t="shared" si="97"/>
        <v>9677.7</v>
      </c>
      <c r="Y295" s="10">
        <f t="shared" si="98"/>
        <v>957318.084</v>
      </c>
      <c r="Z295" s="14">
        <f t="shared" si="102"/>
        <v>0.989991993594876</v>
      </c>
      <c r="AA295" t="s">
        <v>1578</v>
      </c>
      <c r="AB295" t="str">
        <f t="shared" si="99"/>
        <v>Q2-2025</v>
      </c>
      <c r="AC295" t="str">
        <f t="shared" si="100"/>
        <v>Asia → Japan → Osaka</v>
      </c>
      <c r="AD295" t="str">
        <f t="shared" si="101"/>
        <v>Support</v>
      </c>
      <c r="AE295" s="8" t="str">
        <f t="shared" si="88"/>
        <v>High</v>
      </c>
      <c r="AF295" t="str">
        <f t="shared" si="103"/>
        <v>JAPAN</v>
      </c>
      <c r="AG295" s="7">
        <v>44988</v>
      </c>
      <c r="AH295" t="str">
        <f t="shared" si="104"/>
        <v>Mar-2023</v>
      </c>
      <c r="AI295" s="9">
        <f t="shared" si="105"/>
        <v>45777</v>
      </c>
      <c r="AJ295">
        <f t="shared" si="109"/>
        <v>0</v>
      </c>
      <c r="AK295">
        <f t="shared" si="106"/>
        <v>0</v>
      </c>
      <c r="AL295" s="17">
        <f>MIN(N295,'Scenario Modelling'!$B$2)</f>
        <v>0.08</v>
      </c>
      <c r="AM295" s="10">
        <f>L295*(1+'Scenario Modelling'!$B$3)</f>
        <v>904.13</v>
      </c>
      <c r="AN295">
        <f>O295*(1+'Scenario Modelling'!$B$4)</f>
        <v>10.8</v>
      </c>
      <c r="AO295" s="28">
        <f t="shared" si="107"/>
        <v>10684.1808</v>
      </c>
      <c r="AP295" s="10">
        <f t="shared" si="108"/>
        <v>919.576799999999</v>
      </c>
    </row>
    <row r="296" spans="1:42">
      <c r="A296" t="s">
        <v>853</v>
      </c>
      <c r="B296" s="7">
        <v>45809</v>
      </c>
      <c r="C296" s="7">
        <v>45835</v>
      </c>
      <c r="D296" t="s">
        <v>239</v>
      </c>
      <c r="E296" t="s">
        <v>240</v>
      </c>
      <c r="F296" t="s">
        <v>320</v>
      </c>
      <c r="G296" t="s">
        <v>209</v>
      </c>
      <c r="H296" t="s">
        <v>216</v>
      </c>
      <c r="I296" t="s">
        <v>224</v>
      </c>
      <c r="J296" t="s">
        <v>218</v>
      </c>
      <c r="K296" t="s">
        <v>854</v>
      </c>
      <c r="L296" s="10">
        <v>1362.31</v>
      </c>
      <c r="M296" s="10">
        <v>3294.57</v>
      </c>
      <c r="N296" s="17">
        <v>0.113</v>
      </c>
      <c r="O296">
        <v>7</v>
      </c>
      <c r="P296" t="str">
        <f t="shared" si="89"/>
        <v>Valid</v>
      </c>
      <c r="Q296" s="10">
        <f t="shared" si="90"/>
        <v>3294.57</v>
      </c>
      <c r="R296" t="b">
        <f t="shared" si="91"/>
        <v>0</v>
      </c>
      <c r="S296" s="17">
        <f t="shared" si="92"/>
        <v>0.113</v>
      </c>
      <c r="T296">
        <f t="shared" si="93"/>
        <v>26</v>
      </c>
      <c r="U296" s="26">
        <f t="shared" si="94"/>
        <v>45835</v>
      </c>
      <c r="V296">
        <f t="shared" si="95"/>
        <v>26</v>
      </c>
      <c r="W296" s="10">
        <f t="shared" si="96"/>
        <v>2303592.99513</v>
      </c>
      <c r="X296" s="10">
        <f t="shared" si="97"/>
        <v>23061.99</v>
      </c>
      <c r="Y296" s="10">
        <f t="shared" si="98"/>
        <v>2280531.00513</v>
      </c>
      <c r="Z296" s="14">
        <f t="shared" si="102"/>
        <v>0.989988687216555</v>
      </c>
      <c r="AA296" t="s">
        <v>1575</v>
      </c>
      <c r="AB296" t="str">
        <f t="shared" si="99"/>
        <v>Q2-2025</v>
      </c>
      <c r="AC296" t="str">
        <f t="shared" si="100"/>
        <v>Europe → Germany → Munich</v>
      </c>
      <c r="AD296" t="str">
        <f t="shared" si="101"/>
        <v>Devices</v>
      </c>
      <c r="AE296" s="8" t="str">
        <f t="shared" si="88"/>
        <v>High</v>
      </c>
      <c r="AF296" t="str">
        <f t="shared" si="103"/>
        <v>GERMANY</v>
      </c>
      <c r="AG296" s="7">
        <v>44948</v>
      </c>
      <c r="AH296" t="str">
        <f t="shared" si="104"/>
        <v>Jan-2023</v>
      </c>
      <c r="AI296" s="9">
        <f t="shared" si="105"/>
        <v>45838</v>
      </c>
      <c r="AJ296">
        <f t="shared" si="109"/>
        <v>0</v>
      </c>
      <c r="AK296">
        <f t="shared" si="106"/>
        <v>0</v>
      </c>
      <c r="AL296" s="17">
        <f>MIN(N296,'Scenario Modelling'!$B$2)</f>
        <v>0.113</v>
      </c>
      <c r="AM296" s="10">
        <f>L296*(1+'Scenario Modelling'!$B$3)</f>
        <v>1566.6565</v>
      </c>
      <c r="AN296">
        <f>O296*(1+'Scenario Modelling'!$B$4)</f>
        <v>8.4</v>
      </c>
      <c r="AO296" s="28">
        <f t="shared" si="107"/>
        <v>24547.182156</v>
      </c>
      <c r="AP296" s="10">
        <f t="shared" si="108"/>
        <v>11387.267556</v>
      </c>
    </row>
    <row r="297" spans="1:42">
      <c r="A297" t="s">
        <v>855</v>
      </c>
      <c r="B297" s="7">
        <v>45353</v>
      </c>
      <c r="C297" s="7">
        <v>45367</v>
      </c>
      <c r="D297" t="s">
        <v>213</v>
      </c>
      <c r="E297" t="s">
        <v>214</v>
      </c>
      <c r="F297" t="s">
        <v>340</v>
      </c>
      <c r="G297" t="s">
        <v>200</v>
      </c>
      <c r="H297" t="s">
        <v>259</v>
      </c>
      <c r="I297" t="s">
        <v>229</v>
      </c>
      <c r="J297" t="s">
        <v>191</v>
      </c>
      <c r="K297" t="s">
        <v>856</v>
      </c>
      <c r="L297" s="10">
        <v>248.24</v>
      </c>
      <c r="M297" s="10">
        <v>464.05</v>
      </c>
      <c r="N297" s="17">
        <v>0.169</v>
      </c>
      <c r="O297">
        <v>11</v>
      </c>
      <c r="P297" t="str">
        <f t="shared" si="89"/>
        <v>Valid</v>
      </c>
      <c r="Q297" s="10">
        <f t="shared" si="90"/>
        <v>464.05</v>
      </c>
      <c r="R297" t="b">
        <f t="shared" si="91"/>
        <v>0</v>
      </c>
      <c r="S297" s="17">
        <f t="shared" si="92"/>
        <v>0.169</v>
      </c>
      <c r="T297">
        <f t="shared" si="93"/>
        <v>14</v>
      </c>
      <c r="U297" s="26">
        <f t="shared" si="94"/>
        <v>45367</v>
      </c>
      <c r="V297">
        <f t="shared" si="95"/>
        <v>14</v>
      </c>
      <c r="W297" s="10">
        <f t="shared" si="96"/>
        <v>509592.33105</v>
      </c>
      <c r="X297" s="10">
        <f t="shared" si="97"/>
        <v>5104.55</v>
      </c>
      <c r="Y297" s="10">
        <f t="shared" si="98"/>
        <v>504487.78105</v>
      </c>
      <c r="Z297" s="14">
        <f t="shared" si="102"/>
        <v>0.98998307139065</v>
      </c>
      <c r="AA297" t="s">
        <v>1560</v>
      </c>
      <c r="AB297" t="str">
        <f t="shared" si="99"/>
        <v>Q1-2024</v>
      </c>
      <c r="AC297" t="str">
        <f t="shared" si="100"/>
        <v>Americas → Canada → Vancouver</v>
      </c>
      <c r="AD297" t="str">
        <f t="shared" si="101"/>
        <v>Peripherals</v>
      </c>
      <c r="AE297" s="8" t="str">
        <f t="shared" si="88"/>
        <v>Medium</v>
      </c>
      <c r="AF297" t="str">
        <f t="shared" si="103"/>
        <v>CANADA</v>
      </c>
      <c r="AG297" s="7">
        <v>44928</v>
      </c>
      <c r="AH297" t="str">
        <f t="shared" si="104"/>
        <v>Jan-2023</v>
      </c>
      <c r="AI297" s="9">
        <f t="shared" si="105"/>
        <v>45382</v>
      </c>
      <c r="AJ297">
        <f t="shared" si="109"/>
        <v>0</v>
      </c>
      <c r="AK297">
        <f t="shared" si="106"/>
        <v>0</v>
      </c>
      <c r="AL297" s="17">
        <f>MIN(N297,'Scenario Modelling'!$B$2)</f>
        <v>0.169</v>
      </c>
      <c r="AM297" s="10">
        <f>L297*(1+'Scenario Modelling'!$B$3)</f>
        <v>285.476</v>
      </c>
      <c r="AN297">
        <f>O297*(1+'Scenario Modelling'!$B$4)</f>
        <v>13.2</v>
      </c>
      <c r="AO297" s="28">
        <f t="shared" si="107"/>
        <v>5090.25726</v>
      </c>
      <c r="AP297" s="10">
        <f t="shared" si="108"/>
        <v>1321.97406</v>
      </c>
    </row>
    <row r="298" spans="1:42">
      <c r="A298" t="s">
        <v>857</v>
      </c>
      <c r="B298" s="7">
        <v>45097</v>
      </c>
      <c r="C298" s="7">
        <v>45115</v>
      </c>
      <c r="D298" t="s">
        <v>213</v>
      </c>
      <c r="E298" t="s">
        <v>283</v>
      </c>
      <c r="F298" t="s">
        <v>487</v>
      </c>
      <c r="G298" t="s">
        <v>200</v>
      </c>
      <c r="H298" t="s">
        <v>259</v>
      </c>
      <c r="I298" t="s">
        <v>245</v>
      </c>
      <c r="J298" t="s">
        <v>225</v>
      </c>
      <c r="K298" t="s">
        <v>858</v>
      </c>
      <c r="L298" s="10">
        <v>337</v>
      </c>
      <c r="M298" s="10">
        <v>511.03</v>
      </c>
      <c r="N298" s="17">
        <v>0.108</v>
      </c>
      <c r="O298">
        <v>7</v>
      </c>
      <c r="P298" t="str">
        <f t="shared" si="89"/>
        <v>Valid</v>
      </c>
      <c r="Q298" s="10">
        <f t="shared" si="90"/>
        <v>511.03</v>
      </c>
      <c r="R298" t="b">
        <f t="shared" si="91"/>
        <v>0</v>
      </c>
      <c r="S298" s="17">
        <f t="shared" si="92"/>
        <v>0.108</v>
      </c>
      <c r="T298">
        <f t="shared" si="93"/>
        <v>18</v>
      </c>
      <c r="U298" s="26">
        <f t="shared" si="94"/>
        <v>45115</v>
      </c>
      <c r="V298">
        <f t="shared" si="95"/>
        <v>18</v>
      </c>
      <c r="W298" s="10">
        <f t="shared" si="96"/>
        <v>357334.66132</v>
      </c>
      <c r="X298" s="10">
        <f t="shared" si="97"/>
        <v>3577.21</v>
      </c>
      <c r="Y298" s="10">
        <f t="shared" si="98"/>
        <v>353757.45132</v>
      </c>
      <c r="Z298" s="14">
        <f t="shared" si="102"/>
        <v>0.989989188323389</v>
      </c>
      <c r="AA298" t="s">
        <v>1583</v>
      </c>
      <c r="AB298" t="str">
        <f t="shared" si="99"/>
        <v>Q2-2023</v>
      </c>
      <c r="AC298" t="str">
        <f t="shared" si="100"/>
        <v>Americas → USA → Austin</v>
      </c>
      <c r="AD298" t="str">
        <f t="shared" si="101"/>
        <v>Peripherals</v>
      </c>
      <c r="AE298" s="8" t="str">
        <f t="shared" si="88"/>
        <v>Low</v>
      </c>
      <c r="AF298" t="str">
        <f t="shared" si="103"/>
        <v>USA</v>
      </c>
      <c r="AG298" s="7">
        <v>44939</v>
      </c>
      <c r="AH298" t="str">
        <f t="shared" si="104"/>
        <v>Jan-2023</v>
      </c>
      <c r="AI298" s="9">
        <f t="shared" si="105"/>
        <v>45107</v>
      </c>
      <c r="AJ298">
        <f t="shared" si="109"/>
        <v>0</v>
      </c>
      <c r="AK298">
        <f t="shared" si="106"/>
        <v>0</v>
      </c>
      <c r="AL298" s="17">
        <f>MIN(N298,'Scenario Modelling'!$B$2)</f>
        <v>0.108</v>
      </c>
      <c r="AM298" s="10">
        <f>L298*(1+'Scenario Modelling'!$B$3)</f>
        <v>387.55</v>
      </c>
      <c r="AN298">
        <f>O298*(1+'Scenario Modelling'!$B$4)</f>
        <v>8.4</v>
      </c>
      <c r="AO298" s="28">
        <f t="shared" si="107"/>
        <v>3829.045584</v>
      </c>
      <c r="AP298" s="10">
        <f t="shared" si="108"/>
        <v>573.625584</v>
      </c>
    </row>
    <row r="299" spans="1:42">
      <c r="A299" t="s">
        <v>859</v>
      </c>
      <c r="B299" s="7">
        <v>45377</v>
      </c>
      <c r="C299" s="7">
        <v>45387</v>
      </c>
      <c r="D299" t="s">
        <v>213</v>
      </c>
      <c r="E299" t="s">
        <v>283</v>
      </c>
      <c r="F299" t="s">
        <v>487</v>
      </c>
      <c r="G299" t="s">
        <v>209</v>
      </c>
      <c r="H299" t="s">
        <v>259</v>
      </c>
      <c r="I299" t="s">
        <v>190</v>
      </c>
      <c r="J299" t="s">
        <v>225</v>
      </c>
      <c r="K299" t="s">
        <v>860</v>
      </c>
      <c r="L299" s="10">
        <v>5.66</v>
      </c>
      <c r="M299" s="10">
        <v>4.22</v>
      </c>
      <c r="N299" s="17">
        <v>0.119</v>
      </c>
      <c r="O299">
        <v>18</v>
      </c>
      <c r="P299" t="str">
        <f t="shared" si="89"/>
        <v>Valid</v>
      </c>
      <c r="Q299" s="10">
        <f t="shared" si="90"/>
        <v>4.22</v>
      </c>
      <c r="R299" t="b">
        <f t="shared" si="91"/>
        <v>0</v>
      </c>
      <c r="S299" s="17">
        <f t="shared" si="92"/>
        <v>0.119</v>
      </c>
      <c r="T299">
        <f t="shared" si="93"/>
        <v>10</v>
      </c>
      <c r="U299" s="26">
        <f t="shared" si="94"/>
        <v>45387</v>
      </c>
      <c r="V299">
        <f t="shared" si="95"/>
        <v>10</v>
      </c>
      <c r="W299" s="10">
        <f t="shared" si="96"/>
        <v>7586.96076</v>
      </c>
      <c r="X299" s="10">
        <f t="shared" si="97"/>
        <v>75.96</v>
      </c>
      <c r="Y299" s="10">
        <f t="shared" si="98"/>
        <v>7511.00076</v>
      </c>
      <c r="Z299" s="14">
        <f t="shared" si="102"/>
        <v>0.989988085822128</v>
      </c>
      <c r="AA299" t="s">
        <v>1560</v>
      </c>
      <c r="AB299" t="str">
        <f t="shared" si="99"/>
        <v>Q1-2024</v>
      </c>
      <c r="AC299" t="str">
        <f t="shared" si="100"/>
        <v>Americas → USA → Austin</v>
      </c>
      <c r="AD299" t="str">
        <f t="shared" si="101"/>
        <v>Peripherals</v>
      </c>
      <c r="AE299" s="8" t="str">
        <f t="shared" si="88"/>
        <v>Medium</v>
      </c>
      <c r="AF299" t="str">
        <f t="shared" si="103"/>
        <v>USA</v>
      </c>
      <c r="AG299" s="7">
        <v>44939</v>
      </c>
      <c r="AH299" t="str">
        <f t="shared" si="104"/>
        <v>Jan-2023</v>
      </c>
      <c r="AI299" s="9">
        <f t="shared" si="105"/>
        <v>45382</v>
      </c>
      <c r="AJ299">
        <f t="shared" si="109"/>
        <v>0</v>
      </c>
      <c r="AK299">
        <f t="shared" si="106"/>
        <v>0</v>
      </c>
      <c r="AL299" s="17">
        <f>MIN(N299,'Scenario Modelling'!$B$2)</f>
        <v>0.119</v>
      </c>
      <c r="AM299" s="10">
        <f>L299*(1+'Scenario Modelling'!$B$3)</f>
        <v>6.509</v>
      </c>
      <c r="AN299">
        <f>O299*(1+'Scenario Modelling'!$B$4)</f>
        <v>21.6</v>
      </c>
      <c r="AO299" s="28">
        <f t="shared" si="107"/>
        <v>80.304912</v>
      </c>
      <c r="AP299" s="10">
        <f t="shared" si="108"/>
        <v>-60.289488</v>
      </c>
    </row>
    <row r="300" spans="1:42">
      <c r="A300" t="s">
        <v>861</v>
      </c>
      <c r="B300" s="7">
        <v>45679</v>
      </c>
      <c r="C300" s="7">
        <v>45679</v>
      </c>
      <c r="D300" t="s">
        <v>239</v>
      </c>
      <c r="E300" t="s">
        <v>251</v>
      </c>
      <c r="F300" t="s">
        <v>299</v>
      </c>
      <c r="G300" t="s">
        <v>223</v>
      </c>
      <c r="H300" t="s">
        <v>189</v>
      </c>
      <c r="I300" t="s">
        <v>217</v>
      </c>
      <c r="J300" t="s">
        <v>242</v>
      </c>
      <c r="K300" t="s">
        <v>862</v>
      </c>
      <c r="L300" s="10">
        <v>591.72</v>
      </c>
      <c r="M300" s="10">
        <v>577.24</v>
      </c>
      <c r="N300" s="17">
        <v>0</v>
      </c>
      <c r="O300">
        <v>22</v>
      </c>
      <c r="P300" t="str">
        <f t="shared" si="89"/>
        <v>Valid</v>
      </c>
      <c r="Q300" s="10">
        <f t="shared" si="90"/>
        <v>577.24</v>
      </c>
      <c r="R300" t="b">
        <f t="shared" si="91"/>
        <v>0</v>
      </c>
      <c r="S300" s="17">
        <f t="shared" si="92"/>
        <v>0</v>
      </c>
      <c r="T300">
        <f t="shared" si="93"/>
        <v>0</v>
      </c>
      <c r="U300" s="26">
        <f t="shared" si="94"/>
        <v>45679</v>
      </c>
      <c r="V300">
        <f t="shared" si="95"/>
        <v>0</v>
      </c>
      <c r="W300" s="10">
        <f t="shared" si="96"/>
        <v>1269928</v>
      </c>
      <c r="X300" s="10">
        <f t="shared" si="97"/>
        <v>12699.28</v>
      </c>
      <c r="Y300" s="10">
        <f t="shared" si="98"/>
        <v>1257228.72</v>
      </c>
      <c r="Z300" s="14">
        <f t="shared" si="102"/>
        <v>0.99</v>
      </c>
      <c r="AA300" t="s">
        <v>1569</v>
      </c>
      <c r="AB300" t="str">
        <f t="shared" si="99"/>
        <v>Q1-2025</v>
      </c>
      <c r="AC300" t="str">
        <f t="shared" si="100"/>
        <v>Europe → France → Lyon</v>
      </c>
      <c r="AD300" t="str">
        <f t="shared" si="101"/>
        <v>Support</v>
      </c>
      <c r="AE300" s="8" t="str">
        <f t="shared" si="88"/>
        <v>High</v>
      </c>
      <c r="AF300" t="str">
        <f t="shared" si="103"/>
        <v>FRANCE</v>
      </c>
      <c r="AG300" s="7">
        <v>44936</v>
      </c>
      <c r="AH300" t="str">
        <f t="shared" si="104"/>
        <v>Jan-2023</v>
      </c>
      <c r="AI300" s="9">
        <f t="shared" si="105"/>
        <v>45688</v>
      </c>
      <c r="AJ300">
        <f t="shared" si="109"/>
        <v>1</v>
      </c>
      <c r="AK300">
        <f t="shared" si="106"/>
        <v>0</v>
      </c>
      <c r="AL300" s="17">
        <f>MIN(N300,'Scenario Modelling'!$B$2)</f>
        <v>0</v>
      </c>
      <c r="AM300" s="10">
        <f>L300*(1+'Scenario Modelling'!$B$3)</f>
        <v>680.478</v>
      </c>
      <c r="AN300">
        <f>O300*(1+'Scenario Modelling'!$B$4)</f>
        <v>26.4</v>
      </c>
      <c r="AO300" s="28">
        <f t="shared" si="107"/>
        <v>15239.136</v>
      </c>
      <c r="AP300" s="10">
        <f t="shared" si="108"/>
        <v>-2725.4832</v>
      </c>
    </row>
    <row r="301" spans="1:42">
      <c r="A301" t="s">
        <v>863</v>
      </c>
      <c r="B301" s="7">
        <v>45787</v>
      </c>
      <c r="C301" s="7">
        <v>45804</v>
      </c>
      <c r="D301" t="s">
        <v>213</v>
      </c>
      <c r="E301" t="s">
        <v>214</v>
      </c>
      <c r="F301" t="s">
        <v>340</v>
      </c>
      <c r="G301" t="s">
        <v>188</v>
      </c>
      <c r="H301" t="s">
        <v>259</v>
      </c>
      <c r="I301" t="s">
        <v>182</v>
      </c>
      <c r="J301" t="s">
        <v>183</v>
      </c>
      <c r="K301" t="s">
        <v>864</v>
      </c>
      <c r="L301" s="10">
        <v>862.89</v>
      </c>
      <c r="M301" s="10">
        <v>1426.03</v>
      </c>
      <c r="N301" s="17">
        <v>0.056</v>
      </c>
      <c r="O301">
        <v>19</v>
      </c>
      <c r="P301" t="str">
        <f t="shared" si="89"/>
        <v>Valid</v>
      </c>
      <c r="Q301" s="10">
        <f t="shared" si="90"/>
        <v>1426.03</v>
      </c>
      <c r="R301" t="b">
        <f t="shared" si="91"/>
        <v>0</v>
      </c>
      <c r="S301" s="17">
        <f t="shared" si="92"/>
        <v>0.056</v>
      </c>
      <c r="T301">
        <f t="shared" si="93"/>
        <v>17</v>
      </c>
      <c r="U301" s="26">
        <f t="shared" si="94"/>
        <v>45804</v>
      </c>
      <c r="V301">
        <f t="shared" si="95"/>
        <v>17</v>
      </c>
      <c r="W301" s="10">
        <f t="shared" si="96"/>
        <v>2707939.70408</v>
      </c>
      <c r="X301" s="10">
        <f t="shared" si="97"/>
        <v>27094.57</v>
      </c>
      <c r="Y301" s="10">
        <f t="shared" si="98"/>
        <v>2680845.13408</v>
      </c>
      <c r="Z301" s="14">
        <f t="shared" si="102"/>
        <v>0.989994396862243</v>
      </c>
      <c r="AA301" t="s">
        <v>1567</v>
      </c>
      <c r="AB301" t="str">
        <f t="shared" si="99"/>
        <v>Q2-2025</v>
      </c>
      <c r="AC301" t="str">
        <f t="shared" si="100"/>
        <v>Americas → Canada → Vancouver</v>
      </c>
      <c r="AD301" t="str">
        <f t="shared" si="101"/>
        <v>Support</v>
      </c>
      <c r="AE301" s="8" t="str">
        <f t="shared" si="88"/>
        <v>High</v>
      </c>
      <c r="AF301" t="str">
        <f t="shared" si="103"/>
        <v>CANADA</v>
      </c>
      <c r="AG301" s="7">
        <v>44928</v>
      </c>
      <c r="AH301" t="str">
        <f t="shared" si="104"/>
        <v>Jan-2023</v>
      </c>
      <c r="AI301" s="9">
        <f t="shared" si="105"/>
        <v>45808</v>
      </c>
      <c r="AJ301">
        <f t="shared" si="109"/>
        <v>0</v>
      </c>
      <c r="AK301">
        <f t="shared" si="106"/>
        <v>0</v>
      </c>
      <c r="AL301" s="17">
        <f>MIN(N301,'Scenario Modelling'!$B$2)</f>
        <v>0.056</v>
      </c>
      <c r="AM301" s="10">
        <f>L301*(1+'Scenario Modelling'!$B$3)</f>
        <v>992.3235</v>
      </c>
      <c r="AN301">
        <f>O301*(1+'Scenario Modelling'!$B$4)</f>
        <v>22.8</v>
      </c>
      <c r="AO301" s="28">
        <f t="shared" si="107"/>
        <v>30692.728896</v>
      </c>
      <c r="AP301" s="10">
        <f t="shared" si="108"/>
        <v>8067.753096</v>
      </c>
    </row>
    <row r="302" spans="1:42">
      <c r="A302" t="s">
        <v>865</v>
      </c>
      <c r="B302" s="7">
        <v>45204</v>
      </c>
      <c r="C302" s="7">
        <v>45230</v>
      </c>
      <c r="D302" t="s">
        <v>206</v>
      </c>
      <c r="E302" t="s">
        <v>277</v>
      </c>
      <c r="F302" t="s">
        <v>323</v>
      </c>
      <c r="G302" t="s">
        <v>209</v>
      </c>
      <c r="H302" t="s">
        <v>1579</v>
      </c>
      <c r="I302" t="s">
        <v>190</v>
      </c>
      <c r="J302" t="s">
        <v>191</v>
      </c>
      <c r="K302" t="s">
        <v>866</v>
      </c>
      <c r="L302" s="10">
        <v>649.91</v>
      </c>
      <c r="M302" s="10">
        <v>1360.12</v>
      </c>
      <c r="N302" s="17">
        <v>0.194</v>
      </c>
      <c r="O302">
        <v>9</v>
      </c>
      <c r="P302" t="str">
        <f t="shared" si="89"/>
        <v>Valid</v>
      </c>
      <c r="Q302" s="10">
        <f t="shared" si="90"/>
        <v>1360.12</v>
      </c>
      <c r="R302" t="b">
        <f t="shared" si="91"/>
        <v>0</v>
      </c>
      <c r="S302" s="17">
        <f t="shared" si="92"/>
        <v>0.194</v>
      </c>
      <c r="T302">
        <f t="shared" si="93"/>
        <v>26</v>
      </c>
      <c r="U302" s="26">
        <f t="shared" si="94"/>
        <v>45230</v>
      </c>
      <c r="V302">
        <f t="shared" si="95"/>
        <v>26</v>
      </c>
      <c r="W302" s="10">
        <f t="shared" si="96"/>
        <v>1221733.23048</v>
      </c>
      <c r="X302" s="10">
        <f t="shared" si="97"/>
        <v>12241.08</v>
      </c>
      <c r="Y302" s="10">
        <f t="shared" si="98"/>
        <v>1209492.15048</v>
      </c>
      <c r="Z302" s="14">
        <f t="shared" si="102"/>
        <v>0.989980562290844</v>
      </c>
      <c r="AA302" t="s">
        <v>1595</v>
      </c>
      <c r="AB302" t="str">
        <f t="shared" si="99"/>
        <v>Q4-2023</v>
      </c>
      <c r="AC302" t="str">
        <f t="shared" si="100"/>
        <v>Asia → China → Shanghai</v>
      </c>
      <c r="AD302" t="str">
        <f t="shared" si="101"/>
        <v>Peripherals</v>
      </c>
      <c r="AE302" s="8" t="str">
        <f t="shared" si="88"/>
        <v>Low</v>
      </c>
      <c r="AF302" t="str">
        <f t="shared" si="103"/>
        <v>CHINA</v>
      </c>
      <c r="AG302" s="7">
        <v>44938</v>
      </c>
      <c r="AH302" t="str">
        <f t="shared" si="104"/>
        <v>Jan-2023</v>
      </c>
      <c r="AI302" s="9">
        <f t="shared" si="105"/>
        <v>45230</v>
      </c>
      <c r="AJ302">
        <f t="shared" si="109"/>
        <v>0</v>
      </c>
      <c r="AK302">
        <f t="shared" si="106"/>
        <v>0</v>
      </c>
      <c r="AL302" s="17">
        <f>MIN(N302,'Scenario Modelling'!$B$2)</f>
        <v>0.194</v>
      </c>
      <c r="AM302" s="10">
        <f>L302*(1+'Scenario Modelling'!$B$3)</f>
        <v>747.3965</v>
      </c>
      <c r="AN302">
        <f>O302*(1+'Scenario Modelling'!$B$4)</f>
        <v>10.8</v>
      </c>
      <c r="AO302" s="28">
        <f t="shared" si="107"/>
        <v>11839.572576</v>
      </c>
      <c r="AP302" s="10">
        <f t="shared" si="108"/>
        <v>3767.690376</v>
      </c>
    </row>
    <row r="303" spans="1:42">
      <c r="A303" t="s">
        <v>867</v>
      </c>
      <c r="B303" s="7">
        <v>45125</v>
      </c>
      <c r="C303" s="7">
        <v>45129</v>
      </c>
      <c r="D303" t="s">
        <v>213</v>
      </c>
      <c r="E303" t="s">
        <v>234</v>
      </c>
      <c r="F303" t="s">
        <v>235</v>
      </c>
      <c r="G303" t="s">
        <v>209</v>
      </c>
      <c r="H303" t="s">
        <v>259</v>
      </c>
      <c r="I303" t="s">
        <v>245</v>
      </c>
      <c r="J303" t="s">
        <v>196</v>
      </c>
      <c r="K303" t="s">
        <v>868</v>
      </c>
      <c r="L303" s="10">
        <v>1269.55</v>
      </c>
      <c r="M303" s="10">
        <v>2071.1</v>
      </c>
      <c r="N303" s="17">
        <v>0.129</v>
      </c>
      <c r="O303">
        <v>22</v>
      </c>
      <c r="P303" t="str">
        <f t="shared" si="89"/>
        <v>Valid</v>
      </c>
      <c r="Q303" s="10">
        <f t="shared" si="90"/>
        <v>2071.1</v>
      </c>
      <c r="R303" t="b">
        <f t="shared" si="91"/>
        <v>0</v>
      </c>
      <c r="S303" s="17">
        <f t="shared" si="92"/>
        <v>0.129</v>
      </c>
      <c r="T303">
        <f t="shared" si="93"/>
        <v>4</v>
      </c>
      <c r="U303" s="26">
        <f t="shared" si="94"/>
        <v>45129</v>
      </c>
      <c r="V303">
        <f t="shared" si="95"/>
        <v>4</v>
      </c>
      <c r="W303" s="10">
        <f t="shared" si="96"/>
        <v>4550542.2182</v>
      </c>
      <c r="X303" s="10">
        <f t="shared" si="97"/>
        <v>45564.2</v>
      </c>
      <c r="Y303" s="10">
        <f t="shared" si="98"/>
        <v>4504978.0182</v>
      </c>
      <c r="Z303" s="14">
        <f t="shared" si="102"/>
        <v>0.989987083337505</v>
      </c>
      <c r="AA303" t="s">
        <v>1584</v>
      </c>
      <c r="AB303" t="str">
        <f t="shared" si="99"/>
        <v>Q3-2023</v>
      </c>
      <c r="AC303" t="str">
        <f t="shared" si="100"/>
        <v>Americas → Brazil → São Paulo</v>
      </c>
      <c r="AD303" t="str">
        <f t="shared" si="101"/>
        <v>Support</v>
      </c>
      <c r="AE303" s="8" t="str">
        <f t="shared" si="88"/>
        <v>Low</v>
      </c>
      <c r="AF303" t="str">
        <f t="shared" si="103"/>
        <v>BRAZIL</v>
      </c>
      <c r="AG303" s="7">
        <v>44955</v>
      </c>
      <c r="AH303" t="str">
        <f t="shared" si="104"/>
        <v>Jan-2023</v>
      </c>
      <c r="AI303" s="9">
        <f t="shared" si="105"/>
        <v>45138</v>
      </c>
      <c r="AJ303">
        <f t="shared" si="109"/>
        <v>1</v>
      </c>
      <c r="AK303">
        <f t="shared" si="106"/>
        <v>0</v>
      </c>
      <c r="AL303" s="17">
        <f>MIN(N303,'Scenario Modelling'!$B$2)</f>
        <v>0.129</v>
      </c>
      <c r="AM303" s="10">
        <f>L303*(1+'Scenario Modelling'!$B$3)</f>
        <v>1459.9825</v>
      </c>
      <c r="AN303">
        <f>O303*(1+'Scenario Modelling'!$B$4)</f>
        <v>26.4</v>
      </c>
      <c r="AO303" s="28">
        <f t="shared" si="107"/>
        <v>47623.70184</v>
      </c>
      <c r="AP303" s="10">
        <f t="shared" si="108"/>
        <v>9080.16384</v>
      </c>
    </row>
    <row r="304" spans="1:42">
      <c r="A304" t="s">
        <v>869</v>
      </c>
      <c r="B304" s="7">
        <v>45830</v>
      </c>
      <c r="C304" s="7">
        <v>45846</v>
      </c>
      <c r="D304" t="s">
        <v>239</v>
      </c>
      <c r="E304" t="s">
        <v>269</v>
      </c>
      <c r="F304" t="s">
        <v>313</v>
      </c>
      <c r="G304" t="s">
        <v>188</v>
      </c>
      <c r="H304" t="s">
        <v>259</v>
      </c>
      <c r="I304" t="s">
        <v>236</v>
      </c>
      <c r="J304" t="s">
        <v>203</v>
      </c>
      <c r="K304" t="s">
        <v>870</v>
      </c>
      <c r="L304" s="10">
        <v>892.73</v>
      </c>
      <c r="M304" s="10">
        <v>979.84</v>
      </c>
      <c r="N304" s="17">
        <v>0.174</v>
      </c>
      <c r="O304">
        <v>10</v>
      </c>
      <c r="P304" t="str">
        <f t="shared" si="89"/>
        <v>Valid</v>
      </c>
      <c r="Q304" s="10">
        <f t="shared" si="90"/>
        <v>979.84</v>
      </c>
      <c r="R304" t="b">
        <f t="shared" si="91"/>
        <v>0</v>
      </c>
      <c r="S304" s="17">
        <f t="shared" si="92"/>
        <v>0.174</v>
      </c>
      <c r="T304">
        <f t="shared" si="93"/>
        <v>16</v>
      </c>
      <c r="U304" s="26">
        <f t="shared" si="94"/>
        <v>45846</v>
      </c>
      <c r="V304">
        <f t="shared" si="95"/>
        <v>16</v>
      </c>
      <c r="W304" s="10">
        <f t="shared" si="96"/>
        <v>978135.0784</v>
      </c>
      <c r="X304" s="10">
        <f t="shared" si="97"/>
        <v>9798.4</v>
      </c>
      <c r="Y304" s="10">
        <f t="shared" si="98"/>
        <v>968336.6784</v>
      </c>
      <c r="Z304" s="14">
        <f t="shared" si="102"/>
        <v>0.989982569671228</v>
      </c>
      <c r="AA304" t="s">
        <v>1575</v>
      </c>
      <c r="AB304" t="str">
        <f t="shared" si="99"/>
        <v>Q2-2025</v>
      </c>
      <c r="AC304" t="str">
        <f t="shared" si="100"/>
        <v>Europe → United Kingdom → London</v>
      </c>
      <c r="AD304" t="str">
        <f t="shared" si="101"/>
        <v>Devices</v>
      </c>
      <c r="AE304" s="8" t="str">
        <f t="shared" si="88"/>
        <v>High</v>
      </c>
      <c r="AF304" t="str">
        <f t="shared" si="103"/>
        <v>UNITED KINGDOM</v>
      </c>
      <c r="AG304" s="7">
        <v>44945</v>
      </c>
      <c r="AH304" t="str">
        <f t="shared" si="104"/>
        <v>Jan-2023</v>
      </c>
      <c r="AI304" s="9">
        <f t="shared" si="105"/>
        <v>45838</v>
      </c>
      <c r="AJ304">
        <f t="shared" si="109"/>
        <v>0</v>
      </c>
      <c r="AK304">
        <f t="shared" si="106"/>
        <v>0</v>
      </c>
      <c r="AL304" s="17">
        <f>MIN(N304,'Scenario Modelling'!$B$2)</f>
        <v>0.174</v>
      </c>
      <c r="AM304" s="10">
        <f>L304*(1+'Scenario Modelling'!$B$3)</f>
        <v>1026.6395</v>
      </c>
      <c r="AN304">
        <f>O304*(1+'Scenario Modelling'!$B$4)</f>
        <v>12</v>
      </c>
      <c r="AO304" s="28">
        <f t="shared" si="107"/>
        <v>9712.17408</v>
      </c>
      <c r="AP304" s="10">
        <f t="shared" si="108"/>
        <v>-2607.49992</v>
      </c>
    </row>
    <row r="305" spans="1:42">
      <c r="A305" t="s">
        <v>871</v>
      </c>
      <c r="B305" s="7">
        <v>45462</v>
      </c>
      <c r="C305" s="7">
        <v>45463</v>
      </c>
      <c r="D305" t="s">
        <v>177</v>
      </c>
      <c r="E305" t="s">
        <v>178</v>
      </c>
      <c r="F305" t="s">
        <v>179</v>
      </c>
      <c r="G305" t="s">
        <v>223</v>
      </c>
      <c r="H305" t="s">
        <v>259</v>
      </c>
      <c r="I305" t="s">
        <v>190</v>
      </c>
      <c r="J305" t="s">
        <v>218</v>
      </c>
      <c r="K305" t="s">
        <v>872</v>
      </c>
      <c r="L305" s="10">
        <v>231.63</v>
      </c>
      <c r="M305" s="10">
        <v>537.39</v>
      </c>
      <c r="N305" s="17">
        <v>0.08</v>
      </c>
      <c r="O305">
        <v>12</v>
      </c>
      <c r="P305" t="str">
        <f t="shared" si="89"/>
        <v>Valid</v>
      </c>
      <c r="Q305" s="10">
        <f t="shared" si="90"/>
        <v>537.39</v>
      </c>
      <c r="R305" t="b">
        <f t="shared" si="91"/>
        <v>0</v>
      </c>
      <c r="S305" s="17">
        <f t="shared" si="92"/>
        <v>0.08</v>
      </c>
      <c r="T305">
        <f t="shared" si="93"/>
        <v>1</v>
      </c>
      <c r="U305" s="26">
        <f t="shared" si="94"/>
        <v>45463</v>
      </c>
      <c r="V305">
        <f t="shared" si="95"/>
        <v>1</v>
      </c>
      <c r="W305" s="10">
        <f t="shared" si="96"/>
        <v>644352.1056</v>
      </c>
      <c r="X305" s="10">
        <f t="shared" si="97"/>
        <v>6448.68</v>
      </c>
      <c r="Y305" s="10">
        <f t="shared" si="98"/>
        <v>637903.4256</v>
      </c>
      <c r="Z305" s="14">
        <f t="shared" si="102"/>
        <v>0.989991993594876</v>
      </c>
      <c r="AA305" t="s">
        <v>1576</v>
      </c>
      <c r="AB305" t="str">
        <f t="shared" si="99"/>
        <v>Q2-2024</v>
      </c>
      <c r="AC305" t="str">
        <f t="shared" si="100"/>
        <v>Africa → Kenya → Kisumu</v>
      </c>
      <c r="AD305" t="str">
        <f t="shared" si="101"/>
        <v>Devices</v>
      </c>
      <c r="AE305" s="8" t="str">
        <f t="shared" si="88"/>
        <v>Medium</v>
      </c>
      <c r="AF305" t="str">
        <f t="shared" si="103"/>
        <v>KENYA</v>
      </c>
      <c r="AG305" s="7">
        <v>44946</v>
      </c>
      <c r="AH305" t="str">
        <f t="shared" si="104"/>
        <v>Jan-2023</v>
      </c>
      <c r="AI305" s="9">
        <f t="shared" si="105"/>
        <v>45473</v>
      </c>
      <c r="AJ305">
        <f t="shared" si="109"/>
        <v>1</v>
      </c>
      <c r="AK305">
        <f t="shared" si="106"/>
        <v>0</v>
      </c>
      <c r="AL305" s="17">
        <f>MIN(N305,'Scenario Modelling'!$B$2)</f>
        <v>0.08</v>
      </c>
      <c r="AM305" s="10">
        <f>L305*(1+'Scenario Modelling'!$B$3)</f>
        <v>266.3745</v>
      </c>
      <c r="AN305">
        <f>O305*(1+'Scenario Modelling'!$B$4)</f>
        <v>14.4</v>
      </c>
      <c r="AO305" s="28">
        <f t="shared" si="107"/>
        <v>7119.34272</v>
      </c>
      <c r="AP305" s="10">
        <f t="shared" si="108"/>
        <v>3283.54992</v>
      </c>
    </row>
    <row r="306" spans="1:42">
      <c r="A306" t="s">
        <v>873</v>
      </c>
      <c r="B306" s="7">
        <v>45756</v>
      </c>
      <c r="C306" s="7">
        <v>45759</v>
      </c>
      <c r="D306" t="s">
        <v>239</v>
      </c>
      <c r="E306" t="s">
        <v>251</v>
      </c>
      <c r="F306" t="s">
        <v>299</v>
      </c>
      <c r="G306" t="s">
        <v>223</v>
      </c>
      <c r="H306" t="s">
        <v>216</v>
      </c>
      <c r="I306" t="s">
        <v>253</v>
      </c>
      <c r="J306" t="s">
        <v>225</v>
      </c>
      <c r="K306" t="s">
        <v>874</v>
      </c>
      <c r="L306" s="10">
        <v>86.68</v>
      </c>
      <c r="M306" s="10">
        <v>213.32</v>
      </c>
      <c r="N306" s="17">
        <v>0.038</v>
      </c>
      <c r="O306">
        <v>8</v>
      </c>
      <c r="P306" t="str">
        <f t="shared" si="89"/>
        <v>Valid</v>
      </c>
      <c r="Q306" s="10">
        <f t="shared" si="90"/>
        <v>213.32</v>
      </c>
      <c r="R306" t="b">
        <f t="shared" si="91"/>
        <v>0</v>
      </c>
      <c r="S306" s="17">
        <f t="shared" si="92"/>
        <v>0.038</v>
      </c>
      <c r="T306">
        <f t="shared" si="93"/>
        <v>3</v>
      </c>
      <c r="U306" s="26">
        <f t="shared" si="94"/>
        <v>45759</v>
      </c>
      <c r="V306">
        <f t="shared" si="95"/>
        <v>3</v>
      </c>
      <c r="W306" s="10">
        <f t="shared" si="96"/>
        <v>170591.15072</v>
      </c>
      <c r="X306" s="10">
        <f t="shared" si="97"/>
        <v>1706.56</v>
      </c>
      <c r="Y306" s="10">
        <f t="shared" si="98"/>
        <v>168884.59072</v>
      </c>
      <c r="Z306" s="14">
        <f t="shared" si="102"/>
        <v>0.989996198555451</v>
      </c>
      <c r="AA306" t="s">
        <v>1578</v>
      </c>
      <c r="AB306" t="str">
        <f t="shared" si="99"/>
        <v>Q2-2025</v>
      </c>
      <c r="AC306" t="str">
        <f t="shared" si="100"/>
        <v>Europe → France → Lyon</v>
      </c>
      <c r="AD306" t="str">
        <f t="shared" si="101"/>
        <v>Peripherals</v>
      </c>
      <c r="AE306" s="8" t="str">
        <f t="shared" si="88"/>
        <v>High</v>
      </c>
      <c r="AF306" t="str">
        <f t="shared" si="103"/>
        <v>FRANCE</v>
      </c>
      <c r="AG306" s="7">
        <v>44936</v>
      </c>
      <c r="AH306" t="str">
        <f t="shared" si="104"/>
        <v>Jan-2023</v>
      </c>
      <c r="AI306" s="9">
        <f t="shared" si="105"/>
        <v>45777</v>
      </c>
      <c r="AJ306">
        <f t="shared" si="109"/>
        <v>1</v>
      </c>
      <c r="AK306">
        <f t="shared" si="106"/>
        <v>0</v>
      </c>
      <c r="AL306" s="17">
        <f>MIN(N306,'Scenario Modelling'!$B$2)</f>
        <v>0.038</v>
      </c>
      <c r="AM306" s="10">
        <f>L306*(1+'Scenario Modelling'!$B$3)</f>
        <v>99.682</v>
      </c>
      <c r="AN306">
        <f>O306*(1+'Scenario Modelling'!$B$4)</f>
        <v>9.6</v>
      </c>
      <c r="AO306" s="28">
        <f t="shared" si="107"/>
        <v>1970.052864</v>
      </c>
      <c r="AP306" s="10">
        <f t="shared" si="108"/>
        <v>1013.105664</v>
      </c>
    </row>
    <row r="307" spans="1:42">
      <c r="A307" t="s">
        <v>875</v>
      </c>
      <c r="B307" s="7">
        <v>45741</v>
      </c>
      <c r="C307" s="7">
        <v>45742</v>
      </c>
      <c r="D307" t="s">
        <v>177</v>
      </c>
      <c r="E307" t="s">
        <v>186</v>
      </c>
      <c r="F307" t="s">
        <v>199</v>
      </c>
      <c r="G307" t="s">
        <v>188</v>
      </c>
      <c r="H307" t="s">
        <v>216</v>
      </c>
      <c r="I307" t="s">
        <v>202</v>
      </c>
      <c r="J307" t="s">
        <v>242</v>
      </c>
      <c r="K307" t="s">
        <v>876</v>
      </c>
      <c r="L307" s="10">
        <v>1450.43</v>
      </c>
      <c r="M307" s="10">
        <v>1994.67</v>
      </c>
      <c r="N307" s="17">
        <v>0.1</v>
      </c>
      <c r="O307">
        <v>24</v>
      </c>
      <c r="P307" t="str">
        <f t="shared" si="89"/>
        <v>Valid</v>
      </c>
      <c r="Q307" s="10">
        <f t="shared" si="90"/>
        <v>1994.67</v>
      </c>
      <c r="R307" t="b">
        <f t="shared" si="91"/>
        <v>0</v>
      </c>
      <c r="S307" s="17">
        <f t="shared" si="92"/>
        <v>0.1</v>
      </c>
      <c r="T307">
        <f t="shared" si="93"/>
        <v>1</v>
      </c>
      <c r="U307" s="26">
        <f t="shared" si="94"/>
        <v>45742</v>
      </c>
      <c r="V307">
        <f t="shared" si="95"/>
        <v>1</v>
      </c>
      <c r="W307" s="10">
        <f t="shared" si="96"/>
        <v>4782420.792</v>
      </c>
      <c r="X307" s="10">
        <f t="shared" si="97"/>
        <v>47872.08</v>
      </c>
      <c r="Y307" s="10">
        <f t="shared" si="98"/>
        <v>4734548.712</v>
      </c>
      <c r="Z307" s="14">
        <f t="shared" si="102"/>
        <v>0.98998998998999</v>
      </c>
      <c r="AA307" t="s">
        <v>1563</v>
      </c>
      <c r="AB307" t="str">
        <f t="shared" si="99"/>
        <v>Q1-2025</v>
      </c>
      <c r="AC307" t="str">
        <f t="shared" si="100"/>
        <v>Africa → Nigeria → Lagos</v>
      </c>
      <c r="AD307" t="str">
        <f t="shared" si="101"/>
        <v>Support</v>
      </c>
      <c r="AE307" s="8" t="str">
        <f t="shared" si="88"/>
        <v>High</v>
      </c>
      <c r="AF307" t="str">
        <f t="shared" si="103"/>
        <v>NIGERIA</v>
      </c>
      <c r="AG307" s="7">
        <v>44941</v>
      </c>
      <c r="AH307" t="str">
        <f t="shared" si="104"/>
        <v>Jan-2023</v>
      </c>
      <c r="AI307" s="9">
        <f t="shared" si="105"/>
        <v>45747</v>
      </c>
      <c r="AJ307">
        <f t="shared" si="109"/>
        <v>1</v>
      </c>
      <c r="AK307">
        <f t="shared" si="106"/>
        <v>0</v>
      </c>
      <c r="AL307" s="17">
        <f>MIN(N307,'Scenario Modelling'!$B$2)</f>
        <v>0.1</v>
      </c>
      <c r="AM307" s="10">
        <f>L307*(1+'Scenario Modelling'!$B$3)</f>
        <v>1667.9945</v>
      </c>
      <c r="AN307">
        <f>O307*(1+'Scenario Modelling'!$B$4)</f>
        <v>28.8</v>
      </c>
      <c r="AO307" s="28">
        <f t="shared" si="107"/>
        <v>51701.8464</v>
      </c>
      <c r="AP307" s="10">
        <f t="shared" si="108"/>
        <v>3663.60480000001</v>
      </c>
    </row>
    <row r="308" spans="1:42">
      <c r="A308" t="s">
        <v>877</v>
      </c>
      <c r="B308" s="7">
        <v>45795</v>
      </c>
      <c r="C308" s="7">
        <v>45817</v>
      </c>
      <c r="D308" t="s">
        <v>213</v>
      </c>
      <c r="E308" t="s">
        <v>283</v>
      </c>
      <c r="F308" t="s">
        <v>548</v>
      </c>
      <c r="G308" t="s">
        <v>209</v>
      </c>
      <c r="H308" t="s">
        <v>181</v>
      </c>
      <c r="I308" t="s">
        <v>253</v>
      </c>
      <c r="J308" t="s">
        <v>196</v>
      </c>
      <c r="K308" t="s">
        <v>878</v>
      </c>
      <c r="L308" s="10">
        <v>382.96</v>
      </c>
      <c r="M308" s="10">
        <v>552.84</v>
      </c>
      <c r="N308" s="17">
        <v>0.176</v>
      </c>
      <c r="O308">
        <v>8</v>
      </c>
      <c r="P308" t="str">
        <f t="shared" si="89"/>
        <v>Valid</v>
      </c>
      <c r="Q308" s="10">
        <f t="shared" si="90"/>
        <v>552.84</v>
      </c>
      <c r="R308" t="b">
        <f t="shared" si="91"/>
        <v>0</v>
      </c>
      <c r="S308" s="17">
        <f t="shared" si="92"/>
        <v>0.176</v>
      </c>
      <c r="T308">
        <f t="shared" si="93"/>
        <v>22</v>
      </c>
      <c r="U308" s="26">
        <f t="shared" si="94"/>
        <v>45817</v>
      </c>
      <c r="V308">
        <f t="shared" si="95"/>
        <v>22</v>
      </c>
      <c r="W308" s="10">
        <f t="shared" si="96"/>
        <v>441493.60128</v>
      </c>
      <c r="X308" s="10">
        <f t="shared" si="97"/>
        <v>4422.72</v>
      </c>
      <c r="Y308" s="10">
        <f t="shared" si="98"/>
        <v>437070.88128</v>
      </c>
      <c r="Z308" s="14">
        <f t="shared" si="102"/>
        <v>0.989982368969386</v>
      </c>
      <c r="AA308" t="s">
        <v>1567</v>
      </c>
      <c r="AB308" t="str">
        <f t="shared" si="99"/>
        <v>Q2-2025</v>
      </c>
      <c r="AC308" t="str">
        <f t="shared" si="100"/>
        <v>Americas → USA → New York</v>
      </c>
      <c r="AD308" t="str">
        <f t="shared" si="101"/>
        <v>Support</v>
      </c>
      <c r="AE308" s="8" t="str">
        <f t="shared" si="88"/>
        <v>High</v>
      </c>
      <c r="AF308" t="str">
        <f t="shared" si="103"/>
        <v>USA</v>
      </c>
      <c r="AG308" s="7">
        <v>44939</v>
      </c>
      <c r="AH308" t="str">
        <f t="shared" si="104"/>
        <v>Jan-2023</v>
      </c>
      <c r="AI308" s="9">
        <f t="shared" si="105"/>
        <v>45808</v>
      </c>
      <c r="AJ308">
        <f t="shared" si="109"/>
        <v>0</v>
      </c>
      <c r="AK308">
        <f t="shared" si="106"/>
        <v>0</v>
      </c>
      <c r="AL308" s="17">
        <f>MIN(N308,'Scenario Modelling'!$B$2)</f>
        <v>0.176</v>
      </c>
      <c r="AM308" s="10">
        <f>L308*(1+'Scenario Modelling'!$B$3)</f>
        <v>440.404</v>
      </c>
      <c r="AN308">
        <f>O308*(1+'Scenario Modelling'!$B$4)</f>
        <v>9.6</v>
      </c>
      <c r="AO308" s="28">
        <f t="shared" si="107"/>
        <v>4373.185536</v>
      </c>
      <c r="AP308" s="10">
        <f t="shared" si="108"/>
        <v>145.307136000001</v>
      </c>
    </row>
    <row r="309" spans="1:42">
      <c r="A309" t="s">
        <v>879</v>
      </c>
      <c r="B309" s="7">
        <v>45679</v>
      </c>
      <c r="C309" s="7">
        <v>45692</v>
      </c>
      <c r="D309" t="s">
        <v>206</v>
      </c>
      <c r="E309" t="s">
        <v>207</v>
      </c>
      <c r="F309" t="s">
        <v>375</v>
      </c>
      <c r="G309" t="s">
        <v>223</v>
      </c>
      <c r="H309" t="s">
        <v>216</v>
      </c>
      <c r="I309" t="s">
        <v>210</v>
      </c>
      <c r="J309" t="s">
        <v>191</v>
      </c>
      <c r="K309" t="s">
        <v>880</v>
      </c>
      <c r="L309" s="10">
        <v>122.29</v>
      </c>
      <c r="M309" s="10">
        <v>224.95</v>
      </c>
      <c r="N309" s="17">
        <v>0.153</v>
      </c>
      <c r="O309">
        <v>28</v>
      </c>
      <c r="P309" t="str">
        <f t="shared" si="89"/>
        <v>Valid</v>
      </c>
      <c r="Q309" s="10">
        <f t="shared" si="90"/>
        <v>224.95</v>
      </c>
      <c r="R309" t="b">
        <f t="shared" si="91"/>
        <v>0</v>
      </c>
      <c r="S309" s="17">
        <f t="shared" si="92"/>
        <v>0.153</v>
      </c>
      <c r="T309">
        <f t="shared" si="93"/>
        <v>13</v>
      </c>
      <c r="U309" s="26">
        <f t="shared" si="94"/>
        <v>45692</v>
      </c>
      <c r="V309">
        <f t="shared" si="95"/>
        <v>13</v>
      </c>
      <c r="W309" s="10">
        <f t="shared" si="96"/>
        <v>628896.3142</v>
      </c>
      <c r="X309" s="10">
        <f t="shared" si="97"/>
        <v>6298.6</v>
      </c>
      <c r="Y309" s="10">
        <f t="shared" si="98"/>
        <v>622597.7142</v>
      </c>
      <c r="Z309" s="14">
        <f t="shared" si="102"/>
        <v>0.989984676555129</v>
      </c>
      <c r="AA309" t="s">
        <v>1569</v>
      </c>
      <c r="AB309" t="str">
        <f t="shared" si="99"/>
        <v>Q1-2025</v>
      </c>
      <c r="AC309" t="str">
        <f t="shared" si="100"/>
        <v>Asia → Japan → Tokyo</v>
      </c>
      <c r="AD309" t="str">
        <f t="shared" si="101"/>
        <v>Peripherals</v>
      </c>
      <c r="AE309" s="8" t="str">
        <f t="shared" si="88"/>
        <v>High</v>
      </c>
      <c r="AF309" t="str">
        <f t="shared" si="103"/>
        <v>JAPAN</v>
      </c>
      <c r="AG309" s="7">
        <v>44988</v>
      </c>
      <c r="AH309" t="str">
        <f t="shared" si="104"/>
        <v>Mar-2023</v>
      </c>
      <c r="AI309" s="9">
        <f t="shared" si="105"/>
        <v>45688</v>
      </c>
      <c r="AJ309">
        <f t="shared" si="109"/>
        <v>0</v>
      </c>
      <c r="AK309">
        <f t="shared" si="106"/>
        <v>0</v>
      </c>
      <c r="AL309" s="17">
        <f>MIN(N309,'Scenario Modelling'!$B$2)</f>
        <v>0.153</v>
      </c>
      <c r="AM309" s="10">
        <f>L309*(1+'Scenario Modelling'!$B$3)</f>
        <v>140.6335</v>
      </c>
      <c r="AN309">
        <f>O309*(1+'Scenario Modelling'!$B$4)</f>
        <v>33.6</v>
      </c>
      <c r="AO309" s="28">
        <f t="shared" si="107"/>
        <v>6401.89704</v>
      </c>
      <c r="AP309" s="10">
        <f t="shared" si="108"/>
        <v>1676.61144</v>
      </c>
    </row>
    <row r="310" spans="1:42">
      <c r="A310" t="s">
        <v>881</v>
      </c>
      <c r="B310" s="7">
        <v>44936</v>
      </c>
      <c r="C310" s="7">
        <v>44955</v>
      </c>
      <c r="D310" t="s">
        <v>239</v>
      </c>
      <c r="E310" t="s">
        <v>251</v>
      </c>
      <c r="F310" t="s">
        <v>299</v>
      </c>
      <c r="G310" t="s">
        <v>200</v>
      </c>
      <c r="H310" t="s">
        <v>259</v>
      </c>
      <c r="I310" t="s">
        <v>306</v>
      </c>
      <c r="J310" t="s">
        <v>218</v>
      </c>
      <c r="K310" t="s">
        <v>882</v>
      </c>
      <c r="L310" s="10">
        <v>401.66</v>
      </c>
      <c r="M310" s="10">
        <v>772.09</v>
      </c>
      <c r="N310" s="17">
        <v>0.089</v>
      </c>
      <c r="O310">
        <v>14</v>
      </c>
      <c r="P310" t="str">
        <f t="shared" si="89"/>
        <v>Valid</v>
      </c>
      <c r="Q310" s="10">
        <f t="shared" si="90"/>
        <v>772.09</v>
      </c>
      <c r="R310" t="b">
        <f t="shared" si="91"/>
        <v>0</v>
      </c>
      <c r="S310" s="17">
        <f t="shared" si="92"/>
        <v>0.089</v>
      </c>
      <c r="T310">
        <f t="shared" si="93"/>
        <v>19</v>
      </c>
      <c r="U310" s="26">
        <f t="shared" si="94"/>
        <v>44955</v>
      </c>
      <c r="V310">
        <f t="shared" si="95"/>
        <v>19</v>
      </c>
      <c r="W310" s="10">
        <f t="shared" si="96"/>
        <v>1079963.97586</v>
      </c>
      <c r="X310" s="10">
        <f t="shared" si="97"/>
        <v>10809.26</v>
      </c>
      <c r="Y310" s="10">
        <f t="shared" si="98"/>
        <v>1069154.71586</v>
      </c>
      <c r="Z310" s="14">
        <f t="shared" si="102"/>
        <v>0.989991092071944</v>
      </c>
      <c r="AA310" t="s">
        <v>1564</v>
      </c>
      <c r="AB310" t="str">
        <f t="shared" si="99"/>
        <v>Q1-2023</v>
      </c>
      <c r="AC310" t="str">
        <f t="shared" si="100"/>
        <v>Europe → France → Lyon</v>
      </c>
      <c r="AD310" t="str">
        <f t="shared" si="101"/>
        <v>Devices</v>
      </c>
      <c r="AE310" s="8" t="str">
        <f t="shared" ref="AE310:AE373" si="110">IF(B310&lt;=PERCENTILE($B$2:$B$632,0.33),"Low",IF(B310&lt;=PERCENTILE($B$2:$B$632,0.66),"Medium","High"))</f>
        <v>Low</v>
      </c>
      <c r="AF310" t="str">
        <f t="shared" si="103"/>
        <v>FRANCE</v>
      </c>
      <c r="AG310" s="7">
        <v>44936</v>
      </c>
      <c r="AH310" t="str">
        <f t="shared" si="104"/>
        <v>Jan-2023</v>
      </c>
      <c r="AI310" s="9">
        <f t="shared" si="105"/>
        <v>44957</v>
      </c>
      <c r="AJ310">
        <f t="shared" si="109"/>
        <v>0</v>
      </c>
      <c r="AK310">
        <f t="shared" si="106"/>
        <v>0</v>
      </c>
      <c r="AL310" s="17">
        <f>MIN(N310,'Scenario Modelling'!$B$2)</f>
        <v>0.089</v>
      </c>
      <c r="AM310" s="10">
        <f>L310*(1+'Scenario Modelling'!$B$3)</f>
        <v>461.909</v>
      </c>
      <c r="AN310">
        <f>O310*(1+'Scenario Modelling'!$B$4)</f>
        <v>16.8</v>
      </c>
      <c r="AO310" s="28">
        <f t="shared" si="107"/>
        <v>11816.683032</v>
      </c>
      <c r="AP310" s="10">
        <f t="shared" si="108"/>
        <v>4056.611832</v>
      </c>
    </row>
    <row r="311" spans="1:42">
      <c r="A311" t="s">
        <v>883</v>
      </c>
      <c r="B311" s="7">
        <v>45655</v>
      </c>
      <c r="C311" s="7">
        <v>45669</v>
      </c>
      <c r="D311" t="s">
        <v>239</v>
      </c>
      <c r="E311" t="s">
        <v>269</v>
      </c>
      <c r="F311" t="s">
        <v>389</v>
      </c>
      <c r="G311" t="s">
        <v>180</v>
      </c>
      <c r="H311" t="s">
        <v>259</v>
      </c>
      <c r="I311" t="s">
        <v>217</v>
      </c>
      <c r="J311" t="s">
        <v>225</v>
      </c>
      <c r="K311" t="s">
        <v>884</v>
      </c>
      <c r="L311" s="10">
        <v>1399.72</v>
      </c>
      <c r="M311" s="10">
        <v>3149.21</v>
      </c>
      <c r="N311" s="17">
        <v>0.185</v>
      </c>
      <c r="O311">
        <v>12</v>
      </c>
      <c r="P311" t="str">
        <f t="shared" si="89"/>
        <v>Valid</v>
      </c>
      <c r="Q311" s="10">
        <f t="shared" si="90"/>
        <v>3149.21</v>
      </c>
      <c r="R311" t="b">
        <f t="shared" si="91"/>
        <v>0</v>
      </c>
      <c r="S311" s="17">
        <f t="shared" si="92"/>
        <v>0.185</v>
      </c>
      <c r="T311">
        <f t="shared" si="93"/>
        <v>14</v>
      </c>
      <c r="U311" s="26">
        <f t="shared" si="94"/>
        <v>45669</v>
      </c>
      <c r="V311">
        <f t="shared" si="95"/>
        <v>14</v>
      </c>
      <c r="W311" s="10">
        <f t="shared" si="96"/>
        <v>3772060.7538</v>
      </c>
      <c r="X311" s="10">
        <f t="shared" si="97"/>
        <v>37790.52</v>
      </c>
      <c r="Y311" s="10">
        <f t="shared" si="98"/>
        <v>3734270.2338</v>
      </c>
      <c r="Z311" s="14">
        <f t="shared" si="102"/>
        <v>0.989981465711566</v>
      </c>
      <c r="AA311" t="s">
        <v>1565</v>
      </c>
      <c r="AB311" t="str">
        <f t="shared" si="99"/>
        <v>Q4-2024</v>
      </c>
      <c r="AC311" t="str">
        <f t="shared" si="100"/>
        <v>Europe → United Kingdom → Manchester</v>
      </c>
      <c r="AD311" t="str">
        <f t="shared" si="101"/>
        <v>Peripherals</v>
      </c>
      <c r="AE311" s="8" t="str">
        <f t="shared" si="110"/>
        <v>High</v>
      </c>
      <c r="AF311" t="str">
        <f t="shared" si="103"/>
        <v>UNITED KINGDOM</v>
      </c>
      <c r="AG311" s="7">
        <v>44945</v>
      </c>
      <c r="AH311" t="str">
        <f t="shared" si="104"/>
        <v>Jan-2023</v>
      </c>
      <c r="AI311" s="9">
        <f t="shared" si="105"/>
        <v>45657</v>
      </c>
      <c r="AJ311">
        <f t="shared" si="109"/>
        <v>0</v>
      </c>
      <c r="AK311">
        <f t="shared" si="106"/>
        <v>0</v>
      </c>
      <c r="AL311" s="17">
        <f>MIN(N311,'Scenario Modelling'!$B$2)</f>
        <v>0.185</v>
      </c>
      <c r="AM311" s="10">
        <f>L311*(1+'Scenario Modelling'!$B$3)</f>
        <v>1609.678</v>
      </c>
      <c r="AN311">
        <f>O311*(1+'Scenario Modelling'!$B$4)</f>
        <v>14.4</v>
      </c>
      <c r="AO311" s="28">
        <f t="shared" si="107"/>
        <v>36959.12856</v>
      </c>
      <c r="AP311" s="10">
        <f t="shared" si="108"/>
        <v>13779.76536</v>
      </c>
    </row>
    <row r="312" spans="1:42">
      <c r="A312" t="s">
        <v>885</v>
      </c>
      <c r="B312" s="7">
        <v>45435</v>
      </c>
      <c r="C312" s="7">
        <v>45449</v>
      </c>
      <c r="D312" t="s">
        <v>213</v>
      </c>
      <c r="E312" t="s">
        <v>234</v>
      </c>
      <c r="F312" t="s">
        <v>386</v>
      </c>
      <c r="G312" t="s">
        <v>200</v>
      </c>
      <c r="H312" t="s">
        <v>189</v>
      </c>
      <c r="I312" t="s">
        <v>195</v>
      </c>
      <c r="J312" t="s">
        <v>196</v>
      </c>
      <c r="K312" t="s">
        <v>886</v>
      </c>
      <c r="L312" s="10">
        <v>51.13</v>
      </c>
      <c r="M312" s="10">
        <v>57.53</v>
      </c>
      <c r="N312" s="17">
        <v>0.045</v>
      </c>
      <c r="O312">
        <v>16</v>
      </c>
      <c r="P312" t="str">
        <f t="shared" si="89"/>
        <v>Valid</v>
      </c>
      <c r="Q312" s="10">
        <f t="shared" si="90"/>
        <v>57.53</v>
      </c>
      <c r="R312" t="b">
        <f t="shared" si="91"/>
        <v>0</v>
      </c>
      <c r="S312" s="17">
        <f t="shared" si="92"/>
        <v>0.045</v>
      </c>
      <c r="T312">
        <f t="shared" si="93"/>
        <v>14</v>
      </c>
      <c r="U312" s="26">
        <f t="shared" si="94"/>
        <v>45449</v>
      </c>
      <c r="V312">
        <f t="shared" si="95"/>
        <v>14</v>
      </c>
      <c r="W312" s="10">
        <f t="shared" si="96"/>
        <v>92006.5784</v>
      </c>
      <c r="X312" s="10">
        <f t="shared" si="97"/>
        <v>920.48</v>
      </c>
      <c r="Y312" s="10">
        <f t="shared" si="98"/>
        <v>91086.0984</v>
      </c>
      <c r="Z312" s="14">
        <f t="shared" si="102"/>
        <v>0.989995497974088</v>
      </c>
      <c r="AA312" t="s">
        <v>1566</v>
      </c>
      <c r="AB312" t="str">
        <f t="shared" si="99"/>
        <v>Q2-2024</v>
      </c>
      <c r="AC312" t="str">
        <f t="shared" si="100"/>
        <v>Americas → Brazil → Rio de Janeiro</v>
      </c>
      <c r="AD312" t="str">
        <f t="shared" si="101"/>
        <v>Support</v>
      </c>
      <c r="AE312" s="8" t="str">
        <f t="shared" si="110"/>
        <v>Medium</v>
      </c>
      <c r="AF312" t="str">
        <f t="shared" si="103"/>
        <v>BRAZIL</v>
      </c>
      <c r="AG312" s="7">
        <v>44955</v>
      </c>
      <c r="AH312" t="str">
        <f t="shared" si="104"/>
        <v>Jan-2023</v>
      </c>
      <c r="AI312" s="9">
        <f t="shared" si="105"/>
        <v>45443</v>
      </c>
      <c r="AJ312">
        <f t="shared" si="109"/>
        <v>0</v>
      </c>
      <c r="AK312">
        <f t="shared" si="106"/>
        <v>0</v>
      </c>
      <c r="AL312" s="17">
        <f>MIN(N312,'Scenario Modelling'!$B$2)</f>
        <v>0.045</v>
      </c>
      <c r="AM312" s="10">
        <f>L312*(1+'Scenario Modelling'!$B$3)</f>
        <v>58.7995</v>
      </c>
      <c r="AN312">
        <f>O312*(1+'Scenario Modelling'!$B$4)</f>
        <v>19.2</v>
      </c>
      <c r="AO312" s="28">
        <f t="shared" si="107"/>
        <v>1054.87008</v>
      </c>
      <c r="AP312" s="10">
        <f t="shared" si="108"/>
        <v>-74.08032</v>
      </c>
    </row>
    <row r="313" spans="1:42">
      <c r="A313" t="s">
        <v>887</v>
      </c>
      <c r="B313" s="7">
        <v>45101</v>
      </c>
      <c r="C313" s="7">
        <v>45099</v>
      </c>
      <c r="D313" t="s">
        <v>213</v>
      </c>
      <c r="E313" t="s">
        <v>214</v>
      </c>
      <c r="F313" t="s">
        <v>215</v>
      </c>
      <c r="G313" t="s">
        <v>200</v>
      </c>
      <c r="H313" t="s">
        <v>181</v>
      </c>
      <c r="I313" t="s">
        <v>271</v>
      </c>
      <c r="J313" t="s">
        <v>242</v>
      </c>
      <c r="K313" t="s">
        <v>888</v>
      </c>
      <c r="L313" s="10">
        <v>471.42</v>
      </c>
      <c r="M313" s="10">
        <v>824.81</v>
      </c>
      <c r="N313" s="17">
        <v>0.088</v>
      </c>
      <c r="O313">
        <v>15</v>
      </c>
      <c r="P313" t="str">
        <f t="shared" si="89"/>
        <v>Valid</v>
      </c>
      <c r="Q313" s="10">
        <f t="shared" si="90"/>
        <v>824.81</v>
      </c>
      <c r="R313" t="b">
        <f t="shared" si="91"/>
        <v>0</v>
      </c>
      <c r="S313" s="17">
        <f t="shared" si="92"/>
        <v>0.088</v>
      </c>
      <c r="T313">
        <f t="shared" si="93"/>
        <v>-2</v>
      </c>
      <c r="U313" s="26">
        <f t="shared" si="94"/>
        <v>45108</v>
      </c>
      <c r="V313">
        <f t="shared" si="95"/>
        <v>7</v>
      </c>
      <c r="W313" s="10">
        <f t="shared" si="96"/>
        <v>1236126.2508</v>
      </c>
      <c r="X313" s="10">
        <f t="shared" si="97"/>
        <v>12372.15</v>
      </c>
      <c r="Y313" s="10">
        <f t="shared" si="98"/>
        <v>1223754.1008</v>
      </c>
      <c r="Z313" s="14">
        <f t="shared" si="102"/>
        <v>0.989991192249179</v>
      </c>
      <c r="AA313" t="s">
        <v>1583</v>
      </c>
      <c r="AB313" t="str">
        <f t="shared" si="99"/>
        <v>Q2-2023</v>
      </c>
      <c r="AC313" t="str">
        <f t="shared" si="100"/>
        <v>Americas → Canada → Toronto</v>
      </c>
      <c r="AD313" t="str">
        <f t="shared" si="101"/>
        <v>Support</v>
      </c>
      <c r="AE313" s="8" t="str">
        <f t="shared" si="110"/>
        <v>Low</v>
      </c>
      <c r="AF313" t="str">
        <f t="shared" si="103"/>
        <v>CANADA</v>
      </c>
      <c r="AG313" s="7">
        <v>44928</v>
      </c>
      <c r="AH313" t="str">
        <f t="shared" si="104"/>
        <v>Jan-2023</v>
      </c>
      <c r="AI313" s="9">
        <f t="shared" si="105"/>
        <v>45107</v>
      </c>
      <c r="AJ313">
        <f t="shared" si="109"/>
        <v>1</v>
      </c>
      <c r="AK313">
        <f t="shared" si="106"/>
        <v>0</v>
      </c>
      <c r="AL313" s="17">
        <f>MIN(N313,'Scenario Modelling'!$B$2)</f>
        <v>0.088</v>
      </c>
      <c r="AM313" s="10">
        <f>L313*(1+'Scenario Modelling'!$B$3)</f>
        <v>542.133</v>
      </c>
      <c r="AN313">
        <f>O313*(1+'Scenario Modelling'!$B$4)</f>
        <v>18</v>
      </c>
      <c r="AO313" s="28">
        <f t="shared" si="107"/>
        <v>13540.08096</v>
      </c>
      <c r="AP313" s="10">
        <f t="shared" si="108"/>
        <v>3781.68696</v>
      </c>
    </row>
    <row r="314" spans="1:42">
      <c r="A314" t="s">
        <v>889</v>
      </c>
      <c r="B314" s="7">
        <v>45600</v>
      </c>
      <c r="C314" s="7">
        <v>45601</v>
      </c>
      <c r="D314" t="s">
        <v>239</v>
      </c>
      <c r="E314" t="s">
        <v>269</v>
      </c>
      <c r="F314" t="s">
        <v>313</v>
      </c>
      <c r="G314" t="s">
        <v>180</v>
      </c>
      <c r="H314" t="s">
        <v>181</v>
      </c>
      <c r="I314" t="s">
        <v>271</v>
      </c>
      <c r="J314" t="s">
        <v>191</v>
      </c>
      <c r="K314" t="s">
        <v>890</v>
      </c>
      <c r="L314" s="10">
        <v>840.68</v>
      </c>
      <c r="M314" s="10">
        <v>1493.53</v>
      </c>
      <c r="N314" s="17">
        <v>0</v>
      </c>
      <c r="O314">
        <v>27</v>
      </c>
      <c r="P314" t="str">
        <f t="shared" si="89"/>
        <v>Valid</v>
      </c>
      <c r="Q314" s="10">
        <f t="shared" si="90"/>
        <v>1493.53</v>
      </c>
      <c r="R314" t="b">
        <f t="shared" si="91"/>
        <v>0</v>
      </c>
      <c r="S314" s="17">
        <f t="shared" si="92"/>
        <v>0</v>
      </c>
      <c r="T314">
        <f t="shared" si="93"/>
        <v>1</v>
      </c>
      <c r="U314" s="26">
        <f t="shared" si="94"/>
        <v>45601</v>
      </c>
      <c r="V314">
        <f t="shared" si="95"/>
        <v>1</v>
      </c>
      <c r="W314" s="10">
        <f t="shared" si="96"/>
        <v>4032531</v>
      </c>
      <c r="X314" s="10">
        <f t="shared" si="97"/>
        <v>40325.31</v>
      </c>
      <c r="Y314" s="10">
        <f t="shared" si="98"/>
        <v>3992205.69</v>
      </c>
      <c r="Z314" s="14">
        <f t="shared" si="102"/>
        <v>0.99</v>
      </c>
      <c r="AA314" t="s">
        <v>1577</v>
      </c>
      <c r="AB314" t="str">
        <f t="shared" si="99"/>
        <v>Q4-2024</v>
      </c>
      <c r="AC314" t="str">
        <f t="shared" si="100"/>
        <v>Europe → United Kingdom → London</v>
      </c>
      <c r="AD314" t="str">
        <f t="shared" si="101"/>
        <v>Peripherals</v>
      </c>
      <c r="AE314" s="8" t="str">
        <f t="shared" si="110"/>
        <v>High</v>
      </c>
      <c r="AF314" t="str">
        <f t="shared" si="103"/>
        <v>UNITED KINGDOM</v>
      </c>
      <c r="AG314" s="7">
        <v>44945</v>
      </c>
      <c r="AH314" t="str">
        <f t="shared" si="104"/>
        <v>Jan-2023</v>
      </c>
      <c r="AI314" s="9">
        <f t="shared" si="105"/>
        <v>45626</v>
      </c>
      <c r="AJ314">
        <f t="shared" si="109"/>
        <v>1</v>
      </c>
      <c r="AK314">
        <f t="shared" si="106"/>
        <v>0</v>
      </c>
      <c r="AL314" s="17">
        <f>MIN(N314,'Scenario Modelling'!$B$2)</f>
        <v>0</v>
      </c>
      <c r="AM314" s="10">
        <f>L314*(1+'Scenario Modelling'!$B$3)</f>
        <v>966.782</v>
      </c>
      <c r="AN314">
        <f>O314*(1+'Scenario Modelling'!$B$4)</f>
        <v>32.4</v>
      </c>
      <c r="AO314" s="28">
        <f t="shared" si="107"/>
        <v>48390.372</v>
      </c>
      <c r="AP314" s="10">
        <f t="shared" si="108"/>
        <v>17066.6352</v>
      </c>
    </row>
    <row r="315" spans="1:42">
      <c r="A315" t="s">
        <v>891</v>
      </c>
      <c r="B315" s="7">
        <v>45451</v>
      </c>
      <c r="C315" s="7">
        <v>45467</v>
      </c>
      <c r="D315" t="s">
        <v>177</v>
      </c>
      <c r="E315" t="s">
        <v>309</v>
      </c>
      <c r="F315" t="s">
        <v>333</v>
      </c>
      <c r="G315" t="s">
        <v>188</v>
      </c>
      <c r="H315" t="s">
        <v>216</v>
      </c>
      <c r="I315" t="s">
        <v>253</v>
      </c>
      <c r="J315" t="s">
        <v>225</v>
      </c>
      <c r="K315" t="s">
        <v>892</v>
      </c>
      <c r="L315" s="10">
        <v>597.85</v>
      </c>
      <c r="M315" s="10">
        <v>741.92</v>
      </c>
      <c r="N315" s="17">
        <v>0.031</v>
      </c>
      <c r="O315">
        <v>7</v>
      </c>
      <c r="P315" t="str">
        <f t="shared" si="89"/>
        <v>Valid</v>
      </c>
      <c r="Q315" s="10">
        <f t="shared" si="90"/>
        <v>741.92</v>
      </c>
      <c r="R315" t="b">
        <f t="shared" si="91"/>
        <v>0</v>
      </c>
      <c r="S315" s="17">
        <f t="shared" si="92"/>
        <v>0.031</v>
      </c>
      <c r="T315">
        <f t="shared" si="93"/>
        <v>16</v>
      </c>
      <c r="U315" s="26">
        <f t="shared" si="94"/>
        <v>45467</v>
      </c>
      <c r="V315">
        <f t="shared" si="95"/>
        <v>16</v>
      </c>
      <c r="W315" s="10">
        <f t="shared" si="96"/>
        <v>519183.00336</v>
      </c>
      <c r="X315" s="10">
        <f t="shared" si="97"/>
        <v>5193.44</v>
      </c>
      <c r="Y315" s="10">
        <f t="shared" si="98"/>
        <v>513989.56336</v>
      </c>
      <c r="Z315" s="14">
        <f t="shared" si="102"/>
        <v>0.989996899038702</v>
      </c>
      <c r="AA315" t="s">
        <v>1576</v>
      </c>
      <c r="AB315" t="str">
        <f t="shared" si="99"/>
        <v>Q2-2024</v>
      </c>
      <c r="AC315" t="str">
        <f t="shared" si="100"/>
        <v>Africa → South Africa → Durban</v>
      </c>
      <c r="AD315" t="str">
        <f t="shared" si="101"/>
        <v>Peripherals</v>
      </c>
      <c r="AE315" s="8" t="str">
        <f t="shared" si="110"/>
        <v>Medium</v>
      </c>
      <c r="AF315" t="str">
        <f t="shared" si="103"/>
        <v>SOUTH AFRICA</v>
      </c>
      <c r="AG315" s="7">
        <v>44933</v>
      </c>
      <c r="AH315" t="str">
        <f t="shared" si="104"/>
        <v>Jan-2023</v>
      </c>
      <c r="AI315" s="9">
        <f t="shared" si="105"/>
        <v>45473</v>
      </c>
      <c r="AJ315">
        <f t="shared" si="109"/>
        <v>0</v>
      </c>
      <c r="AK315">
        <f t="shared" si="106"/>
        <v>0</v>
      </c>
      <c r="AL315" s="17">
        <f>MIN(N315,'Scenario Modelling'!$B$2)</f>
        <v>0.031</v>
      </c>
      <c r="AM315" s="10">
        <f>L315*(1+'Scenario Modelling'!$B$3)</f>
        <v>687.5275</v>
      </c>
      <c r="AN315">
        <f>O315*(1+'Scenario Modelling'!$B$4)</f>
        <v>8.4</v>
      </c>
      <c r="AO315" s="28">
        <f t="shared" si="107"/>
        <v>6038.932032</v>
      </c>
      <c r="AP315" s="10">
        <f t="shared" si="108"/>
        <v>263.701032</v>
      </c>
    </row>
    <row r="316" spans="1:42">
      <c r="A316" t="s">
        <v>893</v>
      </c>
      <c r="B316" s="7">
        <v>45809</v>
      </c>
      <c r="C316" s="7">
        <v>45814</v>
      </c>
      <c r="D316" t="s">
        <v>239</v>
      </c>
      <c r="E316" t="s">
        <v>251</v>
      </c>
      <c r="F316" t="s">
        <v>378</v>
      </c>
      <c r="G316" t="s">
        <v>209</v>
      </c>
      <c r="H316" t="s">
        <v>216</v>
      </c>
      <c r="I316" t="s">
        <v>202</v>
      </c>
      <c r="J316" t="s">
        <v>183</v>
      </c>
      <c r="K316" t="s">
        <v>894</v>
      </c>
      <c r="L316" s="10">
        <v>379.45</v>
      </c>
      <c r="M316" s="10">
        <v>742.23</v>
      </c>
      <c r="N316" s="17">
        <v>0.09</v>
      </c>
      <c r="O316">
        <v>13</v>
      </c>
      <c r="P316" t="str">
        <f t="shared" si="89"/>
        <v>Valid</v>
      </c>
      <c r="Q316" s="10">
        <f t="shared" si="90"/>
        <v>742.23</v>
      </c>
      <c r="R316" t="b">
        <f t="shared" si="91"/>
        <v>0</v>
      </c>
      <c r="S316" s="17">
        <f t="shared" si="92"/>
        <v>0.09</v>
      </c>
      <c r="T316">
        <f t="shared" si="93"/>
        <v>5</v>
      </c>
      <c r="U316" s="26">
        <f t="shared" si="94"/>
        <v>45814</v>
      </c>
      <c r="V316">
        <f t="shared" si="95"/>
        <v>5</v>
      </c>
      <c r="W316" s="10">
        <f t="shared" si="96"/>
        <v>964030.5909</v>
      </c>
      <c r="X316" s="10">
        <f t="shared" si="97"/>
        <v>9648.99</v>
      </c>
      <c r="Y316" s="10">
        <f t="shared" si="98"/>
        <v>954381.6009</v>
      </c>
      <c r="Z316" s="14">
        <f t="shared" si="102"/>
        <v>0.989990991892703</v>
      </c>
      <c r="AA316" t="s">
        <v>1575</v>
      </c>
      <c r="AB316" t="str">
        <f t="shared" si="99"/>
        <v>Q2-2025</v>
      </c>
      <c r="AC316" t="str">
        <f t="shared" si="100"/>
        <v>Europe → France → Paris</v>
      </c>
      <c r="AD316" t="str">
        <f t="shared" si="101"/>
        <v>Support</v>
      </c>
      <c r="AE316" s="8" t="str">
        <f t="shared" si="110"/>
        <v>High</v>
      </c>
      <c r="AF316" t="str">
        <f t="shared" si="103"/>
        <v>FRANCE</v>
      </c>
      <c r="AG316" s="7">
        <v>44936</v>
      </c>
      <c r="AH316" t="str">
        <f t="shared" si="104"/>
        <v>Jan-2023</v>
      </c>
      <c r="AI316" s="9">
        <f t="shared" si="105"/>
        <v>45838</v>
      </c>
      <c r="AJ316">
        <f t="shared" si="109"/>
        <v>1</v>
      </c>
      <c r="AK316">
        <f t="shared" si="106"/>
        <v>0</v>
      </c>
      <c r="AL316" s="17">
        <f>MIN(N316,'Scenario Modelling'!$B$2)</f>
        <v>0.09</v>
      </c>
      <c r="AM316" s="10">
        <f>L316*(1+'Scenario Modelling'!$B$3)</f>
        <v>436.3675</v>
      </c>
      <c r="AN316">
        <f>O316*(1+'Scenario Modelling'!$B$4)</f>
        <v>15.6</v>
      </c>
      <c r="AO316" s="28">
        <f t="shared" si="107"/>
        <v>10536.69708</v>
      </c>
      <c r="AP316" s="10">
        <f t="shared" si="108"/>
        <v>3729.36408</v>
      </c>
    </row>
    <row r="317" spans="1:42">
      <c r="A317" t="s">
        <v>895</v>
      </c>
      <c r="B317" s="7">
        <v>45052</v>
      </c>
      <c r="C317" s="7">
        <v>45060</v>
      </c>
      <c r="D317" t="s">
        <v>206</v>
      </c>
      <c r="E317" t="s">
        <v>207</v>
      </c>
      <c r="F317" t="s">
        <v>208</v>
      </c>
      <c r="G317" t="s">
        <v>266</v>
      </c>
      <c r="H317" t="s">
        <v>201</v>
      </c>
      <c r="I317" t="s">
        <v>217</v>
      </c>
      <c r="J317" t="s">
        <v>203</v>
      </c>
      <c r="K317" t="s">
        <v>896</v>
      </c>
      <c r="L317" s="10">
        <v>291.18</v>
      </c>
      <c r="M317" s="10">
        <v>479.54</v>
      </c>
      <c r="N317" s="17">
        <v>0.141</v>
      </c>
      <c r="O317">
        <v>22</v>
      </c>
      <c r="P317" t="str">
        <f t="shared" si="89"/>
        <v>Valid</v>
      </c>
      <c r="Q317" s="10">
        <f t="shared" si="90"/>
        <v>479.54</v>
      </c>
      <c r="R317" t="b">
        <f t="shared" si="91"/>
        <v>0</v>
      </c>
      <c r="S317" s="17">
        <f t="shared" si="92"/>
        <v>0.141</v>
      </c>
      <c r="T317">
        <f t="shared" si="93"/>
        <v>8</v>
      </c>
      <c r="U317" s="26">
        <f t="shared" si="94"/>
        <v>45060</v>
      </c>
      <c r="V317">
        <f t="shared" si="95"/>
        <v>8</v>
      </c>
      <c r="W317" s="10">
        <f t="shared" si="96"/>
        <v>1053500.46692</v>
      </c>
      <c r="X317" s="10">
        <f t="shared" si="97"/>
        <v>10549.88</v>
      </c>
      <c r="Y317" s="10">
        <f t="shared" si="98"/>
        <v>1042950.58692</v>
      </c>
      <c r="Z317" s="14">
        <f t="shared" si="102"/>
        <v>0.989985880090928</v>
      </c>
      <c r="AA317" t="s">
        <v>1574</v>
      </c>
      <c r="AB317" t="str">
        <f t="shared" si="99"/>
        <v>Q2-2023</v>
      </c>
      <c r="AC317" t="str">
        <f t="shared" si="100"/>
        <v>Asia → Japan → Osaka</v>
      </c>
      <c r="AD317" t="str">
        <f t="shared" si="101"/>
        <v>Devices</v>
      </c>
      <c r="AE317" s="8" t="str">
        <f t="shared" si="110"/>
        <v>Low</v>
      </c>
      <c r="AF317" t="str">
        <f t="shared" si="103"/>
        <v>JAPAN</v>
      </c>
      <c r="AG317" s="7">
        <v>44988</v>
      </c>
      <c r="AH317" t="str">
        <f t="shared" si="104"/>
        <v>Mar-2023</v>
      </c>
      <c r="AI317" s="9">
        <f t="shared" si="105"/>
        <v>45077</v>
      </c>
      <c r="AJ317">
        <f t="shared" si="109"/>
        <v>0</v>
      </c>
      <c r="AK317">
        <f t="shared" si="106"/>
        <v>0</v>
      </c>
      <c r="AL317" s="17">
        <f>MIN(N317,'Scenario Modelling'!$B$2)</f>
        <v>0.141</v>
      </c>
      <c r="AM317" s="10">
        <f>L317*(1+'Scenario Modelling'!$B$3)</f>
        <v>334.857</v>
      </c>
      <c r="AN317">
        <f>O317*(1+'Scenario Modelling'!$B$4)</f>
        <v>26.4</v>
      </c>
      <c r="AO317" s="28">
        <f t="shared" si="107"/>
        <v>10874.816304</v>
      </c>
      <c r="AP317" s="10">
        <f t="shared" si="108"/>
        <v>2034.591504</v>
      </c>
    </row>
    <row r="318" spans="1:42">
      <c r="A318" t="s">
        <v>897</v>
      </c>
      <c r="B318" s="7">
        <v>45244</v>
      </c>
      <c r="C318" s="7">
        <v>45260</v>
      </c>
      <c r="D318" t="s">
        <v>213</v>
      </c>
      <c r="E318" t="s">
        <v>234</v>
      </c>
      <c r="F318" t="s">
        <v>235</v>
      </c>
      <c r="G318" t="s">
        <v>266</v>
      </c>
      <c r="H318" t="s">
        <v>259</v>
      </c>
      <c r="I318" t="s">
        <v>256</v>
      </c>
      <c r="J318" t="s">
        <v>196</v>
      </c>
      <c r="K318" t="s">
        <v>898</v>
      </c>
      <c r="L318" s="10">
        <v>1017.92</v>
      </c>
      <c r="M318" s="10">
        <v>1175.25</v>
      </c>
      <c r="N318" s="17">
        <v>0.075</v>
      </c>
      <c r="O318">
        <v>15</v>
      </c>
      <c r="P318" t="str">
        <f t="shared" si="89"/>
        <v>Valid</v>
      </c>
      <c r="Q318" s="10">
        <f t="shared" si="90"/>
        <v>1175.25</v>
      </c>
      <c r="R318" t="b">
        <f t="shared" si="91"/>
        <v>0</v>
      </c>
      <c r="S318" s="17">
        <f t="shared" si="92"/>
        <v>0.075</v>
      </c>
      <c r="T318">
        <f t="shared" si="93"/>
        <v>16</v>
      </c>
      <c r="U318" s="26">
        <f t="shared" si="94"/>
        <v>45260</v>
      </c>
      <c r="V318">
        <f t="shared" si="95"/>
        <v>16</v>
      </c>
      <c r="W318" s="10">
        <f t="shared" si="96"/>
        <v>1761552.84375</v>
      </c>
      <c r="X318" s="10">
        <f t="shared" si="97"/>
        <v>17628.75</v>
      </c>
      <c r="Y318" s="10">
        <f t="shared" si="98"/>
        <v>1743924.09375</v>
      </c>
      <c r="Z318" s="14">
        <f t="shared" si="102"/>
        <v>0.989992494370778</v>
      </c>
      <c r="AA318" t="s">
        <v>1593</v>
      </c>
      <c r="AB318" t="str">
        <f t="shared" si="99"/>
        <v>Q4-2023</v>
      </c>
      <c r="AC318" t="str">
        <f t="shared" si="100"/>
        <v>Americas → Brazil → São Paulo</v>
      </c>
      <c r="AD318" t="str">
        <f t="shared" si="101"/>
        <v>Support</v>
      </c>
      <c r="AE318" s="8" t="str">
        <f t="shared" si="110"/>
        <v>Low</v>
      </c>
      <c r="AF318" t="str">
        <f t="shared" si="103"/>
        <v>BRAZIL</v>
      </c>
      <c r="AG318" s="7">
        <v>44955</v>
      </c>
      <c r="AH318" t="str">
        <f t="shared" si="104"/>
        <v>Jan-2023</v>
      </c>
      <c r="AI318" s="9">
        <f t="shared" si="105"/>
        <v>45260</v>
      </c>
      <c r="AJ318">
        <f t="shared" si="109"/>
        <v>0</v>
      </c>
      <c r="AK318">
        <f t="shared" si="106"/>
        <v>0</v>
      </c>
      <c r="AL318" s="17">
        <f>MIN(N318,'Scenario Modelling'!$B$2)</f>
        <v>0.075</v>
      </c>
      <c r="AM318" s="10">
        <f>L318*(1+'Scenario Modelling'!$B$3)</f>
        <v>1170.608</v>
      </c>
      <c r="AN318">
        <f>O318*(1+'Scenario Modelling'!$B$4)</f>
        <v>18</v>
      </c>
      <c r="AO318" s="28">
        <f t="shared" si="107"/>
        <v>19567.9125</v>
      </c>
      <c r="AP318" s="10">
        <f t="shared" si="108"/>
        <v>-1503.0315</v>
      </c>
    </row>
    <row r="319" spans="1:42">
      <c r="A319" t="s">
        <v>899</v>
      </c>
      <c r="B319" s="7">
        <v>45748</v>
      </c>
      <c r="C319" s="7">
        <v>45774</v>
      </c>
      <c r="D319" t="s">
        <v>213</v>
      </c>
      <c r="E319" t="s">
        <v>283</v>
      </c>
      <c r="F319" t="s">
        <v>328</v>
      </c>
      <c r="G319" t="s">
        <v>180</v>
      </c>
      <c r="H319" t="s">
        <v>259</v>
      </c>
      <c r="I319" t="s">
        <v>195</v>
      </c>
      <c r="J319" t="s">
        <v>225</v>
      </c>
      <c r="K319" t="s">
        <v>900</v>
      </c>
      <c r="L319" s="10">
        <v>156.55</v>
      </c>
      <c r="M319" s="10">
        <v>227.45</v>
      </c>
      <c r="N319" s="17">
        <v>0.014</v>
      </c>
      <c r="O319">
        <v>13</v>
      </c>
      <c r="P319" t="str">
        <f t="shared" si="89"/>
        <v>Valid</v>
      </c>
      <c r="Q319" s="10">
        <f t="shared" si="90"/>
        <v>227.45</v>
      </c>
      <c r="R319" t="b">
        <f t="shared" si="91"/>
        <v>0</v>
      </c>
      <c r="S319" s="17">
        <f t="shared" si="92"/>
        <v>0.014</v>
      </c>
      <c r="T319">
        <f t="shared" si="93"/>
        <v>26</v>
      </c>
      <c r="U319" s="26">
        <f t="shared" si="94"/>
        <v>45774</v>
      </c>
      <c r="V319">
        <f t="shared" si="95"/>
        <v>26</v>
      </c>
      <c r="W319" s="10">
        <f t="shared" si="96"/>
        <v>295643.6041</v>
      </c>
      <c r="X319" s="10">
        <f t="shared" si="97"/>
        <v>2956.85</v>
      </c>
      <c r="Y319" s="10">
        <f t="shared" si="98"/>
        <v>292686.7541</v>
      </c>
      <c r="Z319" s="14">
        <f t="shared" si="102"/>
        <v>0.989998599803973</v>
      </c>
      <c r="AA319" t="s">
        <v>1578</v>
      </c>
      <c r="AB319" t="str">
        <f t="shared" si="99"/>
        <v>Q2-2025</v>
      </c>
      <c r="AC319" t="str">
        <f t="shared" si="100"/>
        <v>Americas → USA → San Francisco</v>
      </c>
      <c r="AD319" t="str">
        <f t="shared" si="101"/>
        <v>Peripherals</v>
      </c>
      <c r="AE319" s="8" t="str">
        <f t="shared" si="110"/>
        <v>High</v>
      </c>
      <c r="AF319" t="str">
        <f t="shared" si="103"/>
        <v>USA</v>
      </c>
      <c r="AG319" s="7">
        <v>44939</v>
      </c>
      <c r="AH319" t="str">
        <f t="shared" si="104"/>
        <v>Jan-2023</v>
      </c>
      <c r="AI319" s="9">
        <f t="shared" si="105"/>
        <v>45777</v>
      </c>
      <c r="AJ319">
        <f t="shared" si="109"/>
        <v>0</v>
      </c>
      <c r="AK319">
        <f t="shared" si="106"/>
        <v>0</v>
      </c>
      <c r="AL319" s="17">
        <f>MIN(N319,'Scenario Modelling'!$B$2)</f>
        <v>0.014</v>
      </c>
      <c r="AM319" s="10">
        <f>L319*(1+'Scenario Modelling'!$B$3)</f>
        <v>180.0325</v>
      </c>
      <c r="AN319">
        <f>O319*(1+'Scenario Modelling'!$B$4)</f>
        <v>15.6</v>
      </c>
      <c r="AO319" s="28">
        <f t="shared" si="107"/>
        <v>3498.54492</v>
      </c>
      <c r="AP319" s="10">
        <f t="shared" si="108"/>
        <v>690.03792</v>
      </c>
    </row>
    <row r="320" spans="1:42">
      <c r="A320" t="s">
        <v>901</v>
      </c>
      <c r="B320" s="7">
        <v>45008</v>
      </c>
      <c r="C320" s="7">
        <v>45031</v>
      </c>
      <c r="D320" t="s">
        <v>177</v>
      </c>
      <c r="E320" t="s">
        <v>178</v>
      </c>
      <c r="F320" t="s">
        <v>274</v>
      </c>
      <c r="G320" t="s">
        <v>223</v>
      </c>
      <c r="H320" t="s">
        <v>181</v>
      </c>
      <c r="I320" t="s">
        <v>182</v>
      </c>
      <c r="J320" t="s">
        <v>242</v>
      </c>
      <c r="K320" t="s">
        <v>902</v>
      </c>
      <c r="L320" s="10">
        <v>875.36</v>
      </c>
      <c r="M320" s="10">
        <v>1178.62</v>
      </c>
      <c r="N320" s="17">
        <v>0.151</v>
      </c>
      <c r="O320">
        <v>53</v>
      </c>
      <c r="P320" t="str">
        <f t="shared" si="89"/>
        <v>Valid</v>
      </c>
      <c r="Q320" s="10">
        <f t="shared" si="90"/>
        <v>1178.62</v>
      </c>
      <c r="R320" t="b">
        <f t="shared" si="91"/>
        <v>0</v>
      </c>
      <c r="S320" s="17">
        <f t="shared" si="92"/>
        <v>0.151</v>
      </c>
      <c r="T320">
        <f t="shared" si="93"/>
        <v>23</v>
      </c>
      <c r="U320" s="26">
        <f t="shared" si="94"/>
        <v>45031</v>
      </c>
      <c r="V320">
        <f t="shared" si="95"/>
        <v>23</v>
      </c>
      <c r="W320" s="10">
        <f t="shared" si="96"/>
        <v>6237253.50414</v>
      </c>
      <c r="X320" s="10">
        <f t="shared" si="97"/>
        <v>62466.86</v>
      </c>
      <c r="Y320" s="10">
        <f t="shared" si="98"/>
        <v>6174786.64414</v>
      </c>
      <c r="Z320" s="14">
        <f t="shared" si="102"/>
        <v>0.989984877164518</v>
      </c>
      <c r="AA320" t="s">
        <v>1582</v>
      </c>
      <c r="AB320" t="str">
        <f t="shared" si="99"/>
        <v>Q1-2023</v>
      </c>
      <c r="AC320" t="str">
        <f t="shared" si="100"/>
        <v>Africa → Kenya → Mombasa</v>
      </c>
      <c r="AD320" t="str">
        <f t="shared" si="101"/>
        <v>Support</v>
      </c>
      <c r="AE320" s="8" t="str">
        <f t="shared" si="110"/>
        <v>Low</v>
      </c>
      <c r="AF320" t="str">
        <f t="shared" si="103"/>
        <v>KENYA</v>
      </c>
      <c r="AG320" s="7">
        <v>44946</v>
      </c>
      <c r="AH320" t="str">
        <f t="shared" si="104"/>
        <v>Jan-2023</v>
      </c>
      <c r="AI320" s="9">
        <f t="shared" si="105"/>
        <v>45016</v>
      </c>
      <c r="AJ320">
        <f t="shared" si="109"/>
        <v>0</v>
      </c>
      <c r="AK320">
        <f t="shared" si="106"/>
        <v>0</v>
      </c>
      <c r="AL320" s="17">
        <f>MIN(N320,'Scenario Modelling'!$B$2)</f>
        <v>0.151</v>
      </c>
      <c r="AM320" s="10">
        <f>L320*(1+'Scenario Modelling'!$B$3)</f>
        <v>1006.664</v>
      </c>
      <c r="AN320">
        <f>O320*(1+'Scenario Modelling'!$B$4)</f>
        <v>63.6</v>
      </c>
      <c r="AO320" s="28">
        <f t="shared" si="107"/>
        <v>63641.236968</v>
      </c>
      <c r="AP320" s="10">
        <f t="shared" si="108"/>
        <v>-382.593432000008</v>
      </c>
    </row>
    <row r="321" spans="1:42">
      <c r="A321" t="s">
        <v>903</v>
      </c>
      <c r="B321" s="7">
        <v>45440</v>
      </c>
      <c r="C321" s="7">
        <v>45461</v>
      </c>
      <c r="D321" t="s">
        <v>239</v>
      </c>
      <c r="E321" t="s">
        <v>240</v>
      </c>
      <c r="F321" t="s">
        <v>496</v>
      </c>
      <c r="G321" t="s">
        <v>223</v>
      </c>
      <c r="H321" t="s">
        <v>189</v>
      </c>
      <c r="I321" t="s">
        <v>224</v>
      </c>
      <c r="J321" t="s">
        <v>203</v>
      </c>
      <c r="K321" t="s">
        <v>904</v>
      </c>
      <c r="L321" s="10">
        <v>986.85</v>
      </c>
      <c r="M321" s="10">
        <v>2422.1</v>
      </c>
      <c r="N321" s="17">
        <v>0.076</v>
      </c>
      <c r="O321">
        <v>10</v>
      </c>
      <c r="P321" t="str">
        <f t="shared" si="89"/>
        <v>Valid</v>
      </c>
      <c r="Q321" s="10">
        <f t="shared" si="90"/>
        <v>2422.1</v>
      </c>
      <c r="R321" t="b">
        <f t="shared" si="91"/>
        <v>0</v>
      </c>
      <c r="S321" s="17">
        <f t="shared" si="92"/>
        <v>0.076</v>
      </c>
      <c r="T321">
        <f t="shared" si="93"/>
        <v>21</v>
      </c>
      <c r="U321" s="26">
        <f t="shared" si="94"/>
        <v>45461</v>
      </c>
      <c r="V321">
        <f t="shared" si="95"/>
        <v>21</v>
      </c>
      <c r="W321" s="10">
        <f t="shared" si="96"/>
        <v>2420259.204</v>
      </c>
      <c r="X321" s="10">
        <f t="shared" si="97"/>
        <v>24221</v>
      </c>
      <c r="Y321" s="10">
        <f t="shared" si="98"/>
        <v>2396038.204</v>
      </c>
      <c r="Z321" s="14">
        <f t="shared" si="102"/>
        <v>0.989992394219607</v>
      </c>
      <c r="AA321" t="s">
        <v>1566</v>
      </c>
      <c r="AB321" t="str">
        <f t="shared" si="99"/>
        <v>Q2-2024</v>
      </c>
      <c r="AC321" t="str">
        <f t="shared" si="100"/>
        <v>Europe → Germany → Frankfurt</v>
      </c>
      <c r="AD321" t="str">
        <f t="shared" si="101"/>
        <v>Devices</v>
      </c>
      <c r="AE321" s="8" t="str">
        <f t="shared" si="110"/>
        <v>Medium</v>
      </c>
      <c r="AF321" t="str">
        <f t="shared" si="103"/>
        <v>GERMANY</v>
      </c>
      <c r="AG321" s="7">
        <v>44948</v>
      </c>
      <c r="AH321" t="str">
        <f t="shared" si="104"/>
        <v>Jan-2023</v>
      </c>
      <c r="AI321" s="9">
        <f t="shared" si="105"/>
        <v>45443</v>
      </c>
      <c r="AJ321">
        <f t="shared" si="109"/>
        <v>0</v>
      </c>
      <c r="AK321">
        <f t="shared" si="106"/>
        <v>0</v>
      </c>
      <c r="AL321" s="17">
        <f>MIN(N321,'Scenario Modelling'!$B$2)</f>
        <v>0.076</v>
      </c>
      <c r="AM321" s="10">
        <f>L321*(1+'Scenario Modelling'!$B$3)</f>
        <v>1134.8775</v>
      </c>
      <c r="AN321">
        <f>O321*(1+'Scenario Modelling'!$B$4)</f>
        <v>12</v>
      </c>
      <c r="AO321" s="28">
        <f t="shared" si="107"/>
        <v>26856.2448</v>
      </c>
      <c r="AP321" s="10">
        <f t="shared" si="108"/>
        <v>13237.7148</v>
      </c>
    </row>
    <row r="322" spans="1:42">
      <c r="A322" t="s">
        <v>905</v>
      </c>
      <c r="B322" s="7">
        <v>45293</v>
      </c>
      <c r="C322" s="7">
        <v>45292</v>
      </c>
      <c r="D322" t="s">
        <v>213</v>
      </c>
      <c r="E322" t="s">
        <v>283</v>
      </c>
      <c r="F322" t="s">
        <v>284</v>
      </c>
      <c r="G322" t="s">
        <v>188</v>
      </c>
      <c r="H322" t="s">
        <v>201</v>
      </c>
      <c r="I322" t="s">
        <v>217</v>
      </c>
      <c r="J322" t="s">
        <v>196</v>
      </c>
      <c r="K322" t="s">
        <v>906</v>
      </c>
      <c r="L322" s="10">
        <v>404.77</v>
      </c>
      <c r="M322" s="10">
        <v>433.88</v>
      </c>
      <c r="N322" s="17">
        <v>0.215</v>
      </c>
      <c r="O322">
        <v>22</v>
      </c>
      <c r="P322" t="str">
        <f t="shared" ref="P322:P385" si="111">IF(M322&gt;0,"Valid")</f>
        <v>Valid</v>
      </c>
      <c r="Q322" s="10">
        <f t="shared" ref="Q322:Q385" si="112">ABS(M322)</f>
        <v>433.88</v>
      </c>
      <c r="R322" t="b">
        <f t="shared" ref="R322:R385" si="113">IF(N322&gt;30%,"Excess")</f>
        <v>0</v>
      </c>
      <c r="S322" s="17">
        <f t="shared" ref="S322:S385" si="114">IF(R322="Excess",30%,N322)</f>
        <v>0.215</v>
      </c>
      <c r="T322">
        <f t="shared" ref="T322:T385" si="115">(C322-B322)</f>
        <v>-1</v>
      </c>
      <c r="U322" s="26">
        <f t="shared" ref="U322:U385" si="116">IF(C322&lt;B322,B322+7,C322)</f>
        <v>45300</v>
      </c>
      <c r="V322">
        <f t="shared" ref="V322:V385" si="117">(U322-B322)</f>
        <v>7</v>
      </c>
      <c r="W322" s="10">
        <f t="shared" ref="W322:W385" si="118">(Q322*O322*(100-S322))</f>
        <v>952483.7476</v>
      </c>
      <c r="X322" s="10">
        <f t="shared" ref="X322:X385" si="119">(Q322*O322)</f>
        <v>9545.36</v>
      </c>
      <c r="Y322" s="10">
        <f t="shared" ref="Y322:Y385" si="120">W322-X322</f>
        <v>942938.3876</v>
      </c>
      <c r="Z322" s="14">
        <f t="shared" si="102"/>
        <v>0.989978453675402</v>
      </c>
      <c r="AA322" t="s">
        <v>1568</v>
      </c>
      <c r="AB322" t="str">
        <f t="shared" ref="AB322:AB385" si="121">"Q"&amp;ROUNDUP(MONTH(B322)/3,0)&amp;"-"&amp;YEAR(B322)</f>
        <v>Q1-2024</v>
      </c>
      <c r="AC322" t="str">
        <f t="shared" ref="AC322:AC385" si="122">D322&amp;" → "&amp;E322&amp;" → "&amp;F322</f>
        <v>Americas → USA → Chicago</v>
      </c>
      <c r="AD322" t="str">
        <f t="shared" ref="AD322:AD385" si="123">IF(OR(J322="Laptops",J322="Phones"),"Devices",IF(OR(J322="Monitors",J322="Printers"),"Peripherals","Support"))</f>
        <v>Support</v>
      </c>
      <c r="AE322" s="8" t="str">
        <f t="shared" si="110"/>
        <v>Medium</v>
      </c>
      <c r="AF322" t="str">
        <f t="shared" si="103"/>
        <v>USA</v>
      </c>
      <c r="AG322" s="7">
        <v>44939</v>
      </c>
      <c r="AH322" t="str">
        <f t="shared" si="104"/>
        <v>Jan-2023</v>
      </c>
      <c r="AI322" s="9">
        <f t="shared" si="105"/>
        <v>45322</v>
      </c>
      <c r="AJ322">
        <f t="shared" si="109"/>
        <v>1</v>
      </c>
      <c r="AK322">
        <f t="shared" si="106"/>
        <v>1</v>
      </c>
      <c r="AL322" s="17">
        <f>MIN(N322,'Scenario Modelling'!$B$2)</f>
        <v>0.215</v>
      </c>
      <c r="AM322" s="10">
        <f>L322*(1+'Scenario Modelling'!$B$3)</f>
        <v>465.4855</v>
      </c>
      <c r="AN322">
        <f>O322*(1+'Scenario Modelling'!$B$4)</f>
        <v>26.4</v>
      </c>
      <c r="AO322" s="28">
        <f t="shared" si="107"/>
        <v>8991.72912</v>
      </c>
      <c r="AP322" s="10">
        <f t="shared" si="108"/>
        <v>-3297.08808</v>
      </c>
    </row>
    <row r="323" spans="1:42">
      <c r="A323" t="s">
        <v>907</v>
      </c>
      <c r="B323" s="7">
        <v>44985</v>
      </c>
      <c r="C323" s="7">
        <v>44984</v>
      </c>
      <c r="D323" t="s">
        <v>239</v>
      </c>
      <c r="E323" t="s">
        <v>251</v>
      </c>
      <c r="F323" t="s">
        <v>252</v>
      </c>
      <c r="G323" t="s">
        <v>180</v>
      </c>
      <c r="H323" t="s">
        <v>181</v>
      </c>
      <c r="I323" t="s">
        <v>256</v>
      </c>
      <c r="J323" t="s">
        <v>196</v>
      </c>
      <c r="K323" t="s">
        <v>908</v>
      </c>
      <c r="L323" s="10">
        <v>1299.81</v>
      </c>
      <c r="M323" s="10">
        <v>3149.13</v>
      </c>
      <c r="N323" s="17">
        <v>0.103</v>
      </c>
      <c r="O323">
        <v>14</v>
      </c>
      <c r="P323" t="str">
        <f t="shared" si="111"/>
        <v>Valid</v>
      </c>
      <c r="Q323" s="10">
        <f t="shared" si="112"/>
        <v>3149.13</v>
      </c>
      <c r="R323" t="b">
        <f t="shared" si="113"/>
        <v>0</v>
      </c>
      <c r="S323" s="17">
        <f t="shared" si="114"/>
        <v>0.103</v>
      </c>
      <c r="T323">
        <f t="shared" si="115"/>
        <v>-1</v>
      </c>
      <c r="U323" s="26">
        <f t="shared" si="116"/>
        <v>44992</v>
      </c>
      <c r="V323">
        <f t="shared" si="117"/>
        <v>7</v>
      </c>
      <c r="W323" s="10">
        <f t="shared" si="118"/>
        <v>4404240.95454</v>
      </c>
      <c r="X323" s="10">
        <f t="shared" si="119"/>
        <v>44087.82</v>
      </c>
      <c r="Y323" s="10">
        <f t="shared" si="120"/>
        <v>4360153.13454</v>
      </c>
      <c r="Z323" s="14">
        <f t="shared" ref="Z323:Z386" si="124">Y323/W323</f>
        <v>0.989989689380061</v>
      </c>
      <c r="AA323" t="s">
        <v>1562</v>
      </c>
      <c r="AB323" t="str">
        <f t="shared" si="121"/>
        <v>Q1-2023</v>
      </c>
      <c r="AC323" t="str">
        <f t="shared" si="122"/>
        <v>Europe → France → Marseille</v>
      </c>
      <c r="AD323" t="str">
        <f t="shared" si="123"/>
        <v>Support</v>
      </c>
      <c r="AE323" s="8" t="str">
        <f t="shared" si="110"/>
        <v>Low</v>
      </c>
      <c r="AF323" t="str">
        <f t="shared" ref="AF323:AF386" si="125">UPPER(TRIM(CLEAN(SUBSTITUTE(E323,CHAR(160),""))))</f>
        <v>FRANCE</v>
      </c>
      <c r="AG323" s="7">
        <v>44936</v>
      </c>
      <c r="AH323" t="str">
        <f t="shared" ref="AH323:AH386" si="126">TEXT(AG323,"MMM-YYYY")</f>
        <v>Jan-2023</v>
      </c>
      <c r="AI323" s="9">
        <f t="shared" ref="AI323:AI386" si="127">EOMONTH(B323,0)</f>
        <v>44985</v>
      </c>
      <c r="AJ323">
        <f t="shared" si="109"/>
        <v>1</v>
      </c>
      <c r="AK323">
        <f t="shared" ref="AK323:AK386" si="128">IF(N323&gt;20%,1,0)</f>
        <v>0</v>
      </c>
      <c r="AL323" s="17">
        <f>MIN(N323,'Scenario Modelling'!$B$2)</f>
        <v>0.103</v>
      </c>
      <c r="AM323" s="10">
        <f>L323*(1+'Scenario Modelling'!$B$3)</f>
        <v>1494.7815</v>
      </c>
      <c r="AN323">
        <f>O323*(1+'Scenario Modelling'!$B$4)</f>
        <v>16.8</v>
      </c>
      <c r="AO323" s="28">
        <f t="shared" ref="AO323:AO386" si="129">AN323*M323*(1-AL323)</f>
        <v>47456.129448</v>
      </c>
      <c r="AP323" s="10">
        <f t="shared" ref="AP323:AP386" si="130">(M323*(1-AL323)-AM323)*AN323</f>
        <v>22343.800248</v>
      </c>
    </row>
    <row r="324" spans="1:42">
      <c r="A324" t="s">
        <v>909</v>
      </c>
      <c r="B324" s="7">
        <v>45340</v>
      </c>
      <c r="C324" s="7">
        <v>45362</v>
      </c>
      <c r="D324" t="s">
        <v>213</v>
      </c>
      <c r="E324" t="s">
        <v>234</v>
      </c>
      <c r="F324" t="s">
        <v>235</v>
      </c>
      <c r="G324" t="s">
        <v>209</v>
      </c>
      <c r="H324" t="s">
        <v>189</v>
      </c>
      <c r="I324" t="s">
        <v>236</v>
      </c>
      <c r="J324" t="s">
        <v>183</v>
      </c>
      <c r="K324" t="s">
        <v>910</v>
      </c>
      <c r="L324" s="10">
        <v>80.48</v>
      </c>
      <c r="M324" s="10">
        <v>65.65</v>
      </c>
      <c r="N324" s="17">
        <v>0.176</v>
      </c>
      <c r="O324">
        <v>13</v>
      </c>
      <c r="P324" t="str">
        <f t="shared" si="111"/>
        <v>Valid</v>
      </c>
      <c r="Q324" s="10">
        <f t="shared" si="112"/>
        <v>65.65</v>
      </c>
      <c r="R324" t="b">
        <f t="shared" si="113"/>
        <v>0</v>
      </c>
      <c r="S324" s="17">
        <f t="shared" si="114"/>
        <v>0.176</v>
      </c>
      <c r="T324">
        <f t="shared" si="115"/>
        <v>22</v>
      </c>
      <c r="U324" s="26">
        <f t="shared" si="116"/>
        <v>45362</v>
      </c>
      <c r="V324">
        <f t="shared" si="117"/>
        <v>22</v>
      </c>
      <c r="W324" s="10">
        <f t="shared" si="118"/>
        <v>85194.7928</v>
      </c>
      <c r="X324" s="10">
        <f t="shared" si="119"/>
        <v>853.45</v>
      </c>
      <c r="Y324" s="10">
        <f t="shared" si="120"/>
        <v>84341.3428</v>
      </c>
      <c r="Z324" s="14">
        <f t="shared" si="124"/>
        <v>0.989982368969386</v>
      </c>
      <c r="AA324" t="s">
        <v>1594</v>
      </c>
      <c r="AB324" t="str">
        <f t="shared" si="121"/>
        <v>Q1-2024</v>
      </c>
      <c r="AC324" t="str">
        <f t="shared" si="122"/>
        <v>Americas → Brazil → São Paulo</v>
      </c>
      <c r="AD324" t="str">
        <f t="shared" si="123"/>
        <v>Support</v>
      </c>
      <c r="AE324" s="8" t="str">
        <f t="shared" si="110"/>
        <v>Medium</v>
      </c>
      <c r="AF324" t="str">
        <f t="shared" si="125"/>
        <v>BRAZIL</v>
      </c>
      <c r="AG324" s="7">
        <v>44955</v>
      </c>
      <c r="AH324" t="str">
        <f t="shared" si="126"/>
        <v>Jan-2023</v>
      </c>
      <c r="AI324" s="9">
        <f t="shared" si="127"/>
        <v>45351</v>
      </c>
      <c r="AJ324">
        <f t="shared" ref="AJ324:AJ387" si="131">IF(V324&lt;=7,1,0)</f>
        <v>0</v>
      </c>
      <c r="AK324">
        <f t="shared" si="128"/>
        <v>0</v>
      </c>
      <c r="AL324" s="17">
        <f>MIN(N324,'Scenario Modelling'!$B$2)</f>
        <v>0.176</v>
      </c>
      <c r="AM324" s="10">
        <f>L324*(1+'Scenario Modelling'!$B$3)</f>
        <v>92.552</v>
      </c>
      <c r="AN324">
        <f>O324*(1+'Scenario Modelling'!$B$4)</f>
        <v>15.6</v>
      </c>
      <c r="AO324" s="28">
        <f t="shared" si="129"/>
        <v>843.89136</v>
      </c>
      <c r="AP324" s="10">
        <f t="shared" si="130"/>
        <v>-599.91984</v>
      </c>
    </row>
    <row r="325" spans="1:42">
      <c r="A325" t="s">
        <v>911</v>
      </c>
      <c r="B325" s="7">
        <v>45544</v>
      </c>
      <c r="C325" s="7">
        <v>45573</v>
      </c>
      <c r="D325" t="s">
        <v>213</v>
      </c>
      <c r="E325" t="s">
        <v>234</v>
      </c>
      <c r="F325" t="s">
        <v>235</v>
      </c>
      <c r="G325" t="s">
        <v>188</v>
      </c>
      <c r="H325" t="s">
        <v>259</v>
      </c>
      <c r="I325" t="s">
        <v>190</v>
      </c>
      <c r="J325" t="s">
        <v>183</v>
      </c>
      <c r="K325" t="s">
        <v>912</v>
      </c>
      <c r="L325" s="10">
        <v>1010.33</v>
      </c>
      <c r="M325" s="10">
        <v>2492.14</v>
      </c>
      <c r="N325" s="17">
        <v>0.051</v>
      </c>
      <c r="O325">
        <v>11</v>
      </c>
      <c r="P325" t="str">
        <f t="shared" si="111"/>
        <v>Valid</v>
      </c>
      <c r="Q325" s="10">
        <f t="shared" si="112"/>
        <v>2492.14</v>
      </c>
      <c r="R325" t="b">
        <f t="shared" si="113"/>
        <v>0</v>
      </c>
      <c r="S325" s="17">
        <f t="shared" si="114"/>
        <v>0.051</v>
      </c>
      <c r="T325">
        <f t="shared" si="115"/>
        <v>29</v>
      </c>
      <c r="U325" s="26">
        <f t="shared" si="116"/>
        <v>45573</v>
      </c>
      <c r="V325">
        <f t="shared" si="117"/>
        <v>29</v>
      </c>
      <c r="W325" s="10">
        <f t="shared" si="118"/>
        <v>2739955.90946</v>
      </c>
      <c r="X325" s="10">
        <f t="shared" si="119"/>
        <v>27413.54</v>
      </c>
      <c r="Y325" s="10">
        <f t="shared" si="120"/>
        <v>2712542.36946</v>
      </c>
      <c r="Z325" s="14">
        <f t="shared" si="124"/>
        <v>0.989994897397673</v>
      </c>
      <c r="AA325" t="s">
        <v>1592</v>
      </c>
      <c r="AB325" t="str">
        <f t="shared" si="121"/>
        <v>Q3-2024</v>
      </c>
      <c r="AC325" t="str">
        <f t="shared" si="122"/>
        <v>Americas → Brazil → São Paulo</v>
      </c>
      <c r="AD325" t="str">
        <f t="shared" si="123"/>
        <v>Support</v>
      </c>
      <c r="AE325" s="8" t="str">
        <f t="shared" si="110"/>
        <v>Medium</v>
      </c>
      <c r="AF325" t="str">
        <f t="shared" si="125"/>
        <v>BRAZIL</v>
      </c>
      <c r="AG325" s="7">
        <v>44955</v>
      </c>
      <c r="AH325" t="str">
        <f t="shared" si="126"/>
        <v>Jan-2023</v>
      </c>
      <c r="AI325" s="9">
        <f t="shared" si="127"/>
        <v>45565</v>
      </c>
      <c r="AJ325">
        <f t="shared" si="131"/>
        <v>0</v>
      </c>
      <c r="AK325">
        <f t="shared" si="128"/>
        <v>0</v>
      </c>
      <c r="AL325" s="17">
        <f>MIN(N325,'Scenario Modelling'!$B$2)</f>
        <v>0.051</v>
      </c>
      <c r="AM325" s="10">
        <f>L325*(1+'Scenario Modelling'!$B$3)</f>
        <v>1161.8795</v>
      </c>
      <c r="AN325">
        <f>O325*(1+'Scenario Modelling'!$B$4)</f>
        <v>13.2</v>
      </c>
      <c r="AO325" s="28">
        <f t="shared" si="129"/>
        <v>31218.539352</v>
      </c>
      <c r="AP325" s="10">
        <f t="shared" si="130"/>
        <v>15881.729952</v>
      </c>
    </row>
    <row r="326" spans="1:42">
      <c r="A326" t="s">
        <v>913</v>
      </c>
      <c r="B326" s="7">
        <v>45053</v>
      </c>
      <c r="C326" s="7">
        <v>45075</v>
      </c>
      <c r="D326" t="s">
        <v>177</v>
      </c>
      <c r="E326" t="s">
        <v>309</v>
      </c>
      <c r="F326" t="s">
        <v>333</v>
      </c>
      <c r="G326" t="s">
        <v>188</v>
      </c>
      <c r="H326" t="s">
        <v>216</v>
      </c>
      <c r="I326" t="s">
        <v>256</v>
      </c>
      <c r="J326" t="s">
        <v>242</v>
      </c>
      <c r="K326" t="s">
        <v>914</v>
      </c>
      <c r="L326" s="10">
        <v>653.86</v>
      </c>
      <c r="M326" s="10">
        <v>931.84</v>
      </c>
      <c r="N326" s="17">
        <v>0.121</v>
      </c>
      <c r="O326">
        <v>12</v>
      </c>
      <c r="P326" t="str">
        <f t="shared" si="111"/>
        <v>Valid</v>
      </c>
      <c r="Q326" s="10">
        <f t="shared" si="112"/>
        <v>931.84</v>
      </c>
      <c r="R326" t="b">
        <f t="shared" si="113"/>
        <v>0</v>
      </c>
      <c r="S326" s="17">
        <f t="shared" si="114"/>
        <v>0.121</v>
      </c>
      <c r="T326">
        <f t="shared" si="115"/>
        <v>22</v>
      </c>
      <c r="U326" s="26">
        <f t="shared" si="116"/>
        <v>45075</v>
      </c>
      <c r="V326">
        <f t="shared" si="117"/>
        <v>22</v>
      </c>
      <c r="W326" s="10">
        <f t="shared" si="118"/>
        <v>1116854.96832</v>
      </c>
      <c r="X326" s="10">
        <f t="shared" si="119"/>
        <v>11182.08</v>
      </c>
      <c r="Y326" s="10">
        <f t="shared" si="120"/>
        <v>1105672.88832</v>
      </c>
      <c r="Z326" s="14">
        <f t="shared" si="124"/>
        <v>0.989987885341263</v>
      </c>
      <c r="AA326" t="s">
        <v>1574</v>
      </c>
      <c r="AB326" t="str">
        <f t="shared" si="121"/>
        <v>Q2-2023</v>
      </c>
      <c r="AC326" t="str">
        <f t="shared" si="122"/>
        <v>Africa → South Africa → Durban</v>
      </c>
      <c r="AD326" t="str">
        <f t="shared" si="123"/>
        <v>Support</v>
      </c>
      <c r="AE326" s="8" t="str">
        <f t="shared" si="110"/>
        <v>Low</v>
      </c>
      <c r="AF326" t="str">
        <f t="shared" si="125"/>
        <v>SOUTH AFRICA</v>
      </c>
      <c r="AG326" s="7">
        <v>44933</v>
      </c>
      <c r="AH326" t="str">
        <f t="shared" si="126"/>
        <v>Jan-2023</v>
      </c>
      <c r="AI326" s="9">
        <f t="shared" si="127"/>
        <v>45077</v>
      </c>
      <c r="AJ326">
        <f t="shared" si="131"/>
        <v>0</v>
      </c>
      <c r="AK326">
        <f t="shared" si="128"/>
        <v>0</v>
      </c>
      <c r="AL326" s="17">
        <f>MIN(N326,'Scenario Modelling'!$B$2)</f>
        <v>0.121</v>
      </c>
      <c r="AM326" s="10">
        <f>L326*(1+'Scenario Modelling'!$B$3)</f>
        <v>751.939</v>
      </c>
      <c r="AN326">
        <f>O326*(1+'Scenario Modelling'!$B$4)</f>
        <v>14.4</v>
      </c>
      <c r="AO326" s="28">
        <f t="shared" si="129"/>
        <v>11794.857984</v>
      </c>
      <c r="AP326" s="10">
        <f t="shared" si="130"/>
        <v>966.936384</v>
      </c>
    </row>
    <row r="327" spans="1:42">
      <c r="A327" t="s">
        <v>915</v>
      </c>
      <c r="B327" s="7">
        <v>45303</v>
      </c>
      <c r="C327" s="7">
        <v>45320</v>
      </c>
      <c r="D327" t="s">
        <v>206</v>
      </c>
      <c r="E327" t="s">
        <v>221</v>
      </c>
      <c r="F327" t="s">
        <v>442</v>
      </c>
      <c r="G327" t="s">
        <v>223</v>
      </c>
      <c r="H327" t="s">
        <v>259</v>
      </c>
      <c r="I327" t="s">
        <v>217</v>
      </c>
      <c r="J327" t="s">
        <v>183</v>
      </c>
      <c r="K327" t="s">
        <v>916</v>
      </c>
      <c r="L327" s="10">
        <v>310.02</v>
      </c>
      <c r="M327" s="10">
        <v>619.51</v>
      </c>
      <c r="N327" s="17">
        <v>0.042</v>
      </c>
      <c r="O327">
        <v>4</v>
      </c>
      <c r="P327" t="str">
        <f t="shared" si="111"/>
        <v>Valid</v>
      </c>
      <c r="Q327" s="10">
        <f t="shared" si="112"/>
        <v>619.51</v>
      </c>
      <c r="R327" t="b">
        <f t="shared" si="113"/>
        <v>0</v>
      </c>
      <c r="S327" s="17">
        <f t="shared" si="114"/>
        <v>0.042</v>
      </c>
      <c r="T327">
        <f t="shared" si="115"/>
        <v>17</v>
      </c>
      <c r="U327" s="26">
        <f t="shared" si="116"/>
        <v>45320</v>
      </c>
      <c r="V327">
        <f t="shared" si="117"/>
        <v>17</v>
      </c>
      <c r="W327" s="10">
        <f t="shared" si="118"/>
        <v>247699.92232</v>
      </c>
      <c r="X327" s="10">
        <f t="shared" si="119"/>
        <v>2478.04</v>
      </c>
      <c r="Y327" s="10">
        <f t="shared" si="120"/>
        <v>245221.88232</v>
      </c>
      <c r="Z327" s="14">
        <f t="shared" si="124"/>
        <v>0.989995798235259</v>
      </c>
      <c r="AA327" t="s">
        <v>1568</v>
      </c>
      <c r="AB327" t="str">
        <f t="shared" si="121"/>
        <v>Q1-2024</v>
      </c>
      <c r="AC327" t="str">
        <f t="shared" si="122"/>
        <v>Asia → India → Hyderabad</v>
      </c>
      <c r="AD327" t="str">
        <f t="shared" si="123"/>
        <v>Support</v>
      </c>
      <c r="AE327" s="8" t="str">
        <f t="shared" si="110"/>
        <v>Medium</v>
      </c>
      <c r="AF327" t="str">
        <f t="shared" si="125"/>
        <v>INDIA</v>
      </c>
      <c r="AG327" s="7">
        <v>44955</v>
      </c>
      <c r="AH327" t="str">
        <f t="shared" si="126"/>
        <v>Jan-2023</v>
      </c>
      <c r="AI327" s="9">
        <f t="shared" si="127"/>
        <v>45322</v>
      </c>
      <c r="AJ327">
        <f t="shared" si="131"/>
        <v>0</v>
      </c>
      <c r="AK327">
        <f t="shared" si="128"/>
        <v>0</v>
      </c>
      <c r="AL327" s="17">
        <f>MIN(N327,'Scenario Modelling'!$B$2)</f>
        <v>0.042</v>
      </c>
      <c r="AM327" s="10">
        <f>L327*(1+'Scenario Modelling'!$B$3)</f>
        <v>356.523</v>
      </c>
      <c r="AN327">
        <f>O327*(1+'Scenario Modelling'!$B$4)</f>
        <v>4.8</v>
      </c>
      <c r="AO327" s="28">
        <f t="shared" si="129"/>
        <v>2848.754784</v>
      </c>
      <c r="AP327" s="10">
        <f t="shared" si="130"/>
        <v>1137.444384</v>
      </c>
    </row>
    <row r="328" spans="1:42">
      <c r="A328" t="s">
        <v>917</v>
      </c>
      <c r="B328" s="7">
        <v>45087</v>
      </c>
      <c r="C328" s="7">
        <v>45095</v>
      </c>
      <c r="D328" t="s">
        <v>177</v>
      </c>
      <c r="E328" t="s">
        <v>178</v>
      </c>
      <c r="F328" t="s">
        <v>296</v>
      </c>
      <c r="G328" t="s">
        <v>266</v>
      </c>
      <c r="H328" t="s">
        <v>259</v>
      </c>
      <c r="I328" t="s">
        <v>253</v>
      </c>
      <c r="J328" t="s">
        <v>203</v>
      </c>
      <c r="K328" t="s">
        <v>918</v>
      </c>
      <c r="L328" s="10">
        <v>894.23</v>
      </c>
      <c r="M328" s="10">
        <v>1421.55</v>
      </c>
      <c r="N328" s="17">
        <v>0.109</v>
      </c>
      <c r="O328">
        <v>3</v>
      </c>
      <c r="P328" t="str">
        <f t="shared" si="111"/>
        <v>Valid</v>
      </c>
      <c r="Q328" s="10">
        <f t="shared" si="112"/>
        <v>1421.55</v>
      </c>
      <c r="R328" t="b">
        <f t="shared" si="113"/>
        <v>0</v>
      </c>
      <c r="S328" s="17">
        <f t="shared" si="114"/>
        <v>0.109</v>
      </c>
      <c r="T328">
        <f t="shared" si="115"/>
        <v>8</v>
      </c>
      <c r="U328" s="26">
        <f t="shared" si="116"/>
        <v>45095</v>
      </c>
      <c r="V328">
        <f t="shared" si="117"/>
        <v>8</v>
      </c>
      <c r="W328" s="10">
        <f t="shared" si="118"/>
        <v>426000.15315</v>
      </c>
      <c r="X328" s="10">
        <f t="shared" si="119"/>
        <v>4264.65</v>
      </c>
      <c r="Y328" s="10">
        <f t="shared" si="120"/>
        <v>421735.50315</v>
      </c>
      <c r="Z328" s="14">
        <f t="shared" si="124"/>
        <v>0.989989088106035</v>
      </c>
      <c r="AA328" t="s">
        <v>1583</v>
      </c>
      <c r="AB328" t="str">
        <f t="shared" si="121"/>
        <v>Q2-2023</v>
      </c>
      <c r="AC328" t="str">
        <f t="shared" si="122"/>
        <v>Africa → Kenya → Nakuru</v>
      </c>
      <c r="AD328" t="str">
        <f t="shared" si="123"/>
        <v>Devices</v>
      </c>
      <c r="AE328" s="8" t="str">
        <f t="shared" si="110"/>
        <v>Low</v>
      </c>
      <c r="AF328" t="str">
        <f t="shared" si="125"/>
        <v>KENYA</v>
      </c>
      <c r="AG328" s="7">
        <v>44946</v>
      </c>
      <c r="AH328" t="str">
        <f t="shared" si="126"/>
        <v>Jan-2023</v>
      </c>
      <c r="AI328" s="9">
        <f t="shared" si="127"/>
        <v>45107</v>
      </c>
      <c r="AJ328">
        <f t="shared" si="131"/>
        <v>0</v>
      </c>
      <c r="AK328">
        <f t="shared" si="128"/>
        <v>0</v>
      </c>
      <c r="AL328" s="17">
        <f>MIN(N328,'Scenario Modelling'!$B$2)</f>
        <v>0.109</v>
      </c>
      <c r="AM328" s="10">
        <f>L328*(1+'Scenario Modelling'!$B$3)</f>
        <v>1028.3645</v>
      </c>
      <c r="AN328">
        <f>O328*(1+'Scenario Modelling'!$B$4)</f>
        <v>3.6</v>
      </c>
      <c r="AO328" s="28">
        <f t="shared" si="129"/>
        <v>4559.76378</v>
      </c>
      <c r="AP328" s="10">
        <f t="shared" si="130"/>
        <v>857.65158</v>
      </c>
    </row>
    <row r="329" spans="1:42">
      <c r="A329" t="s">
        <v>919</v>
      </c>
      <c r="B329" s="7">
        <v>45796</v>
      </c>
      <c r="C329" s="7">
        <v>45794</v>
      </c>
      <c r="D329" t="s">
        <v>213</v>
      </c>
      <c r="E329" t="s">
        <v>234</v>
      </c>
      <c r="F329" t="s">
        <v>235</v>
      </c>
      <c r="G329" t="s">
        <v>223</v>
      </c>
      <c r="H329" t="s">
        <v>216</v>
      </c>
      <c r="I329" t="s">
        <v>210</v>
      </c>
      <c r="J329" t="s">
        <v>225</v>
      </c>
      <c r="K329" t="s">
        <v>920</v>
      </c>
      <c r="L329" s="10">
        <v>383.77</v>
      </c>
      <c r="M329" s="10">
        <v>952.56</v>
      </c>
      <c r="N329" s="17">
        <v>0.346</v>
      </c>
      <c r="O329">
        <v>10</v>
      </c>
      <c r="P329" t="str">
        <f t="shared" si="111"/>
        <v>Valid</v>
      </c>
      <c r="Q329" s="10">
        <f t="shared" si="112"/>
        <v>952.56</v>
      </c>
      <c r="R329" t="str">
        <f t="shared" si="113"/>
        <v>Excess</v>
      </c>
      <c r="S329" s="17">
        <f t="shared" si="114"/>
        <v>0.3</v>
      </c>
      <c r="T329">
        <f t="shared" si="115"/>
        <v>-2</v>
      </c>
      <c r="U329" s="26">
        <f t="shared" si="116"/>
        <v>45803</v>
      </c>
      <c r="V329">
        <f t="shared" si="117"/>
        <v>7</v>
      </c>
      <c r="W329" s="10">
        <f t="shared" si="118"/>
        <v>949702.32</v>
      </c>
      <c r="X329" s="10">
        <f t="shared" si="119"/>
        <v>9525.6</v>
      </c>
      <c r="Y329" s="10">
        <f t="shared" si="120"/>
        <v>940176.72</v>
      </c>
      <c r="Z329" s="14">
        <f t="shared" si="124"/>
        <v>0.989969909729188</v>
      </c>
      <c r="AA329" t="s">
        <v>1567</v>
      </c>
      <c r="AB329" t="str">
        <f t="shared" si="121"/>
        <v>Q2-2025</v>
      </c>
      <c r="AC329" t="str">
        <f t="shared" si="122"/>
        <v>Americas → Brazil → São Paulo</v>
      </c>
      <c r="AD329" t="str">
        <f t="shared" si="123"/>
        <v>Peripherals</v>
      </c>
      <c r="AE329" s="8" t="str">
        <f t="shared" si="110"/>
        <v>High</v>
      </c>
      <c r="AF329" t="str">
        <f t="shared" si="125"/>
        <v>BRAZIL</v>
      </c>
      <c r="AG329" s="7">
        <v>44955</v>
      </c>
      <c r="AH329" t="str">
        <f t="shared" si="126"/>
        <v>Jan-2023</v>
      </c>
      <c r="AI329" s="9">
        <f t="shared" si="127"/>
        <v>45808</v>
      </c>
      <c r="AJ329">
        <f t="shared" si="131"/>
        <v>1</v>
      </c>
      <c r="AK329">
        <f t="shared" si="128"/>
        <v>1</v>
      </c>
      <c r="AL329" s="17">
        <f>MIN(N329,'Scenario Modelling'!$B$2)</f>
        <v>0.25</v>
      </c>
      <c r="AM329" s="10">
        <f>L329*(1+'Scenario Modelling'!$B$3)</f>
        <v>441.3355</v>
      </c>
      <c r="AN329">
        <f>O329*(1+'Scenario Modelling'!$B$4)</f>
        <v>12</v>
      </c>
      <c r="AO329" s="28">
        <f t="shared" si="129"/>
        <v>8573.04</v>
      </c>
      <c r="AP329" s="10">
        <f t="shared" si="130"/>
        <v>3277.014</v>
      </c>
    </row>
    <row r="330" spans="1:42">
      <c r="A330" t="s">
        <v>921</v>
      </c>
      <c r="B330" s="7">
        <v>45221</v>
      </c>
      <c r="C330" s="7">
        <v>45246</v>
      </c>
      <c r="D330" t="s">
        <v>213</v>
      </c>
      <c r="E330" t="s">
        <v>214</v>
      </c>
      <c r="F330" t="s">
        <v>215</v>
      </c>
      <c r="G330" t="s">
        <v>223</v>
      </c>
      <c r="H330" t="s">
        <v>201</v>
      </c>
      <c r="I330" t="s">
        <v>195</v>
      </c>
      <c r="J330" t="s">
        <v>218</v>
      </c>
      <c r="K330" t="s">
        <v>922</v>
      </c>
      <c r="L330" s="10">
        <v>1373.31</v>
      </c>
      <c r="M330" s="10">
        <v>3154.14</v>
      </c>
      <c r="N330" s="17">
        <v>0.2</v>
      </c>
      <c r="O330">
        <v>11</v>
      </c>
      <c r="P330" t="str">
        <f t="shared" si="111"/>
        <v>Valid</v>
      </c>
      <c r="Q330" s="10">
        <f t="shared" si="112"/>
        <v>3154.14</v>
      </c>
      <c r="R330" t="b">
        <f t="shared" si="113"/>
        <v>0</v>
      </c>
      <c r="S330" s="17">
        <f t="shared" si="114"/>
        <v>0.2</v>
      </c>
      <c r="T330">
        <f t="shared" si="115"/>
        <v>25</v>
      </c>
      <c r="U330" s="26">
        <f t="shared" si="116"/>
        <v>45246</v>
      </c>
      <c r="V330">
        <f t="shared" si="117"/>
        <v>25</v>
      </c>
      <c r="W330" s="10">
        <f t="shared" si="118"/>
        <v>3462614.892</v>
      </c>
      <c r="X330" s="10">
        <f t="shared" si="119"/>
        <v>34695.54</v>
      </c>
      <c r="Y330" s="10">
        <f t="shared" si="120"/>
        <v>3427919.352</v>
      </c>
      <c r="Z330" s="14">
        <f t="shared" si="124"/>
        <v>0.98997995991984</v>
      </c>
      <c r="AA330" t="s">
        <v>1595</v>
      </c>
      <c r="AB330" t="str">
        <f t="shared" si="121"/>
        <v>Q4-2023</v>
      </c>
      <c r="AC330" t="str">
        <f t="shared" si="122"/>
        <v>Americas → Canada → Toronto</v>
      </c>
      <c r="AD330" t="str">
        <f t="shared" si="123"/>
        <v>Devices</v>
      </c>
      <c r="AE330" s="8" t="str">
        <f t="shared" si="110"/>
        <v>Low</v>
      </c>
      <c r="AF330" t="str">
        <f t="shared" si="125"/>
        <v>CANADA</v>
      </c>
      <c r="AG330" s="7">
        <v>44928</v>
      </c>
      <c r="AH330" t="str">
        <f t="shared" si="126"/>
        <v>Jan-2023</v>
      </c>
      <c r="AI330" s="9">
        <f t="shared" si="127"/>
        <v>45230</v>
      </c>
      <c r="AJ330">
        <f t="shared" si="131"/>
        <v>0</v>
      </c>
      <c r="AK330">
        <f t="shared" si="128"/>
        <v>0</v>
      </c>
      <c r="AL330" s="17">
        <f>MIN(N330,'Scenario Modelling'!$B$2)</f>
        <v>0.2</v>
      </c>
      <c r="AM330" s="10">
        <f>L330*(1+'Scenario Modelling'!$B$3)</f>
        <v>1579.3065</v>
      </c>
      <c r="AN330">
        <f>O330*(1+'Scenario Modelling'!$B$4)</f>
        <v>13.2</v>
      </c>
      <c r="AO330" s="28">
        <f t="shared" si="129"/>
        <v>33307.7184</v>
      </c>
      <c r="AP330" s="10">
        <f t="shared" si="130"/>
        <v>12460.8726</v>
      </c>
    </row>
    <row r="331" spans="1:42">
      <c r="A331" t="s">
        <v>923</v>
      </c>
      <c r="B331" s="7">
        <v>45668</v>
      </c>
      <c r="C331" s="7">
        <v>45680</v>
      </c>
      <c r="D331" t="s">
        <v>213</v>
      </c>
      <c r="E331" t="s">
        <v>283</v>
      </c>
      <c r="F331" t="s">
        <v>487</v>
      </c>
      <c r="G331" t="s">
        <v>209</v>
      </c>
      <c r="H331" t="s">
        <v>216</v>
      </c>
      <c r="I331" t="s">
        <v>253</v>
      </c>
      <c r="J331" t="s">
        <v>203</v>
      </c>
      <c r="K331" t="s">
        <v>924</v>
      </c>
      <c r="L331" s="10">
        <v>100.69</v>
      </c>
      <c r="M331" s="10">
        <v>226.14</v>
      </c>
      <c r="N331" s="17">
        <v>0.065</v>
      </c>
      <c r="O331">
        <v>12</v>
      </c>
      <c r="P331" t="str">
        <f t="shared" si="111"/>
        <v>Valid</v>
      </c>
      <c r="Q331" s="10">
        <f t="shared" si="112"/>
        <v>226.14</v>
      </c>
      <c r="R331" t="b">
        <f t="shared" si="113"/>
        <v>0</v>
      </c>
      <c r="S331" s="17">
        <f t="shared" si="114"/>
        <v>0.065</v>
      </c>
      <c r="T331">
        <f t="shared" si="115"/>
        <v>12</v>
      </c>
      <c r="U331" s="26">
        <f t="shared" si="116"/>
        <v>45680</v>
      </c>
      <c r="V331">
        <f t="shared" si="117"/>
        <v>12</v>
      </c>
      <c r="W331" s="10">
        <f t="shared" si="118"/>
        <v>271191.6108</v>
      </c>
      <c r="X331" s="10">
        <f t="shared" si="119"/>
        <v>2713.68</v>
      </c>
      <c r="Y331" s="10">
        <f t="shared" si="120"/>
        <v>268477.9308</v>
      </c>
      <c r="Z331" s="14">
        <f t="shared" si="124"/>
        <v>0.989993495772252</v>
      </c>
      <c r="AA331" t="s">
        <v>1569</v>
      </c>
      <c r="AB331" t="str">
        <f t="shared" si="121"/>
        <v>Q1-2025</v>
      </c>
      <c r="AC331" t="str">
        <f t="shared" si="122"/>
        <v>Americas → USA → Austin</v>
      </c>
      <c r="AD331" t="str">
        <f t="shared" si="123"/>
        <v>Devices</v>
      </c>
      <c r="AE331" s="8" t="str">
        <f t="shared" si="110"/>
        <v>High</v>
      </c>
      <c r="AF331" t="str">
        <f t="shared" si="125"/>
        <v>USA</v>
      </c>
      <c r="AG331" s="7">
        <v>44939</v>
      </c>
      <c r="AH331" t="str">
        <f t="shared" si="126"/>
        <v>Jan-2023</v>
      </c>
      <c r="AI331" s="9">
        <f t="shared" si="127"/>
        <v>45688</v>
      </c>
      <c r="AJ331">
        <f t="shared" si="131"/>
        <v>0</v>
      </c>
      <c r="AK331">
        <f t="shared" si="128"/>
        <v>0</v>
      </c>
      <c r="AL331" s="17">
        <f>MIN(N331,'Scenario Modelling'!$B$2)</f>
        <v>0.065</v>
      </c>
      <c r="AM331" s="10">
        <f>L331*(1+'Scenario Modelling'!$B$3)</f>
        <v>115.7935</v>
      </c>
      <c r="AN331">
        <f>O331*(1+'Scenario Modelling'!$B$4)</f>
        <v>14.4</v>
      </c>
      <c r="AO331" s="28">
        <f t="shared" si="129"/>
        <v>3044.74896</v>
      </c>
      <c r="AP331" s="10">
        <f t="shared" si="130"/>
        <v>1377.32256</v>
      </c>
    </row>
    <row r="332" spans="1:42">
      <c r="A332" t="s">
        <v>925</v>
      </c>
      <c r="B332" s="7">
        <v>45914</v>
      </c>
      <c r="C332" s="7">
        <v>45926</v>
      </c>
      <c r="D332" t="s">
        <v>239</v>
      </c>
      <c r="E332" t="s">
        <v>269</v>
      </c>
      <c r="F332" t="s">
        <v>313</v>
      </c>
      <c r="G332" t="s">
        <v>223</v>
      </c>
      <c r="H332" t="s">
        <v>259</v>
      </c>
      <c r="I332" t="s">
        <v>287</v>
      </c>
      <c r="J332" t="s">
        <v>196</v>
      </c>
      <c r="K332" t="s">
        <v>926</v>
      </c>
      <c r="L332" s="10">
        <v>425.15</v>
      </c>
      <c r="M332" s="10">
        <v>885.92</v>
      </c>
      <c r="N332" s="17">
        <v>0.239</v>
      </c>
      <c r="O332">
        <v>13</v>
      </c>
      <c r="P332" t="str">
        <f t="shared" si="111"/>
        <v>Valid</v>
      </c>
      <c r="Q332" s="10">
        <f t="shared" si="112"/>
        <v>885.92</v>
      </c>
      <c r="R332" t="b">
        <f t="shared" si="113"/>
        <v>0</v>
      </c>
      <c r="S332" s="17">
        <f t="shared" si="114"/>
        <v>0.239</v>
      </c>
      <c r="T332">
        <f t="shared" si="115"/>
        <v>12</v>
      </c>
      <c r="U332" s="26">
        <f t="shared" si="116"/>
        <v>45926</v>
      </c>
      <c r="V332">
        <f t="shared" si="117"/>
        <v>12</v>
      </c>
      <c r="W332" s="10">
        <f t="shared" si="118"/>
        <v>1148943.44656</v>
      </c>
      <c r="X332" s="10">
        <f t="shared" si="119"/>
        <v>11516.96</v>
      </c>
      <c r="Y332" s="10">
        <f t="shared" si="120"/>
        <v>1137426.48656</v>
      </c>
      <c r="Z332" s="14">
        <f t="shared" si="124"/>
        <v>0.989976042742154</v>
      </c>
      <c r="AA332" t="s">
        <v>1570</v>
      </c>
      <c r="AB332" t="str">
        <f t="shared" si="121"/>
        <v>Q3-2025</v>
      </c>
      <c r="AC332" t="str">
        <f t="shared" si="122"/>
        <v>Europe → United Kingdom → London</v>
      </c>
      <c r="AD332" t="str">
        <f t="shared" si="123"/>
        <v>Support</v>
      </c>
      <c r="AE332" s="8" t="str">
        <f t="shared" si="110"/>
        <v>High</v>
      </c>
      <c r="AF332" t="str">
        <f t="shared" si="125"/>
        <v>UNITED KINGDOM</v>
      </c>
      <c r="AG332" s="7">
        <v>44945</v>
      </c>
      <c r="AH332" t="str">
        <f t="shared" si="126"/>
        <v>Jan-2023</v>
      </c>
      <c r="AI332" s="9">
        <f t="shared" si="127"/>
        <v>45930</v>
      </c>
      <c r="AJ332">
        <f t="shared" si="131"/>
        <v>0</v>
      </c>
      <c r="AK332">
        <f t="shared" si="128"/>
        <v>1</v>
      </c>
      <c r="AL332" s="17">
        <f>MIN(N332,'Scenario Modelling'!$B$2)</f>
        <v>0.239</v>
      </c>
      <c r="AM332" s="10">
        <f>L332*(1+'Scenario Modelling'!$B$3)</f>
        <v>488.9225</v>
      </c>
      <c r="AN332">
        <f>O332*(1+'Scenario Modelling'!$B$4)</f>
        <v>15.6</v>
      </c>
      <c r="AO332" s="28">
        <f t="shared" si="129"/>
        <v>10517.287872</v>
      </c>
      <c r="AP332" s="10">
        <f t="shared" si="130"/>
        <v>2890.096872</v>
      </c>
    </row>
    <row r="333" spans="1:42">
      <c r="A333" t="s">
        <v>927</v>
      </c>
      <c r="B333" s="7">
        <v>45168</v>
      </c>
      <c r="C333" s="7">
        <v>45172</v>
      </c>
      <c r="D333" t="s">
        <v>206</v>
      </c>
      <c r="E333" t="s">
        <v>221</v>
      </c>
      <c r="F333" t="s">
        <v>302</v>
      </c>
      <c r="G333" t="s">
        <v>223</v>
      </c>
      <c r="H333" t="s">
        <v>201</v>
      </c>
      <c r="I333" t="s">
        <v>210</v>
      </c>
      <c r="J333" t="s">
        <v>242</v>
      </c>
      <c r="K333" t="s">
        <v>928</v>
      </c>
      <c r="L333" s="10">
        <v>1082.25</v>
      </c>
      <c r="M333" s="10">
        <v>2433.34</v>
      </c>
      <c r="N333" s="17">
        <v>0.27</v>
      </c>
      <c r="O333">
        <v>4</v>
      </c>
      <c r="P333" t="str">
        <f t="shared" si="111"/>
        <v>Valid</v>
      </c>
      <c r="Q333" s="10">
        <f t="shared" si="112"/>
        <v>2433.34</v>
      </c>
      <c r="R333" t="b">
        <f t="shared" si="113"/>
        <v>0</v>
      </c>
      <c r="S333" s="17">
        <f t="shared" si="114"/>
        <v>0.27</v>
      </c>
      <c r="T333">
        <f t="shared" si="115"/>
        <v>4</v>
      </c>
      <c r="U333" s="26">
        <f t="shared" si="116"/>
        <v>45172</v>
      </c>
      <c r="V333">
        <f t="shared" si="117"/>
        <v>4</v>
      </c>
      <c r="W333" s="10">
        <f t="shared" si="118"/>
        <v>970707.9928</v>
      </c>
      <c r="X333" s="10">
        <f t="shared" si="119"/>
        <v>9733.36</v>
      </c>
      <c r="Y333" s="10">
        <f t="shared" si="120"/>
        <v>960974.6328</v>
      </c>
      <c r="Z333" s="14">
        <f t="shared" si="124"/>
        <v>0.989972926902637</v>
      </c>
      <c r="AA333" t="s">
        <v>1585</v>
      </c>
      <c r="AB333" t="str">
        <f t="shared" si="121"/>
        <v>Q3-2023</v>
      </c>
      <c r="AC333" t="str">
        <f t="shared" si="122"/>
        <v>Asia → India → Delhi</v>
      </c>
      <c r="AD333" t="str">
        <f t="shared" si="123"/>
        <v>Support</v>
      </c>
      <c r="AE333" s="8" t="str">
        <f t="shared" si="110"/>
        <v>Low</v>
      </c>
      <c r="AF333" t="str">
        <f t="shared" si="125"/>
        <v>INDIA</v>
      </c>
      <c r="AG333" s="7">
        <v>44955</v>
      </c>
      <c r="AH333" t="str">
        <f t="shared" si="126"/>
        <v>Jan-2023</v>
      </c>
      <c r="AI333" s="9">
        <f t="shared" si="127"/>
        <v>45169</v>
      </c>
      <c r="AJ333">
        <f t="shared" si="131"/>
        <v>1</v>
      </c>
      <c r="AK333">
        <f t="shared" si="128"/>
        <v>1</v>
      </c>
      <c r="AL333" s="17">
        <f>MIN(N333,'Scenario Modelling'!$B$2)</f>
        <v>0.25</v>
      </c>
      <c r="AM333" s="10">
        <f>L333*(1+'Scenario Modelling'!$B$3)</f>
        <v>1244.5875</v>
      </c>
      <c r="AN333">
        <f>O333*(1+'Scenario Modelling'!$B$4)</f>
        <v>4.8</v>
      </c>
      <c r="AO333" s="28">
        <f t="shared" si="129"/>
        <v>8760.024</v>
      </c>
      <c r="AP333" s="10">
        <f t="shared" si="130"/>
        <v>2786.004</v>
      </c>
    </row>
    <row r="334" spans="1:42">
      <c r="A334" t="s">
        <v>929</v>
      </c>
      <c r="B334" s="7">
        <v>45245</v>
      </c>
      <c r="C334" s="7">
        <v>45266</v>
      </c>
      <c r="D334" t="s">
        <v>239</v>
      </c>
      <c r="E334" t="s">
        <v>269</v>
      </c>
      <c r="F334" t="s">
        <v>389</v>
      </c>
      <c r="G334" t="s">
        <v>188</v>
      </c>
      <c r="H334" t="s">
        <v>259</v>
      </c>
      <c r="I334" t="s">
        <v>253</v>
      </c>
      <c r="J334" t="s">
        <v>242</v>
      </c>
      <c r="K334" t="s">
        <v>930</v>
      </c>
      <c r="L334" s="10">
        <v>1184.99</v>
      </c>
      <c r="M334" s="10">
        <v>1154.34</v>
      </c>
      <c r="N334" s="17">
        <v>0.028</v>
      </c>
      <c r="O334">
        <v>5</v>
      </c>
      <c r="P334" t="str">
        <f t="shared" si="111"/>
        <v>Valid</v>
      </c>
      <c r="Q334" s="10">
        <f t="shared" si="112"/>
        <v>1154.34</v>
      </c>
      <c r="R334" t="b">
        <f t="shared" si="113"/>
        <v>0</v>
      </c>
      <c r="S334" s="17">
        <f t="shared" si="114"/>
        <v>0.028</v>
      </c>
      <c r="T334">
        <f t="shared" si="115"/>
        <v>21</v>
      </c>
      <c r="U334" s="26">
        <f t="shared" si="116"/>
        <v>45266</v>
      </c>
      <c r="V334">
        <f t="shared" si="117"/>
        <v>21</v>
      </c>
      <c r="W334" s="10">
        <f t="shared" si="118"/>
        <v>577008.3924</v>
      </c>
      <c r="X334" s="10">
        <f t="shared" si="119"/>
        <v>5771.7</v>
      </c>
      <c r="Y334" s="10">
        <f t="shared" si="120"/>
        <v>571236.6924</v>
      </c>
      <c r="Z334" s="14">
        <f t="shared" si="124"/>
        <v>0.98999719921578</v>
      </c>
      <c r="AA334" t="s">
        <v>1593</v>
      </c>
      <c r="AB334" t="str">
        <f t="shared" si="121"/>
        <v>Q4-2023</v>
      </c>
      <c r="AC334" t="str">
        <f t="shared" si="122"/>
        <v>Europe → United Kingdom → Manchester</v>
      </c>
      <c r="AD334" t="str">
        <f t="shared" si="123"/>
        <v>Support</v>
      </c>
      <c r="AE334" s="8" t="str">
        <f t="shared" si="110"/>
        <v>Low</v>
      </c>
      <c r="AF334" t="str">
        <f t="shared" si="125"/>
        <v>UNITED KINGDOM</v>
      </c>
      <c r="AG334" s="7">
        <v>44945</v>
      </c>
      <c r="AH334" t="str">
        <f t="shared" si="126"/>
        <v>Jan-2023</v>
      </c>
      <c r="AI334" s="9">
        <f t="shared" si="127"/>
        <v>45260</v>
      </c>
      <c r="AJ334">
        <f t="shared" si="131"/>
        <v>0</v>
      </c>
      <c r="AK334">
        <f t="shared" si="128"/>
        <v>0</v>
      </c>
      <c r="AL334" s="17">
        <f>MIN(N334,'Scenario Modelling'!$B$2)</f>
        <v>0.028</v>
      </c>
      <c r="AM334" s="10">
        <f>L334*(1+'Scenario Modelling'!$B$3)</f>
        <v>1362.7385</v>
      </c>
      <c r="AN334">
        <f>O334*(1+'Scenario Modelling'!$B$4)</f>
        <v>6</v>
      </c>
      <c r="AO334" s="28">
        <f t="shared" si="129"/>
        <v>6732.11088</v>
      </c>
      <c r="AP334" s="10">
        <f t="shared" si="130"/>
        <v>-1444.32012</v>
      </c>
    </row>
    <row r="335" spans="1:42">
      <c r="A335" t="s">
        <v>931</v>
      </c>
      <c r="B335" s="7">
        <v>45774</v>
      </c>
      <c r="C335" s="7">
        <v>45804</v>
      </c>
      <c r="D335" t="s">
        <v>206</v>
      </c>
      <c r="E335" t="s">
        <v>221</v>
      </c>
      <c r="F335" t="s">
        <v>1591</v>
      </c>
      <c r="G335" t="s">
        <v>266</v>
      </c>
      <c r="H335" t="s">
        <v>201</v>
      </c>
      <c r="I335" t="s">
        <v>253</v>
      </c>
      <c r="J335" t="s">
        <v>203</v>
      </c>
      <c r="K335" t="s">
        <v>932</v>
      </c>
      <c r="L335" s="10">
        <v>481.32</v>
      </c>
      <c r="M335" s="10">
        <v>1135.99</v>
      </c>
      <c r="N335" s="17">
        <v>0.145</v>
      </c>
      <c r="O335">
        <v>5</v>
      </c>
      <c r="P335" t="str">
        <f t="shared" si="111"/>
        <v>Valid</v>
      </c>
      <c r="Q335" s="10">
        <f t="shared" si="112"/>
        <v>1135.99</v>
      </c>
      <c r="R335" t="b">
        <f t="shared" si="113"/>
        <v>0</v>
      </c>
      <c r="S335" s="17">
        <f t="shared" si="114"/>
        <v>0.145</v>
      </c>
      <c r="T335">
        <f t="shared" si="115"/>
        <v>30</v>
      </c>
      <c r="U335" s="26">
        <f t="shared" si="116"/>
        <v>45804</v>
      </c>
      <c r="V335">
        <f t="shared" si="117"/>
        <v>30</v>
      </c>
      <c r="W335" s="10">
        <f t="shared" si="118"/>
        <v>567171.40725</v>
      </c>
      <c r="X335" s="10">
        <f t="shared" si="119"/>
        <v>5679.95</v>
      </c>
      <c r="Y335" s="10">
        <f t="shared" si="120"/>
        <v>561491.45725</v>
      </c>
      <c r="Z335" s="14">
        <f t="shared" si="124"/>
        <v>0.98998547894447</v>
      </c>
      <c r="AA335" t="s">
        <v>1578</v>
      </c>
      <c r="AB335" t="str">
        <f t="shared" si="121"/>
        <v>Q2-2025</v>
      </c>
      <c r="AC335" t="str">
        <f t="shared" si="122"/>
        <v>Asia → India → Unknown City </v>
      </c>
      <c r="AD335" t="str">
        <f t="shared" si="123"/>
        <v>Devices</v>
      </c>
      <c r="AE335" s="8" t="str">
        <f t="shared" si="110"/>
        <v>High</v>
      </c>
      <c r="AF335" t="str">
        <f t="shared" si="125"/>
        <v>INDIA</v>
      </c>
      <c r="AG335" s="7">
        <v>44955</v>
      </c>
      <c r="AH335" t="str">
        <f t="shared" si="126"/>
        <v>Jan-2023</v>
      </c>
      <c r="AI335" s="9">
        <f t="shared" si="127"/>
        <v>45777</v>
      </c>
      <c r="AJ335">
        <f t="shared" si="131"/>
        <v>0</v>
      </c>
      <c r="AK335">
        <f t="shared" si="128"/>
        <v>0</v>
      </c>
      <c r="AL335" s="17">
        <f>MIN(N335,'Scenario Modelling'!$B$2)</f>
        <v>0.145</v>
      </c>
      <c r="AM335" s="10">
        <f>L335*(1+'Scenario Modelling'!$B$3)</f>
        <v>553.518</v>
      </c>
      <c r="AN335">
        <f>O335*(1+'Scenario Modelling'!$B$4)</f>
        <v>6</v>
      </c>
      <c r="AO335" s="28">
        <f t="shared" si="129"/>
        <v>5827.6287</v>
      </c>
      <c r="AP335" s="10">
        <f t="shared" si="130"/>
        <v>2506.5207</v>
      </c>
    </row>
    <row r="336" spans="1:42">
      <c r="A336" t="s">
        <v>933</v>
      </c>
      <c r="B336" s="7">
        <v>45391</v>
      </c>
      <c r="C336" s="7">
        <v>45400</v>
      </c>
      <c r="D336" t="s">
        <v>239</v>
      </c>
      <c r="E336" t="s">
        <v>251</v>
      </c>
      <c r="F336" t="s">
        <v>299</v>
      </c>
      <c r="G336" t="s">
        <v>209</v>
      </c>
      <c r="H336" t="s">
        <v>189</v>
      </c>
      <c r="I336" t="s">
        <v>224</v>
      </c>
      <c r="J336" t="s">
        <v>191</v>
      </c>
      <c r="K336" t="s">
        <v>934</v>
      </c>
      <c r="L336" s="10">
        <v>1288.85</v>
      </c>
      <c r="M336" s="10">
        <v>2751.84</v>
      </c>
      <c r="N336" s="17">
        <v>0.158</v>
      </c>
      <c r="O336">
        <v>7</v>
      </c>
      <c r="P336" t="str">
        <f t="shared" si="111"/>
        <v>Valid</v>
      </c>
      <c r="Q336" s="10">
        <f t="shared" si="112"/>
        <v>2751.84</v>
      </c>
      <c r="R336" t="b">
        <f t="shared" si="113"/>
        <v>0</v>
      </c>
      <c r="S336" s="17">
        <f t="shared" si="114"/>
        <v>0.158</v>
      </c>
      <c r="T336">
        <f t="shared" si="115"/>
        <v>9</v>
      </c>
      <c r="U336" s="26">
        <f t="shared" si="116"/>
        <v>45400</v>
      </c>
      <c r="V336">
        <f t="shared" si="117"/>
        <v>9</v>
      </c>
      <c r="W336" s="10">
        <f t="shared" si="118"/>
        <v>1923244.46496</v>
      </c>
      <c r="X336" s="10">
        <f t="shared" si="119"/>
        <v>19262.88</v>
      </c>
      <c r="Y336" s="10">
        <f t="shared" si="120"/>
        <v>1903981.58496</v>
      </c>
      <c r="Z336" s="14">
        <f t="shared" si="124"/>
        <v>0.989984174996494</v>
      </c>
      <c r="AA336" t="s">
        <v>1580</v>
      </c>
      <c r="AB336" t="str">
        <f t="shared" si="121"/>
        <v>Q2-2024</v>
      </c>
      <c r="AC336" t="str">
        <f t="shared" si="122"/>
        <v>Europe → France → Lyon</v>
      </c>
      <c r="AD336" t="str">
        <f t="shared" si="123"/>
        <v>Peripherals</v>
      </c>
      <c r="AE336" s="8" t="str">
        <f t="shared" si="110"/>
        <v>Medium</v>
      </c>
      <c r="AF336" t="str">
        <f t="shared" si="125"/>
        <v>FRANCE</v>
      </c>
      <c r="AG336" s="7">
        <v>44936</v>
      </c>
      <c r="AH336" t="str">
        <f t="shared" si="126"/>
        <v>Jan-2023</v>
      </c>
      <c r="AI336" s="9">
        <f t="shared" si="127"/>
        <v>45412</v>
      </c>
      <c r="AJ336">
        <f t="shared" si="131"/>
        <v>0</v>
      </c>
      <c r="AK336">
        <f t="shared" si="128"/>
        <v>0</v>
      </c>
      <c r="AL336" s="17">
        <f>MIN(N336,'Scenario Modelling'!$B$2)</f>
        <v>0.158</v>
      </c>
      <c r="AM336" s="10">
        <f>L336*(1+'Scenario Modelling'!$B$3)</f>
        <v>1482.1775</v>
      </c>
      <c r="AN336">
        <f>O336*(1+'Scenario Modelling'!$B$4)</f>
        <v>8.4</v>
      </c>
      <c r="AO336" s="28">
        <f t="shared" si="129"/>
        <v>19463.213952</v>
      </c>
      <c r="AP336" s="10">
        <f t="shared" si="130"/>
        <v>7012.922952</v>
      </c>
    </row>
    <row r="337" spans="1:42">
      <c r="A337" t="s">
        <v>935</v>
      </c>
      <c r="B337" s="7">
        <v>45484</v>
      </c>
      <c r="C337" s="7">
        <v>45504</v>
      </c>
      <c r="D337" t="s">
        <v>206</v>
      </c>
      <c r="E337" t="s">
        <v>277</v>
      </c>
      <c r="F337" t="s">
        <v>278</v>
      </c>
      <c r="G337" t="s">
        <v>209</v>
      </c>
      <c r="H337" t="s">
        <v>189</v>
      </c>
      <c r="I337" t="s">
        <v>202</v>
      </c>
      <c r="J337" t="s">
        <v>203</v>
      </c>
      <c r="K337" t="s">
        <v>936</v>
      </c>
      <c r="L337" s="10">
        <v>647.26</v>
      </c>
      <c r="M337" s="10">
        <v>1374.72</v>
      </c>
      <c r="N337" s="17">
        <v>0.066</v>
      </c>
      <c r="O337">
        <v>22</v>
      </c>
      <c r="P337" t="str">
        <f t="shared" si="111"/>
        <v>Valid</v>
      </c>
      <c r="Q337" s="10">
        <f t="shared" si="112"/>
        <v>1374.72</v>
      </c>
      <c r="R337" t="b">
        <f t="shared" si="113"/>
        <v>0</v>
      </c>
      <c r="S337" s="17">
        <f t="shared" si="114"/>
        <v>0.066</v>
      </c>
      <c r="T337">
        <f t="shared" si="115"/>
        <v>20</v>
      </c>
      <c r="U337" s="26">
        <f t="shared" si="116"/>
        <v>45504</v>
      </c>
      <c r="V337">
        <f t="shared" si="117"/>
        <v>20</v>
      </c>
      <c r="W337" s="10">
        <f t="shared" si="118"/>
        <v>3022387.90656</v>
      </c>
      <c r="X337" s="10">
        <f t="shared" si="119"/>
        <v>30243.84</v>
      </c>
      <c r="Y337" s="10">
        <f t="shared" si="120"/>
        <v>2992144.06656</v>
      </c>
      <c r="Z337" s="14">
        <f t="shared" si="124"/>
        <v>0.989993395641123</v>
      </c>
      <c r="AA337" t="s">
        <v>1573</v>
      </c>
      <c r="AB337" t="str">
        <f t="shared" si="121"/>
        <v>Q3-2024</v>
      </c>
      <c r="AC337" t="str">
        <f t="shared" si="122"/>
        <v>Asia → China → Shenzhen</v>
      </c>
      <c r="AD337" t="str">
        <f t="shared" si="123"/>
        <v>Devices</v>
      </c>
      <c r="AE337" s="8" t="str">
        <f t="shared" si="110"/>
        <v>Medium</v>
      </c>
      <c r="AF337" t="str">
        <f t="shared" si="125"/>
        <v>CHINA</v>
      </c>
      <c r="AG337" s="7">
        <v>44938</v>
      </c>
      <c r="AH337" t="str">
        <f t="shared" si="126"/>
        <v>Jan-2023</v>
      </c>
      <c r="AI337" s="9">
        <f t="shared" si="127"/>
        <v>45504</v>
      </c>
      <c r="AJ337">
        <f t="shared" si="131"/>
        <v>0</v>
      </c>
      <c r="AK337">
        <f t="shared" si="128"/>
        <v>0</v>
      </c>
      <c r="AL337" s="17">
        <f>MIN(N337,'Scenario Modelling'!$B$2)</f>
        <v>0.066</v>
      </c>
      <c r="AM337" s="10">
        <f>L337*(1+'Scenario Modelling'!$B$3)</f>
        <v>744.349</v>
      </c>
      <c r="AN337">
        <f>O337*(1+'Scenario Modelling'!$B$4)</f>
        <v>26.4</v>
      </c>
      <c r="AO337" s="28">
        <f t="shared" si="129"/>
        <v>33897.295872</v>
      </c>
      <c r="AP337" s="10">
        <f t="shared" si="130"/>
        <v>14246.482272</v>
      </c>
    </row>
    <row r="338" spans="1:42">
      <c r="A338" t="s">
        <v>937</v>
      </c>
      <c r="B338" s="7">
        <v>45340</v>
      </c>
      <c r="C338" s="7">
        <v>45354</v>
      </c>
      <c r="D338" t="s">
        <v>213</v>
      </c>
      <c r="E338" t="s">
        <v>234</v>
      </c>
      <c r="F338" t="s">
        <v>1591</v>
      </c>
      <c r="G338" t="s">
        <v>266</v>
      </c>
      <c r="H338" t="s">
        <v>216</v>
      </c>
      <c r="I338" t="s">
        <v>236</v>
      </c>
      <c r="J338" t="s">
        <v>191</v>
      </c>
      <c r="K338" t="s">
        <v>938</v>
      </c>
      <c r="L338" s="10">
        <v>624.23</v>
      </c>
      <c r="M338" s="10">
        <v>1318.37</v>
      </c>
      <c r="N338" s="17">
        <v>0.21</v>
      </c>
      <c r="O338">
        <v>37</v>
      </c>
      <c r="P338" t="str">
        <f t="shared" si="111"/>
        <v>Valid</v>
      </c>
      <c r="Q338" s="10">
        <f t="shared" si="112"/>
        <v>1318.37</v>
      </c>
      <c r="R338" t="b">
        <f t="shared" si="113"/>
        <v>0</v>
      </c>
      <c r="S338" s="17">
        <f t="shared" si="114"/>
        <v>0.21</v>
      </c>
      <c r="T338">
        <f t="shared" si="115"/>
        <v>14</v>
      </c>
      <c r="U338" s="26">
        <f t="shared" si="116"/>
        <v>45354</v>
      </c>
      <c r="V338">
        <f t="shared" si="117"/>
        <v>14</v>
      </c>
      <c r="W338" s="10">
        <f t="shared" si="118"/>
        <v>4867725.2651</v>
      </c>
      <c r="X338" s="10">
        <f t="shared" si="119"/>
        <v>48779.69</v>
      </c>
      <c r="Y338" s="10">
        <f t="shared" si="120"/>
        <v>4818945.5751</v>
      </c>
      <c r="Z338" s="14">
        <f t="shared" si="124"/>
        <v>0.989978955807195</v>
      </c>
      <c r="AA338" t="s">
        <v>1594</v>
      </c>
      <c r="AB338" t="str">
        <f t="shared" si="121"/>
        <v>Q1-2024</v>
      </c>
      <c r="AC338" t="str">
        <f t="shared" si="122"/>
        <v>Americas → Brazil → Unknown City </v>
      </c>
      <c r="AD338" t="str">
        <f t="shared" si="123"/>
        <v>Peripherals</v>
      </c>
      <c r="AE338" s="8" t="str">
        <f t="shared" si="110"/>
        <v>Medium</v>
      </c>
      <c r="AF338" t="str">
        <f t="shared" si="125"/>
        <v>BRAZIL</v>
      </c>
      <c r="AG338" s="7">
        <v>44955</v>
      </c>
      <c r="AH338" t="str">
        <f t="shared" si="126"/>
        <v>Jan-2023</v>
      </c>
      <c r="AI338" s="9">
        <f t="shared" si="127"/>
        <v>45351</v>
      </c>
      <c r="AJ338">
        <f t="shared" si="131"/>
        <v>0</v>
      </c>
      <c r="AK338">
        <f t="shared" si="128"/>
        <v>1</v>
      </c>
      <c r="AL338" s="17">
        <f>MIN(N338,'Scenario Modelling'!$B$2)</f>
        <v>0.21</v>
      </c>
      <c r="AM338" s="10">
        <f>L338*(1+'Scenario Modelling'!$B$3)</f>
        <v>717.8645</v>
      </c>
      <c r="AN338">
        <f>O338*(1+'Scenario Modelling'!$B$4)</f>
        <v>44.4</v>
      </c>
      <c r="AO338" s="28">
        <f t="shared" si="129"/>
        <v>46243.14612</v>
      </c>
      <c r="AP338" s="10">
        <f t="shared" si="130"/>
        <v>14369.96232</v>
      </c>
    </row>
    <row r="339" spans="1:42">
      <c r="A339" t="s">
        <v>939</v>
      </c>
      <c r="B339" s="7">
        <v>45132</v>
      </c>
      <c r="C339" s="7">
        <v>45148</v>
      </c>
      <c r="D339" t="s">
        <v>177</v>
      </c>
      <c r="E339" t="s">
        <v>186</v>
      </c>
      <c r="F339" t="s">
        <v>187</v>
      </c>
      <c r="G339" t="s">
        <v>180</v>
      </c>
      <c r="H339" t="s">
        <v>216</v>
      </c>
      <c r="I339" t="s">
        <v>195</v>
      </c>
      <c r="J339" t="s">
        <v>242</v>
      </c>
      <c r="K339" t="s">
        <v>940</v>
      </c>
      <c r="L339" s="10">
        <v>506.83</v>
      </c>
      <c r="M339" s="10">
        <v>441.74</v>
      </c>
      <c r="N339" s="17">
        <v>0.24</v>
      </c>
      <c r="O339">
        <v>9</v>
      </c>
      <c r="P339" t="str">
        <f t="shared" si="111"/>
        <v>Valid</v>
      </c>
      <c r="Q339" s="10">
        <f t="shared" si="112"/>
        <v>441.74</v>
      </c>
      <c r="R339" t="b">
        <f t="shared" si="113"/>
        <v>0</v>
      </c>
      <c r="S339" s="17">
        <f t="shared" si="114"/>
        <v>0.24</v>
      </c>
      <c r="T339">
        <f t="shared" si="115"/>
        <v>16</v>
      </c>
      <c r="U339" s="26">
        <f t="shared" si="116"/>
        <v>45148</v>
      </c>
      <c r="V339">
        <f t="shared" si="117"/>
        <v>16</v>
      </c>
      <c r="W339" s="10">
        <f t="shared" si="118"/>
        <v>396611.8416</v>
      </c>
      <c r="X339" s="10">
        <f t="shared" si="119"/>
        <v>3975.66</v>
      </c>
      <c r="Y339" s="10">
        <f t="shared" si="120"/>
        <v>392636.1816</v>
      </c>
      <c r="Z339" s="14">
        <f t="shared" si="124"/>
        <v>0.989975942261427</v>
      </c>
      <c r="AA339" t="s">
        <v>1584</v>
      </c>
      <c r="AB339" t="str">
        <f t="shared" si="121"/>
        <v>Q3-2023</v>
      </c>
      <c r="AC339" t="str">
        <f t="shared" si="122"/>
        <v>Africa → Nigeria → Port Harcourt</v>
      </c>
      <c r="AD339" t="str">
        <f t="shared" si="123"/>
        <v>Support</v>
      </c>
      <c r="AE339" s="8" t="str">
        <f t="shared" si="110"/>
        <v>Low</v>
      </c>
      <c r="AF339" t="str">
        <f t="shared" si="125"/>
        <v>NIGERIA</v>
      </c>
      <c r="AG339" s="7">
        <v>44941</v>
      </c>
      <c r="AH339" t="str">
        <f t="shared" si="126"/>
        <v>Jan-2023</v>
      </c>
      <c r="AI339" s="9">
        <f t="shared" si="127"/>
        <v>45138</v>
      </c>
      <c r="AJ339">
        <f t="shared" si="131"/>
        <v>0</v>
      </c>
      <c r="AK339">
        <f t="shared" si="128"/>
        <v>1</v>
      </c>
      <c r="AL339" s="17">
        <f>MIN(N339,'Scenario Modelling'!$B$2)</f>
        <v>0.24</v>
      </c>
      <c r="AM339" s="10">
        <f>L339*(1+'Scenario Modelling'!$B$3)</f>
        <v>582.8545</v>
      </c>
      <c r="AN339">
        <f>O339*(1+'Scenario Modelling'!$B$4)</f>
        <v>10.8</v>
      </c>
      <c r="AO339" s="28">
        <f t="shared" si="129"/>
        <v>3625.80192</v>
      </c>
      <c r="AP339" s="10">
        <f t="shared" si="130"/>
        <v>-2669.02668</v>
      </c>
    </row>
    <row r="340" spans="1:42">
      <c r="A340" t="s">
        <v>941</v>
      </c>
      <c r="B340" s="7">
        <v>45121</v>
      </c>
      <c r="C340" s="7">
        <v>45128</v>
      </c>
      <c r="D340" t="s">
        <v>177</v>
      </c>
      <c r="E340" t="s">
        <v>309</v>
      </c>
      <c r="F340" t="s">
        <v>333</v>
      </c>
      <c r="G340" t="s">
        <v>266</v>
      </c>
      <c r="H340" t="s">
        <v>201</v>
      </c>
      <c r="I340" t="s">
        <v>1589</v>
      </c>
      <c r="J340" t="s">
        <v>225</v>
      </c>
      <c r="K340" t="s">
        <v>942</v>
      </c>
      <c r="L340" s="10">
        <v>620.74</v>
      </c>
      <c r="M340" s="10">
        <v>1330.07</v>
      </c>
      <c r="N340" s="17">
        <v>0.299</v>
      </c>
      <c r="O340">
        <v>28</v>
      </c>
      <c r="P340" t="str">
        <f t="shared" si="111"/>
        <v>Valid</v>
      </c>
      <c r="Q340" s="10">
        <f t="shared" si="112"/>
        <v>1330.07</v>
      </c>
      <c r="R340" t="b">
        <f t="shared" si="113"/>
        <v>0</v>
      </c>
      <c r="S340" s="17">
        <f t="shared" si="114"/>
        <v>0.299</v>
      </c>
      <c r="T340">
        <f t="shared" si="115"/>
        <v>7</v>
      </c>
      <c r="U340" s="26">
        <f t="shared" si="116"/>
        <v>45128</v>
      </c>
      <c r="V340">
        <f t="shared" si="117"/>
        <v>7</v>
      </c>
      <c r="W340" s="10">
        <f t="shared" si="118"/>
        <v>3713060.65396</v>
      </c>
      <c r="X340" s="10">
        <f t="shared" si="119"/>
        <v>37241.96</v>
      </c>
      <c r="Y340" s="10">
        <f t="shared" si="120"/>
        <v>3675818.69396</v>
      </c>
      <c r="Z340" s="14">
        <f t="shared" si="124"/>
        <v>0.989970010330889</v>
      </c>
      <c r="AA340" t="s">
        <v>1584</v>
      </c>
      <c r="AB340" t="str">
        <f t="shared" si="121"/>
        <v>Q3-2023</v>
      </c>
      <c r="AC340" t="str">
        <f t="shared" si="122"/>
        <v>Africa → South Africa → Durban</v>
      </c>
      <c r="AD340" t="str">
        <f t="shared" si="123"/>
        <v>Peripherals</v>
      </c>
      <c r="AE340" s="8" t="str">
        <f t="shared" si="110"/>
        <v>Low</v>
      </c>
      <c r="AF340" t="str">
        <f t="shared" si="125"/>
        <v>SOUTH AFRICA</v>
      </c>
      <c r="AG340" s="7">
        <v>44933</v>
      </c>
      <c r="AH340" t="str">
        <f t="shared" si="126"/>
        <v>Jan-2023</v>
      </c>
      <c r="AI340" s="9">
        <f t="shared" si="127"/>
        <v>45138</v>
      </c>
      <c r="AJ340">
        <f t="shared" si="131"/>
        <v>1</v>
      </c>
      <c r="AK340">
        <f t="shared" si="128"/>
        <v>1</v>
      </c>
      <c r="AL340" s="17">
        <f>MIN(N340,'Scenario Modelling'!$B$2)</f>
        <v>0.25</v>
      </c>
      <c r="AM340" s="10">
        <f>L340*(1+'Scenario Modelling'!$B$3)</f>
        <v>713.851</v>
      </c>
      <c r="AN340">
        <f>O340*(1+'Scenario Modelling'!$B$4)</f>
        <v>33.6</v>
      </c>
      <c r="AO340" s="28">
        <f t="shared" si="129"/>
        <v>33517.764</v>
      </c>
      <c r="AP340" s="10">
        <f t="shared" si="130"/>
        <v>9532.3704</v>
      </c>
    </row>
    <row r="341" spans="1:42">
      <c r="A341" t="s">
        <v>943</v>
      </c>
      <c r="B341" s="7">
        <v>45131</v>
      </c>
      <c r="C341" s="7">
        <v>45157</v>
      </c>
      <c r="D341" t="s">
        <v>177</v>
      </c>
      <c r="E341" t="s">
        <v>178</v>
      </c>
      <c r="F341" t="s">
        <v>194</v>
      </c>
      <c r="G341" t="s">
        <v>266</v>
      </c>
      <c r="H341" t="s">
        <v>216</v>
      </c>
      <c r="I341" t="s">
        <v>271</v>
      </c>
      <c r="J341" t="s">
        <v>242</v>
      </c>
      <c r="K341" t="s">
        <v>944</v>
      </c>
      <c r="L341" s="10">
        <v>661.45</v>
      </c>
      <c r="M341" s="10">
        <v>1634.86</v>
      </c>
      <c r="N341" s="17">
        <v>0.565</v>
      </c>
      <c r="O341">
        <v>24</v>
      </c>
      <c r="P341" t="str">
        <f t="shared" si="111"/>
        <v>Valid</v>
      </c>
      <c r="Q341" s="10">
        <f t="shared" si="112"/>
        <v>1634.86</v>
      </c>
      <c r="R341" t="str">
        <f t="shared" si="113"/>
        <v>Excess</v>
      </c>
      <c r="S341" s="17">
        <f t="shared" si="114"/>
        <v>0.3</v>
      </c>
      <c r="T341">
        <f t="shared" si="115"/>
        <v>26</v>
      </c>
      <c r="U341" s="26">
        <f t="shared" si="116"/>
        <v>45157</v>
      </c>
      <c r="V341">
        <f t="shared" si="117"/>
        <v>26</v>
      </c>
      <c r="W341" s="10">
        <f t="shared" si="118"/>
        <v>3911893.008</v>
      </c>
      <c r="X341" s="10">
        <f t="shared" si="119"/>
        <v>39236.64</v>
      </c>
      <c r="Y341" s="10">
        <f t="shared" si="120"/>
        <v>3872656.368</v>
      </c>
      <c r="Z341" s="14">
        <f t="shared" si="124"/>
        <v>0.989969909729188</v>
      </c>
      <c r="AA341" t="s">
        <v>1584</v>
      </c>
      <c r="AB341" t="str">
        <f t="shared" si="121"/>
        <v>Q3-2023</v>
      </c>
      <c r="AC341" t="str">
        <f t="shared" si="122"/>
        <v>Africa → Kenya → Nairobi</v>
      </c>
      <c r="AD341" t="str">
        <f t="shared" si="123"/>
        <v>Support</v>
      </c>
      <c r="AE341" s="8" t="str">
        <f t="shared" si="110"/>
        <v>Low</v>
      </c>
      <c r="AF341" t="str">
        <f t="shared" si="125"/>
        <v>KENYA</v>
      </c>
      <c r="AG341" s="7">
        <v>44946</v>
      </c>
      <c r="AH341" t="str">
        <f t="shared" si="126"/>
        <v>Jan-2023</v>
      </c>
      <c r="AI341" s="9">
        <f t="shared" si="127"/>
        <v>45138</v>
      </c>
      <c r="AJ341">
        <f t="shared" si="131"/>
        <v>0</v>
      </c>
      <c r="AK341">
        <f t="shared" si="128"/>
        <v>1</v>
      </c>
      <c r="AL341" s="17">
        <f>MIN(N341,'Scenario Modelling'!$B$2)</f>
        <v>0.25</v>
      </c>
      <c r="AM341" s="10">
        <f>L341*(1+'Scenario Modelling'!$B$3)</f>
        <v>760.6675</v>
      </c>
      <c r="AN341">
        <f>O341*(1+'Scenario Modelling'!$B$4)</f>
        <v>28.8</v>
      </c>
      <c r="AO341" s="28">
        <f t="shared" si="129"/>
        <v>35312.976</v>
      </c>
      <c r="AP341" s="10">
        <f t="shared" si="130"/>
        <v>13405.752</v>
      </c>
    </row>
    <row r="342" spans="1:42">
      <c r="A342" t="s">
        <v>945</v>
      </c>
      <c r="B342" s="7">
        <v>45029</v>
      </c>
      <c r="C342" s="7">
        <v>45027</v>
      </c>
      <c r="D342" t="s">
        <v>213</v>
      </c>
      <c r="E342" t="s">
        <v>283</v>
      </c>
      <c r="F342" t="s">
        <v>328</v>
      </c>
      <c r="G342" t="s">
        <v>188</v>
      </c>
      <c r="H342" t="s">
        <v>201</v>
      </c>
      <c r="I342" t="s">
        <v>202</v>
      </c>
      <c r="J342" t="s">
        <v>196</v>
      </c>
      <c r="K342" t="s">
        <v>946</v>
      </c>
      <c r="L342" s="10">
        <v>32.1</v>
      </c>
      <c r="M342" s="10">
        <v>70.6</v>
      </c>
      <c r="N342" s="17">
        <v>0.282</v>
      </c>
      <c r="O342">
        <v>22</v>
      </c>
      <c r="P342" t="str">
        <f t="shared" si="111"/>
        <v>Valid</v>
      </c>
      <c r="Q342" s="10">
        <f t="shared" si="112"/>
        <v>70.6</v>
      </c>
      <c r="R342" t="b">
        <f t="shared" si="113"/>
        <v>0</v>
      </c>
      <c r="S342" s="17">
        <f t="shared" si="114"/>
        <v>0.282</v>
      </c>
      <c r="T342">
        <f t="shared" si="115"/>
        <v>-2</v>
      </c>
      <c r="U342" s="26">
        <f t="shared" si="116"/>
        <v>45036</v>
      </c>
      <c r="V342">
        <f t="shared" si="117"/>
        <v>7</v>
      </c>
      <c r="W342" s="10">
        <f t="shared" si="118"/>
        <v>154881.9976</v>
      </c>
      <c r="X342" s="10">
        <f t="shared" si="119"/>
        <v>1553.2</v>
      </c>
      <c r="Y342" s="10">
        <f t="shared" si="120"/>
        <v>153328.7976</v>
      </c>
      <c r="Z342" s="14">
        <f t="shared" si="124"/>
        <v>0.989971720251108</v>
      </c>
      <c r="AA342" t="s">
        <v>1571</v>
      </c>
      <c r="AB342" t="str">
        <f t="shared" si="121"/>
        <v>Q2-2023</v>
      </c>
      <c r="AC342" t="str">
        <f t="shared" si="122"/>
        <v>Americas → USA → San Francisco</v>
      </c>
      <c r="AD342" t="str">
        <f t="shared" si="123"/>
        <v>Support</v>
      </c>
      <c r="AE342" s="8" t="str">
        <f t="shared" si="110"/>
        <v>Low</v>
      </c>
      <c r="AF342" t="str">
        <f t="shared" si="125"/>
        <v>USA</v>
      </c>
      <c r="AG342" s="7">
        <v>44939</v>
      </c>
      <c r="AH342" t="str">
        <f t="shared" si="126"/>
        <v>Jan-2023</v>
      </c>
      <c r="AI342" s="9">
        <f t="shared" si="127"/>
        <v>45046</v>
      </c>
      <c r="AJ342">
        <f t="shared" si="131"/>
        <v>1</v>
      </c>
      <c r="AK342">
        <f t="shared" si="128"/>
        <v>1</v>
      </c>
      <c r="AL342" s="17">
        <f>MIN(N342,'Scenario Modelling'!$B$2)</f>
        <v>0.25</v>
      </c>
      <c r="AM342" s="10">
        <f>L342*(1+'Scenario Modelling'!$B$3)</f>
        <v>36.915</v>
      </c>
      <c r="AN342">
        <f>O342*(1+'Scenario Modelling'!$B$4)</f>
        <v>26.4</v>
      </c>
      <c r="AO342" s="28">
        <f t="shared" si="129"/>
        <v>1397.88</v>
      </c>
      <c r="AP342" s="10">
        <f t="shared" si="130"/>
        <v>423.324</v>
      </c>
    </row>
    <row r="343" spans="1:42">
      <c r="A343" t="s">
        <v>947</v>
      </c>
      <c r="B343" s="7">
        <v>45594</v>
      </c>
      <c r="C343" s="7">
        <v>45600</v>
      </c>
      <c r="D343" t="s">
        <v>177</v>
      </c>
      <c r="E343" t="s">
        <v>178</v>
      </c>
      <c r="F343" t="s">
        <v>194</v>
      </c>
      <c r="G343" t="s">
        <v>180</v>
      </c>
      <c r="H343" t="s">
        <v>216</v>
      </c>
      <c r="I343" t="s">
        <v>271</v>
      </c>
      <c r="J343" t="s">
        <v>191</v>
      </c>
      <c r="K343" t="s">
        <v>948</v>
      </c>
      <c r="L343" s="10">
        <v>805.81</v>
      </c>
      <c r="M343" s="10">
        <v>1823.04</v>
      </c>
      <c r="N343" s="17">
        <v>0</v>
      </c>
      <c r="O343">
        <v>11</v>
      </c>
      <c r="P343" t="str">
        <f t="shared" si="111"/>
        <v>Valid</v>
      </c>
      <c r="Q343" s="10">
        <f t="shared" si="112"/>
        <v>1823.04</v>
      </c>
      <c r="R343" t="b">
        <f t="shared" si="113"/>
        <v>0</v>
      </c>
      <c r="S343" s="17">
        <f t="shared" si="114"/>
        <v>0</v>
      </c>
      <c r="T343">
        <f t="shared" si="115"/>
        <v>6</v>
      </c>
      <c r="U343" s="26">
        <f t="shared" si="116"/>
        <v>45600</v>
      </c>
      <c r="V343">
        <f t="shared" si="117"/>
        <v>6</v>
      </c>
      <c r="W343" s="10">
        <f t="shared" si="118"/>
        <v>2005344</v>
      </c>
      <c r="X343" s="10">
        <f t="shared" si="119"/>
        <v>20053.44</v>
      </c>
      <c r="Y343" s="10">
        <f t="shared" si="120"/>
        <v>1985290.56</v>
      </c>
      <c r="Z343" s="14">
        <f t="shared" si="124"/>
        <v>0.99</v>
      </c>
      <c r="AA343" t="s">
        <v>1561</v>
      </c>
      <c r="AB343" t="str">
        <f t="shared" si="121"/>
        <v>Q4-2024</v>
      </c>
      <c r="AC343" t="str">
        <f t="shared" si="122"/>
        <v>Africa → Kenya → Nairobi</v>
      </c>
      <c r="AD343" t="str">
        <f t="shared" si="123"/>
        <v>Peripherals</v>
      </c>
      <c r="AE343" s="8" t="str">
        <f t="shared" si="110"/>
        <v>High</v>
      </c>
      <c r="AF343" t="str">
        <f t="shared" si="125"/>
        <v>KENYA</v>
      </c>
      <c r="AG343" s="7">
        <v>44946</v>
      </c>
      <c r="AH343" t="str">
        <f t="shared" si="126"/>
        <v>Jan-2023</v>
      </c>
      <c r="AI343" s="9">
        <f t="shared" si="127"/>
        <v>45596</v>
      </c>
      <c r="AJ343">
        <f t="shared" si="131"/>
        <v>1</v>
      </c>
      <c r="AK343">
        <f t="shared" si="128"/>
        <v>0</v>
      </c>
      <c r="AL343" s="17">
        <f>MIN(N343,'Scenario Modelling'!$B$2)</f>
        <v>0</v>
      </c>
      <c r="AM343" s="10">
        <f>L343*(1+'Scenario Modelling'!$B$3)</f>
        <v>926.6815</v>
      </c>
      <c r="AN343">
        <f>O343*(1+'Scenario Modelling'!$B$4)</f>
        <v>13.2</v>
      </c>
      <c r="AO343" s="28">
        <f t="shared" si="129"/>
        <v>24064.128</v>
      </c>
      <c r="AP343" s="10">
        <f t="shared" si="130"/>
        <v>11831.9322</v>
      </c>
    </row>
    <row r="344" spans="1:42">
      <c r="A344" t="s">
        <v>949</v>
      </c>
      <c r="B344" s="7">
        <v>45339</v>
      </c>
      <c r="C344" s="7">
        <v>45355</v>
      </c>
      <c r="D344" t="s">
        <v>206</v>
      </c>
      <c r="E344" t="s">
        <v>221</v>
      </c>
      <c r="F344" t="s">
        <v>302</v>
      </c>
      <c r="G344" t="s">
        <v>223</v>
      </c>
      <c r="H344" t="s">
        <v>201</v>
      </c>
      <c r="I344" t="s">
        <v>245</v>
      </c>
      <c r="J344" t="s">
        <v>203</v>
      </c>
      <c r="K344" t="s">
        <v>950</v>
      </c>
      <c r="L344" s="10">
        <v>1231.8</v>
      </c>
      <c r="M344" s="10">
        <v>2015.99</v>
      </c>
      <c r="N344" s="17">
        <v>0.261</v>
      </c>
      <c r="O344">
        <v>6</v>
      </c>
      <c r="P344" t="str">
        <f t="shared" si="111"/>
        <v>Valid</v>
      </c>
      <c r="Q344" s="10">
        <f t="shared" si="112"/>
        <v>2015.99</v>
      </c>
      <c r="R344" t="b">
        <f t="shared" si="113"/>
        <v>0</v>
      </c>
      <c r="S344" s="17">
        <f t="shared" si="114"/>
        <v>0.261</v>
      </c>
      <c r="T344">
        <f t="shared" si="115"/>
        <v>16</v>
      </c>
      <c r="U344" s="26">
        <f t="shared" si="116"/>
        <v>45355</v>
      </c>
      <c r="V344">
        <f t="shared" si="117"/>
        <v>16</v>
      </c>
      <c r="W344" s="10">
        <f t="shared" si="118"/>
        <v>1206436.95966</v>
      </c>
      <c r="X344" s="10">
        <f t="shared" si="119"/>
        <v>12095.94</v>
      </c>
      <c r="Y344" s="10">
        <f t="shared" si="120"/>
        <v>1194341.01966</v>
      </c>
      <c r="Z344" s="14">
        <f t="shared" si="124"/>
        <v>0.989973831700739</v>
      </c>
      <c r="AA344" t="s">
        <v>1594</v>
      </c>
      <c r="AB344" t="str">
        <f t="shared" si="121"/>
        <v>Q1-2024</v>
      </c>
      <c r="AC344" t="str">
        <f t="shared" si="122"/>
        <v>Asia → India → Delhi</v>
      </c>
      <c r="AD344" t="str">
        <f t="shared" si="123"/>
        <v>Devices</v>
      </c>
      <c r="AE344" s="8" t="str">
        <f t="shared" si="110"/>
        <v>Medium</v>
      </c>
      <c r="AF344" t="str">
        <f t="shared" si="125"/>
        <v>INDIA</v>
      </c>
      <c r="AG344" s="7">
        <v>44955</v>
      </c>
      <c r="AH344" t="str">
        <f t="shared" si="126"/>
        <v>Jan-2023</v>
      </c>
      <c r="AI344" s="9">
        <f t="shared" si="127"/>
        <v>45351</v>
      </c>
      <c r="AJ344">
        <f t="shared" si="131"/>
        <v>0</v>
      </c>
      <c r="AK344">
        <f t="shared" si="128"/>
        <v>1</v>
      </c>
      <c r="AL344" s="17">
        <f>MIN(N344,'Scenario Modelling'!$B$2)</f>
        <v>0.25</v>
      </c>
      <c r="AM344" s="10">
        <f>L344*(1+'Scenario Modelling'!$B$3)</f>
        <v>1416.57</v>
      </c>
      <c r="AN344">
        <f>O344*(1+'Scenario Modelling'!$B$4)</f>
        <v>7.2</v>
      </c>
      <c r="AO344" s="28">
        <f t="shared" si="129"/>
        <v>10886.346</v>
      </c>
      <c r="AP344" s="10">
        <f t="shared" si="130"/>
        <v>687.042000000001</v>
      </c>
    </row>
    <row r="345" spans="1:42">
      <c r="A345" t="s">
        <v>951</v>
      </c>
      <c r="B345" s="7">
        <v>45486</v>
      </c>
      <c r="C345" s="7">
        <v>45485</v>
      </c>
      <c r="D345" t="s">
        <v>206</v>
      </c>
      <c r="E345" t="s">
        <v>207</v>
      </c>
      <c r="F345" t="s">
        <v>392</v>
      </c>
      <c r="G345" t="s">
        <v>223</v>
      </c>
      <c r="H345" t="s">
        <v>201</v>
      </c>
      <c r="I345" t="s">
        <v>245</v>
      </c>
      <c r="J345" t="s">
        <v>196</v>
      </c>
      <c r="K345" t="s">
        <v>952</v>
      </c>
      <c r="L345" s="10">
        <v>105.13</v>
      </c>
      <c r="M345" s="10">
        <v>244.13</v>
      </c>
      <c r="N345" s="17">
        <v>0.071</v>
      </c>
      <c r="O345">
        <v>14</v>
      </c>
      <c r="P345" t="str">
        <f t="shared" si="111"/>
        <v>Valid</v>
      </c>
      <c r="Q345" s="10">
        <f t="shared" si="112"/>
        <v>244.13</v>
      </c>
      <c r="R345" t="b">
        <f t="shared" si="113"/>
        <v>0</v>
      </c>
      <c r="S345" s="17">
        <f t="shared" si="114"/>
        <v>0.071</v>
      </c>
      <c r="T345">
        <f t="shared" si="115"/>
        <v>-1</v>
      </c>
      <c r="U345" s="26">
        <f t="shared" si="116"/>
        <v>45493</v>
      </c>
      <c r="V345">
        <f t="shared" si="117"/>
        <v>7</v>
      </c>
      <c r="W345" s="10">
        <f t="shared" si="118"/>
        <v>341539.33478</v>
      </c>
      <c r="X345" s="10">
        <f t="shared" si="119"/>
        <v>3417.82</v>
      </c>
      <c r="Y345" s="10">
        <f t="shared" si="120"/>
        <v>338121.51478</v>
      </c>
      <c r="Z345" s="14">
        <f t="shared" si="124"/>
        <v>0.989992894955418</v>
      </c>
      <c r="AA345" t="s">
        <v>1573</v>
      </c>
      <c r="AB345" t="str">
        <f t="shared" si="121"/>
        <v>Q3-2024</v>
      </c>
      <c r="AC345" t="str">
        <f t="shared" si="122"/>
        <v>Asia → Japan → Nagoya</v>
      </c>
      <c r="AD345" t="str">
        <f t="shared" si="123"/>
        <v>Support</v>
      </c>
      <c r="AE345" s="8" t="str">
        <f t="shared" si="110"/>
        <v>Medium</v>
      </c>
      <c r="AF345" t="str">
        <f t="shared" si="125"/>
        <v>JAPAN</v>
      </c>
      <c r="AG345" s="7">
        <v>44988</v>
      </c>
      <c r="AH345" t="str">
        <f t="shared" si="126"/>
        <v>Mar-2023</v>
      </c>
      <c r="AI345" s="9">
        <f t="shared" si="127"/>
        <v>45504</v>
      </c>
      <c r="AJ345">
        <f t="shared" si="131"/>
        <v>1</v>
      </c>
      <c r="AK345">
        <f t="shared" si="128"/>
        <v>0</v>
      </c>
      <c r="AL345" s="17">
        <f>MIN(N345,'Scenario Modelling'!$B$2)</f>
        <v>0.071</v>
      </c>
      <c r="AM345" s="10">
        <f>L345*(1+'Scenario Modelling'!$B$3)</f>
        <v>120.8995</v>
      </c>
      <c r="AN345">
        <f>O345*(1+'Scenario Modelling'!$B$4)</f>
        <v>16.8</v>
      </c>
      <c r="AO345" s="28">
        <f t="shared" si="129"/>
        <v>3810.185736</v>
      </c>
      <c r="AP345" s="10">
        <f t="shared" si="130"/>
        <v>1779.074136</v>
      </c>
    </row>
    <row r="346" spans="1:42">
      <c r="A346" t="s">
        <v>953</v>
      </c>
      <c r="B346" s="7">
        <v>45261</v>
      </c>
      <c r="C346" s="7">
        <v>45278</v>
      </c>
      <c r="D346" t="s">
        <v>206</v>
      </c>
      <c r="E346" t="s">
        <v>207</v>
      </c>
      <c r="F346" t="s">
        <v>392</v>
      </c>
      <c r="G346" t="s">
        <v>223</v>
      </c>
      <c r="H346" t="s">
        <v>259</v>
      </c>
      <c r="I346" t="s">
        <v>287</v>
      </c>
      <c r="J346" t="s">
        <v>218</v>
      </c>
      <c r="K346" t="s">
        <v>954</v>
      </c>
      <c r="L346" s="10">
        <v>1495.79</v>
      </c>
      <c r="M346" s="10">
        <v>2783.12</v>
      </c>
      <c r="N346" s="17">
        <v>0.02</v>
      </c>
      <c r="O346">
        <v>5</v>
      </c>
      <c r="P346" t="str">
        <f t="shared" si="111"/>
        <v>Valid</v>
      </c>
      <c r="Q346" s="10">
        <f t="shared" si="112"/>
        <v>2783.12</v>
      </c>
      <c r="R346" t="b">
        <f t="shared" si="113"/>
        <v>0</v>
      </c>
      <c r="S346" s="17">
        <f t="shared" si="114"/>
        <v>0.02</v>
      </c>
      <c r="T346">
        <f t="shared" si="115"/>
        <v>17</v>
      </c>
      <c r="U346" s="26">
        <f t="shared" si="116"/>
        <v>45278</v>
      </c>
      <c r="V346">
        <f t="shared" si="117"/>
        <v>17</v>
      </c>
      <c r="W346" s="10">
        <f t="shared" si="118"/>
        <v>1391281.688</v>
      </c>
      <c r="X346" s="10">
        <f t="shared" si="119"/>
        <v>13915.6</v>
      </c>
      <c r="Y346" s="10">
        <f t="shared" si="120"/>
        <v>1377366.088</v>
      </c>
      <c r="Z346" s="14">
        <f t="shared" si="124"/>
        <v>0.98999799959992</v>
      </c>
      <c r="AA346" t="s">
        <v>1587</v>
      </c>
      <c r="AB346" t="str">
        <f t="shared" si="121"/>
        <v>Q4-2023</v>
      </c>
      <c r="AC346" t="str">
        <f t="shared" si="122"/>
        <v>Asia → Japan → Nagoya</v>
      </c>
      <c r="AD346" t="str">
        <f t="shared" si="123"/>
        <v>Devices</v>
      </c>
      <c r="AE346" s="8" t="str">
        <f t="shared" si="110"/>
        <v>Low</v>
      </c>
      <c r="AF346" t="str">
        <f t="shared" si="125"/>
        <v>JAPAN</v>
      </c>
      <c r="AG346" s="7">
        <v>44988</v>
      </c>
      <c r="AH346" t="str">
        <f t="shared" si="126"/>
        <v>Mar-2023</v>
      </c>
      <c r="AI346" s="9">
        <f t="shared" si="127"/>
        <v>45291</v>
      </c>
      <c r="AJ346">
        <f t="shared" si="131"/>
        <v>0</v>
      </c>
      <c r="AK346">
        <f t="shared" si="128"/>
        <v>0</v>
      </c>
      <c r="AL346" s="17">
        <f>MIN(N346,'Scenario Modelling'!$B$2)</f>
        <v>0.02</v>
      </c>
      <c r="AM346" s="10">
        <f>L346*(1+'Scenario Modelling'!$B$3)</f>
        <v>1720.1585</v>
      </c>
      <c r="AN346">
        <f>O346*(1+'Scenario Modelling'!$B$4)</f>
        <v>6</v>
      </c>
      <c r="AO346" s="28">
        <f t="shared" si="129"/>
        <v>16364.7456</v>
      </c>
      <c r="AP346" s="10">
        <f t="shared" si="130"/>
        <v>6043.7946</v>
      </c>
    </row>
    <row r="347" spans="1:42">
      <c r="A347" t="s">
        <v>955</v>
      </c>
      <c r="B347" s="7">
        <v>45498</v>
      </c>
      <c r="C347" s="7">
        <v>45506</v>
      </c>
      <c r="D347" t="s">
        <v>213</v>
      </c>
      <c r="E347" t="s">
        <v>214</v>
      </c>
      <c r="F347" t="s">
        <v>305</v>
      </c>
      <c r="G347" t="s">
        <v>209</v>
      </c>
      <c r="H347" t="s">
        <v>259</v>
      </c>
      <c r="I347" t="s">
        <v>190</v>
      </c>
      <c r="J347" t="s">
        <v>242</v>
      </c>
      <c r="K347" t="s">
        <v>956</v>
      </c>
      <c r="L347" s="10">
        <v>986.81</v>
      </c>
      <c r="M347" s="10">
        <v>2050.31</v>
      </c>
      <c r="N347" s="17">
        <v>0.103</v>
      </c>
      <c r="O347">
        <v>43</v>
      </c>
      <c r="P347" t="str">
        <f t="shared" si="111"/>
        <v>Valid</v>
      </c>
      <c r="Q347" s="10">
        <f t="shared" si="112"/>
        <v>2050.31</v>
      </c>
      <c r="R347" t="b">
        <f t="shared" si="113"/>
        <v>0</v>
      </c>
      <c r="S347" s="17">
        <f t="shared" si="114"/>
        <v>0.103</v>
      </c>
      <c r="T347">
        <f t="shared" si="115"/>
        <v>8</v>
      </c>
      <c r="U347" s="26">
        <f t="shared" si="116"/>
        <v>45506</v>
      </c>
      <c r="V347">
        <f t="shared" si="117"/>
        <v>8</v>
      </c>
      <c r="W347" s="10">
        <f t="shared" si="118"/>
        <v>8807252.17701</v>
      </c>
      <c r="X347" s="10">
        <f t="shared" si="119"/>
        <v>88163.33</v>
      </c>
      <c r="Y347" s="10">
        <f t="shared" si="120"/>
        <v>8719088.84701</v>
      </c>
      <c r="Z347" s="14">
        <f t="shared" si="124"/>
        <v>0.989989689380061</v>
      </c>
      <c r="AA347" t="s">
        <v>1573</v>
      </c>
      <c r="AB347" t="str">
        <f t="shared" si="121"/>
        <v>Q3-2024</v>
      </c>
      <c r="AC347" t="str">
        <f t="shared" si="122"/>
        <v>Americas → Canada → Montreal</v>
      </c>
      <c r="AD347" t="str">
        <f t="shared" si="123"/>
        <v>Support</v>
      </c>
      <c r="AE347" s="8" t="str">
        <f t="shared" si="110"/>
        <v>Medium</v>
      </c>
      <c r="AF347" t="str">
        <f t="shared" si="125"/>
        <v>CANADA</v>
      </c>
      <c r="AG347" s="7">
        <v>44928</v>
      </c>
      <c r="AH347" t="str">
        <f t="shared" si="126"/>
        <v>Jan-2023</v>
      </c>
      <c r="AI347" s="9">
        <f t="shared" si="127"/>
        <v>45504</v>
      </c>
      <c r="AJ347">
        <f t="shared" si="131"/>
        <v>0</v>
      </c>
      <c r="AK347">
        <f t="shared" si="128"/>
        <v>0</v>
      </c>
      <c r="AL347" s="17">
        <f>MIN(N347,'Scenario Modelling'!$B$2)</f>
        <v>0.103</v>
      </c>
      <c r="AM347" s="10">
        <f>L347*(1+'Scenario Modelling'!$B$3)</f>
        <v>1134.8315</v>
      </c>
      <c r="AN347">
        <f>O347*(1+'Scenario Modelling'!$B$4)</f>
        <v>51.6</v>
      </c>
      <c r="AO347" s="28">
        <f t="shared" si="129"/>
        <v>94899.008412</v>
      </c>
      <c r="AP347" s="10">
        <f t="shared" si="130"/>
        <v>36341.703012</v>
      </c>
    </row>
    <row r="348" spans="1:42">
      <c r="A348" t="s">
        <v>957</v>
      </c>
      <c r="B348" s="7">
        <v>45050</v>
      </c>
      <c r="C348" s="7">
        <v>45062</v>
      </c>
      <c r="D348" t="s">
        <v>177</v>
      </c>
      <c r="E348" t="s">
        <v>186</v>
      </c>
      <c r="F348" t="s">
        <v>228</v>
      </c>
      <c r="G348" t="s">
        <v>223</v>
      </c>
      <c r="H348" t="s">
        <v>201</v>
      </c>
      <c r="I348" t="s">
        <v>190</v>
      </c>
      <c r="J348" t="s">
        <v>203</v>
      </c>
      <c r="K348" t="s">
        <v>958</v>
      </c>
      <c r="L348" s="10">
        <v>77.74</v>
      </c>
      <c r="M348" s="10">
        <v>147.12</v>
      </c>
      <c r="N348" s="17">
        <v>0</v>
      </c>
      <c r="O348">
        <v>15</v>
      </c>
      <c r="P348" t="str">
        <f t="shared" si="111"/>
        <v>Valid</v>
      </c>
      <c r="Q348" s="10">
        <f t="shared" si="112"/>
        <v>147.12</v>
      </c>
      <c r="R348" t="b">
        <f t="shared" si="113"/>
        <v>0</v>
      </c>
      <c r="S348" s="17">
        <f t="shared" si="114"/>
        <v>0</v>
      </c>
      <c r="T348">
        <f t="shared" si="115"/>
        <v>12</v>
      </c>
      <c r="U348" s="26">
        <f t="shared" si="116"/>
        <v>45062</v>
      </c>
      <c r="V348">
        <f t="shared" si="117"/>
        <v>12</v>
      </c>
      <c r="W348" s="10">
        <f t="shared" si="118"/>
        <v>220680</v>
      </c>
      <c r="X348" s="10">
        <f t="shared" si="119"/>
        <v>2206.8</v>
      </c>
      <c r="Y348" s="10">
        <f t="shared" si="120"/>
        <v>218473.2</v>
      </c>
      <c r="Z348" s="14">
        <f t="shared" si="124"/>
        <v>0.99</v>
      </c>
      <c r="AA348" t="s">
        <v>1574</v>
      </c>
      <c r="AB348" t="str">
        <f t="shared" si="121"/>
        <v>Q2-2023</v>
      </c>
      <c r="AC348" t="str">
        <f t="shared" si="122"/>
        <v>Africa → Nigeria → Abuja</v>
      </c>
      <c r="AD348" t="str">
        <f t="shared" si="123"/>
        <v>Devices</v>
      </c>
      <c r="AE348" s="8" t="str">
        <f t="shared" si="110"/>
        <v>Low</v>
      </c>
      <c r="AF348" t="str">
        <f t="shared" si="125"/>
        <v>NIGERIA</v>
      </c>
      <c r="AG348" s="7">
        <v>44941</v>
      </c>
      <c r="AH348" t="str">
        <f t="shared" si="126"/>
        <v>Jan-2023</v>
      </c>
      <c r="AI348" s="9">
        <f t="shared" si="127"/>
        <v>45077</v>
      </c>
      <c r="AJ348">
        <f t="shared" si="131"/>
        <v>0</v>
      </c>
      <c r="AK348">
        <f t="shared" si="128"/>
        <v>0</v>
      </c>
      <c r="AL348" s="17">
        <f>MIN(N348,'Scenario Modelling'!$B$2)</f>
        <v>0</v>
      </c>
      <c r="AM348" s="10">
        <f>L348*(1+'Scenario Modelling'!$B$3)</f>
        <v>89.401</v>
      </c>
      <c r="AN348">
        <f>O348*(1+'Scenario Modelling'!$B$4)</f>
        <v>18</v>
      </c>
      <c r="AO348" s="28">
        <f t="shared" si="129"/>
        <v>2648.16</v>
      </c>
      <c r="AP348" s="10">
        <f t="shared" si="130"/>
        <v>1038.942</v>
      </c>
    </row>
    <row r="349" spans="1:42">
      <c r="A349" t="s">
        <v>959</v>
      </c>
      <c r="B349" s="7">
        <v>45281</v>
      </c>
      <c r="C349" s="7">
        <v>45297</v>
      </c>
      <c r="D349" t="s">
        <v>177</v>
      </c>
      <c r="E349" t="s">
        <v>186</v>
      </c>
      <c r="F349" t="s">
        <v>1591</v>
      </c>
      <c r="G349" t="s">
        <v>180</v>
      </c>
      <c r="H349" t="s">
        <v>201</v>
      </c>
      <c r="I349" t="s">
        <v>256</v>
      </c>
      <c r="J349" t="s">
        <v>183</v>
      </c>
      <c r="K349" t="s">
        <v>960</v>
      </c>
      <c r="L349" s="10">
        <v>932.61</v>
      </c>
      <c r="M349" s="10">
        <v>1982.98</v>
      </c>
      <c r="N349" s="17">
        <v>0.144</v>
      </c>
      <c r="O349">
        <v>16</v>
      </c>
      <c r="P349" t="str">
        <f t="shared" si="111"/>
        <v>Valid</v>
      </c>
      <c r="Q349" s="10">
        <f t="shared" si="112"/>
        <v>1982.98</v>
      </c>
      <c r="R349" t="b">
        <f t="shared" si="113"/>
        <v>0</v>
      </c>
      <c r="S349" s="17">
        <f t="shared" si="114"/>
        <v>0.144</v>
      </c>
      <c r="T349">
        <f t="shared" si="115"/>
        <v>16</v>
      </c>
      <c r="U349" s="26">
        <f t="shared" si="116"/>
        <v>45297</v>
      </c>
      <c r="V349">
        <f t="shared" si="117"/>
        <v>16</v>
      </c>
      <c r="W349" s="10">
        <f t="shared" si="118"/>
        <v>3168199.21408</v>
      </c>
      <c r="X349" s="10">
        <f t="shared" si="119"/>
        <v>31727.68</v>
      </c>
      <c r="Y349" s="10">
        <f t="shared" si="120"/>
        <v>3136471.53408</v>
      </c>
      <c r="Z349" s="14">
        <f t="shared" si="124"/>
        <v>0.989985579234097</v>
      </c>
      <c r="AA349" t="s">
        <v>1587</v>
      </c>
      <c r="AB349" t="str">
        <f t="shared" si="121"/>
        <v>Q4-2023</v>
      </c>
      <c r="AC349" t="str">
        <f t="shared" si="122"/>
        <v>Africa → Nigeria → Unknown City </v>
      </c>
      <c r="AD349" t="str">
        <f t="shared" si="123"/>
        <v>Support</v>
      </c>
      <c r="AE349" s="8" t="str">
        <f t="shared" si="110"/>
        <v>Medium</v>
      </c>
      <c r="AF349" t="str">
        <f t="shared" si="125"/>
        <v>NIGERIA</v>
      </c>
      <c r="AG349" s="7">
        <v>44941</v>
      </c>
      <c r="AH349" t="str">
        <f t="shared" si="126"/>
        <v>Jan-2023</v>
      </c>
      <c r="AI349" s="9">
        <f t="shared" si="127"/>
        <v>45291</v>
      </c>
      <c r="AJ349">
        <f t="shared" si="131"/>
        <v>0</v>
      </c>
      <c r="AK349">
        <f t="shared" si="128"/>
        <v>0</v>
      </c>
      <c r="AL349" s="17">
        <f>MIN(N349,'Scenario Modelling'!$B$2)</f>
        <v>0.144</v>
      </c>
      <c r="AM349" s="10">
        <f>L349*(1+'Scenario Modelling'!$B$3)</f>
        <v>1072.5015</v>
      </c>
      <c r="AN349">
        <f>O349*(1+'Scenario Modelling'!$B$4)</f>
        <v>19.2</v>
      </c>
      <c r="AO349" s="28">
        <f t="shared" si="129"/>
        <v>32590.672896</v>
      </c>
      <c r="AP349" s="10">
        <f t="shared" si="130"/>
        <v>11998.644096</v>
      </c>
    </row>
    <row r="350" spans="1:42">
      <c r="A350" t="s">
        <v>961</v>
      </c>
      <c r="B350" s="7">
        <v>45825</v>
      </c>
      <c r="C350" s="7">
        <v>45843</v>
      </c>
      <c r="D350" t="s">
        <v>206</v>
      </c>
      <c r="E350" t="s">
        <v>221</v>
      </c>
      <c r="F350" t="s">
        <v>302</v>
      </c>
      <c r="G350" t="s">
        <v>209</v>
      </c>
      <c r="H350" t="s">
        <v>201</v>
      </c>
      <c r="I350" t="s">
        <v>210</v>
      </c>
      <c r="J350" t="s">
        <v>218</v>
      </c>
      <c r="K350" t="s">
        <v>962</v>
      </c>
      <c r="L350" s="10">
        <v>982.93</v>
      </c>
      <c r="M350" s="10">
        <v>2299.3</v>
      </c>
      <c r="N350" s="17">
        <v>0.113</v>
      </c>
      <c r="O350">
        <v>6</v>
      </c>
      <c r="P350" t="str">
        <f t="shared" si="111"/>
        <v>Valid</v>
      </c>
      <c r="Q350" s="10">
        <f t="shared" si="112"/>
        <v>2299.3</v>
      </c>
      <c r="R350" t="b">
        <f t="shared" si="113"/>
        <v>0</v>
      </c>
      <c r="S350" s="17">
        <f t="shared" si="114"/>
        <v>0.113</v>
      </c>
      <c r="T350">
        <f t="shared" si="115"/>
        <v>18</v>
      </c>
      <c r="U350" s="26">
        <f t="shared" si="116"/>
        <v>45843</v>
      </c>
      <c r="V350">
        <f t="shared" si="117"/>
        <v>18</v>
      </c>
      <c r="W350" s="10">
        <f t="shared" si="118"/>
        <v>1378021.0746</v>
      </c>
      <c r="X350" s="10">
        <f t="shared" si="119"/>
        <v>13795.8</v>
      </c>
      <c r="Y350" s="10">
        <f t="shared" si="120"/>
        <v>1364225.2746</v>
      </c>
      <c r="Z350" s="14">
        <f t="shared" si="124"/>
        <v>0.989988687216555</v>
      </c>
      <c r="AA350" t="s">
        <v>1575</v>
      </c>
      <c r="AB350" t="str">
        <f t="shared" si="121"/>
        <v>Q2-2025</v>
      </c>
      <c r="AC350" t="str">
        <f t="shared" si="122"/>
        <v>Asia → India → Delhi</v>
      </c>
      <c r="AD350" t="str">
        <f t="shared" si="123"/>
        <v>Devices</v>
      </c>
      <c r="AE350" s="8" t="str">
        <f t="shared" si="110"/>
        <v>High</v>
      </c>
      <c r="AF350" t="str">
        <f t="shared" si="125"/>
        <v>INDIA</v>
      </c>
      <c r="AG350" s="7">
        <v>44955</v>
      </c>
      <c r="AH350" t="str">
        <f t="shared" si="126"/>
        <v>Jan-2023</v>
      </c>
      <c r="AI350" s="9">
        <f t="shared" si="127"/>
        <v>45838</v>
      </c>
      <c r="AJ350">
        <f t="shared" si="131"/>
        <v>0</v>
      </c>
      <c r="AK350">
        <f t="shared" si="128"/>
        <v>0</v>
      </c>
      <c r="AL350" s="17">
        <f>MIN(N350,'Scenario Modelling'!$B$2)</f>
        <v>0.113</v>
      </c>
      <c r="AM350" s="10">
        <f>L350*(1+'Scenario Modelling'!$B$3)</f>
        <v>1130.3695</v>
      </c>
      <c r="AN350">
        <f>O350*(1+'Scenario Modelling'!$B$4)</f>
        <v>7.2</v>
      </c>
      <c r="AO350" s="28">
        <f t="shared" si="129"/>
        <v>14684.24952</v>
      </c>
      <c r="AP350" s="10">
        <f t="shared" si="130"/>
        <v>6545.58912</v>
      </c>
    </row>
    <row r="351" spans="1:42">
      <c r="A351" t="s">
        <v>963</v>
      </c>
      <c r="B351" s="7">
        <v>44980</v>
      </c>
      <c r="C351" s="7">
        <v>44993</v>
      </c>
      <c r="D351" t="s">
        <v>239</v>
      </c>
      <c r="E351" t="s">
        <v>269</v>
      </c>
      <c r="F351" t="s">
        <v>389</v>
      </c>
      <c r="G351" t="s">
        <v>223</v>
      </c>
      <c r="H351" t="s">
        <v>259</v>
      </c>
      <c r="I351" t="s">
        <v>182</v>
      </c>
      <c r="J351" t="s">
        <v>191</v>
      </c>
      <c r="K351" t="s">
        <v>964</v>
      </c>
      <c r="L351" s="10">
        <v>307.37</v>
      </c>
      <c r="M351" s="10">
        <v>462.61</v>
      </c>
      <c r="N351" s="17">
        <v>0.188</v>
      </c>
      <c r="O351">
        <v>11</v>
      </c>
      <c r="P351" t="str">
        <f t="shared" si="111"/>
        <v>Valid</v>
      </c>
      <c r="Q351" s="10">
        <f t="shared" si="112"/>
        <v>462.61</v>
      </c>
      <c r="R351" t="b">
        <f t="shared" si="113"/>
        <v>0</v>
      </c>
      <c r="S351" s="17">
        <f t="shared" si="114"/>
        <v>0.188</v>
      </c>
      <c r="T351">
        <f t="shared" si="115"/>
        <v>13</v>
      </c>
      <c r="U351" s="26">
        <f t="shared" si="116"/>
        <v>44993</v>
      </c>
      <c r="V351">
        <f t="shared" si="117"/>
        <v>13</v>
      </c>
      <c r="W351" s="10">
        <f t="shared" si="118"/>
        <v>507914.32252</v>
      </c>
      <c r="X351" s="10">
        <f t="shared" si="119"/>
        <v>5088.71</v>
      </c>
      <c r="Y351" s="10">
        <f t="shared" si="120"/>
        <v>502825.61252</v>
      </c>
      <c r="Z351" s="14">
        <f t="shared" si="124"/>
        <v>0.989981164589428</v>
      </c>
      <c r="AA351" t="s">
        <v>1562</v>
      </c>
      <c r="AB351" t="str">
        <f t="shared" si="121"/>
        <v>Q1-2023</v>
      </c>
      <c r="AC351" t="str">
        <f t="shared" si="122"/>
        <v>Europe → United Kingdom → Manchester</v>
      </c>
      <c r="AD351" t="str">
        <f t="shared" si="123"/>
        <v>Peripherals</v>
      </c>
      <c r="AE351" s="8" t="str">
        <f t="shared" si="110"/>
        <v>Low</v>
      </c>
      <c r="AF351" t="str">
        <f t="shared" si="125"/>
        <v>UNITED KINGDOM</v>
      </c>
      <c r="AG351" s="7">
        <v>44945</v>
      </c>
      <c r="AH351" t="str">
        <f t="shared" si="126"/>
        <v>Jan-2023</v>
      </c>
      <c r="AI351" s="9">
        <f t="shared" si="127"/>
        <v>44985</v>
      </c>
      <c r="AJ351">
        <f t="shared" si="131"/>
        <v>0</v>
      </c>
      <c r="AK351">
        <f t="shared" si="128"/>
        <v>0</v>
      </c>
      <c r="AL351" s="17">
        <f>MIN(N351,'Scenario Modelling'!$B$2)</f>
        <v>0.188</v>
      </c>
      <c r="AM351" s="10">
        <f>L351*(1+'Scenario Modelling'!$B$3)</f>
        <v>353.4755</v>
      </c>
      <c r="AN351">
        <f>O351*(1+'Scenario Modelling'!$B$4)</f>
        <v>13.2</v>
      </c>
      <c r="AO351" s="28">
        <f t="shared" si="129"/>
        <v>4958.439024</v>
      </c>
      <c r="AP351" s="10">
        <f t="shared" si="130"/>
        <v>292.562424000001</v>
      </c>
    </row>
    <row r="352" spans="1:42">
      <c r="A352" t="s">
        <v>965</v>
      </c>
      <c r="B352" s="7">
        <v>45262</v>
      </c>
      <c r="C352" s="7">
        <v>45276</v>
      </c>
      <c r="D352" t="s">
        <v>239</v>
      </c>
      <c r="E352" t="s">
        <v>240</v>
      </c>
      <c r="F352" t="s">
        <v>496</v>
      </c>
      <c r="G352" t="s">
        <v>188</v>
      </c>
      <c r="H352" t="s">
        <v>259</v>
      </c>
      <c r="I352" t="s">
        <v>287</v>
      </c>
      <c r="J352" t="s">
        <v>225</v>
      </c>
      <c r="K352" t="s">
        <v>966</v>
      </c>
      <c r="L352" s="10">
        <v>879.08</v>
      </c>
      <c r="M352" s="10">
        <v>1093.39</v>
      </c>
      <c r="N352" s="17">
        <v>0.113</v>
      </c>
      <c r="O352">
        <v>17</v>
      </c>
      <c r="P352" t="str">
        <f t="shared" si="111"/>
        <v>Valid</v>
      </c>
      <c r="Q352" s="10">
        <f t="shared" si="112"/>
        <v>1093.39</v>
      </c>
      <c r="R352" t="b">
        <f t="shared" si="113"/>
        <v>0</v>
      </c>
      <c r="S352" s="17">
        <f t="shared" si="114"/>
        <v>0.113</v>
      </c>
      <c r="T352">
        <f t="shared" si="115"/>
        <v>14</v>
      </c>
      <c r="U352" s="26">
        <f t="shared" si="116"/>
        <v>45276</v>
      </c>
      <c r="V352">
        <f t="shared" si="117"/>
        <v>14</v>
      </c>
      <c r="W352" s="10">
        <f t="shared" si="118"/>
        <v>1856662.59781</v>
      </c>
      <c r="X352" s="10">
        <f t="shared" si="119"/>
        <v>18587.63</v>
      </c>
      <c r="Y352" s="10">
        <f t="shared" si="120"/>
        <v>1838074.96781</v>
      </c>
      <c r="Z352" s="14">
        <f t="shared" si="124"/>
        <v>0.989988687216555</v>
      </c>
      <c r="AA352" t="s">
        <v>1587</v>
      </c>
      <c r="AB352" t="str">
        <f t="shared" si="121"/>
        <v>Q4-2023</v>
      </c>
      <c r="AC352" t="str">
        <f t="shared" si="122"/>
        <v>Europe → Germany → Frankfurt</v>
      </c>
      <c r="AD352" t="str">
        <f t="shared" si="123"/>
        <v>Peripherals</v>
      </c>
      <c r="AE352" s="8" t="str">
        <f t="shared" si="110"/>
        <v>Low</v>
      </c>
      <c r="AF352" t="str">
        <f t="shared" si="125"/>
        <v>GERMANY</v>
      </c>
      <c r="AG352" s="7">
        <v>44948</v>
      </c>
      <c r="AH352" t="str">
        <f t="shared" si="126"/>
        <v>Jan-2023</v>
      </c>
      <c r="AI352" s="9">
        <f t="shared" si="127"/>
        <v>45291</v>
      </c>
      <c r="AJ352">
        <f t="shared" si="131"/>
        <v>0</v>
      </c>
      <c r="AK352">
        <f t="shared" si="128"/>
        <v>0</v>
      </c>
      <c r="AL352" s="17">
        <f>MIN(N352,'Scenario Modelling'!$B$2)</f>
        <v>0.113</v>
      </c>
      <c r="AM352" s="10">
        <f>L352*(1+'Scenario Modelling'!$B$3)</f>
        <v>1010.942</v>
      </c>
      <c r="AN352">
        <f>O352*(1+'Scenario Modelling'!$B$4)</f>
        <v>20.4</v>
      </c>
      <c r="AO352" s="28">
        <f t="shared" si="129"/>
        <v>19784.673372</v>
      </c>
      <c r="AP352" s="10">
        <f t="shared" si="130"/>
        <v>-838.543427999999</v>
      </c>
    </row>
    <row r="353" spans="1:42">
      <c r="A353" t="s">
        <v>967</v>
      </c>
      <c r="B353" s="7">
        <v>45121</v>
      </c>
      <c r="C353" s="7">
        <v>45121</v>
      </c>
      <c r="D353" t="s">
        <v>177</v>
      </c>
      <c r="E353" t="s">
        <v>186</v>
      </c>
      <c r="F353" t="s">
        <v>199</v>
      </c>
      <c r="G353" t="s">
        <v>188</v>
      </c>
      <c r="H353" t="s">
        <v>181</v>
      </c>
      <c r="I353" t="s">
        <v>195</v>
      </c>
      <c r="J353" t="s">
        <v>242</v>
      </c>
      <c r="K353" t="s">
        <v>968</v>
      </c>
      <c r="L353" s="10">
        <v>956.38</v>
      </c>
      <c r="M353" s="10">
        <v>1454.22</v>
      </c>
      <c r="N353" s="17">
        <v>0.039</v>
      </c>
      <c r="O353">
        <v>19</v>
      </c>
      <c r="P353" t="str">
        <f t="shared" si="111"/>
        <v>Valid</v>
      </c>
      <c r="Q353" s="10">
        <f t="shared" si="112"/>
        <v>1454.22</v>
      </c>
      <c r="R353" t="b">
        <f t="shared" si="113"/>
        <v>0</v>
      </c>
      <c r="S353" s="17">
        <f t="shared" si="114"/>
        <v>0.039</v>
      </c>
      <c r="T353">
        <f t="shared" si="115"/>
        <v>0</v>
      </c>
      <c r="U353" s="26">
        <f t="shared" si="116"/>
        <v>45121</v>
      </c>
      <c r="V353">
        <f t="shared" si="117"/>
        <v>0</v>
      </c>
      <c r="W353" s="10">
        <f t="shared" si="118"/>
        <v>2761940.42298</v>
      </c>
      <c r="X353" s="10">
        <f t="shared" si="119"/>
        <v>27630.18</v>
      </c>
      <c r="Y353" s="10">
        <f t="shared" si="120"/>
        <v>2734310.24298</v>
      </c>
      <c r="Z353" s="14">
        <f t="shared" si="124"/>
        <v>0.989996098478407</v>
      </c>
      <c r="AA353" t="s">
        <v>1584</v>
      </c>
      <c r="AB353" t="str">
        <f t="shared" si="121"/>
        <v>Q3-2023</v>
      </c>
      <c r="AC353" t="str">
        <f t="shared" si="122"/>
        <v>Africa → Nigeria → Lagos</v>
      </c>
      <c r="AD353" t="str">
        <f t="shared" si="123"/>
        <v>Support</v>
      </c>
      <c r="AE353" s="8" t="str">
        <f t="shared" si="110"/>
        <v>Low</v>
      </c>
      <c r="AF353" t="str">
        <f t="shared" si="125"/>
        <v>NIGERIA</v>
      </c>
      <c r="AG353" s="7">
        <v>44941</v>
      </c>
      <c r="AH353" t="str">
        <f t="shared" si="126"/>
        <v>Jan-2023</v>
      </c>
      <c r="AI353" s="9">
        <f t="shared" si="127"/>
        <v>45138</v>
      </c>
      <c r="AJ353">
        <f t="shared" si="131"/>
        <v>1</v>
      </c>
      <c r="AK353">
        <f t="shared" si="128"/>
        <v>0</v>
      </c>
      <c r="AL353" s="17">
        <f>MIN(N353,'Scenario Modelling'!$B$2)</f>
        <v>0.039</v>
      </c>
      <c r="AM353" s="10">
        <f>L353*(1+'Scenario Modelling'!$B$3)</f>
        <v>1099.837</v>
      </c>
      <c r="AN353">
        <f>O353*(1+'Scenario Modelling'!$B$4)</f>
        <v>22.8</v>
      </c>
      <c r="AO353" s="28">
        <f t="shared" si="129"/>
        <v>31863.123576</v>
      </c>
      <c r="AP353" s="10">
        <f t="shared" si="130"/>
        <v>6786.839976</v>
      </c>
    </row>
    <row r="354" spans="1:42">
      <c r="A354" t="s">
        <v>969</v>
      </c>
      <c r="B354" s="7">
        <v>45512</v>
      </c>
      <c r="C354" s="7">
        <v>45524</v>
      </c>
      <c r="D354" t="s">
        <v>206</v>
      </c>
      <c r="E354" t="s">
        <v>207</v>
      </c>
      <c r="F354" t="s">
        <v>208</v>
      </c>
      <c r="G354" t="s">
        <v>223</v>
      </c>
      <c r="H354" t="s">
        <v>181</v>
      </c>
      <c r="I354" t="s">
        <v>253</v>
      </c>
      <c r="J354" t="s">
        <v>196</v>
      </c>
      <c r="K354" t="s">
        <v>970</v>
      </c>
      <c r="L354" s="10">
        <v>1233.36</v>
      </c>
      <c r="M354" s="10">
        <v>2120.4</v>
      </c>
      <c r="N354" s="17">
        <v>0.179</v>
      </c>
      <c r="O354">
        <v>20</v>
      </c>
      <c r="P354" t="str">
        <f t="shared" si="111"/>
        <v>Valid</v>
      </c>
      <c r="Q354" s="10">
        <f t="shared" si="112"/>
        <v>2120.4</v>
      </c>
      <c r="R354" t="b">
        <f t="shared" si="113"/>
        <v>0</v>
      </c>
      <c r="S354" s="17">
        <f t="shared" si="114"/>
        <v>0.179</v>
      </c>
      <c r="T354">
        <f t="shared" si="115"/>
        <v>12</v>
      </c>
      <c r="U354" s="26">
        <f t="shared" si="116"/>
        <v>45524</v>
      </c>
      <c r="V354">
        <f t="shared" si="117"/>
        <v>12</v>
      </c>
      <c r="W354" s="10">
        <f t="shared" si="118"/>
        <v>4233208.968</v>
      </c>
      <c r="X354" s="10">
        <f t="shared" si="119"/>
        <v>42408</v>
      </c>
      <c r="Y354" s="10">
        <f t="shared" si="120"/>
        <v>4190800.968</v>
      </c>
      <c r="Z354" s="14">
        <f t="shared" si="124"/>
        <v>0.989982067901544</v>
      </c>
      <c r="AA354" t="s">
        <v>1581</v>
      </c>
      <c r="AB354" t="str">
        <f t="shared" si="121"/>
        <v>Q3-2024</v>
      </c>
      <c r="AC354" t="str">
        <f t="shared" si="122"/>
        <v>Asia → Japan → Osaka</v>
      </c>
      <c r="AD354" t="str">
        <f t="shared" si="123"/>
        <v>Support</v>
      </c>
      <c r="AE354" s="8" t="str">
        <f t="shared" si="110"/>
        <v>Medium</v>
      </c>
      <c r="AF354" t="str">
        <f t="shared" si="125"/>
        <v>JAPAN</v>
      </c>
      <c r="AG354" s="7">
        <v>44988</v>
      </c>
      <c r="AH354" t="str">
        <f t="shared" si="126"/>
        <v>Mar-2023</v>
      </c>
      <c r="AI354" s="9">
        <f t="shared" si="127"/>
        <v>45535</v>
      </c>
      <c r="AJ354">
        <f t="shared" si="131"/>
        <v>0</v>
      </c>
      <c r="AK354">
        <f t="shared" si="128"/>
        <v>0</v>
      </c>
      <c r="AL354" s="17">
        <f>MIN(N354,'Scenario Modelling'!$B$2)</f>
        <v>0.179</v>
      </c>
      <c r="AM354" s="10">
        <f>L354*(1+'Scenario Modelling'!$B$3)</f>
        <v>1418.364</v>
      </c>
      <c r="AN354">
        <f>O354*(1+'Scenario Modelling'!$B$4)</f>
        <v>24</v>
      </c>
      <c r="AO354" s="28">
        <f t="shared" si="129"/>
        <v>41780.3616</v>
      </c>
      <c r="AP354" s="10">
        <f t="shared" si="130"/>
        <v>7739.62560000001</v>
      </c>
    </row>
    <row r="355" spans="1:42">
      <c r="A355" t="s">
        <v>971</v>
      </c>
      <c r="B355" s="7">
        <v>45603</v>
      </c>
      <c r="C355" s="7">
        <v>45622</v>
      </c>
      <c r="D355" t="s">
        <v>213</v>
      </c>
      <c r="E355" t="s">
        <v>234</v>
      </c>
      <c r="F355" t="s">
        <v>386</v>
      </c>
      <c r="G355" t="s">
        <v>200</v>
      </c>
      <c r="H355" t="s">
        <v>216</v>
      </c>
      <c r="I355" t="s">
        <v>190</v>
      </c>
      <c r="J355" t="s">
        <v>191</v>
      </c>
      <c r="K355" t="s">
        <v>972</v>
      </c>
      <c r="L355" s="10">
        <v>55.35</v>
      </c>
      <c r="M355" s="10">
        <v>128.68</v>
      </c>
      <c r="N355" s="17">
        <v>0.128</v>
      </c>
      <c r="O355">
        <v>10</v>
      </c>
      <c r="P355" t="str">
        <f t="shared" si="111"/>
        <v>Valid</v>
      </c>
      <c r="Q355" s="10">
        <f t="shared" si="112"/>
        <v>128.68</v>
      </c>
      <c r="R355" t="b">
        <f t="shared" si="113"/>
        <v>0</v>
      </c>
      <c r="S355" s="17">
        <f t="shared" si="114"/>
        <v>0.128</v>
      </c>
      <c r="T355">
        <f t="shared" si="115"/>
        <v>19</v>
      </c>
      <c r="U355" s="26">
        <f t="shared" si="116"/>
        <v>45622</v>
      </c>
      <c r="V355">
        <f t="shared" si="117"/>
        <v>19</v>
      </c>
      <c r="W355" s="10">
        <f t="shared" si="118"/>
        <v>128515.2896</v>
      </c>
      <c r="X355" s="10">
        <f t="shared" si="119"/>
        <v>1286.8</v>
      </c>
      <c r="Y355" s="10">
        <f t="shared" si="120"/>
        <v>127228.4896</v>
      </c>
      <c r="Z355" s="14">
        <f t="shared" si="124"/>
        <v>0.989987183595002</v>
      </c>
      <c r="AA355" t="s">
        <v>1577</v>
      </c>
      <c r="AB355" t="str">
        <f t="shared" si="121"/>
        <v>Q4-2024</v>
      </c>
      <c r="AC355" t="str">
        <f t="shared" si="122"/>
        <v>Americas → Brazil → Rio de Janeiro</v>
      </c>
      <c r="AD355" t="str">
        <f t="shared" si="123"/>
        <v>Peripherals</v>
      </c>
      <c r="AE355" s="8" t="str">
        <f t="shared" si="110"/>
        <v>High</v>
      </c>
      <c r="AF355" t="str">
        <f t="shared" si="125"/>
        <v>BRAZIL</v>
      </c>
      <c r="AG355" s="7">
        <v>44955</v>
      </c>
      <c r="AH355" t="str">
        <f t="shared" si="126"/>
        <v>Jan-2023</v>
      </c>
      <c r="AI355" s="9">
        <f t="shared" si="127"/>
        <v>45626</v>
      </c>
      <c r="AJ355">
        <f t="shared" si="131"/>
        <v>0</v>
      </c>
      <c r="AK355">
        <f t="shared" si="128"/>
        <v>0</v>
      </c>
      <c r="AL355" s="17">
        <f>MIN(N355,'Scenario Modelling'!$B$2)</f>
        <v>0.128</v>
      </c>
      <c r="AM355" s="10">
        <f>L355*(1+'Scenario Modelling'!$B$3)</f>
        <v>63.6525</v>
      </c>
      <c r="AN355">
        <f>O355*(1+'Scenario Modelling'!$B$4)</f>
        <v>12</v>
      </c>
      <c r="AO355" s="28">
        <f t="shared" si="129"/>
        <v>1346.50752</v>
      </c>
      <c r="AP355" s="10">
        <f t="shared" si="130"/>
        <v>582.67752</v>
      </c>
    </row>
    <row r="356" spans="1:42">
      <c r="A356" t="s">
        <v>973</v>
      </c>
      <c r="B356" s="7">
        <v>45292</v>
      </c>
      <c r="C356" s="7">
        <v>45318</v>
      </c>
      <c r="D356" t="s">
        <v>239</v>
      </c>
      <c r="E356" t="s">
        <v>269</v>
      </c>
      <c r="F356" t="s">
        <v>389</v>
      </c>
      <c r="G356" t="s">
        <v>188</v>
      </c>
      <c r="H356" t="s">
        <v>216</v>
      </c>
      <c r="I356" t="s">
        <v>306</v>
      </c>
      <c r="J356" t="s">
        <v>242</v>
      </c>
      <c r="K356" t="s">
        <v>974</v>
      </c>
      <c r="L356" s="10">
        <v>657.45</v>
      </c>
      <c r="M356" s="10">
        <v>1325.96</v>
      </c>
      <c r="N356" s="17">
        <v>0.167</v>
      </c>
      <c r="O356">
        <v>21</v>
      </c>
      <c r="P356" t="str">
        <f t="shared" si="111"/>
        <v>Valid</v>
      </c>
      <c r="Q356" s="10">
        <f t="shared" si="112"/>
        <v>1325.96</v>
      </c>
      <c r="R356" t="b">
        <f t="shared" si="113"/>
        <v>0</v>
      </c>
      <c r="S356" s="17">
        <f t="shared" si="114"/>
        <v>0.167</v>
      </c>
      <c r="T356">
        <f t="shared" si="115"/>
        <v>26</v>
      </c>
      <c r="U356" s="26">
        <f t="shared" si="116"/>
        <v>45318</v>
      </c>
      <c r="V356">
        <f t="shared" si="117"/>
        <v>26</v>
      </c>
      <c r="W356" s="10">
        <f t="shared" si="118"/>
        <v>2779865.85828</v>
      </c>
      <c r="X356" s="10">
        <f t="shared" si="119"/>
        <v>27845.16</v>
      </c>
      <c r="Y356" s="10">
        <f t="shared" si="120"/>
        <v>2752020.69828</v>
      </c>
      <c r="Z356" s="14">
        <f t="shared" si="124"/>
        <v>0.989983272064347</v>
      </c>
      <c r="AA356" t="s">
        <v>1568</v>
      </c>
      <c r="AB356" t="str">
        <f t="shared" si="121"/>
        <v>Q1-2024</v>
      </c>
      <c r="AC356" t="str">
        <f t="shared" si="122"/>
        <v>Europe → United Kingdom → Manchester</v>
      </c>
      <c r="AD356" t="str">
        <f t="shared" si="123"/>
        <v>Support</v>
      </c>
      <c r="AE356" s="8" t="str">
        <f t="shared" si="110"/>
        <v>Medium</v>
      </c>
      <c r="AF356" t="str">
        <f t="shared" si="125"/>
        <v>UNITED KINGDOM</v>
      </c>
      <c r="AG356" s="7">
        <v>44945</v>
      </c>
      <c r="AH356" t="str">
        <f t="shared" si="126"/>
        <v>Jan-2023</v>
      </c>
      <c r="AI356" s="9">
        <f t="shared" si="127"/>
        <v>45322</v>
      </c>
      <c r="AJ356">
        <f t="shared" si="131"/>
        <v>0</v>
      </c>
      <c r="AK356">
        <f t="shared" si="128"/>
        <v>0</v>
      </c>
      <c r="AL356" s="17">
        <f>MIN(N356,'Scenario Modelling'!$B$2)</f>
        <v>0.167</v>
      </c>
      <c r="AM356" s="10">
        <f>L356*(1+'Scenario Modelling'!$B$3)</f>
        <v>756.0675</v>
      </c>
      <c r="AN356">
        <f>O356*(1+'Scenario Modelling'!$B$4)</f>
        <v>25.2</v>
      </c>
      <c r="AO356" s="28">
        <f t="shared" si="129"/>
        <v>27834.021936</v>
      </c>
      <c r="AP356" s="10">
        <f t="shared" si="130"/>
        <v>8781.120936</v>
      </c>
    </row>
    <row r="357" spans="1:42">
      <c r="A357" t="s">
        <v>975</v>
      </c>
      <c r="B357" s="7">
        <v>45883</v>
      </c>
      <c r="C357" s="7">
        <v>45911</v>
      </c>
      <c r="D357" t="s">
        <v>213</v>
      </c>
      <c r="E357" t="s">
        <v>234</v>
      </c>
      <c r="F357" t="s">
        <v>235</v>
      </c>
      <c r="G357" t="s">
        <v>200</v>
      </c>
      <c r="H357" t="s">
        <v>259</v>
      </c>
      <c r="I357" t="s">
        <v>245</v>
      </c>
      <c r="J357" t="s">
        <v>191</v>
      </c>
      <c r="K357" t="s">
        <v>976</v>
      </c>
      <c r="L357" s="10">
        <v>1203.02</v>
      </c>
      <c r="M357" s="10">
        <v>2439.33</v>
      </c>
      <c r="N357" s="17">
        <v>0</v>
      </c>
      <c r="O357">
        <v>18</v>
      </c>
      <c r="P357" t="str">
        <f t="shared" si="111"/>
        <v>Valid</v>
      </c>
      <c r="Q357" s="10">
        <f t="shared" si="112"/>
        <v>2439.33</v>
      </c>
      <c r="R357" t="b">
        <f t="shared" si="113"/>
        <v>0</v>
      </c>
      <c r="S357" s="17">
        <f t="shared" si="114"/>
        <v>0</v>
      </c>
      <c r="T357">
        <f t="shared" si="115"/>
        <v>28</v>
      </c>
      <c r="U357" s="26">
        <f t="shared" si="116"/>
        <v>45911</v>
      </c>
      <c r="V357">
        <f t="shared" si="117"/>
        <v>28</v>
      </c>
      <c r="W357" s="10">
        <f t="shared" si="118"/>
        <v>4390794</v>
      </c>
      <c r="X357" s="10">
        <f t="shared" si="119"/>
        <v>43907.94</v>
      </c>
      <c r="Y357" s="10">
        <f t="shared" si="120"/>
        <v>4346886.06</v>
      </c>
      <c r="Z357" s="14">
        <f t="shared" si="124"/>
        <v>0.99</v>
      </c>
      <c r="AA357" t="s">
        <v>1590</v>
      </c>
      <c r="AB357" t="str">
        <f t="shared" si="121"/>
        <v>Q3-2025</v>
      </c>
      <c r="AC357" t="str">
        <f t="shared" si="122"/>
        <v>Americas → Brazil → São Paulo</v>
      </c>
      <c r="AD357" t="str">
        <f t="shared" si="123"/>
        <v>Peripherals</v>
      </c>
      <c r="AE357" s="8" t="str">
        <f t="shared" si="110"/>
        <v>High</v>
      </c>
      <c r="AF357" t="str">
        <f t="shared" si="125"/>
        <v>BRAZIL</v>
      </c>
      <c r="AG357" s="7">
        <v>44955</v>
      </c>
      <c r="AH357" t="str">
        <f t="shared" si="126"/>
        <v>Jan-2023</v>
      </c>
      <c r="AI357" s="9">
        <f t="shared" si="127"/>
        <v>45900</v>
      </c>
      <c r="AJ357">
        <f t="shared" si="131"/>
        <v>0</v>
      </c>
      <c r="AK357">
        <f t="shared" si="128"/>
        <v>0</v>
      </c>
      <c r="AL357" s="17">
        <f>MIN(N357,'Scenario Modelling'!$B$2)</f>
        <v>0</v>
      </c>
      <c r="AM357" s="10">
        <f>L357*(1+'Scenario Modelling'!$B$3)</f>
        <v>1383.473</v>
      </c>
      <c r="AN357">
        <f>O357*(1+'Scenario Modelling'!$B$4)</f>
        <v>21.6</v>
      </c>
      <c r="AO357" s="28">
        <f t="shared" si="129"/>
        <v>52689.528</v>
      </c>
      <c r="AP357" s="10">
        <f t="shared" si="130"/>
        <v>22806.5112</v>
      </c>
    </row>
    <row r="358" spans="1:42">
      <c r="A358" t="s">
        <v>977</v>
      </c>
      <c r="B358" s="7">
        <v>45385</v>
      </c>
      <c r="C358" s="7">
        <v>45403</v>
      </c>
      <c r="D358" t="s">
        <v>213</v>
      </c>
      <c r="E358" t="s">
        <v>234</v>
      </c>
      <c r="F358" t="s">
        <v>248</v>
      </c>
      <c r="G358" t="s">
        <v>223</v>
      </c>
      <c r="H358" t="s">
        <v>216</v>
      </c>
      <c r="I358" t="s">
        <v>217</v>
      </c>
      <c r="J358" t="s">
        <v>196</v>
      </c>
      <c r="K358" t="s">
        <v>978</v>
      </c>
      <c r="L358" s="10">
        <v>1176.69</v>
      </c>
      <c r="M358" s="10">
        <v>2201.54</v>
      </c>
      <c r="N358" s="17">
        <v>0.17</v>
      </c>
      <c r="O358">
        <v>27</v>
      </c>
      <c r="P358" t="str">
        <f t="shared" si="111"/>
        <v>Valid</v>
      </c>
      <c r="Q358" s="10">
        <f t="shared" si="112"/>
        <v>2201.54</v>
      </c>
      <c r="R358" t="b">
        <f t="shared" si="113"/>
        <v>0</v>
      </c>
      <c r="S358" s="17">
        <f t="shared" si="114"/>
        <v>0.17</v>
      </c>
      <c r="T358">
        <f t="shared" si="115"/>
        <v>18</v>
      </c>
      <c r="U358" s="26">
        <f t="shared" si="116"/>
        <v>45403</v>
      </c>
      <c r="V358">
        <f t="shared" si="117"/>
        <v>18</v>
      </c>
      <c r="W358" s="10">
        <f t="shared" si="118"/>
        <v>5934052.9314</v>
      </c>
      <c r="X358" s="10">
        <f t="shared" si="119"/>
        <v>59441.58</v>
      </c>
      <c r="Y358" s="10">
        <f t="shared" si="120"/>
        <v>5874611.3514</v>
      </c>
      <c r="Z358" s="14">
        <f t="shared" si="124"/>
        <v>0.989982971050786</v>
      </c>
      <c r="AA358" t="s">
        <v>1580</v>
      </c>
      <c r="AB358" t="str">
        <f t="shared" si="121"/>
        <v>Q2-2024</v>
      </c>
      <c r="AC358" t="str">
        <f t="shared" si="122"/>
        <v>Americas → Brazil → Brasília</v>
      </c>
      <c r="AD358" t="str">
        <f t="shared" si="123"/>
        <v>Support</v>
      </c>
      <c r="AE358" s="8" t="str">
        <f t="shared" si="110"/>
        <v>Medium</v>
      </c>
      <c r="AF358" t="str">
        <f t="shared" si="125"/>
        <v>BRAZIL</v>
      </c>
      <c r="AG358" s="7">
        <v>44955</v>
      </c>
      <c r="AH358" t="str">
        <f t="shared" si="126"/>
        <v>Jan-2023</v>
      </c>
      <c r="AI358" s="9">
        <f t="shared" si="127"/>
        <v>45412</v>
      </c>
      <c r="AJ358">
        <f t="shared" si="131"/>
        <v>0</v>
      </c>
      <c r="AK358">
        <f t="shared" si="128"/>
        <v>0</v>
      </c>
      <c r="AL358" s="17">
        <f>MIN(N358,'Scenario Modelling'!$B$2)</f>
        <v>0.17</v>
      </c>
      <c r="AM358" s="10">
        <f>L358*(1+'Scenario Modelling'!$B$3)</f>
        <v>1353.1935</v>
      </c>
      <c r="AN358">
        <f>O358*(1+'Scenario Modelling'!$B$4)</f>
        <v>32.4</v>
      </c>
      <c r="AO358" s="28">
        <f t="shared" si="129"/>
        <v>59203.81368</v>
      </c>
      <c r="AP358" s="10">
        <f t="shared" si="130"/>
        <v>15360.34428</v>
      </c>
    </row>
    <row r="359" spans="1:42">
      <c r="A359" t="s">
        <v>979</v>
      </c>
      <c r="B359" s="7">
        <v>45621</v>
      </c>
      <c r="C359" s="7">
        <v>45633</v>
      </c>
      <c r="D359" t="s">
        <v>206</v>
      </c>
      <c r="E359" t="s">
        <v>277</v>
      </c>
      <c r="F359" t="s">
        <v>323</v>
      </c>
      <c r="G359" t="s">
        <v>180</v>
      </c>
      <c r="H359" t="s">
        <v>216</v>
      </c>
      <c r="I359" t="s">
        <v>236</v>
      </c>
      <c r="J359" t="s">
        <v>242</v>
      </c>
      <c r="K359" t="s">
        <v>980</v>
      </c>
      <c r="L359" s="10">
        <v>769.9</v>
      </c>
      <c r="M359" s="10">
        <v>814.36</v>
      </c>
      <c r="N359" s="17">
        <v>0</v>
      </c>
      <c r="O359">
        <v>5</v>
      </c>
      <c r="P359" t="str">
        <f t="shared" si="111"/>
        <v>Valid</v>
      </c>
      <c r="Q359" s="10">
        <f t="shared" si="112"/>
        <v>814.36</v>
      </c>
      <c r="R359" t="b">
        <f t="shared" si="113"/>
        <v>0</v>
      </c>
      <c r="S359" s="17">
        <f t="shared" si="114"/>
        <v>0</v>
      </c>
      <c r="T359">
        <f t="shared" si="115"/>
        <v>12</v>
      </c>
      <c r="U359" s="26">
        <f t="shared" si="116"/>
        <v>45633</v>
      </c>
      <c r="V359">
        <f t="shared" si="117"/>
        <v>12</v>
      </c>
      <c r="W359" s="10">
        <f t="shared" si="118"/>
        <v>407180</v>
      </c>
      <c r="X359" s="10">
        <f t="shared" si="119"/>
        <v>4071.8</v>
      </c>
      <c r="Y359" s="10">
        <f t="shared" si="120"/>
        <v>403108.2</v>
      </c>
      <c r="Z359" s="14">
        <f t="shared" si="124"/>
        <v>0.99</v>
      </c>
      <c r="AA359" t="s">
        <v>1577</v>
      </c>
      <c r="AB359" t="str">
        <f t="shared" si="121"/>
        <v>Q4-2024</v>
      </c>
      <c r="AC359" t="str">
        <f t="shared" si="122"/>
        <v>Asia → China → Shanghai</v>
      </c>
      <c r="AD359" t="str">
        <f t="shared" si="123"/>
        <v>Support</v>
      </c>
      <c r="AE359" s="8" t="str">
        <f t="shared" si="110"/>
        <v>High</v>
      </c>
      <c r="AF359" t="str">
        <f t="shared" si="125"/>
        <v>CHINA</v>
      </c>
      <c r="AG359" s="7">
        <v>44938</v>
      </c>
      <c r="AH359" t="str">
        <f t="shared" si="126"/>
        <v>Jan-2023</v>
      </c>
      <c r="AI359" s="9">
        <f t="shared" si="127"/>
        <v>45626</v>
      </c>
      <c r="AJ359">
        <f t="shared" si="131"/>
        <v>0</v>
      </c>
      <c r="AK359">
        <f t="shared" si="128"/>
        <v>0</v>
      </c>
      <c r="AL359" s="17">
        <f>MIN(N359,'Scenario Modelling'!$B$2)</f>
        <v>0</v>
      </c>
      <c r="AM359" s="10">
        <f>L359*(1+'Scenario Modelling'!$B$3)</f>
        <v>885.385</v>
      </c>
      <c r="AN359">
        <f>O359*(1+'Scenario Modelling'!$B$4)</f>
        <v>6</v>
      </c>
      <c r="AO359" s="28">
        <f t="shared" si="129"/>
        <v>4886.16</v>
      </c>
      <c r="AP359" s="10">
        <f t="shared" si="130"/>
        <v>-426.149999999999</v>
      </c>
    </row>
    <row r="360" spans="1:42">
      <c r="A360" t="s">
        <v>981</v>
      </c>
      <c r="B360" s="7">
        <v>45309</v>
      </c>
      <c r="C360" s="7">
        <v>45325</v>
      </c>
      <c r="D360" t="s">
        <v>177</v>
      </c>
      <c r="E360" t="s">
        <v>309</v>
      </c>
      <c r="F360" t="s">
        <v>419</v>
      </c>
      <c r="G360" t="s">
        <v>200</v>
      </c>
      <c r="H360" t="s">
        <v>216</v>
      </c>
      <c r="I360" t="s">
        <v>210</v>
      </c>
      <c r="J360" t="s">
        <v>191</v>
      </c>
      <c r="K360" t="s">
        <v>982</v>
      </c>
      <c r="L360" s="10">
        <v>666.23</v>
      </c>
      <c r="M360" s="10">
        <v>1382.91</v>
      </c>
      <c r="N360" s="17">
        <v>0.176</v>
      </c>
      <c r="O360">
        <v>13</v>
      </c>
      <c r="P360" t="str">
        <f t="shared" si="111"/>
        <v>Valid</v>
      </c>
      <c r="Q360" s="10">
        <f t="shared" si="112"/>
        <v>1382.91</v>
      </c>
      <c r="R360" t="b">
        <f t="shared" si="113"/>
        <v>0</v>
      </c>
      <c r="S360" s="17">
        <f t="shared" si="114"/>
        <v>0.176</v>
      </c>
      <c r="T360">
        <f t="shared" si="115"/>
        <v>16</v>
      </c>
      <c r="U360" s="26">
        <f t="shared" si="116"/>
        <v>45325</v>
      </c>
      <c r="V360">
        <f t="shared" si="117"/>
        <v>16</v>
      </c>
      <c r="W360" s="10">
        <f t="shared" si="118"/>
        <v>1794618.90192</v>
      </c>
      <c r="X360" s="10">
        <f t="shared" si="119"/>
        <v>17977.83</v>
      </c>
      <c r="Y360" s="10">
        <f t="shared" si="120"/>
        <v>1776641.07192</v>
      </c>
      <c r="Z360" s="14">
        <f t="shared" si="124"/>
        <v>0.989982368969386</v>
      </c>
      <c r="AA360" t="s">
        <v>1568</v>
      </c>
      <c r="AB360" t="str">
        <f t="shared" si="121"/>
        <v>Q1-2024</v>
      </c>
      <c r="AC360" t="str">
        <f t="shared" si="122"/>
        <v>Africa → South Africa → Cape Town</v>
      </c>
      <c r="AD360" t="str">
        <f t="shared" si="123"/>
        <v>Peripherals</v>
      </c>
      <c r="AE360" s="8" t="str">
        <f t="shared" si="110"/>
        <v>Medium</v>
      </c>
      <c r="AF360" t="str">
        <f t="shared" si="125"/>
        <v>SOUTH AFRICA</v>
      </c>
      <c r="AG360" s="7">
        <v>44933</v>
      </c>
      <c r="AH360" t="str">
        <f t="shared" si="126"/>
        <v>Jan-2023</v>
      </c>
      <c r="AI360" s="9">
        <f t="shared" si="127"/>
        <v>45322</v>
      </c>
      <c r="AJ360">
        <f t="shared" si="131"/>
        <v>0</v>
      </c>
      <c r="AK360">
        <f t="shared" si="128"/>
        <v>0</v>
      </c>
      <c r="AL360" s="17">
        <f>MIN(N360,'Scenario Modelling'!$B$2)</f>
        <v>0.176</v>
      </c>
      <c r="AM360" s="10">
        <f>L360*(1+'Scenario Modelling'!$B$3)</f>
        <v>766.1645</v>
      </c>
      <c r="AN360">
        <f>O360*(1+'Scenario Modelling'!$B$4)</f>
        <v>15.6</v>
      </c>
      <c r="AO360" s="28">
        <f t="shared" si="129"/>
        <v>17776.478304</v>
      </c>
      <c r="AP360" s="10">
        <f t="shared" si="130"/>
        <v>5824.312104</v>
      </c>
    </row>
    <row r="361" spans="1:42">
      <c r="A361" t="s">
        <v>983</v>
      </c>
      <c r="B361" s="7">
        <v>45466</v>
      </c>
      <c r="C361" s="7">
        <v>45468</v>
      </c>
      <c r="D361" t="s">
        <v>239</v>
      </c>
      <c r="E361" t="s">
        <v>269</v>
      </c>
      <c r="F361" t="s">
        <v>270</v>
      </c>
      <c r="G361" t="s">
        <v>223</v>
      </c>
      <c r="H361" t="s">
        <v>201</v>
      </c>
      <c r="I361" t="s">
        <v>210</v>
      </c>
      <c r="J361" t="s">
        <v>242</v>
      </c>
      <c r="K361" t="s">
        <v>984</v>
      </c>
      <c r="L361" s="10">
        <v>951.44</v>
      </c>
      <c r="M361" s="10">
        <v>1646.43</v>
      </c>
      <c r="N361" s="17">
        <v>0.11</v>
      </c>
      <c r="O361">
        <v>24</v>
      </c>
      <c r="P361" t="str">
        <f t="shared" si="111"/>
        <v>Valid</v>
      </c>
      <c r="Q361" s="10">
        <f t="shared" si="112"/>
        <v>1646.43</v>
      </c>
      <c r="R361" t="b">
        <f t="shared" si="113"/>
        <v>0</v>
      </c>
      <c r="S361" s="17">
        <f t="shared" si="114"/>
        <v>0.11</v>
      </c>
      <c r="T361">
        <f t="shared" si="115"/>
        <v>2</v>
      </c>
      <c r="U361" s="26">
        <f t="shared" si="116"/>
        <v>45468</v>
      </c>
      <c r="V361">
        <f t="shared" si="117"/>
        <v>2</v>
      </c>
      <c r="W361" s="10">
        <f t="shared" si="118"/>
        <v>3947085.4248</v>
      </c>
      <c r="X361" s="10">
        <f t="shared" si="119"/>
        <v>39514.32</v>
      </c>
      <c r="Y361" s="10">
        <f t="shared" si="120"/>
        <v>3907571.1048</v>
      </c>
      <c r="Z361" s="14">
        <f t="shared" si="124"/>
        <v>0.989988987886675</v>
      </c>
      <c r="AA361" t="s">
        <v>1576</v>
      </c>
      <c r="AB361" t="str">
        <f t="shared" si="121"/>
        <v>Q2-2024</v>
      </c>
      <c r="AC361" t="str">
        <f t="shared" si="122"/>
        <v>Europe → United Kingdom → Birmingham</v>
      </c>
      <c r="AD361" t="str">
        <f t="shared" si="123"/>
        <v>Support</v>
      </c>
      <c r="AE361" s="8" t="str">
        <f t="shared" si="110"/>
        <v>Medium</v>
      </c>
      <c r="AF361" t="str">
        <f t="shared" si="125"/>
        <v>UNITED KINGDOM</v>
      </c>
      <c r="AG361" s="7">
        <v>44945</v>
      </c>
      <c r="AH361" t="str">
        <f t="shared" si="126"/>
        <v>Jan-2023</v>
      </c>
      <c r="AI361" s="9">
        <f t="shared" si="127"/>
        <v>45473</v>
      </c>
      <c r="AJ361">
        <f t="shared" si="131"/>
        <v>1</v>
      </c>
      <c r="AK361">
        <f t="shared" si="128"/>
        <v>0</v>
      </c>
      <c r="AL361" s="17">
        <f>MIN(N361,'Scenario Modelling'!$B$2)</f>
        <v>0.11</v>
      </c>
      <c r="AM361" s="10">
        <f>L361*(1+'Scenario Modelling'!$B$3)</f>
        <v>1094.156</v>
      </c>
      <c r="AN361">
        <f>O361*(1+'Scenario Modelling'!$B$4)</f>
        <v>28.8</v>
      </c>
      <c r="AO361" s="28">
        <f t="shared" si="129"/>
        <v>42201.29376</v>
      </c>
      <c r="AP361" s="10">
        <f t="shared" si="130"/>
        <v>10689.60096</v>
      </c>
    </row>
    <row r="362" spans="1:42">
      <c r="A362" t="s">
        <v>985</v>
      </c>
      <c r="B362" s="7">
        <v>45833</v>
      </c>
      <c r="C362" s="7">
        <v>45848</v>
      </c>
      <c r="D362" t="s">
        <v>239</v>
      </c>
      <c r="E362" t="s">
        <v>269</v>
      </c>
      <c r="F362" t="s">
        <v>270</v>
      </c>
      <c r="G362" t="s">
        <v>200</v>
      </c>
      <c r="H362" t="s">
        <v>201</v>
      </c>
      <c r="I362" t="s">
        <v>306</v>
      </c>
      <c r="J362" t="s">
        <v>203</v>
      </c>
      <c r="K362" t="s">
        <v>986</v>
      </c>
      <c r="L362" s="10">
        <v>546.83</v>
      </c>
      <c r="M362" s="10">
        <v>400.84</v>
      </c>
      <c r="N362" s="17">
        <v>0.078</v>
      </c>
      <c r="O362">
        <v>13</v>
      </c>
      <c r="P362" t="str">
        <f t="shared" si="111"/>
        <v>Valid</v>
      </c>
      <c r="Q362" s="10">
        <f t="shared" si="112"/>
        <v>400.84</v>
      </c>
      <c r="R362" t="b">
        <f t="shared" si="113"/>
        <v>0</v>
      </c>
      <c r="S362" s="17">
        <f t="shared" si="114"/>
        <v>0.078</v>
      </c>
      <c r="T362">
        <f t="shared" si="115"/>
        <v>15</v>
      </c>
      <c r="U362" s="26">
        <f t="shared" si="116"/>
        <v>45848</v>
      </c>
      <c r="V362">
        <f t="shared" si="117"/>
        <v>15</v>
      </c>
      <c r="W362" s="10">
        <f t="shared" si="118"/>
        <v>520685.54824</v>
      </c>
      <c r="X362" s="10">
        <f t="shared" si="119"/>
        <v>5210.92</v>
      </c>
      <c r="Y362" s="10">
        <f t="shared" si="120"/>
        <v>515474.62824</v>
      </c>
      <c r="Z362" s="14">
        <f t="shared" si="124"/>
        <v>0.989992193911251</v>
      </c>
      <c r="AA362" t="s">
        <v>1575</v>
      </c>
      <c r="AB362" t="str">
        <f t="shared" si="121"/>
        <v>Q2-2025</v>
      </c>
      <c r="AC362" t="str">
        <f t="shared" si="122"/>
        <v>Europe → United Kingdom → Birmingham</v>
      </c>
      <c r="AD362" t="str">
        <f t="shared" si="123"/>
        <v>Devices</v>
      </c>
      <c r="AE362" s="8" t="str">
        <f t="shared" si="110"/>
        <v>High</v>
      </c>
      <c r="AF362" t="str">
        <f t="shared" si="125"/>
        <v>UNITED KINGDOM</v>
      </c>
      <c r="AG362" s="7">
        <v>44945</v>
      </c>
      <c r="AH362" t="str">
        <f t="shared" si="126"/>
        <v>Jan-2023</v>
      </c>
      <c r="AI362" s="9">
        <f t="shared" si="127"/>
        <v>45838</v>
      </c>
      <c r="AJ362">
        <f t="shared" si="131"/>
        <v>0</v>
      </c>
      <c r="AK362">
        <f t="shared" si="128"/>
        <v>0</v>
      </c>
      <c r="AL362" s="17">
        <f>MIN(N362,'Scenario Modelling'!$B$2)</f>
        <v>0.078</v>
      </c>
      <c r="AM362" s="10">
        <f>L362*(1+'Scenario Modelling'!$B$3)</f>
        <v>628.8545</v>
      </c>
      <c r="AN362">
        <f>O362*(1+'Scenario Modelling'!$B$4)</f>
        <v>15.6</v>
      </c>
      <c r="AO362" s="28">
        <f t="shared" si="129"/>
        <v>5765.361888</v>
      </c>
      <c r="AP362" s="10">
        <f t="shared" si="130"/>
        <v>-4044.768312</v>
      </c>
    </row>
    <row r="363" spans="1:42">
      <c r="A363" t="s">
        <v>987</v>
      </c>
      <c r="B363" s="7">
        <v>45108</v>
      </c>
      <c r="C363" s="7">
        <v>45115</v>
      </c>
      <c r="D363" t="s">
        <v>177</v>
      </c>
      <c r="E363" t="s">
        <v>186</v>
      </c>
      <c r="F363" t="s">
        <v>187</v>
      </c>
      <c r="G363" t="s">
        <v>180</v>
      </c>
      <c r="H363" t="s">
        <v>181</v>
      </c>
      <c r="I363" t="s">
        <v>236</v>
      </c>
      <c r="J363" t="s">
        <v>218</v>
      </c>
      <c r="K363" t="s">
        <v>988</v>
      </c>
      <c r="L363" s="10">
        <v>834.26</v>
      </c>
      <c r="M363" s="10">
        <v>1780.56</v>
      </c>
      <c r="N363" s="17">
        <v>0.014</v>
      </c>
      <c r="O363">
        <v>47</v>
      </c>
      <c r="P363" t="str">
        <f t="shared" si="111"/>
        <v>Valid</v>
      </c>
      <c r="Q363" s="10">
        <f t="shared" si="112"/>
        <v>1780.56</v>
      </c>
      <c r="R363" t="b">
        <f t="shared" si="113"/>
        <v>0</v>
      </c>
      <c r="S363" s="17">
        <f t="shared" si="114"/>
        <v>0.014</v>
      </c>
      <c r="T363">
        <f t="shared" si="115"/>
        <v>7</v>
      </c>
      <c r="U363" s="26">
        <f t="shared" si="116"/>
        <v>45115</v>
      </c>
      <c r="V363">
        <f t="shared" si="117"/>
        <v>7</v>
      </c>
      <c r="W363" s="10">
        <f t="shared" si="118"/>
        <v>8367460.39152</v>
      </c>
      <c r="X363" s="10">
        <f t="shared" si="119"/>
        <v>83686.32</v>
      </c>
      <c r="Y363" s="10">
        <f t="shared" si="120"/>
        <v>8283774.07152</v>
      </c>
      <c r="Z363" s="14">
        <f t="shared" si="124"/>
        <v>0.989998599803973</v>
      </c>
      <c r="AA363" t="s">
        <v>1584</v>
      </c>
      <c r="AB363" t="str">
        <f t="shared" si="121"/>
        <v>Q3-2023</v>
      </c>
      <c r="AC363" t="str">
        <f t="shared" si="122"/>
        <v>Africa → Nigeria → Port Harcourt</v>
      </c>
      <c r="AD363" t="str">
        <f t="shared" si="123"/>
        <v>Devices</v>
      </c>
      <c r="AE363" s="8" t="str">
        <f t="shared" si="110"/>
        <v>Low</v>
      </c>
      <c r="AF363" t="str">
        <f t="shared" si="125"/>
        <v>NIGERIA</v>
      </c>
      <c r="AG363" s="7">
        <v>44941</v>
      </c>
      <c r="AH363" t="str">
        <f t="shared" si="126"/>
        <v>Jan-2023</v>
      </c>
      <c r="AI363" s="9">
        <f t="shared" si="127"/>
        <v>45138</v>
      </c>
      <c r="AJ363">
        <f t="shared" si="131"/>
        <v>1</v>
      </c>
      <c r="AK363">
        <f t="shared" si="128"/>
        <v>0</v>
      </c>
      <c r="AL363" s="17">
        <f>MIN(N363,'Scenario Modelling'!$B$2)</f>
        <v>0.014</v>
      </c>
      <c r="AM363" s="10">
        <f>L363*(1+'Scenario Modelling'!$B$3)</f>
        <v>959.399</v>
      </c>
      <c r="AN363">
        <f>O363*(1+'Scenario Modelling'!$B$4)</f>
        <v>56.4</v>
      </c>
      <c r="AO363" s="28">
        <f t="shared" si="129"/>
        <v>99017.653824</v>
      </c>
      <c r="AP363" s="10">
        <f t="shared" si="130"/>
        <v>44907.550224</v>
      </c>
    </row>
    <row r="364" spans="1:42">
      <c r="A364" t="s">
        <v>989</v>
      </c>
      <c r="B364" s="7">
        <v>45360</v>
      </c>
      <c r="C364" s="7">
        <v>45377</v>
      </c>
      <c r="D364" t="s">
        <v>206</v>
      </c>
      <c r="E364" t="s">
        <v>277</v>
      </c>
      <c r="F364" t="s">
        <v>278</v>
      </c>
      <c r="G364" t="s">
        <v>266</v>
      </c>
      <c r="H364" t="s">
        <v>189</v>
      </c>
      <c r="I364" t="s">
        <v>256</v>
      </c>
      <c r="J364" t="s">
        <v>225</v>
      </c>
      <c r="K364" t="s">
        <v>990</v>
      </c>
      <c r="L364" s="10">
        <v>1029.67</v>
      </c>
      <c r="M364" s="10">
        <v>1118.43</v>
      </c>
      <c r="N364" s="17">
        <v>0.272</v>
      </c>
      <c r="O364">
        <v>9</v>
      </c>
      <c r="P364" t="str">
        <f t="shared" si="111"/>
        <v>Valid</v>
      </c>
      <c r="Q364" s="10">
        <f t="shared" si="112"/>
        <v>1118.43</v>
      </c>
      <c r="R364" t="b">
        <f t="shared" si="113"/>
        <v>0</v>
      </c>
      <c r="S364" s="17">
        <f t="shared" si="114"/>
        <v>0.272</v>
      </c>
      <c r="T364">
        <f t="shared" si="115"/>
        <v>17</v>
      </c>
      <c r="U364" s="26">
        <f t="shared" si="116"/>
        <v>45377</v>
      </c>
      <c r="V364">
        <f t="shared" si="117"/>
        <v>17</v>
      </c>
      <c r="W364" s="10">
        <f t="shared" si="118"/>
        <v>1003849.08336</v>
      </c>
      <c r="X364" s="10">
        <f t="shared" si="119"/>
        <v>10065.87</v>
      </c>
      <c r="Y364" s="10">
        <f t="shared" si="120"/>
        <v>993783.21336</v>
      </c>
      <c r="Z364" s="14">
        <f t="shared" si="124"/>
        <v>0.989972725814215</v>
      </c>
      <c r="AA364" t="s">
        <v>1560</v>
      </c>
      <c r="AB364" t="str">
        <f t="shared" si="121"/>
        <v>Q1-2024</v>
      </c>
      <c r="AC364" t="str">
        <f t="shared" si="122"/>
        <v>Asia → China → Shenzhen</v>
      </c>
      <c r="AD364" t="str">
        <f t="shared" si="123"/>
        <v>Peripherals</v>
      </c>
      <c r="AE364" s="8" t="str">
        <f t="shared" si="110"/>
        <v>Medium</v>
      </c>
      <c r="AF364" t="str">
        <f t="shared" si="125"/>
        <v>CHINA</v>
      </c>
      <c r="AG364" s="7">
        <v>44938</v>
      </c>
      <c r="AH364" t="str">
        <f t="shared" si="126"/>
        <v>Jan-2023</v>
      </c>
      <c r="AI364" s="9">
        <f t="shared" si="127"/>
        <v>45382</v>
      </c>
      <c r="AJ364">
        <f t="shared" si="131"/>
        <v>0</v>
      </c>
      <c r="AK364">
        <f t="shared" si="128"/>
        <v>1</v>
      </c>
      <c r="AL364" s="17">
        <f>MIN(N364,'Scenario Modelling'!$B$2)</f>
        <v>0.25</v>
      </c>
      <c r="AM364" s="10">
        <f>L364*(1+'Scenario Modelling'!$B$3)</f>
        <v>1184.1205</v>
      </c>
      <c r="AN364">
        <f>O364*(1+'Scenario Modelling'!$B$4)</f>
        <v>10.8</v>
      </c>
      <c r="AO364" s="28">
        <f t="shared" si="129"/>
        <v>9059.283</v>
      </c>
      <c r="AP364" s="10">
        <f t="shared" si="130"/>
        <v>-3729.2184</v>
      </c>
    </row>
    <row r="365" spans="1:42">
      <c r="A365" t="s">
        <v>991</v>
      </c>
      <c r="B365" s="7">
        <v>45082</v>
      </c>
      <c r="C365" s="7">
        <v>45105</v>
      </c>
      <c r="D365" t="s">
        <v>239</v>
      </c>
      <c r="E365" t="s">
        <v>269</v>
      </c>
      <c r="F365" t="s">
        <v>270</v>
      </c>
      <c r="G365" t="s">
        <v>180</v>
      </c>
      <c r="H365" t="s">
        <v>259</v>
      </c>
      <c r="I365" t="s">
        <v>256</v>
      </c>
      <c r="J365" t="s">
        <v>191</v>
      </c>
      <c r="K365" t="s">
        <v>992</v>
      </c>
      <c r="L365" s="10">
        <v>605.82</v>
      </c>
      <c r="M365" s="10">
        <v>771.12</v>
      </c>
      <c r="N365" s="17">
        <v>0.132</v>
      </c>
      <c r="O365">
        <v>19</v>
      </c>
      <c r="P365" t="str">
        <f t="shared" si="111"/>
        <v>Valid</v>
      </c>
      <c r="Q365" s="10">
        <f t="shared" si="112"/>
        <v>771.12</v>
      </c>
      <c r="R365" t="b">
        <f t="shared" si="113"/>
        <v>0</v>
      </c>
      <c r="S365" s="17">
        <f t="shared" si="114"/>
        <v>0.132</v>
      </c>
      <c r="T365">
        <f t="shared" si="115"/>
        <v>23</v>
      </c>
      <c r="U365" s="26">
        <f t="shared" si="116"/>
        <v>45105</v>
      </c>
      <c r="V365">
        <f t="shared" si="117"/>
        <v>23</v>
      </c>
      <c r="W365" s="10">
        <f t="shared" si="118"/>
        <v>1463194.03104</v>
      </c>
      <c r="X365" s="10">
        <f t="shared" si="119"/>
        <v>14651.28</v>
      </c>
      <c r="Y365" s="10">
        <f t="shared" si="120"/>
        <v>1448542.75104</v>
      </c>
      <c r="Z365" s="14">
        <f t="shared" si="124"/>
        <v>0.98998678255297</v>
      </c>
      <c r="AA365" t="s">
        <v>1583</v>
      </c>
      <c r="AB365" t="str">
        <f t="shared" si="121"/>
        <v>Q2-2023</v>
      </c>
      <c r="AC365" t="str">
        <f t="shared" si="122"/>
        <v>Europe → United Kingdom → Birmingham</v>
      </c>
      <c r="AD365" t="str">
        <f t="shared" si="123"/>
        <v>Peripherals</v>
      </c>
      <c r="AE365" s="8" t="str">
        <f t="shared" si="110"/>
        <v>Low</v>
      </c>
      <c r="AF365" t="str">
        <f t="shared" si="125"/>
        <v>UNITED KINGDOM</v>
      </c>
      <c r="AG365" s="7">
        <v>44945</v>
      </c>
      <c r="AH365" t="str">
        <f t="shared" si="126"/>
        <v>Jan-2023</v>
      </c>
      <c r="AI365" s="9">
        <f t="shared" si="127"/>
        <v>45107</v>
      </c>
      <c r="AJ365">
        <f t="shared" si="131"/>
        <v>0</v>
      </c>
      <c r="AK365">
        <f t="shared" si="128"/>
        <v>0</v>
      </c>
      <c r="AL365" s="17">
        <f>MIN(N365,'Scenario Modelling'!$B$2)</f>
        <v>0.132</v>
      </c>
      <c r="AM365" s="10">
        <f>L365*(1+'Scenario Modelling'!$B$3)</f>
        <v>696.693</v>
      </c>
      <c r="AN365">
        <f>O365*(1+'Scenario Modelling'!$B$4)</f>
        <v>22.8</v>
      </c>
      <c r="AO365" s="28">
        <f t="shared" si="129"/>
        <v>15260.773248</v>
      </c>
      <c r="AP365" s="10">
        <f t="shared" si="130"/>
        <v>-623.827151999999</v>
      </c>
    </row>
    <row r="366" spans="1:42">
      <c r="A366" t="s">
        <v>993</v>
      </c>
      <c r="B366" s="7">
        <v>45737</v>
      </c>
      <c r="C366" s="7">
        <v>45756</v>
      </c>
      <c r="D366" t="s">
        <v>206</v>
      </c>
      <c r="E366" t="s">
        <v>207</v>
      </c>
      <c r="F366" t="s">
        <v>375</v>
      </c>
      <c r="G366" t="s">
        <v>223</v>
      </c>
      <c r="H366" t="s">
        <v>216</v>
      </c>
      <c r="I366" t="s">
        <v>224</v>
      </c>
      <c r="J366" t="s">
        <v>183</v>
      </c>
      <c r="K366" t="s">
        <v>994</v>
      </c>
      <c r="L366" s="10">
        <v>1055.45</v>
      </c>
      <c r="M366" s="10">
        <v>1210.04</v>
      </c>
      <c r="N366" s="17">
        <v>0.009</v>
      </c>
      <c r="O366">
        <v>18</v>
      </c>
      <c r="P366" t="str">
        <f t="shared" si="111"/>
        <v>Valid</v>
      </c>
      <c r="Q366" s="10">
        <f t="shared" si="112"/>
        <v>1210.04</v>
      </c>
      <c r="R366" t="b">
        <f t="shared" si="113"/>
        <v>0</v>
      </c>
      <c r="S366" s="17">
        <f t="shared" si="114"/>
        <v>0.009</v>
      </c>
      <c r="T366">
        <f t="shared" si="115"/>
        <v>19</v>
      </c>
      <c r="U366" s="26">
        <f t="shared" si="116"/>
        <v>45756</v>
      </c>
      <c r="V366">
        <f t="shared" si="117"/>
        <v>19</v>
      </c>
      <c r="W366" s="10">
        <f t="shared" si="118"/>
        <v>2177875.97352</v>
      </c>
      <c r="X366" s="10">
        <f t="shared" si="119"/>
        <v>21780.72</v>
      </c>
      <c r="Y366" s="10">
        <f t="shared" si="120"/>
        <v>2156095.25352</v>
      </c>
      <c r="Z366" s="14">
        <f t="shared" si="124"/>
        <v>0.989999099918993</v>
      </c>
      <c r="AA366" t="s">
        <v>1563</v>
      </c>
      <c r="AB366" t="str">
        <f t="shared" si="121"/>
        <v>Q1-2025</v>
      </c>
      <c r="AC366" t="str">
        <f t="shared" si="122"/>
        <v>Asia → Japan → Tokyo</v>
      </c>
      <c r="AD366" t="str">
        <f t="shared" si="123"/>
        <v>Support</v>
      </c>
      <c r="AE366" s="8" t="str">
        <f t="shared" si="110"/>
        <v>High</v>
      </c>
      <c r="AF366" t="str">
        <f t="shared" si="125"/>
        <v>JAPAN</v>
      </c>
      <c r="AG366" s="7">
        <v>44988</v>
      </c>
      <c r="AH366" t="str">
        <f t="shared" si="126"/>
        <v>Mar-2023</v>
      </c>
      <c r="AI366" s="9">
        <f t="shared" si="127"/>
        <v>45747</v>
      </c>
      <c r="AJ366">
        <f t="shared" si="131"/>
        <v>0</v>
      </c>
      <c r="AK366">
        <f t="shared" si="128"/>
        <v>0</v>
      </c>
      <c r="AL366" s="17">
        <f>MIN(N366,'Scenario Modelling'!$B$2)</f>
        <v>0.009</v>
      </c>
      <c r="AM366" s="10">
        <f>L366*(1+'Scenario Modelling'!$B$3)</f>
        <v>1213.7675</v>
      </c>
      <c r="AN366">
        <f>O366*(1+'Scenario Modelling'!$B$4)</f>
        <v>21.6</v>
      </c>
      <c r="AO366" s="28">
        <f t="shared" si="129"/>
        <v>25901.632224</v>
      </c>
      <c r="AP366" s="10">
        <f t="shared" si="130"/>
        <v>-315.745776000001</v>
      </c>
    </row>
    <row r="367" spans="1:42">
      <c r="A367" t="s">
        <v>995</v>
      </c>
      <c r="B367" s="7">
        <v>45445</v>
      </c>
      <c r="C367" s="7">
        <v>45458</v>
      </c>
      <c r="D367" t="s">
        <v>177</v>
      </c>
      <c r="E367" t="s">
        <v>178</v>
      </c>
      <c r="F367" t="s">
        <v>274</v>
      </c>
      <c r="G367" t="s">
        <v>188</v>
      </c>
      <c r="H367" t="s">
        <v>189</v>
      </c>
      <c r="I367" t="s">
        <v>229</v>
      </c>
      <c r="J367" t="s">
        <v>203</v>
      </c>
      <c r="K367" t="s">
        <v>996</v>
      </c>
      <c r="L367" s="10">
        <v>1295.18</v>
      </c>
      <c r="M367" s="10">
        <v>3024.03</v>
      </c>
      <c r="N367" s="17">
        <v>0.192</v>
      </c>
      <c r="O367">
        <v>8</v>
      </c>
      <c r="P367" t="str">
        <f t="shared" si="111"/>
        <v>Valid</v>
      </c>
      <c r="Q367" s="10">
        <f t="shared" si="112"/>
        <v>3024.03</v>
      </c>
      <c r="R367" t="b">
        <f t="shared" si="113"/>
        <v>0</v>
      </c>
      <c r="S367" s="17">
        <f t="shared" si="114"/>
        <v>0.192</v>
      </c>
      <c r="T367">
        <f t="shared" si="115"/>
        <v>13</v>
      </c>
      <c r="U367" s="26">
        <f t="shared" si="116"/>
        <v>45458</v>
      </c>
      <c r="V367">
        <f t="shared" si="117"/>
        <v>13</v>
      </c>
      <c r="W367" s="10">
        <f t="shared" si="118"/>
        <v>2414579.08992</v>
      </c>
      <c r="X367" s="10">
        <f t="shared" si="119"/>
        <v>24192.24</v>
      </c>
      <c r="Y367" s="10">
        <f t="shared" si="120"/>
        <v>2390386.84992</v>
      </c>
      <c r="Z367" s="14">
        <f t="shared" si="124"/>
        <v>0.989980763065085</v>
      </c>
      <c r="AA367" t="s">
        <v>1576</v>
      </c>
      <c r="AB367" t="str">
        <f t="shared" si="121"/>
        <v>Q2-2024</v>
      </c>
      <c r="AC367" t="str">
        <f t="shared" si="122"/>
        <v>Africa → Kenya → Mombasa</v>
      </c>
      <c r="AD367" t="str">
        <f t="shared" si="123"/>
        <v>Devices</v>
      </c>
      <c r="AE367" s="8" t="str">
        <f t="shared" si="110"/>
        <v>Medium</v>
      </c>
      <c r="AF367" t="str">
        <f t="shared" si="125"/>
        <v>KENYA</v>
      </c>
      <c r="AG367" s="7">
        <v>44946</v>
      </c>
      <c r="AH367" t="str">
        <f t="shared" si="126"/>
        <v>Jan-2023</v>
      </c>
      <c r="AI367" s="9">
        <f t="shared" si="127"/>
        <v>45473</v>
      </c>
      <c r="AJ367">
        <f t="shared" si="131"/>
        <v>0</v>
      </c>
      <c r="AK367">
        <f t="shared" si="128"/>
        <v>0</v>
      </c>
      <c r="AL367" s="17">
        <f>MIN(N367,'Scenario Modelling'!$B$2)</f>
        <v>0.192</v>
      </c>
      <c r="AM367" s="10">
        <f>L367*(1+'Scenario Modelling'!$B$3)</f>
        <v>1489.457</v>
      </c>
      <c r="AN367">
        <f>O367*(1+'Scenario Modelling'!$B$4)</f>
        <v>9.6</v>
      </c>
      <c r="AO367" s="28">
        <f t="shared" si="129"/>
        <v>23456.795904</v>
      </c>
      <c r="AP367" s="10">
        <f t="shared" si="130"/>
        <v>9158.00870400001</v>
      </c>
    </row>
    <row r="368" spans="1:42">
      <c r="A368" t="s">
        <v>997</v>
      </c>
      <c r="B368" s="7">
        <v>45731</v>
      </c>
      <c r="C368" s="7">
        <v>45745</v>
      </c>
      <c r="D368" t="s">
        <v>206</v>
      </c>
      <c r="E368" t="s">
        <v>221</v>
      </c>
      <c r="F368" t="s">
        <v>381</v>
      </c>
      <c r="G368" t="s">
        <v>266</v>
      </c>
      <c r="H368" t="s">
        <v>259</v>
      </c>
      <c r="I368" t="s">
        <v>182</v>
      </c>
      <c r="J368" t="s">
        <v>183</v>
      </c>
      <c r="K368" t="s">
        <v>998</v>
      </c>
      <c r="L368" s="10">
        <v>935.83</v>
      </c>
      <c r="M368" s="10">
        <v>2303.46</v>
      </c>
      <c r="N368" s="17">
        <v>0.105</v>
      </c>
      <c r="O368">
        <v>9</v>
      </c>
      <c r="P368" t="str">
        <f t="shared" si="111"/>
        <v>Valid</v>
      </c>
      <c r="Q368" s="10">
        <f t="shared" si="112"/>
        <v>2303.46</v>
      </c>
      <c r="R368" t="b">
        <f t="shared" si="113"/>
        <v>0</v>
      </c>
      <c r="S368" s="17">
        <f t="shared" si="114"/>
        <v>0.105</v>
      </c>
      <c r="T368">
        <f t="shared" si="115"/>
        <v>14</v>
      </c>
      <c r="U368" s="26">
        <f t="shared" si="116"/>
        <v>45745</v>
      </c>
      <c r="V368">
        <f t="shared" si="117"/>
        <v>14</v>
      </c>
      <c r="W368" s="10">
        <f t="shared" si="118"/>
        <v>2070937.2303</v>
      </c>
      <c r="X368" s="10">
        <f t="shared" si="119"/>
        <v>20731.14</v>
      </c>
      <c r="Y368" s="10">
        <f t="shared" si="120"/>
        <v>2050206.0903</v>
      </c>
      <c r="Z368" s="14">
        <f t="shared" si="124"/>
        <v>0.989989488963412</v>
      </c>
      <c r="AA368" t="s">
        <v>1563</v>
      </c>
      <c r="AB368" t="str">
        <f t="shared" si="121"/>
        <v>Q1-2025</v>
      </c>
      <c r="AC368" t="str">
        <f t="shared" si="122"/>
        <v>Asia → India → Mumbai</v>
      </c>
      <c r="AD368" t="str">
        <f t="shared" si="123"/>
        <v>Support</v>
      </c>
      <c r="AE368" s="8" t="str">
        <f t="shared" si="110"/>
        <v>High</v>
      </c>
      <c r="AF368" t="str">
        <f t="shared" si="125"/>
        <v>INDIA</v>
      </c>
      <c r="AG368" s="7">
        <v>44955</v>
      </c>
      <c r="AH368" t="str">
        <f t="shared" si="126"/>
        <v>Jan-2023</v>
      </c>
      <c r="AI368" s="9">
        <f t="shared" si="127"/>
        <v>45747</v>
      </c>
      <c r="AJ368">
        <f t="shared" si="131"/>
        <v>0</v>
      </c>
      <c r="AK368">
        <f t="shared" si="128"/>
        <v>0</v>
      </c>
      <c r="AL368" s="17">
        <f>MIN(N368,'Scenario Modelling'!$B$2)</f>
        <v>0.105</v>
      </c>
      <c r="AM368" s="10">
        <f>L368*(1+'Scenario Modelling'!$B$3)</f>
        <v>1076.2045</v>
      </c>
      <c r="AN368">
        <f>O368*(1+'Scenario Modelling'!$B$4)</f>
        <v>10.8</v>
      </c>
      <c r="AO368" s="28">
        <f t="shared" si="129"/>
        <v>22265.24436</v>
      </c>
      <c r="AP368" s="10">
        <f t="shared" si="130"/>
        <v>10642.23576</v>
      </c>
    </row>
    <row r="369" spans="1:42">
      <c r="A369" t="s">
        <v>999</v>
      </c>
      <c r="B369" s="7">
        <v>45194</v>
      </c>
      <c r="C369" s="7">
        <v>45208</v>
      </c>
      <c r="D369" t="s">
        <v>213</v>
      </c>
      <c r="E369" t="s">
        <v>283</v>
      </c>
      <c r="F369" t="s">
        <v>548</v>
      </c>
      <c r="G369" t="s">
        <v>223</v>
      </c>
      <c r="H369" t="s">
        <v>201</v>
      </c>
      <c r="I369" t="s">
        <v>190</v>
      </c>
      <c r="J369" t="s">
        <v>218</v>
      </c>
      <c r="K369" t="s">
        <v>1000</v>
      </c>
      <c r="L369" s="10">
        <v>1279.56</v>
      </c>
      <c r="M369" s="10">
        <v>3083.8</v>
      </c>
      <c r="N369" s="17">
        <v>0.106</v>
      </c>
      <c r="O369">
        <v>5</v>
      </c>
      <c r="P369" t="str">
        <f t="shared" si="111"/>
        <v>Valid</v>
      </c>
      <c r="Q369" s="10">
        <f t="shared" si="112"/>
        <v>3083.8</v>
      </c>
      <c r="R369" t="b">
        <f t="shared" si="113"/>
        <v>0</v>
      </c>
      <c r="S369" s="17">
        <f t="shared" si="114"/>
        <v>0.106</v>
      </c>
      <c r="T369">
        <f t="shared" si="115"/>
        <v>14</v>
      </c>
      <c r="U369" s="26">
        <f t="shared" si="116"/>
        <v>45208</v>
      </c>
      <c r="V369">
        <f t="shared" si="117"/>
        <v>14</v>
      </c>
      <c r="W369" s="10">
        <f t="shared" si="118"/>
        <v>1540265.586</v>
      </c>
      <c r="X369" s="10">
        <f t="shared" si="119"/>
        <v>15419</v>
      </c>
      <c r="Y369" s="10">
        <f t="shared" si="120"/>
        <v>1524846.586</v>
      </c>
      <c r="Z369" s="14">
        <f t="shared" si="124"/>
        <v>0.989989388752077</v>
      </c>
      <c r="AA369" t="s">
        <v>1588</v>
      </c>
      <c r="AB369" t="str">
        <f t="shared" si="121"/>
        <v>Q3-2023</v>
      </c>
      <c r="AC369" t="str">
        <f t="shared" si="122"/>
        <v>Americas → USA → New York</v>
      </c>
      <c r="AD369" t="str">
        <f t="shared" si="123"/>
        <v>Devices</v>
      </c>
      <c r="AE369" s="8" t="str">
        <f t="shared" si="110"/>
        <v>Low</v>
      </c>
      <c r="AF369" t="str">
        <f t="shared" si="125"/>
        <v>USA</v>
      </c>
      <c r="AG369" s="7">
        <v>44939</v>
      </c>
      <c r="AH369" t="str">
        <f t="shared" si="126"/>
        <v>Jan-2023</v>
      </c>
      <c r="AI369" s="9">
        <f t="shared" si="127"/>
        <v>45199</v>
      </c>
      <c r="AJ369">
        <f t="shared" si="131"/>
        <v>0</v>
      </c>
      <c r="AK369">
        <f t="shared" si="128"/>
        <v>0</v>
      </c>
      <c r="AL369" s="17">
        <f>MIN(N369,'Scenario Modelling'!$B$2)</f>
        <v>0.106</v>
      </c>
      <c r="AM369" s="10">
        <f>L369*(1+'Scenario Modelling'!$B$3)</f>
        <v>1471.494</v>
      </c>
      <c r="AN369">
        <f>O369*(1+'Scenario Modelling'!$B$4)</f>
        <v>6</v>
      </c>
      <c r="AO369" s="28">
        <f t="shared" si="129"/>
        <v>16541.5032</v>
      </c>
      <c r="AP369" s="10">
        <f t="shared" si="130"/>
        <v>7712.5392</v>
      </c>
    </row>
    <row r="370" spans="1:42">
      <c r="A370" t="s">
        <v>1001</v>
      </c>
      <c r="B370" s="7">
        <v>45832</v>
      </c>
      <c r="C370" s="7">
        <v>45861</v>
      </c>
      <c r="D370" t="s">
        <v>213</v>
      </c>
      <c r="E370" t="s">
        <v>214</v>
      </c>
      <c r="F370" t="s">
        <v>340</v>
      </c>
      <c r="G370" t="s">
        <v>200</v>
      </c>
      <c r="H370" t="s">
        <v>201</v>
      </c>
      <c r="I370" t="s">
        <v>195</v>
      </c>
      <c r="J370" t="s">
        <v>191</v>
      </c>
      <c r="K370" t="s">
        <v>1002</v>
      </c>
      <c r="L370" s="10">
        <v>255.4</v>
      </c>
      <c r="M370" s="10">
        <v>322.71</v>
      </c>
      <c r="N370" s="17">
        <v>0.115</v>
      </c>
      <c r="O370">
        <v>16</v>
      </c>
      <c r="P370" t="str">
        <f t="shared" si="111"/>
        <v>Valid</v>
      </c>
      <c r="Q370" s="10">
        <f t="shared" si="112"/>
        <v>322.71</v>
      </c>
      <c r="R370" t="b">
        <f t="shared" si="113"/>
        <v>0</v>
      </c>
      <c r="S370" s="17">
        <f t="shared" si="114"/>
        <v>0.115</v>
      </c>
      <c r="T370">
        <f t="shared" si="115"/>
        <v>29</v>
      </c>
      <c r="U370" s="26">
        <f t="shared" si="116"/>
        <v>45861</v>
      </c>
      <c r="V370">
        <f t="shared" si="117"/>
        <v>29</v>
      </c>
      <c r="W370" s="10">
        <f t="shared" si="118"/>
        <v>515742.2136</v>
      </c>
      <c r="X370" s="10">
        <f t="shared" si="119"/>
        <v>5163.36</v>
      </c>
      <c r="Y370" s="10">
        <f t="shared" si="120"/>
        <v>510578.8536</v>
      </c>
      <c r="Z370" s="14">
        <f t="shared" si="124"/>
        <v>0.989988486759774</v>
      </c>
      <c r="AA370" t="s">
        <v>1575</v>
      </c>
      <c r="AB370" t="str">
        <f t="shared" si="121"/>
        <v>Q2-2025</v>
      </c>
      <c r="AC370" t="str">
        <f t="shared" si="122"/>
        <v>Americas → Canada → Vancouver</v>
      </c>
      <c r="AD370" t="str">
        <f t="shared" si="123"/>
        <v>Peripherals</v>
      </c>
      <c r="AE370" s="8" t="str">
        <f t="shared" si="110"/>
        <v>High</v>
      </c>
      <c r="AF370" t="str">
        <f t="shared" si="125"/>
        <v>CANADA</v>
      </c>
      <c r="AG370" s="7">
        <v>44928</v>
      </c>
      <c r="AH370" t="str">
        <f t="shared" si="126"/>
        <v>Jan-2023</v>
      </c>
      <c r="AI370" s="9">
        <f t="shared" si="127"/>
        <v>45838</v>
      </c>
      <c r="AJ370">
        <f t="shared" si="131"/>
        <v>0</v>
      </c>
      <c r="AK370">
        <f t="shared" si="128"/>
        <v>0</v>
      </c>
      <c r="AL370" s="17">
        <f>MIN(N370,'Scenario Modelling'!$B$2)</f>
        <v>0.115</v>
      </c>
      <c r="AM370" s="10">
        <f>L370*(1+'Scenario Modelling'!$B$3)</f>
        <v>293.71</v>
      </c>
      <c r="AN370">
        <f>O370*(1+'Scenario Modelling'!$B$4)</f>
        <v>19.2</v>
      </c>
      <c r="AO370" s="28">
        <f t="shared" si="129"/>
        <v>5483.48832</v>
      </c>
      <c r="AP370" s="10">
        <f t="shared" si="130"/>
        <v>-155.74368</v>
      </c>
    </row>
    <row r="371" spans="1:42">
      <c r="A371" t="s">
        <v>1003</v>
      </c>
      <c r="B371" s="7">
        <v>45286</v>
      </c>
      <c r="C371" s="7">
        <v>45294</v>
      </c>
      <c r="D371" t="s">
        <v>239</v>
      </c>
      <c r="E371" t="s">
        <v>251</v>
      </c>
      <c r="F371" t="s">
        <v>299</v>
      </c>
      <c r="G371" t="s">
        <v>223</v>
      </c>
      <c r="H371" t="s">
        <v>181</v>
      </c>
      <c r="I371" t="s">
        <v>271</v>
      </c>
      <c r="J371" t="s">
        <v>218</v>
      </c>
      <c r="K371" t="s">
        <v>1004</v>
      </c>
      <c r="L371" s="10">
        <v>492.75</v>
      </c>
      <c r="M371" s="10">
        <v>731.29</v>
      </c>
      <c r="N371" s="17">
        <v>0.058</v>
      </c>
      <c r="O371">
        <v>6</v>
      </c>
      <c r="P371" t="str">
        <f t="shared" si="111"/>
        <v>Valid</v>
      </c>
      <c r="Q371" s="10">
        <f t="shared" si="112"/>
        <v>731.29</v>
      </c>
      <c r="R371" t="b">
        <f t="shared" si="113"/>
        <v>0</v>
      </c>
      <c r="S371" s="17">
        <f t="shared" si="114"/>
        <v>0.058</v>
      </c>
      <c r="T371">
        <f t="shared" si="115"/>
        <v>8</v>
      </c>
      <c r="U371" s="26">
        <f t="shared" si="116"/>
        <v>45294</v>
      </c>
      <c r="V371">
        <f t="shared" si="117"/>
        <v>8</v>
      </c>
      <c r="W371" s="10">
        <f t="shared" si="118"/>
        <v>438519.51108</v>
      </c>
      <c r="X371" s="10">
        <f t="shared" si="119"/>
        <v>4387.74</v>
      </c>
      <c r="Y371" s="10">
        <f t="shared" si="120"/>
        <v>434131.77108</v>
      </c>
      <c r="Z371" s="14">
        <f t="shared" si="124"/>
        <v>0.989994196634048</v>
      </c>
      <c r="AA371" t="s">
        <v>1587</v>
      </c>
      <c r="AB371" t="str">
        <f t="shared" si="121"/>
        <v>Q4-2023</v>
      </c>
      <c r="AC371" t="str">
        <f t="shared" si="122"/>
        <v>Europe → France → Lyon</v>
      </c>
      <c r="AD371" t="str">
        <f t="shared" si="123"/>
        <v>Devices</v>
      </c>
      <c r="AE371" s="8" t="str">
        <f t="shared" si="110"/>
        <v>Medium</v>
      </c>
      <c r="AF371" t="str">
        <f t="shared" si="125"/>
        <v>FRANCE</v>
      </c>
      <c r="AG371" s="7">
        <v>44936</v>
      </c>
      <c r="AH371" t="str">
        <f t="shared" si="126"/>
        <v>Jan-2023</v>
      </c>
      <c r="AI371" s="9">
        <f t="shared" si="127"/>
        <v>45291</v>
      </c>
      <c r="AJ371">
        <f t="shared" si="131"/>
        <v>0</v>
      </c>
      <c r="AK371">
        <f t="shared" si="128"/>
        <v>0</v>
      </c>
      <c r="AL371" s="17">
        <f>MIN(N371,'Scenario Modelling'!$B$2)</f>
        <v>0.058</v>
      </c>
      <c r="AM371" s="10">
        <f>L371*(1+'Scenario Modelling'!$B$3)</f>
        <v>566.6625</v>
      </c>
      <c r="AN371">
        <f>O371*(1+'Scenario Modelling'!$B$4)</f>
        <v>7.2</v>
      </c>
      <c r="AO371" s="28">
        <f t="shared" si="129"/>
        <v>4959.901296</v>
      </c>
      <c r="AP371" s="10">
        <f t="shared" si="130"/>
        <v>879.931296</v>
      </c>
    </row>
    <row r="372" spans="1:42">
      <c r="A372" t="s">
        <v>1005</v>
      </c>
      <c r="B372" s="7">
        <v>44962</v>
      </c>
      <c r="C372" s="7">
        <v>44985</v>
      </c>
      <c r="D372" t="s">
        <v>213</v>
      </c>
      <c r="E372" t="s">
        <v>283</v>
      </c>
      <c r="F372" t="s">
        <v>487</v>
      </c>
      <c r="G372" t="s">
        <v>200</v>
      </c>
      <c r="H372" t="s">
        <v>216</v>
      </c>
      <c r="I372" t="s">
        <v>210</v>
      </c>
      <c r="J372" t="s">
        <v>203</v>
      </c>
      <c r="K372" t="s">
        <v>1006</v>
      </c>
      <c r="L372" s="10">
        <v>1214.49</v>
      </c>
      <c r="M372" s="10">
        <v>1533.95</v>
      </c>
      <c r="N372" s="17">
        <v>0</v>
      </c>
      <c r="O372">
        <v>11</v>
      </c>
      <c r="P372" t="str">
        <f t="shared" si="111"/>
        <v>Valid</v>
      </c>
      <c r="Q372" s="10">
        <f t="shared" si="112"/>
        <v>1533.95</v>
      </c>
      <c r="R372" t="b">
        <f t="shared" si="113"/>
        <v>0</v>
      </c>
      <c r="S372" s="17">
        <f t="shared" si="114"/>
        <v>0</v>
      </c>
      <c r="T372">
        <f t="shared" si="115"/>
        <v>23</v>
      </c>
      <c r="U372" s="26">
        <f t="shared" si="116"/>
        <v>44985</v>
      </c>
      <c r="V372">
        <f t="shared" si="117"/>
        <v>23</v>
      </c>
      <c r="W372" s="10">
        <f t="shared" si="118"/>
        <v>1687345</v>
      </c>
      <c r="X372" s="10">
        <f t="shared" si="119"/>
        <v>16873.45</v>
      </c>
      <c r="Y372" s="10">
        <f t="shared" si="120"/>
        <v>1670471.55</v>
      </c>
      <c r="Z372" s="14">
        <f t="shared" si="124"/>
        <v>0.99</v>
      </c>
      <c r="AA372" t="s">
        <v>1562</v>
      </c>
      <c r="AB372" t="str">
        <f t="shared" si="121"/>
        <v>Q1-2023</v>
      </c>
      <c r="AC372" t="str">
        <f t="shared" si="122"/>
        <v>Americas → USA → Austin</v>
      </c>
      <c r="AD372" t="str">
        <f t="shared" si="123"/>
        <v>Devices</v>
      </c>
      <c r="AE372" s="8" t="str">
        <f t="shared" si="110"/>
        <v>Low</v>
      </c>
      <c r="AF372" t="str">
        <f t="shared" si="125"/>
        <v>USA</v>
      </c>
      <c r="AG372" s="7">
        <v>44939</v>
      </c>
      <c r="AH372" t="str">
        <f t="shared" si="126"/>
        <v>Jan-2023</v>
      </c>
      <c r="AI372" s="9">
        <f t="shared" si="127"/>
        <v>44985</v>
      </c>
      <c r="AJ372">
        <f t="shared" si="131"/>
        <v>0</v>
      </c>
      <c r="AK372">
        <f t="shared" si="128"/>
        <v>0</v>
      </c>
      <c r="AL372" s="17">
        <f>MIN(N372,'Scenario Modelling'!$B$2)</f>
        <v>0</v>
      </c>
      <c r="AM372" s="10">
        <f>L372*(1+'Scenario Modelling'!$B$3)</f>
        <v>1396.6635</v>
      </c>
      <c r="AN372">
        <f>O372*(1+'Scenario Modelling'!$B$4)</f>
        <v>13.2</v>
      </c>
      <c r="AO372" s="28">
        <f t="shared" si="129"/>
        <v>20248.14</v>
      </c>
      <c r="AP372" s="10">
        <f t="shared" si="130"/>
        <v>1812.1818</v>
      </c>
    </row>
    <row r="373" spans="1:42">
      <c r="A373" t="s">
        <v>1007</v>
      </c>
      <c r="B373" s="7">
        <v>45022</v>
      </c>
      <c r="C373" s="7">
        <v>45024</v>
      </c>
      <c r="D373" t="s">
        <v>177</v>
      </c>
      <c r="E373" t="s">
        <v>186</v>
      </c>
      <c r="F373" t="s">
        <v>228</v>
      </c>
      <c r="G373" t="s">
        <v>223</v>
      </c>
      <c r="H373" t="s">
        <v>201</v>
      </c>
      <c r="I373" t="s">
        <v>256</v>
      </c>
      <c r="J373" t="s">
        <v>225</v>
      </c>
      <c r="K373" t="s">
        <v>1008</v>
      </c>
      <c r="L373" s="10">
        <v>720.35</v>
      </c>
      <c r="M373" s="10">
        <v>1571.66</v>
      </c>
      <c r="N373" s="17">
        <v>0.107</v>
      </c>
      <c r="O373">
        <v>23</v>
      </c>
      <c r="P373" t="str">
        <f t="shared" si="111"/>
        <v>Valid</v>
      </c>
      <c r="Q373" s="10">
        <f t="shared" si="112"/>
        <v>1571.66</v>
      </c>
      <c r="R373" t="b">
        <f t="shared" si="113"/>
        <v>0</v>
      </c>
      <c r="S373" s="17">
        <f t="shared" si="114"/>
        <v>0.107</v>
      </c>
      <c r="T373">
        <f t="shared" si="115"/>
        <v>2</v>
      </c>
      <c r="U373" s="26">
        <f t="shared" si="116"/>
        <v>45024</v>
      </c>
      <c r="V373">
        <f t="shared" si="117"/>
        <v>2</v>
      </c>
      <c r="W373" s="10">
        <f t="shared" si="118"/>
        <v>3610950.14474</v>
      </c>
      <c r="X373" s="10">
        <f t="shared" si="119"/>
        <v>36148.18</v>
      </c>
      <c r="Y373" s="10">
        <f t="shared" si="120"/>
        <v>3574801.96474</v>
      </c>
      <c r="Z373" s="14">
        <f t="shared" si="124"/>
        <v>0.989989288538736</v>
      </c>
      <c r="AA373" t="s">
        <v>1571</v>
      </c>
      <c r="AB373" t="str">
        <f t="shared" si="121"/>
        <v>Q2-2023</v>
      </c>
      <c r="AC373" t="str">
        <f t="shared" si="122"/>
        <v>Africa → Nigeria → Abuja</v>
      </c>
      <c r="AD373" t="str">
        <f t="shared" si="123"/>
        <v>Peripherals</v>
      </c>
      <c r="AE373" s="8" t="str">
        <f t="shared" si="110"/>
        <v>Low</v>
      </c>
      <c r="AF373" t="str">
        <f t="shared" si="125"/>
        <v>NIGERIA</v>
      </c>
      <c r="AG373" s="7">
        <v>44941</v>
      </c>
      <c r="AH373" t="str">
        <f t="shared" si="126"/>
        <v>Jan-2023</v>
      </c>
      <c r="AI373" s="9">
        <f t="shared" si="127"/>
        <v>45046</v>
      </c>
      <c r="AJ373">
        <f t="shared" si="131"/>
        <v>1</v>
      </c>
      <c r="AK373">
        <f t="shared" si="128"/>
        <v>0</v>
      </c>
      <c r="AL373" s="17">
        <f>MIN(N373,'Scenario Modelling'!$B$2)</f>
        <v>0.107</v>
      </c>
      <c r="AM373" s="10">
        <f>L373*(1+'Scenario Modelling'!$B$3)</f>
        <v>828.4025</v>
      </c>
      <c r="AN373">
        <f>O373*(1+'Scenario Modelling'!$B$4)</f>
        <v>27.6</v>
      </c>
      <c r="AO373" s="28">
        <f t="shared" si="129"/>
        <v>38736.389688</v>
      </c>
      <c r="AP373" s="10">
        <f t="shared" si="130"/>
        <v>15872.480688</v>
      </c>
    </row>
    <row r="374" spans="1:42">
      <c r="A374" t="s">
        <v>1009</v>
      </c>
      <c r="B374" s="7">
        <v>45751</v>
      </c>
      <c r="C374" s="7">
        <v>45757</v>
      </c>
      <c r="D374" t="s">
        <v>239</v>
      </c>
      <c r="E374" t="s">
        <v>269</v>
      </c>
      <c r="F374" t="s">
        <v>270</v>
      </c>
      <c r="G374" t="s">
        <v>200</v>
      </c>
      <c r="H374" t="s">
        <v>259</v>
      </c>
      <c r="I374" t="s">
        <v>287</v>
      </c>
      <c r="J374" t="s">
        <v>191</v>
      </c>
      <c r="K374" t="s">
        <v>1010</v>
      </c>
      <c r="L374" s="10">
        <v>290.14</v>
      </c>
      <c r="M374" s="10">
        <v>250.73</v>
      </c>
      <c r="N374" s="17">
        <v>0.034</v>
      </c>
      <c r="O374">
        <v>17</v>
      </c>
      <c r="P374" t="str">
        <f t="shared" si="111"/>
        <v>Valid</v>
      </c>
      <c r="Q374" s="10">
        <f t="shared" si="112"/>
        <v>250.73</v>
      </c>
      <c r="R374" t="b">
        <f t="shared" si="113"/>
        <v>0</v>
      </c>
      <c r="S374" s="17">
        <f t="shared" si="114"/>
        <v>0.034</v>
      </c>
      <c r="T374">
        <f t="shared" si="115"/>
        <v>6</v>
      </c>
      <c r="U374" s="26">
        <f t="shared" si="116"/>
        <v>45757</v>
      </c>
      <c r="V374">
        <f t="shared" si="117"/>
        <v>6</v>
      </c>
      <c r="W374" s="10">
        <f t="shared" si="118"/>
        <v>426096.07806</v>
      </c>
      <c r="X374" s="10">
        <f t="shared" si="119"/>
        <v>4262.41</v>
      </c>
      <c r="Y374" s="10">
        <f t="shared" si="120"/>
        <v>421833.66806</v>
      </c>
      <c r="Z374" s="14">
        <f t="shared" si="124"/>
        <v>0.989996598843607</v>
      </c>
      <c r="AA374" t="s">
        <v>1578</v>
      </c>
      <c r="AB374" t="str">
        <f t="shared" si="121"/>
        <v>Q2-2025</v>
      </c>
      <c r="AC374" t="str">
        <f t="shared" si="122"/>
        <v>Europe → United Kingdom → Birmingham</v>
      </c>
      <c r="AD374" t="str">
        <f t="shared" si="123"/>
        <v>Peripherals</v>
      </c>
      <c r="AE374" s="8" t="str">
        <f t="shared" ref="AE374:AE437" si="132">IF(B374&lt;=PERCENTILE($B$2:$B$632,0.33),"Low",IF(B374&lt;=PERCENTILE($B$2:$B$632,0.66),"Medium","High"))</f>
        <v>High</v>
      </c>
      <c r="AF374" t="str">
        <f t="shared" si="125"/>
        <v>UNITED KINGDOM</v>
      </c>
      <c r="AG374" s="7">
        <v>44945</v>
      </c>
      <c r="AH374" t="str">
        <f t="shared" si="126"/>
        <v>Jan-2023</v>
      </c>
      <c r="AI374" s="9">
        <f t="shared" si="127"/>
        <v>45777</v>
      </c>
      <c r="AJ374">
        <f t="shared" si="131"/>
        <v>1</v>
      </c>
      <c r="AK374">
        <f t="shared" si="128"/>
        <v>0</v>
      </c>
      <c r="AL374" s="17">
        <f>MIN(N374,'Scenario Modelling'!$B$2)</f>
        <v>0.034</v>
      </c>
      <c r="AM374" s="10">
        <f>L374*(1+'Scenario Modelling'!$B$3)</f>
        <v>333.661</v>
      </c>
      <c r="AN374">
        <f>O374*(1+'Scenario Modelling'!$B$4)</f>
        <v>20.4</v>
      </c>
      <c r="AO374" s="28">
        <f t="shared" si="129"/>
        <v>4940.985672</v>
      </c>
      <c r="AP374" s="10">
        <f t="shared" si="130"/>
        <v>-1865.698728</v>
      </c>
    </row>
    <row r="375" spans="1:42">
      <c r="A375" t="s">
        <v>1011</v>
      </c>
      <c r="B375" s="7">
        <v>45429</v>
      </c>
      <c r="C375" s="7">
        <v>45439</v>
      </c>
      <c r="D375" t="s">
        <v>213</v>
      </c>
      <c r="E375" t="s">
        <v>283</v>
      </c>
      <c r="F375" t="s">
        <v>487</v>
      </c>
      <c r="G375" t="s">
        <v>200</v>
      </c>
      <c r="H375" t="s">
        <v>189</v>
      </c>
      <c r="I375" t="s">
        <v>182</v>
      </c>
      <c r="J375" t="s">
        <v>203</v>
      </c>
      <c r="K375" t="s">
        <v>1012</v>
      </c>
      <c r="L375" s="10">
        <v>1484.23</v>
      </c>
      <c r="M375" s="10">
        <v>3472.81</v>
      </c>
      <c r="N375" s="17">
        <v>0.256</v>
      </c>
      <c r="O375">
        <v>12</v>
      </c>
      <c r="P375" t="str">
        <f t="shared" si="111"/>
        <v>Valid</v>
      </c>
      <c r="Q375" s="10">
        <f t="shared" si="112"/>
        <v>3472.81</v>
      </c>
      <c r="R375" t="b">
        <f t="shared" si="113"/>
        <v>0</v>
      </c>
      <c r="S375" s="17">
        <f t="shared" si="114"/>
        <v>0.256</v>
      </c>
      <c r="T375">
        <f t="shared" si="115"/>
        <v>10</v>
      </c>
      <c r="U375" s="26">
        <f t="shared" si="116"/>
        <v>45439</v>
      </c>
      <c r="V375">
        <f t="shared" si="117"/>
        <v>10</v>
      </c>
      <c r="W375" s="10">
        <f t="shared" si="118"/>
        <v>4156703.52768</v>
      </c>
      <c r="X375" s="10">
        <f t="shared" si="119"/>
        <v>41673.72</v>
      </c>
      <c r="Y375" s="10">
        <f t="shared" si="120"/>
        <v>4115029.80768</v>
      </c>
      <c r="Z375" s="14">
        <f t="shared" si="124"/>
        <v>0.989974334295797</v>
      </c>
      <c r="AA375" t="s">
        <v>1566</v>
      </c>
      <c r="AB375" t="str">
        <f t="shared" si="121"/>
        <v>Q2-2024</v>
      </c>
      <c r="AC375" t="str">
        <f t="shared" si="122"/>
        <v>Americas → USA → Austin</v>
      </c>
      <c r="AD375" t="str">
        <f t="shared" si="123"/>
        <v>Devices</v>
      </c>
      <c r="AE375" s="8" t="str">
        <f t="shared" si="132"/>
        <v>Medium</v>
      </c>
      <c r="AF375" t="str">
        <f t="shared" si="125"/>
        <v>USA</v>
      </c>
      <c r="AG375" s="7">
        <v>44939</v>
      </c>
      <c r="AH375" t="str">
        <f t="shared" si="126"/>
        <v>Jan-2023</v>
      </c>
      <c r="AI375" s="9">
        <f t="shared" si="127"/>
        <v>45443</v>
      </c>
      <c r="AJ375">
        <f t="shared" si="131"/>
        <v>0</v>
      </c>
      <c r="AK375">
        <f t="shared" si="128"/>
        <v>1</v>
      </c>
      <c r="AL375" s="17">
        <f>MIN(N375,'Scenario Modelling'!$B$2)</f>
        <v>0.25</v>
      </c>
      <c r="AM375" s="10">
        <f>L375*(1+'Scenario Modelling'!$B$3)</f>
        <v>1706.8645</v>
      </c>
      <c r="AN375">
        <f>O375*(1+'Scenario Modelling'!$B$4)</f>
        <v>14.4</v>
      </c>
      <c r="AO375" s="28">
        <f t="shared" si="129"/>
        <v>37506.348</v>
      </c>
      <c r="AP375" s="10">
        <f t="shared" si="130"/>
        <v>12927.4992</v>
      </c>
    </row>
    <row r="376" spans="1:42">
      <c r="A376" t="s">
        <v>1013</v>
      </c>
      <c r="B376" s="7">
        <v>45354</v>
      </c>
      <c r="C376" s="7">
        <v>45370</v>
      </c>
      <c r="D376" t="s">
        <v>206</v>
      </c>
      <c r="E376" t="s">
        <v>277</v>
      </c>
      <c r="F376" t="s">
        <v>499</v>
      </c>
      <c r="G376" t="s">
        <v>209</v>
      </c>
      <c r="H376" t="s">
        <v>216</v>
      </c>
      <c r="I376" t="s">
        <v>202</v>
      </c>
      <c r="J376" t="s">
        <v>203</v>
      </c>
      <c r="K376" t="s">
        <v>1014</v>
      </c>
      <c r="L376" s="10">
        <v>988.83</v>
      </c>
      <c r="M376" s="10">
        <v>1206.04</v>
      </c>
      <c r="N376" s="17">
        <v>0.063</v>
      </c>
      <c r="O376">
        <v>34</v>
      </c>
      <c r="P376" t="str">
        <f t="shared" si="111"/>
        <v>Valid</v>
      </c>
      <c r="Q376" s="10">
        <f t="shared" si="112"/>
        <v>1206.04</v>
      </c>
      <c r="R376" t="b">
        <f t="shared" si="113"/>
        <v>0</v>
      </c>
      <c r="S376" s="17">
        <f t="shared" si="114"/>
        <v>0.063</v>
      </c>
      <c r="T376">
        <f t="shared" si="115"/>
        <v>16</v>
      </c>
      <c r="U376" s="26">
        <f t="shared" si="116"/>
        <v>45370</v>
      </c>
      <c r="V376">
        <f t="shared" si="117"/>
        <v>16</v>
      </c>
      <c r="W376" s="10">
        <f t="shared" si="118"/>
        <v>4097952.66232</v>
      </c>
      <c r="X376" s="10">
        <f t="shared" si="119"/>
        <v>41005.36</v>
      </c>
      <c r="Y376" s="10">
        <f t="shared" si="120"/>
        <v>4056947.30232</v>
      </c>
      <c r="Z376" s="14">
        <f t="shared" si="124"/>
        <v>0.989993696028498</v>
      </c>
      <c r="AA376" t="s">
        <v>1560</v>
      </c>
      <c r="AB376" t="str">
        <f t="shared" si="121"/>
        <v>Q1-2024</v>
      </c>
      <c r="AC376" t="str">
        <f t="shared" si="122"/>
        <v>Asia → China → Beijing</v>
      </c>
      <c r="AD376" t="str">
        <f t="shared" si="123"/>
        <v>Devices</v>
      </c>
      <c r="AE376" s="8" t="str">
        <f t="shared" si="132"/>
        <v>Medium</v>
      </c>
      <c r="AF376" t="str">
        <f t="shared" si="125"/>
        <v>CHINA</v>
      </c>
      <c r="AG376" s="7">
        <v>44938</v>
      </c>
      <c r="AH376" t="str">
        <f t="shared" si="126"/>
        <v>Jan-2023</v>
      </c>
      <c r="AI376" s="9">
        <f t="shared" si="127"/>
        <v>45382</v>
      </c>
      <c r="AJ376">
        <f t="shared" si="131"/>
        <v>0</v>
      </c>
      <c r="AK376">
        <f t="shared" si="128"/>
        <v>0</v>
      </c>
      <c r="AL376" s="17">
        <f>MIN(N376,'Scenario Modelling'!$B$2)</f>
        <v>0.063</v>
      </c>
      <c r="AM376" s="10">
        <f>L376*(1+'Scenario Modelling'!$B$3)</f>
        <v>1137.1545</v>
      </c>
      <c r="AN376">
        <f>O376*(1+'Scenario Modelling'!$B$4)</f>
        <v>40.8</v>
      </c>
      <c r="AO376" s="28">
        <f t="shared" si="129"/>
        <v>46106.426784</v>
      </c>
      <c r="AP376" s="10">
        <f t="shared" si="130"/>
        <v>-289.47681599999</v>
      </c>
    </row>
    <row r="377" spans="1:42">
      <c r="A377" t="s">
        <v>1015</v>
      </c>
      <c r="B377" s="7">
        <v>45835</v>
      </c>
      <c r="C377" s="7">
        <v>45849</v>
      </c>
      <c r="D377" t="s">
        <v>206</v>
      </c>
      <c r="E377" t="s">
        <v>277</v>
      </c>
      <c r="F377" t="s">
        <v>323</v>
      </c>
      <c r="G377" t="s">
        <v>223</v>
      </c>
      <c r="H377" t="s">
        <v>201</v>
      </c>
      <c r="I377" t="s">
        <v>210</v>
      </c>
      <c r="J377" t="s">
        <v>196</v>
      </c>
      <c r="K377" t="s">
        <v>1016</v>
      </c>
      <c r="L377" s="10">
        <v>1227.7</v>
      </c>
      <c r="M377" s="10">
        <v>2197.23</v>
      </c>
      <c r="N377" s="17">
        <v>0.099</v>
      </c>
      <c r="O377">
        <v>22</v>
      </c>
      <c r="P377" t="str">
        <f t="shared" si="111"/>
        <v>Valid</v>
      </c>
      <c r="Q377" s="10">
        <f t="shared" si="112"/>
        <v>2197.23</v>
      </c>
      <c r="R377" t="b">
        <f t="shared" si="113"/>
        <v>0</v>
      </c>
      <c r="S377" s="17">
        <f t="shared" si="114"/>
        <v>0.099</v>
      </c>
      <c r="T377">
        <f t="shared" si="115"/>
        <v>14</v>
      </c>
      <c r="U377" s="26">
        <f t="shared" si="116"/>
        <v>45849</v>
      </c>
      <c r="V377">
        <f t="shared" si="117"/>
        <v>14</v>
      </c>
      <c r="W377" s="10">
        <f t="shared" si="118"/>
        <v>4829120.43306</v>
      </c>
      <c r="X377" s="10">
        <f t="shared" si="119"/>
        <v>48339.06</v>
      </c>
      <c r="Y377" s="10">
        <f t="shared" si="120"/>
        <v>4780781.37306</v>
      </c>
      <c r="Z377" s="14">
        <f t="shared" si="124"/>
        <v>0.989990090189288</v>
      </c>
      <c r="AA377" t="s">
        <v>1575</v>
      </c>
      <c r="AB377" t="str">
        <f t="shared" si="121"/>
        <v>Q2-2025</v>
      </c>
      <c r="AC377" t="str">
        <f t="shared" si="122"/>
        <v>Asia → China → Shanghai</v>
      </c>
      <c r="AD377" t="str">
        <f t="shared" si="123"/>
        <v>Support</v>
      </c>
      <c r="AE377" s="8" t="str">
        <f t="shared" si="132"/>
        <v>High</v>
      </c>
      <c r="AF377" t="str">
        <f t="shared" si="125"/>
        <v>CHINA</v>
      </c>
      <c r="AG377" s="7">
        <v>44938</v>
      </c>
      <c r="AH377" t="str">
        <f t="shared" si="126"/>
        <v>Jan-2023</v>
      </c>
      <c r="AI377" s="9">
        <f t="shared" si="127"/>
        <v>45838</v>
      </c>
      <c r="AJ377">
        <f t="shared" si="131"/>
        <v>0</v>
      </c>
      <c r="AK377">
        <f t="shared" si="128"/>
        <v>0</v>
      </c>
      <c r="AL377" s="17">
        <f>MIN(N377,'Scenario Modelling'!$B$2)</f>
        <v>0.099</v>
      </c>
      <c r="AM377" s="10">
        <f>L377*(1+'Scenario Modelling'!$B$3)</f>
        <v>1411.855</v>
      </c>
      <c r="AN377">
        <f>O377*(1+'Scenario Modelling'!$B$4)</f>
        <v>26.4</v>
      </c>
      <c r="AO377" s="28">
        <f t="shared" si="129"/>
        <v>52264.191672</v>
      </c>
      <c r="AP377" s="10">
        <f t="shared" si="130"/>
        <v>14991.219672</v>
      </c>
    </row>
    <row r="378" spans="1:42">
      <c r="A378" t="s">
        <v>1017</v>
      </c>
      <c r="B378" s="7">
        <v>44998</v>
      </c>
      <c r="C378" s="7">
        <v>45020</v>
      </c>
      <c r="D378" t="s">
        <v>177</v>
      </c>
      <c r="E378" t="s">
        <v>309</v>
      </c>
      <c r="F378" t="s">
        <v>333</v>
      </c>
      <c r="G378" t="s">
        <v>223</v>
      </c>
      <c r="H378" t="s">
        <v>181</v>
      </c>
      <c r="I378" t="s">
        <v>236</v>
      </c>
      <c r="J378" t="s">
        <v>183</v>
      </c>
      <c r="K378" t="s">
        <v>1018</v>
      </c>
      <c r="L378" s="10">
        <v>1113.7</v>
      </c>
      <c r="M378" s="10">
        <v>1620.6</v>
      </c>
      <c r="N378" s="17">
        <v>0.139</v>
      </c>
      <c r="O378">
        <v>11</v>
      </c>
      <c r="P378" t="str">
        <f t="shared" si="111"/>
        <v>Valid</v>
      </c>
      <c r="Q378" s="10">
        <f t="shared" si="112"/>
        <v>1620.6</v>
      </c>
      <c r="R378" t="b">
        <f t="shared" si="113"/>
        <v>0</v>
      </c>
      <c r="S378" s="17">
        <f t="shared" si="114"/>
        <v>0.139</v>
      </c>
      <c r="T378">
        <f t="shared" si="115"/>
        <v>22</v>
      </c>
      <c r="U378" s="26">
        <f t="shared" si="116"/>
        <v>45020</v>
      </c>
      <c r="V378">
        <f t="shared" si="117"/>
        <v>22</v>
      </c>
      <c r="W378" s="10">
        <f t="shared" si="118"/>
        <v>1780182.1026</v>
      </c>
      <c r="X378" s="10">
        <f t="shared" si="119"/>
        <v>17826.6</v>
      </c>
      <c r="Y378" s="10">
        <f t="shared" si="120"/>
        <v>1762355.5026</v>
      </c>
      <c r="Z378" s="14">
        <f t="shared" si="124"/>
        <v>0.989986080652106</v>
      </c>
      <c r="AA378" t="s">
        <v>1582</v>
      </c>
      <c r="AB378" t="str">
        <f t="shared" si="121"/>
        <v>Q1-2023</v>
      </c>
      <c r="AC378" t="str">
        <f t="shared" si="122"/>
        <v>Africa → South Africa → Durban</v>
      </c>
      <c r="AD378" t="str">
        <f t="shared" si="123"/>
        <v>Support</v>
      </c>
      <c r="AE378" s="8" t="str">
        <f t="shared" si="132"/>
        <v>Low</v>
      </c>
      <c r="AF378" t="str">
        <f t="shared" si="125"/>
        <v>SOUTH AFRICA</v>
      </c>
      <c r="AG378" s="7">
        <v>44933</v>
      </c>
      <c r="AH378" t="str">
        <f t="shared" si="126"/>
        <v>Jan-2023</v>
      </c>
      <c r="AI378" s="9">
        <f t="shared" si="127"/>
        <v>45016</v>
      </c>
      <c r="AJ378">
        <f t="shared" si="131"/>
        <v>0</v>
      </c>
      <c r="AK378">
        <f t="shared" si="128"/>
        <v>0</v>
      </c>
      <c r="AL378" s="17">
        <f>MIN(N378,'Scenario Modelling'!$B$2)</f>
        <v>0.139</v>
      </c>
      <c r="AM378" s="10">
        <f>L378*(1+'Scenario Modelling'!$B$3)</f>
        <v>1280.755</v>
      </c>
      <c r="AN378">
        <f>O378*(1+'Scenario Modelling'!$B$4)</f>
        <v>13.2</v>
      </c>
      <c r="AO378" s="28">
        <f t="shared" si="129"/>
        <v>18418.44312</v>
      </c>
      <c r="AP378" s="10">
        <f t="shared" si="130"/>
        <v>1512.47712</v>
      </c>
    </row>
    <row r="379" spans="1:42">
      <c r="A379" t="s">
        <v>1019</v>
      </c>
      <c r="B379" s="7">
        <v>45664</v>
      </c>
      <c r="C379" s="7">
        <v>45677</v>
      </c>
      <c r="D379" t="s">
        <v>177</v>
      </c>
      <c r="E379" t="s">
        <v>309</v>
      </c>
      <c r="F379" t="s">
        <v>419</v>
      </c>
      <c r="G379" t="s">
        <v>180</v>
      </c>
      <c r="H379" t="s">
        <v>259</v>
      </c>
      <c r="I379" t="s">
        <v>256</v>
      </c>
      <c r="J379" t="s">
        <v>196</v>
      </c>
      <c r="K379" t="s">
        <v>1020</v>
      </c>
      <c r="L379" s="10">
        <v>432.13</v>
      </c>
      <c r="M379" s="10">
        <v>1034.66</v>
      </c>
      <c r="N379" s="17">
        <v>0.092</v>
      </c>
      <c r="O379">
        <v>7</v>
      </c>
      <c r="P379" t="str">
        <f t="shared" si="111"/>
        <v>Valid</v>
      </c>
      <c r="Q379" s="10">
        <f t="shared" si="112"/>
        <v>1034.66</v>
      </c>
      <c r="R379" t="b">
        <f t="shared" si="113"/>
        <v>0</v>
      </c>
      <c r="S379" s="17">
        <f t="shared" si="114"/>
        <v>0.092</v>
      </c>
      <c r="T379">
        <f t="shared" si="115"/>
        <v>13</v>
      </c>
      <c r="U379" s="26">
        <f t="shared" si="116"/>
        <v>45677</v>
      </c>
      <c r="V379">
        <f t="shared" si="117"/>
        <v>13</v>
      </c>
      <c r="W379" s="10">
        <f t="shared" si="118"/>
        <v>723595.67896</v>
      </c>
      <c r="X379" s="10">
        <f t="shared" si="119"/>
        <v>7242.62</v>
      </c>
      <c r="Y379" s="10">
        <f t="shared" si="120"/>
        <v>716353.05896</v>
      </c>
      <c r="Z379" s="14">
        <f t="shared" si="124"/>
        <v>0.989990791528206</v>
      </c>
      <c r="AA379" t="s">
        <v>1569</v>
      </c>
      <c r="AB379" t="str">
        <f t="shared" si="121"/>
        <v>Q1-2025</v>
      </c>
      <c r="AC379" t="str">
        <f t="shared" si="122"/>
        <v>Africa → South Africa → Cape Town</v>
      </c>
      <c r="AD379" t="str">
        <f t="shared" si="123"/>
        <v>Support</v>
      </c>
      <c r="AE379" s="8" t="str">
        <f t="shared" si="132"/>
        <v>High</v>
      </c>
      <c r="AF379" t="str">
        <f t="shared" si="125"/>
        <v>SOUTH AFRICA</v>
      </c>
      <c r="AG379" s="7">
        <v>44933</v>
      </c>
      <c r="AH379" t="str">
        <f t="shared" si="126"/>
        <v>Jan-2023</v>
      </c>
      <c r="AI379" s="9">
        <f t="shared" si="127"/>
        <v>45688</v>
      </c>
      <c r="AJ379">
        <f t="shared" si="131"/>
        <v>0</v>
      </c>
      <c r="AK379">
        <f t="shared" si="128"/>
        <v>0</v>
      </c>
      <c r="AL379" s="17">
        <f>MIN(N379,'Scenario Modelling'!$B$2)</f>
        <v>0.092</v>
      </c>
      <c r="AM379" s="10">
        <f>L379*(1+'Scenario Modelling'!$B$3)</f>
        <v>496.9495</v>
      </c>
      <c r="AN379">
        <f>O379*(1+'Scenario Modelling'!$B$4)</f>
        <v>8.4</v>
      </c>
      <c r="AO379" s="28">
        <f t="shared" si="129"/>
        <v>7891.558752</v>
      </c>
      <c r="AP379" s="10">
        <f t="shared" si="130"/>
        <v>3717.182952</v>
      </c>
    </row>
    <row r="380" spans="1:42">
      <c r="A380" t="s">
        <v>1021</v>
      </c>
      <c r="B380" s="7">
        <v>45694</v>
      </c>
      <c r="C380" s="7">
        <v>45703</v>
      </c>
      <c r="D380" t="s">
        <v>213</v>
      </c>
      <c r="E380" t="s">
        <v>234</v>
      </c>
      <c r="F380" t="s">
        <v>235</v>
      </c>
      <c r="G380" t="s">
        <v>200</v>
      </c>
      <c r="H380" t="s">
        <v>216</v>
      </c>
      <c r="I380" t="s">
        <v>245</v>
      </c>
      <c r="J380" t="s">
        <v>196</v>
      </c>
      <c r="K380" t="s">
        <v>1022</v>
      </c>
      <c r="L380" s="10">
        <v>837.39</v>
      </c>
      <c r="M380" s="10">
        <v>1905.42</v>
      </c>
      <c r="N380" s="17">
        <v>0.032</v>
      </c>
      <c r="O380">
        <v>18</v>
      </c>
      <c r="P380" t="str">
        <f t="shared" si="111"/>
        <v>Valid</v>
      </c>
      <c r="Q380" s="10">
        <f t="shared" si="112"/>
        <v>1905.42</v>
      </c>
      <c r="R380" t="b">
        <f t="shared" si="113"/>
        <v>0</v>
      </c>
      <c r="S380" s="17">
        <f t="shared" si="114"/>
        <v>0.032</v>
      </c>
      <c r="T380">
        <f t="shared" si="115"/>
        <v>9</v>
      </c>
      <c r="U380" s="26">
        <f t="shared" si="116"/>
        <v>45703</v>
      </c>
      <c r="V380">
        <f t="shared" si="117"/>
        <v>9</v>
      </c>
      <c r="W380" s="10">
        <f t="shared" si="118"/>
        <v>3428658.47808</v>
      </c>
      <c r="X380" s="10">
        <f t="shared" si="119"/>
        <v>34297.56</v>
      </c>
      <c r="Y380" s="10">
        <f t="shared" si="120"/>
        <v>3394360.91808</v>
      </c>
      <c r="Z380" s="14">
        <f t="shared" si="124"/>
        <v>0.989996798975672</v>
      </c>
      <c r="AA380" t="s">
        <v>1586</v>
      </c>
      <c r="AB380" t="str">
        <f t="shared" si="121"/>
        <v>Q1-2025</v>
      </c>
      <c r="AC380" t="str">
        <f t="shared" si="122"/>
        <v>Americas → Brazil → São Paulo</v>
      </c>
      <c r="AD380" t="str">
        <f t="shared" si="123"/>
        <v>Support</v>
      </c>
      <c r="AE380" s="8" t="str">
        <f t="shared" si="132"/>
        <v>High</v>
      </c>
      <c r="AF380" t="str">
        <f t="shared" si="125"/>
        <v>BRAZIL</v>
      </c>
      <c r="AG380" s="7">
        <v>44955</v>
      </c>
      <c r="AH380" t="str">
        <f t="shared" si="126"/>
        <v>Jan-2023</v>
      </c>
      <c r="AI380" s="9">
        <f t="shared" si="127"/>
        <v>45716</v>
      </c>
      <c r="AJ380">
        <f t="shared" si="131"/>
        <v>0</v>
      </c>
      <c r="AK380">
        <f t="shared" si="128"/>
        <v>0</v>
      </c>
      <c r="AL380" s="17">
        <f>MIN(N380,'Scenario Modelling'!$B$2)</f>
        <v>0.032</v>
      </c>
      <c r="AM380" s="10">
        <f>L380*(1+'Scenario Modelling'!$B$3)</f>
        <v>962.9985</v>
      </c>
      <c r="AN380">
        <f>O380*(1+'Scenario Modelling'!$B$4)</f>
        <v>21.6</v>
      </c>
      <c r="AO380" s="28">
        <f t="shared" si="129"/>
        <v>39840.045696</v>
      </c>
      <c r="AP380" s="10">
        <f t="shared" si="130"/>
        <v>19039.278096</v>
      </c>
    </row>
    <row r="381" spans="1:42">
      <c r="A381" t="s">
        <v>1023</v>
      </c>
      <c r="B381" s="7">
        <v>45688</v>
      </c>
      <c r="C381" s="7">
        <v>45705</v>
      </c>
      <c r="D381" t="s">
        <v>239</v>
      </c>
      <c r="E381" t="s">
        <v>269</v>
      </c>
      <c r="F381" t="s">
        <v>313</v>
      </c>
      <c r="G381" t="s">
        <v>266</v>
      </c>
      <c r="H381" t="s">
        <v>181</v>
      </c>
      <c r="I381" t="s">
        <v>253</v>
      </c>
      <c r="J381" t="s">
        <v>183</v>
      </c>
      <c r="K381" t="s">
        <v>415</v>
      </c>
      <c r="L381" s="10">
        <v>378.26</v>
      </c>
      <c r="M381" s="10">
        <v>541.56</v>
      </c>
      <c r="N381" s="17">
        <v>0.163</v>
      </c>
      <c r="O381">
        <v>25</v>
      </c>
      <c r="P381" t="str">
        <f t="shared" si="111"/>
        <v>Valid</v>
      </c>
      <c r="Q381" s="10">
        <f t="shared" si="112"/>
        <v>541.56</v>
      </c>
      <c r="R381" t="b">
        <f t="shared" si="113"/>
        <v>0</v>
      </c>
      <c r="S381" s="17">
        <f t="shared" si="114"/>
        <v>0.163</v>
      </c>
      <c r="T381">
        <f t="shared" si="115"/>
        <v>17</v>
      </c>
      <c r="U381" s="26">
        <f t="shared" si="116"/>
        <v>45705</v>
      </c>
      <c r="V381">
        <f t="shared" si="117"/>
        <v>17</v>
      </c>
      <c r="W381" s="10">
        <f t="shared" si="118"/>
        <v>1351693.143</v>
      </c>
      <c r="X381" s="10">
        <f t="shared" si="119"/>
        <v>13539</v>
      </c>
      <c r="Y381" s="10">
        <f t="shared" si="120"/>
        <v>1338154.143</v>
      </c>
      <c r="Z381" s="14">
        <f t="shared" si="124"/>
        <v>0.989983673387622</v>
      </c>
      <c r="AA381" t="s">
        <v>1569</v>
      </c>
      <c r="AB381" t="str">
        <f t="shared" si="121"/>
        <v>Q1-2025</v>
      </c>
      <c r="AC381" t="str">
        <f t="shared" si="122"/>
        <v>Europe → United Kingdom → London</v>
      </c>
      <c r="AD381" t="str">
        <f t="shared" si="123"/>
        <v>Support</v>
      </c>
      <c r="AE381" s="8" t="str">
        <f t="shared" si="132"/>
        <v>High</v>
      </c>
      <c r="AF381" t="str">
        <f t="shared" si="125"/>
        <v>UNITED KINGDOM</v>
      </c>
      <c r="AG381" s="7">
        <v>44945</v>
      </c>
      <c r="AH381" t="str">
        <f t="shared" si="126"/>
        <v>Jan-2023</v>
      </c>
      <c r="AI381" s="9">
        <f t="shared" si="127"/>
        <v>45688</v>
      </c>
      <c r="AJ381">
        <f t="shared" si="131"/>
        <v>0</v>
      </c>
      <c r="AK381">
        <f t="shared" si="128"/>
        <v>0</v>
      </c>
      <c r="AL381" s="17">
        <f>MIN(N381,'Scenario Modelling'!$B$2)</f>
        <v>0.163</v>
      </c>
      <c r="AM381" s="10">
        <f>L381*(1+'Scenario Modelling'!$B$3)</f>
        <v>434.999</v>
      </c>
      <c r="AN381">
        <f>O381*(1+'Scenario Modelling'!$B$4)</f>
        <v>30</v>
      </c>
      <c r="AO381" s="28">
        <f t="shared" si="129"/>
        <v>13598.5716</v>
      </c>
      <c r="AP381" s="10">
        <f t="shared" si="130"/>
        <v>548.601599999998</v>
      </c>
    </row>
    <row r="382" spans="1:42">
      <c r="A382" t="s">
        <v>1024</v>
      </c>
      <c r="B382" s="7">
        <v>45876</v>
      </c>
      <c r="C382" s="7">
        <v>45906</v>
      </c>
      <c r="D382" t="s">
        <v>213</v>
      </c>
      <c r="E382" t="s">
        <v>214</v>
      </c>
      <c r="F382" t="s">
        <v>305</v>
      </c>
      <c r="G382" t="s">
        <v>188</v>
      </c>
      <c r="H382" t="s">
        <v>259</v>
      </c>
      <c r="I382" t="s">
        <v>271</v>
      </c>
      <c r="J382" t="s">
        <v>196</v>
      </c>
      <c r="K382" t="s">
        <v>1025</v>
      </c>
      <c r="L382" s="10">
        <v>833.73</v>
      </c>
      <c r="M382" s="10">
        <v>1116.6</v>
      </c>
      <c r="N382" s="17">
        <v>0.176</v>
      </c>
      <c r="O382">
        <v>14</v>
      </c>
      <c r="P382" t="str">
        <f t="shared" si="111"/>
        <v>Valid</v>
      </c>
      <c r="Q382" s="10">
        <f t="shared" si="112"/>
        <v>1116.6</v>
      </c>
      <c r="R382" t="b">
        <f t="shared" si="113"/>
        <v>0</v>
      </c>
      <c r="S382" s="17">
        <f t="shared" si="114"/>
        <v>0.176</v>
      </c>
      <c r="T382">
        <f t="shared" si="115"/>
        <v>30</v>
      </c>
      <c r="U382" s="26">
        <f t="shared" si="116"/>
        <v>45906</v>
      </c>
      <c r="V382">
        <f t="shared" si="117"/>
        <v>30</v>
      </c>
      <c r="W382" s="10">
        <f t="shared" si="118"/>
        <v>1560488.6976</v>
      </c>
      <c r="X382" s="10">
        <f t="shared" si="119"/>
        <v>15632.4</v>
      </c>
      <c r="Y382" s="10">
        <f t="shared" si="120"/>
        <v>1544856.2976</v>
      </c>
      <c r="Z382" s="14">
        <f t="shared" si="124"/>
        <v>0.989982368969386</v>
      </c>
      <c r="AA382" t="s">
        <v>1590</v>
      </c>
      <c r="AB382" t="str">
        <f t="shared" si="121"/>
        <v>Q3-2025</v>
      </c>
      <c r="AC382" t="str">
        <f t="shared" si="122"/>
        <v>Americas → Canada → Montreal</v>
      </c>
      <c r="AD382" t="str">
        <f t="shared" si="123"/>
        <v>Support</v>
      </c>
      <c r="AE382" s="8" t="str">
        <f t="shared" si="132"/>
        <v>High</v>
      </c>
      <c r="AF382" t="str">
        <f t="shared" si="125"/>
        <v>CANADA</v>
      </c>
      <c r="AG382" s="7">
        <v>44928</v>
      </c>
      <c r="AH382" t="str">
        <f t="shared" si="126"/>
        <v>Jan-2023</v>
      </c>
      <c r="AI382" s="9">
        <f t="shared" si="127"/>
        <v>45900</v>
      </c>
      <c r="AJ382">
        <f t="shared" si="131"/>
        <v>0</v>
      </c>
      <c r="AK382">
        <f t="shared" si="128"/>
        <v>0</v>
      </c>
      <c r="AL382" s="17">
        <f>MIN(N382,'Scenario Modelling'!$B$2)</f>
        <v>0.176</v>
      </c>
      <c r="AM382" s="10">
        <f>L382*(1+'Scenario Modelling'!$B$3)</f>
        <v>958.7895</v>
      </c>
      <c r="AN382">
        <f>O382*(1+'Scenario Modelling'!$B$4)</f>
        <v>16.8</v>
      </c>
      <c r="AO382" s="28">
        <f t="shared" si="129"/>
        <v>15457.31712</v>
      </c>
      <c r="AP382" s="10">
        <f t="shared" si="130"/>
        <v>-650.34648</v>
      </c>
    </row>
    <row r="383" spans="1:42">
      <c r="A383" t="s">
        <v>1026</v>
      </c>
      <c r="B383" s="7">
        <v>45861</v>
      </c>
      <c r="C383" s="7">
        <v>45886</v>
      </c>
      <c r="D383" t="s">
        <v>239</v>
      </c>
      <c r="E383" t="s">
        <v>269</v>
      </c>
      <c r="F383" t="s">
        <v>270</v>
      </c>
      <c r="G383" t="s">
        <v>188</v>
      </c>
      <c r="H383" t="s">
        <v>189</v>
      </c>
      <c r="I383" t="s">
        <v>195</v>
      </c>
      <c r="J383" t="s">
        <v>191</v>
      </c>
      <c r="K383" t="s">
        <v>1027</v>
      </c>
      <c r="L383" s="10">
        <v>1142.06</v>
      </c>
      <c r="M383" s="10">
        <v>1455</v>
      </c>
      <c r="N383" s="17">
        <v>0.078</v>
      </c>
      <c r="O383">
        <v>28</v>
      </c>
      <c r="P383" t="str">
        <f t="shared" si="111"/>
        <v>Valid</v>
      </c>
      <c r="Q383" s="10">
        <f t="shared" si="112"/>
        <v>1455</v>
      </c>
      <c r="R383" t="b">
        <f t="shared" si="113"/>
        <v>0</v>
      </c>
      <c r="S383" s="17">
        <f t="shared" si="114"/>
        <v>0.078</v>
      </c>
      <c r="T383">
        <f t="shared" si="115"/>
        <v>25</v>
      </c>
      <c r="U383" s="26">
        <f t="shared" si="116"/>
        <v>45886</v>
      </c>
      <c r="V383">
        <f t="shared" si="117"/>
        <v>25</v>
      </c>
      <c r="W383" s="10">
        <f t="shared" si="118"/>
        <v>4070822.28</v>
      </c>
      <c r="X383" s="10">
        <f t="shared" si="119"/>
        <v>40740</v>
      </c>
      <c r="Y383" s="10">
        <f t="shared" si="120"/>
        <v>4030082.28</v>
      </c>
      <c r="Z383" s="14">
        <f t="shared" si="124"/>
        <v>0.989992193911251</v>
      </c>
      <c r="AA383" t="s">
        <v>1572</v>
      </c>
      <c r="AB383" t="str">
        <f t="shared" si="121"/>
        <v>Q3-2025</v>
      </c>
      <c r="AC383" t="str">
        <f t="shared" si="122"/>
        <v>Europe → United Kingdom → Birmingham</v>
      </c>
      <c r="AD383" t="str">
        <f t="shared" si="123"/>
        <v>Peripherals</v>
      </c>
      <c r="AE383" s="8" t="str">
        <f t="shared" si="132"/>
        <v>High</v>
      </c>
      <c r="AF383" t="str">
        <f t="shared" si="125"/>
        <v>UNITED KINGDOM</v>
      </c>
      <c r="AG383" s="7">
        <v>44945</v>
      </c>
      <c r="AH383" t="str">
        <f t="shared" si="126"/>
        <v>Jan-2023</v>
      </c>
      <c r="AI383" s="9">
        <f t="shared" si="127"/>
        <v>45869</v>
      </c>
      <c r="AJ383">
        <f t="shared" si="131"/>
        <v>0</v>
      </c>
      <c r="AK383">
        <f t="shared" si="128"/>
        <v>0</v>
      </c>
      <c r="AL383" s="17">
        <f>MIN(N383,'Scenario Modelling'!$B$2)</f>
        <v>0.078</v>
      </c>
      <c r="AM383" s="10">
        <f>L383*(1+'Scenario Modelling'!$B$3)</f>
        <v>1313.369</v>
      </c>
      <c r="AN383">
        <f>O383*(1+'Scenario Modelling'!$B$4)</f>
        <v>33.6</v>
      </c>
      <c r="AO383" s="28">
        <f t="shared" si="129"/>
        <v>45074.736</v>
      </c>
      <c r="AP383" s="10">
        <f t="shared" si="130"/>
        <v>945.537600000003</v>
      </c>
    </row>
    <row r="384" spans="1:42">
      <c r="A384" t="s">
        <v>1028</v>
      </c>
      <c r="B384" s="7">
        <v>45097</v>
      </c>
      <c r="C384" s="7">
        <v>45115</v>
      </c>
      <c r="D384" t="s">
        <v>213</v>
      </c>
      <c r="E384" t="s">
        <v>283</v>
      </c>
      <c r="F384" t="s">
        <v>548</v>
      </c>
      <c r="G384" t="s">
        <v>209</v>
      </c>
      <c r="H384" t="s">
        <v>201</v>
      </c>
      <c r="I384" t="s">
        <v>229</v>
      </c>
      <c r="J384" t="s">
        <v>196</v>
      </c>
      <c r="K384" t="s">
        <v>1029</v>
      </c>
      <c r="L384" s="10">
        <v>1145.53</v>
      </c>
      <c r="M384" s="10">
        <v>1278.3</v>
      </c>
      <c r="N384" s="17">
        <v>0.09</v>
      </c>
      <c r="O384">
        <v>41</v>
      </c>
      <c r="P384" t="str">
        <f t="shared" si="111"/>
        <v>Valid</v>
      </c>
      <c r="Q384" s="10">
        <f t="shared" si="112"/>
        <v>1278.3</v>
      </c>
      <c r="R384" t="b">
        <f t="shared" si="113"/>
        <v>0</v>
      </c>
      <c r="S384" s="17">
        <f t="shared" si="114"/>
        <v>0.09</v>
      </c>
      <c r="T384">
        <f t="shared" si="115"/>
        <v>18</v>
      </c>
      <c r="U384" s="26">
        <f t="shared" si="116"/>
        <v>45115</v>
      </c>
      <c r="V384">
        <f t="shared" si="117"/>
        <v>18</v>
      </c>
      <c r="W384" s="10">
        <f t="shared" si="118"/>
        <v>5236313.073</v>
      </c>
      <c r="X384" s="10">
        <f t="shared" si="119"/>
        <v>52410.3</v>
      </c>
      <c r="Y384" s="10">
        <f t="shared" si="120"/>
        <v>5183902.773</v>
      </c>
      <c r="Z384" s="14">
        <f t="shared" si="124"/>
        <v>0.989990991892703</v>
      </c>
      <c r="AA384" t="s">
        <v>1583</v>
      </c>
      <c r="AB384" t="str">
        <f t="shared" si="121"/>
        <v>Q2-2023</v>
      </c>
      <c r="AC384" t="str">
        <f t="shared" si="122"/>
        <v>Americas → USA → New York</v>
      </c>
      <c r="AD384" t="str">
        <f t="shared" si="123"/>
        <v>Support</v>
      </c>
      <c r="AE384" s="8" t="str">
        <f t="shared" si="132"/>
        <v>Low</v>
      </c>
      <c r="AF384" t="str">
        <f t="shared" si="125"/>
        <v>USA</v>
      </c>
      <c r="AG384" s="7">
        <v>44939</v>
      </c>
      <c r="AH384" t="str">
        <f t="shared" si="126"/>
        <v>Jan-2023</v>
      </c>
      <c r="AI384" s="9">
        <f t="shared" si="127"/>
        <v>45107</v>
      </c>
      <c r="AJ384">
        <f t="shared" si="131"/>
        <v>0</v>
      </c>
      <c r="AK384">
        <f t="shared" si="128"/>
        <v>0</v>
      </c>
      <c r="AL384" s="17">
        <f>MIN(N384,'Scenario Modelling'!$B$2)</f>
        <v>0.09</v>
      </c>
      <c r="AM384" s="10">
        <f>L384*(1+'Scenario Modelling'!$B$3)</f>
        <v>1317.3595</v>
      </c>
      <c r="AN384">
        <f>O384*(1+'Scenario Modelling'!$B$4)</f>
        <v>49.2</v>
      </c>
      <c r="AO384" s="28">
        <f t="shared" si="129"/>
        <v>57232.0476</v>
      </c>
      <c r="AP384" s="10">
        <f t="shared" si="130"/>
        <v>-7582.03979999999</v>
      </c>
    </row>
    <row r="385" spans="1:42">
      <c r="A385" t="s">
        <v>1030</v>
      </c>
      <c r="B385" s="7">
        <v>45491</v>
      </c>
      <c r="C385" s="7">
        <v>45511</v>
      </c>
      <c r="D385" t="s">
        <v>239</v>
      </c>
      <c r="E385" t="s">
        <v>251</v>
      </c>
      <c r="F385" t="s">
        <v>252</v>
      </c>
      <c r="G385" t="s">
        <v>180</v>
      </c>
      <c r="H385" t="s">
        <v>181</v>
      </c>
      <c r="I385" t="s">
        <v>245</v>
      </c>
      <c r="J385" t="s">
        <v>225</v>
      </c>
      <c r="K385" t="s">
        <v>1031</v>
      </c>
      <c r="L385" s="10">
        <v>941.35</v>
      </c>
      <c r="M385" s="10">
        <v>899.83</v>
      </c>
      <c r="N385" s="17">
        <v>0.058</v>
      </c>
      <c r="O385">
        <v>18</v>
      </c>
      <c r="P385" t="str">
        <f t="shared" si="111"/>
        <v>Valid</v>
      </c>
      <c r="Q385" s="10">
        <f t="shared" si="112"/>
        <v>899.83</v>
      </c>
      <c r="R385" t="b">
        <f t="shared" si="113"/>
        <v>0</v>
      </c>
      <c r="S385" s="17">
        <f t="shared" si="114"/>
        <v>0.058</v>
      </c>
      <c r="T385">
        <f t="shared" si="115"/>
        <v>20</v>
      </c>
      <c r="U385" s="26">
        <f t="shared" si="116"/>
        <v>45511</v>
      </c>
      <c r="V385">
        <f t="shared" si="117"/>
        <v>20</v>
      </c>
      <c r="W385" s="10">
        <f t="shared" si="118"/>
        <v>1618754.57748</v>
      </c>
      <c r="X385" s="10">
        <f t="shared" si="119"/>
        <v>16196.94</v>
      </c>
      <c r="Y385" s="10">
        <f t="shared" si="120"/>
        <v>1602557.63748</v>
      </c>
      <c r="Z385" s="14">
        <f t="shared" si="124"/>
        <v>0.989994196634048</v>
      </c>
      <c r="AA385" t="s">
        <v>1573</v>
      </c>
      <c r="AB385" t="str">
        <f t="shared" si="121"/>
        <v>Q3-2024</v>
      </c>
      <c r="AC385" t="str">
        <f t="shared" si="122"/>
        <v>Europe → France → Marseille</v>
      </c>
      <c r="AD385" t="str">
        <f t="shared" si="123"/>
        <v>Peripherals</v>
      </c>
      <c r="AE385" s="8" t="str">
        <f t="shared" si="132"/>
        <v>Medium</v>
      </c>
      <c r="AF385" t="str">
        <f t="shared" si="125"/>
        <v>FRANCE</v>
      </c>
      <c r="AG385" s="7">
        <v>44936</v>
      </c>
      <c r="AH385" t="str">
        <f t="shared" si="126"/>
        <v>Jan-2023</v>
      </c>
      <c r="AI385" s="9">
        <f t="shared" si="127"/>
        <v>45504</v>
      </c>
      <c r="AJ385">
        <f t="shared" si="131"/>
        <v>0</v>
      </c>
      <c r="AK385">
        <f t="shared" si="128"/>
        <v>0</v>
      </c>
      <c r="AL385" s="17">
        <f>MIN(N385,'Scenario Modelling'!$B$2)</f>
        <v>0.058</v>
      </c>
      <c r="AM385" s="10">
        <f>L385*(1+'Scenario Modelling'!$B$3)</f>
        <v>1082.5525</v>
      </c>
      <c r="AN385">
        <f>O385*(1+'Scenario Modelling'!$B$4)</f>
        <v>21.6</v>
      </c>
      <c r="AO385" s="28">
        <f t="shared" si="129"/>
        <v>18309.020976</v>
      </c>
      <c r="AP385" s="10">
        <f t="shared" si="130"/>
        <v>-5074.113024</v>
      </c>
    </row>
    <row r="386" spans="1:42">
      <c r="A386" t="s">
        <v>1032</v>
      </c>
      <c r="B386" s="7">
        <v>45066</v>
      </c>
      <c r="C386" s="7">
        <v>45096</v>
      </c>
      <c r="D386" t="s">
        <v>206</v>
      </c>
      <c r="E386" t="s">
        <v>221</v>
      </c>
      <c r="F386" t="s">
        <v>302</v>
      </c>
      <c r="G386" t="s">
        <v>200</v>
      </c>
      <c r="H386" t="s">
        <v>201</v>
      </c>
      <c r="I386" t="s">
        <v>253</v>
      </c>
      <c r="J386" t="s">
        <v>218</v>
      </c>
      <c r="K386" t="s">
        <v>1033</v>
      </c>
      <c r="L386" s="10">
        <v>1161.2</v>
      </c>
      <c r="M386" s="10">
        <v>878.73</v>
      </c>
      <c r="N386" s="17">
        <v>0.19</v>
      </c>
      <c r="O386">
        <v>31</v>
      </c>
      <c r="P386" t="str">
        <f t="shared" ref="P386:P449" si="133">IF(M386&gt;0,"Valid")</f>
        <v>Valid</v>
      </c>
      <c r="Q386" s="10">
        <f t="shared" ref="Q386:Q449" si="134">ABS(M386)</f>
        <v>878.73</v>
      </c>
      <c r="R386" t="b">
        <f t="shared" ref="R386:R449" si="135">IF(N386&gt;30%,"Excess")</f>
        <v>0</v>
      </c>
      <c r="S386" s="17">
        <f t="shared" ref="S386:S449" si="136">IF(R386="Excess",30%,N386)</f>
        <v>0.19</v>
      </c>
      <c r="T386">
        <f t="shared" ref="T386:T449" si="137">(C386-B386)</f>
        <v>30</v>
      </c>
      <c r="U386" s="26">
        <f t="shared" ref="U386:U449" si="138">IF(C386&lt;B386,B386+7,C386)</f>
        <v>45096</v>
      </c>
      <c r="V386">
        <f t="shared" ref="V386:V449" si="139">(U386-B386)</f>
        <v>30</v>
      </c>
      <c r="W386" s="10">
        <f t="shared" ref="W386:W449" si="140">(Q386*O386*(100-S386))</f>
        <v>2718887.2803</v>
      </c>
      <c r="X386" s="10">
        <f t="shared" ref="X386:X449" si="141">(Q386*O386)</f>
        <v>27240.63</v>
      </c>
      <c r="Y386" s="10">
        <f t="shared" ref="Y386:Y449" si="142">W386-X386</f>
        <v>2691646.6503</v>
      </c>
      <c r="Z386" s="14">
        <f t="shared" si="124"/>
        <v>0.989980963831279</v>
      </c>
      <c r="AA386" t="s">
        <v>1574</v>
      </c>
      <c r="AB386" t="str">
        <f t="shared" ref="AB386:AB449" si="143">"Q"&amp;ROUNDUP(MONTH(B386)/3,0)&amp;"-"&amp;YEAR(B386)</f>
        <v>Q2-2023</v>
      </c>
      <c r="AC386" t="str">
        <f t="shared" ref="AC386:AC449" si="144">D386&amp;" → "&amp;E386&amp;" → "&amp;F386</f>
        <v>Asia → India → Delhi</v>
      </c>
      <c r="AD386" t="str">
        <f t="shared" ref="AD386:AD449" si="145">IF(OR(J386="Laptops",J386="Phones"),"Devices",IF(OR(J386="Monitors",J386="Printers"),"Peripherals","Support"))</f>
        <v>Devices</v>
      </c>
      <c r="AE386" s="8" t="str">
        <f t="shared" si="132"/>
        <v>Low</v>
      </c>
      <c r="AF386" t="str">
        <f t="shared" si="125"/>
        <v>INDIA</v>
      </c>
      <c r="AG386" s="7">
        <v>44955</v>
      </c>
      <c r="AH386" t="str">
        <f t="shared" si="126"/>
        <v>Jan-2023</v>
      </c>
      <c r="AI386" s="9">
        <f t="shared" si="127"/>
        <v>45077</v>
      </c>
      <c r="AJ386">
        <f t="shared" si="131"/>
        <v>0</v>
      </c>
      <c r="AK386">
        <f t="shared" si="128"/>
        <v>0</v>
      </c>
      <c r="AL386" s="17">
        <f>MIN(N386,'Scenario Modelling'!$B$2)</f>
        <v>0.19</v>
      </c>
      <c r="AM386" s="10">
        <f>L386*(1+'Scenario Modelling'!$B$3)</f>
        <v>1335.38</v>
      </c>
      <c r="AN386">
        <f>O386*(1+'Scenario Modelling'!$B$4)</f>
        <v>37.2</v>
      </c>
      <c r="AO386" s="28">
        <f t="shared" si="129"/>
        <v>26477.89236</v>
      </c>
      <c r="AP386" s="10">
        <f t="shared" si="130"/>
        <v>-23198.24364</v>
      </c>
    </row>
    <row r="387" spans="1:42">
      <c r="A387" t="s">
        <v>1034</v>
      </c>
      <c r="B387" s="7">
        <v>45789</v>
      </c>
      <c r="C387" s="7">
        <v>45803</v>
      </c>
      <c r="D387" t="s">
        <v>206</v>
      </c>
      <c r="E387" t="s">
        <v>221</v>
      </c>
      <c r="F387" t="s">
        <v>442</v>
      </c>
      <c r="G387" t="s">
        <v>180</v>
      </c>
      <c r="H387" t="s">
        <v>201</v>
      </c>
      <c r="I387" t="s">
        <v>202</v>
      </c>
      <c r="J387" t="s">
        <v>191</v>
      </c>
      <c r="K387" t="s">
        <v>1035</v>
      </c>
      <c r="L387" s="10">
        <v>320.12</v>
      </c>
      <c r="M387" s="10">
        <v>594.42</v>
      </c>
      <c r="N387" s="17">
        <v>0.104</v>
      </c>
      <c r="O387">
        <v>18</v>
      </c>
      <c r="P387" t="str">
        <f t="shared" si="133"/>
        <v>Valid</v>
      </c>
      <c r="Q387" s="10">
        <f t="shared" si="134"/>
        <v>594.42</v>
      </c>
      <c r="R387" t="b">
        <f t="shared" si="135"/>
        <v>0</v>
      </c>
      <c r="S387" s="17">
        <f t="shared" si="136"/>
        <v>0.104</v>
      </c>
      <c r="T387">
        <f t="shared" si="137"/>
        <v>14</v>
      </c>
      <c r="U387" s="26">
        <f t="shared" si="138"/>
        <v>45803</v>
      </c>
      <c r="V387">
        <f t="shared" si="139"/>
        <v>14</v>
      </c>
      <c r="W387" s="10">
        <f t="shared" si="140"/>
        <v>1068843.24576</v>
      </c>
      <c r="X387" s="10">
        <f t="shared" si="141"/>
        <v>10699.56</v>
      </c>
      <c r="Y387" s="10">
        <f t="shared" si="142"/>
        <v>1058143.68576</v>
      </c>
      <c r="Z387" s="14">
        <f t="shared" ref="Z387:Z450" si="146">Y387/W387</f>
        <v>0.98998958917274</v>
      </c>
      <c r="AA387" t="s">
        <v>1567</v>
      </c>
      <c r="AB387" t="str">
        <f t="shared" si="143"/>
        <v>Q2-2025</v>
      </c>
      <c r="AC387" t="str">
        <f t="shared" si="144"/>
        <v>Asia → India → Hyderabad</v>
      </c>
      <c r="AD387" t="str">
        <f t="shared" si="145"/>
        <v>Peripherals</v>
      </c>
      <c r="AE387" s="8" t="str">
        <f t="shared" si="132"/>
        <v>High</v>
      </c>
      <c r="AF387" t="str">
        <f t="shared" ref="AF387:AF450" si="147">UPPER(TRIM(CLEAN(SUBSTITUTE(E387,CHAR(160),""))))</f>
        <v>INDIA</v>
      </c>
      <c r="AG387" s="7">
        <v>44955</v>
      </c>
      <c r="AH387" t="str">
        <f t="shared" ref="AH387:AH450" si="148">TEXT(AG387,"MMM-YYYY")</f>
        <v>Jan-2023</v>
      </c>
      <c r="AI387" s="9">
        <f t="shared" ref="AI387:AI450" si="149">EOMONTH(B387,0)</f>
        <v>45808</v>
      </c>
      <c r="AJ387">
        <f t="shared" si="131"/>
        <v>0</v>
      </c>
      <c r="AK387">
        <f t="shared" ref="AK387:AK450" si="150">IF(N387&gt;20%,1,0)</f>
        <v>0</v>
      </c>
      <c r="AL387" s="17">
        <f>MIN(N387,'Scenario Modelling'!$B$2)</f>
        <v>0.104</v>
      </c>
      <c r="AM387" s="10">
        <f>L387*(1+'Scenario Modelling'!$B$3)</f>
        <v>368.138</v>
      </c>
      <c r="AN387">
        <f>O387*(1+'Scenario Modelling'!$B$4)</f>
        <v>21.6</v>
      </c>
      <c r="AO387" s="28">
        <f t="shared" ref="AO387:AO450" si="151">AN387*M387*(1-AL387)</f>
        <v>11504.166912</v>
      </c>
      <c r="AP387" s="10">
        <f t="shared" ref="AP387:AP450" si="152">(M387*(1-AL387)-AM387)*AN387</f>
        <v>3552.386112</v>
      </c>
    </row>
    <row r="388" spans="1:42">
      <c r="A388" t="s">
        <v>1036</v>
      </c>
      <c r="B388" s="7">
        <v>45419</v>
      </c>
      <c r="C388" s="7">
        <v>45424</v>
      </c>
      <c r="D388" t="s">
        <v>177</v>
      </c>
      <c r="E388" t="s">
        <v>186</v>
      </c>
      <c r="F388" t="s">
        <v>228</v>
      </c>
      <c r="G388" t="s">
        <v>200</v>
      </c>
      <c r="H388" t="s">
        <v>216</v>
      </c>
      <c r="I388" t="s">
        <v>210</v>
      </c>
      <c r="J388" t="s">
        <v>218</v>
      </c>
      <c r="K388" t="s">
        <v>1037</v>
      </c>
      <c r="L388" s="10">
        <v>1163.99</v>
      </c>
      <c r="M388" s="10">
        <v>1617.85</v>
      </c>
      <c r="N388" s="17">
        <v>0.127</v>
      </c>
      <c r="O388">
        <v>14</v>
      </c>
      <c r="P388" t="str">
        <f t="shared" si="133"/>
        <v>Valid</v>
      </c>
      <c r="Q388" s="10">
        <f t="shared" si="134"/>
        <v>1617.85</v>
      </c>
      <c r="R388" t="b">
        <f t="shared" si="135"/>
        <v>0</v>
      </c>
      <c r="S388" s="17">
        <f t="shared" si="136"/>
        <v>0.127</v>
      </c>
      <c r="T388">
        <f t="shared" si="137"/>
        <v>5</v>
      </c>
      <c r="U388" s="26">
        <f t="shared" si="138"/>
        <v>45424</v>
      </c>
      <c r="V388">
        <f t="shared" si="139"/>
        <v>5</v>
      </c>
      <c r="W388" s="10">
        <f t="shared" si="140"/>
        <v>2262113.4627</v>
      </c>
      <c r="X388" s="10">
        <f t="shared" si="141"/>
        <v>22649.9</v>
      </c>
      <c r="Y388" s="10">
        <f t="shared" si="142"/>
        <v>2239463.5627</v>
      </c>
      <c r="Z388" s="14">
        <f t="shared" si="146"/>
        <v>0.98998728385049</v>
      </c>
      <c r="AA388" t="s">
        <v>1566</v>
      </c>
      <c r="AB388" t="str">
        <f t="shared" si="143"/>
        <v>Q2-2024</v>
      </c>
      <c r="AC388" t="str">
        <f t="shared" si="144"/>
        <v>Africa → Nigeria → Abuja</v>
      </c>
      <c r="AD388" t="str">
        <f t="shared" si="145"/>
        <v>Devices</v>
      </c>
      <c r="AE388" s="8" t="str">
        <f t="shared" si="132"/>
        <v>Medium</v>
      </c>
      <c r="AF388" t="str">
        <f t="shared" si="147"/>
        <v>NIGERIA</v>
      </c>
      <c r="AG388" s="7">
        <v>44941</v>
      </c>
      <c r="AH388" t="str">
        <f t="shared" si="148"/>
        <v>Jan-2023</v>
      </c>
      <c r="AI388" s="9">
        <f t="shared" si="149"/>
        <v>45443</v>
      </c>
      <c r="AJ388">
        <f t="shared" ref="AJ388:AJ451" si="153">IF(V388&lt;=7,1,0)</f>
        <v>1</v>
      </c>
      <c r="AK388">
        <f t="shared" si="150"/>
        <v>0</v>
      </c>
      <c r="AL388" s="17">
        <f>MIN(N388,'Scenario Modelling'!$B$2)</f>
        <v>0.127</v>
      </c>
      <c r="AM388" s="10">
        <f>L388*(1+'Scenario Modelling'!$B$3)</f>
        <v>1338.5885</v>
      </c>
      <c r="AN388">
        <f>O388*(1+'Scenario Modelling'!$B$4)</f>
        <v>16.8</v>
      </c>
      <c r="AO388" s="28">
        <f t="shared" si="151"/>
        <v>23728.03524</v>
      </c>
      <c r="AP388" s="10">
        <f t="shared" si="152"/>
        <v>1239.74844</v>
      </c>
    </row>
    <row r="389" spans="1:42">
      <c r="A389" t="s">
        <v>1038</v>
      </c>
      <c r="B389" s="7">
        <v>45199</v>
      </c>
      <c r="C389" s="7">
        <v>45202</v>
      </c>
      <c r="D389" t="s">
        <v>206</v>
      </c>
      <c r="E389" t="s">
        <v>277</v>
      </c>
      <c r="F389" t="s">
        <v>499</v>
      </c>
      <c r="G389" t="s">
        <v>200</v>
      </c>
      <c r="H389" t="s">
        <v>181</v>
      </c>
      <c r="I389" t="s">
        <v>190</v>
      </c>
      <c r="J389" t="s">
        <v>218</v>
      </c>
      <c r="K389" t="s">
        <v>1039</v>
      </c>
      <c r="L389" s="10">
        <v>1019.36</v>
      </c>
      <c r="M389" s="10">
        <v>972.91</v>
      </c>
      <c r="N389" s="17">
        <v>0.147</v>
      </c>
      <c r="O389">
        <v>17</v>
      </c>
      <c r="P389" t="str">
        <f t="shared" si="133"/>
        <v>Valid</v>
      </c>
      <c r="Q389" s="10">
        <f t="shared" si="134"/>
        <v>972.91</v>
      </c>
      <c r="R389" t="b">
        <f t="shared" si="135"/>
        <v>0</v>
      </c>
      <c r="S389" s="17">
        <f t="shared" si="136"/>
        <v>0.147</v>
      </c>
      <c r="T389">
        <f t="shared" si="137"/>
        <v>3</v>
      </c>
      <c r="U389" s="26">
        <f t="shared" si="138"/>
        <v>45202</v>
      </c>
      <c r="V389">
        <f t="shared" si="139"/>
        <v>3</v>
      </c>
      <c r="W389" s="10">
        <f t="shared" si="140"/>
        <v>1651515.69791</v>
      </c>
      <c r="X389" s="10">
        <f t="shared" si="141"/>
        <v>16539.47</v>
      </c>
      <c r="Y389" s="10">
        <f t="shared" si="142"/>
        <v>1634976.22791</v>
      </c>
      <c r="Z389" s="14">
        <f t="shared" si="146"/>
        <v>0.989985278359188</v>
      </c>
      <c r="AA389" t="s">
        <v>1588</v>
      </c>
      <c r="AB389" t="str">
        <f t="shared" si="143"/>
        <v>Q3-2023</v>
      </c>
      <c r="AC389" t="str">
        <f t="shared" si="144"/>
        <v>Asia → China → Beijing</v>
      </c>
      <c r="AD389" t="str">
        <f t="shared" si="145"/>
        <v>Devices</v>
      </c>
      <c r="AE389" s="8" t="str">
        <f t="shared" si="132"/>
        <v>Low</v>
      </c>
      <c r="AF389" t="str">
        <f t="shared" si="147"/>
        <v>CHINA</v>
      </c>
      <c r="AG389" s="7">
        <v>44938</v>
      </c>
      <c r="AH389" t="str">
        <f t="shared" si="148"/>
        <v>Jan-2023</v>
      </c>
      <c r="AI389" s="9">
        <f t="shared" si="149"/>
        <v>45199</v>
      </c>
      <c r="AJ389">
        <f t="shared" si="153"/>
        <v>1</v>
      </c>
      <c r="AK389">
        <f t="shared" si="150"/>
        <v>0</v>
      </c>
      <c r="AL389" s="17">
        <f>MIN(N389,'Scenario Modelling'!$B$2)</f>
        <v>0.147</v>
      </c>
      <c r="AM389" s="10">
        <f>L389*(1+'Scenario Modelling'!$B$3)</f>
        <v>1172.264</v>
      </c>
      <c r="AN389">
        <f>O389*(1+'Scenario Modelling'!$B$4)</f>
        <v>20.4</v>
      </c>
      <c r="AO389" s="28">
        <f t="shared" si="151"/>
        <v>16929.801492</v>
      </c>
      <c r="AP389" s="10">
        <f t="shared" si="152"/>
        <v>-6984.384108</v>
      </c>
    </row>
    <row r="390" spans="1:42">
      <c r="A390" t="s">
        <v>1040</v>
      </c>
      <c r="B390" s="7">
        <v>45225</v>
      </c>
      <c r="C390" s="7">
        <v>45235</v>
      </c>
      <c r="D390" t="s">
        <v>177</v>
      </c>
      <c r="E390" t="s">
        <v>309</v>
      </c>
      <c r="F390" t="s">
        <v>419</v>
      </c>
      <c r="G390" t="s">
        <v>200</v>
      </c>
      <c r="H390" t="s">
        <v>189</v>
      </c>
      <c r="I390" t="s">
        <v>195</v>
      </c>
      <c r="J390" t="s">
        <v>218</v>
      </c>
      <c r="K390" t="s">
        <v>1041</v>
      </c>
      <c r="L390" s="10">
        <v>20.38</v>
      </c>
      <c r="M390" s="10">
        <v>42.56</v>
      </c>
      <c r="N390" s="17">
        <v>0.072</v>
      </c>
      <c r="O390">
        <v>11</v>
      </c>
      <c r="P390" t="str">
        <f t="shared" si="133"/>
        <v>Valid</v>
      </c>
      <c r="Q390" s="10">
        <f t="shared" si="134"/>
        <v>42.56</v>
      </c>
      <c r="R390" t="b">
        <f t="shared" si="135"/>
        <v>0</v>
      </c>
      <c r="S390" s="17">
        <f t="shared" si="136"/>
        <v>0.072</v>
      </c>
      <c r="T390">
        <f t="shared" si="137"/>
        <v>10</v>
      </c>
      <c r="U390" s="26">
        <f t="shared" si="138"/>
        <v>45235</v>
      </c>
      <c r="V390">
        <f t="shared" si="139"/>
        <v>10</v>
      </c>
      <c r="W390" s="10">
        <f t="shared" si="140"/>
        <v>46782.29248</v>
      </c>
      <c r="X390" s="10">
        <f t="shared" si="141"/>
        <v>468.16</v>
      </c>
      <c r="Y390" s="10">
        <f t="shared" si="142"/>
        <v>46314.13248</v>
      </c>
      <c r="Z390" s="14">
        <f t="shared" si="146"/>
        <v>0.989992794812265</v>
      </c>
      <c r="AA390" t="s">
        <v>1595</v>
      </c>
      <c r="AB390" t="str">
        <f t="shared" si="143"/>
        <v>Q4-2023</v>
      </c>
      <c r="AC390" t="str">
        <f t="shared" si="144"/>
        <v>Africa → South Africa → Cape Town</v>
      </c>
      <c r="AD390" t="str">
        <f t="shared" si="145"/>
        <v>Devices</v>
      </c>
      <c r="AE390" s="8" t="str">
        <f t="shared" si="132"/>
        <v>Low</v>
      </c>
      <c r="AF390" t="str">
        <f t="shared" si="147"/>
        <v>SOUTH AFRICA</v>
      </c>
      <c r="AG390" s="7">
        <v>44933</v>
      </c>
      <c r="AH390" t="str">
        <f t="shared" si="148"/>
        <v>Jan-2023</v>
      </c>
      <c r="AI390" s="9">
        <f t="shared" si="149"/>
        <v>45230</v>
      </c>
      <c r="AJ390">
        <f t="shared" si="153"/>
        <v>0</v>
      </c>
      <c r="AK390">
        <f t="shared" si="150"/>
        <v>0</v>
      </c>
      <c r="AL390" s="17">
        <f>MIN(N390,'Scenario Modelling'!$B$2)</f>
        <v>0.072</v>
      </c>
      <c r="AM390" s="10">
        <f>L390*(1+'Scenario Modelling'!$B$3)</f>
        <v>23.437</v>
      </c>
      <c r="AN390">
        <f>O390*(1+'Scenario Modelling'!$B$4)</f>
        <v>13.2</v>
      </c>
      <c r="AO390" s="28">
        <f t="shared" si="151"/>
        <v>521.342976</v>
      </c>
      <c r="AP390" s="10">
        <f t="shared" si="152"/>
        <v>211.974576</v>
      </c>
    </row>
    <row r="391" spans="1:42">
      <c r="A391" t="s">
        <v>1042</v>
      </c>
      <c r="B391" s="7">
        <v>45823</v>
      </c>
      <c r="C391" s="7">
        <v>45838</v>
      </c>
      <c r="D391" t="s">
        <v>177</v>
      </c>
      <c r="E391" t="s">
        <v>309</v>
      </c>
      <c r="F391" t="s">
        <v>310</v>
      </c>
      <c r="G391" t="s">
        <v>223</v>
      </c>
      <c r="H391" t="s">
        <v>259</v>
      </c>
      <c r="I391" t="s">
        <v>182</v>
      </c>
      <c r="J391" t="s">
        <v>225</v>
      </c>
      <c r="K391" t="s">
        <v>1043</v>
      </c>
      <c r="L391" s="10">
        <v>1487.59</v>
      </c>
      <c r="M391" s="10">
        <v>1480.83</v>
      </c>
      <c r="N391" s="17">
        <v>0.009</v>
      </c>
      <c r="O391">
        <v>11</v>
      </c>
      <c r="P391" t="str">
        <f t="shared" si="133"/>
        <v>Valid</v>
      </c>
      <c r="Q391" s="10">
        <f t="shared" si="134"/>
        <v>1480.83</v>
      </c>
      <c r="R391" t="b">
        <f t="shared" si="135"/>
        <v>0</v>
      </c>
      <c r="S391" s="17">
        <f t="shared" si="136"/>
        <v>0.009</v>
      </c>
      <c r="T391">
        <f t="shared" si="137"/>
        <v>15</v>
      </c>
      <c r="U391" s="26">
        <f t="shared" si="138"/>
        <v>45838</v>
      </c>
      <c r="V391">
        <f t="shared" si="139"/>
        <v>15</v>
      </c>
      <c r="W391" s="10">
        <f t="shared" si="140"/>
        <v>1628766.39783</v>
      </c>
      <c r="X391" s="10">
        <f t="shared" si="141"/>
        <v>16289.13</v>
      </c>
      <c r="Y391" s="10">
        <f t="shared" si="142"/>
        <v>1612477.26783</v>
      </c>
      <c r="Z391" s="14">
        <f t="shared" si="146"/>
        <v>0.989999099918993</v>
      </c>
      <c r="AA391" t="s">
        <v>1575</v>
      </c>
      <c r="AB391" t="str">
        <f t="shared" si="143"/>
        <v>Q2-2025</v>
      </c>
      <c r="AC391" t="str">
        <f t="shared" si="144"/>
        <v>Africa → South Africa → Johannesburg</v>
      </c>
      <c r="AD391" t="str">
        <f t="shared" si="145"/>
        <v>Peripherals</v>
      </c>
      <c r="AE391" s="8" t="str">
        <f t="shared" si="132"/>
        <v>High</v>
      </c>
      <c r="AF391" t="str">
        <f t="shared" si="147"/>
        <v>SOUTH AFRICA</v>
      </c>
      <c r="AG391" s="7">
        <v>44933</v>
      </c>
      <c r="AH391" t="str">
        <f t="shared" si="148"/>
        <v>Jan-2023</v>
      </c>
      <c r="AI391" s="9">
        <f t="shared" si="149"/>
        <v>45838</v>
      </c>
      <c r="AJ391">
        <f t="shared" si="153"/>
        <v>0</v>
      </c>
      <c r="AK391">
        <f t="shared" si="150"/>
        <v>0</v>
      </c>
      <c r="AL391" s="17">
        <f>MIN(N391,'Scenario Modelling'!$B$2)</f>
        <v>0.009</v>
      </c>
      <c r="AM391" s="10">
        <f>L391*(1+'Scenario Modelling'!$B$3)</f>
        <v>1710.7285</v>
      </c>
      <c r="AN391">
        <f>O391*(1+'Scenario Modelling'!$B$4)</f>
        <v>13.2</v>
      </c>
      <c r="AO391" s="28">
        <f t="shared" si="151"/>
        <v>19371.033396</v>
      </c>
      <c r="AP391" s="10">
        <f t="shared" si="152"/>
        <v>-3210.582804</v>
      </c>
    </row>
    <row r="392" spans="1:42">
      <c r="A392" t="s">
        <v>1044</v>
      </c>
      <c r="B392" s="7">
        <v>45514</v>
      </c>
      <c r="C392" s="7">
        <v>45542</v>
      </c>
      <c r="D392" t="s">
        <v>239</v>
      </c>
      <c r="E392" t="s">
        <v>251</v>
      </c>
      <c r="F392" t="s">
        <v>252</v>
      </c>
      <c r="G392" t="s">
        <v>200</v>
      </c>
      <c r="H392" t="s">
        <v>259</v>
      </c>
      <c r="I392" t="s">
        <v>245</v>
      </c>
      <c r="J392" t="s">
        <v>191</v>
      </c>
      <c r="K392" t="s">
        <v>1045</v>
      </c>
      <c r="L392" s="10">
        <v>229.96</v>
      </c>
      <c r="M392" s="10">
        <v>564.26</v>
      </c>
      <c r="N392" s="17">
        <v>0.105</v>
      </c>
      <c r="O392">
        <v>5</v>
      </c>
      <c r="P392" t="str">
        <f t="shared" si="133"/>
        <v>Valid</v>
      </c>
      <c r="Q392" s="10">
        <f t="shared" si="134"/>
        <v>564.26</v>
      </c>
      <c r="R392" t="b">
        <f t="shared" si="135"/>
        <v>0</v>
      </c>
      <c r="S392" s="17">
        <f t="shared" si="136"/>
        <v>0.105</v>
      </c>
      <c r="T392">
        <f t="shared" si="137"/>
        <v>28</v>
      </c>
      <c r="U392" s="26">
        <f t="shared" si="138"/>
        <v>45542</v>
      </c>
      <c r="V392">
        <f t="shared" si="139"/>
        <v>28</v>
      </c>
      <c r="W392" s="10">
        <f t="shared" si="140"/>
        <v>281833.7635</v>
      </c>
      <c r="X392" s="10">
        <f t="shared" si="141"/>
        <v>2821.3</v>
      </c>
      <c r="Y392" s="10">
        <f t="shared" si="142"/>
        <v>279012.4635</v>
      </c>
      <c r="Z392" s="14">
        <f t="shared" si="146"/>
        <v>0.989989488963412</v>
      </c>
      <c r="AA392" t="s">
        <v>1581</v>
      </c>
      <c r="AB392" t="str">
        <f t="shared" si="143"/>
        <v>Q3-2024</v>
      </c>
      <c r="AC392" t="str">
        <f t="shared" si="144"/>
        <v>Europe → France → Marseille</v>
      </c>
      <c r="AD392" t="str">
        <f t="shared" si="145"/>
        <v>Peripherals</v>
      </c>
      <c r="AE392" s="8" t="str">
        <f t="shared" si="132"/>
        <v>Medium</v>
      </c>
      <c r="AF392" t="str">
        <f t="shared" si="147"/>
        <v>FRANCE</v>
      </c>
      <c r="AG392" s="7">
        <v>44936</v>
      </c>
      <c r="AH392" t="str">
        <f t="shared" si="148"/>
        <v>Jan-2023</v>
      </c>
      <c r="AI392" s="9">
        <f t="shared" si="149"/>
        <v>45535</v>
      </c>
      <c r="AJ392">
        <f t="shared" si="153"/>
        <v>0</v>
      </c>
      <c r="AK392">
        <f t="shared" si="150"/>
        <v>0</v>
      </c>
      <c r="AL392" s="17">
        <f>MIN(N392,'Scenario Modelling'!$B$2)</f>
        <v>0.105</v>
      </c>
      <c r="AM392" s="10">
        <f>L392*(1+'Scenario Modelling'!$B$3)</f>
        <v>264.454</v>
      </c>
      <c r="AN392">
        <f>O392*(1+'Scenario Modelling'!$B$4)</f>
        <v>6</v>
      </c>
      <c r="AO392" s="28">
        <f t="shared" si="151"/>
        <v>3030.0762</v>
      </c>
      <c r="AP392" s="10">
        <f t="shared" si="152"/>
        <v>1443.3522</v>
      </c>
    </row>
    <row r="393" spans="1:42">
      <c r="A393" t="s">
        <v>1046</v>
      </c>
      <c r="B393" s="7">
        <v>45208</v>
      </c>
      <c r="C393" s="7">
        <v>45225</v>
      </c>
      <c r="D393" t="s">
        <v>206</v>
      </c>
      <c r="E393" t="s">
        <v>277</v>
      </c>
      <c r="F393" t="s">
        <v>323</v>
      </c>
      <c r="G393" t="s">
        <v>209</v>
      </c>
      <c r="H393" t="s">
        <v>201</v>
      </c>
      <c r="I393" t="s">
        <v>182</v>
      </c>
      <c r="J393" t="s">
        <v>183</v>
      </c>
      <c r="K393" t="s">
        <v>1047</v>
      </c>
      <c r="L393" s="10">
        <v>1132.03</v>
      </c>
      <c r="M393" s="10">
        <v>2137.21</v>
      </c>
      <c r="N393" s="17">
        <v>0.357</v>
      </c>
      <c r="O393">
        <v>35</v>
      </c>
      <c r="P393" t="str">
        <f t="shared" si="133"/>
        <v>Valid</v>
      </c>
      <c r="Q393" s="10">
        <f t="shared" si="134"/>
        <v>2137.21</v>
      </c>
      <c r="R393" t="str">
        <f t="shared" si="135"/>
        <v>Excess</v>
      </c>
      <c r="S393" s="17">
        <f t="shared" si="136"/>
        <v>0.3</v>
      </c>
      <c r="T393">
        <f t="shared" si="137"/>
        <v>17</v>
      </c>
      <c r="U393" s="26">
        <f t="shared" si="138"/>
        <v>45225</v>
      </c>
      <c r="V393">
        <f t="shared" si="139"/>
        <v>17</v>
      </c>
      <c r="W393" s="10">
        <f t="shared" si="140"/>
        <v>7457794.295</v>
      </c>
      <c r="X393" s="10">
        <f t="shared" si="141"/>
        <v>74802.35</v>
      </c>
      <c r="Y393" s="10">
        <f t="shared" si="142"/>
        <v>7382991.945</v>
      </c>
      <c r="Z393" s="14">
        <f t="shared" si="146"/>
        <v>0.989969909729188</v>
      </c>
      <c r="AA393" t="s">
        <v>1595</v>
      </c>
      <c r="AB393" t="str">
        <f t="shared" si="143"/>
        <v>Q4-2023</v>
      </c>
      <c r="AC393" t="str">
        <f t="shared" si="144"/>
        <v>Asia → China → Shanghai</v>
      </c>
      <c r="AD393" t="str">
        <f t="shared" si="145"/>
        <v>Support</v>
      </c>
      <c r="AE393" s="8" t="str">
        <f t="shared" si="132"/>
        <v>Low</v>
      </c>
      <c r="AF393" t="str">
        <f t="shared" si="147"/>
        <v>CHINA</v>
      </c>
      <c r="AG393" s="7">
        <v>44938</v>
      </c>
      <c r="AH393" t="str">
        <f t="shared" si="148"/>
        <v>Jan-2023</v>
      </c>
      <c r="AI393" s="9">
        <f t="shared" si="149"/>
        <v>45230</v>
      </c>
      <c r="AJ393">
        <f t="shared" si="153"/>
        <v>0</v>
      </c>
      <c r="AK393">
        <f t="shared" si="150"/>
        <v>1</v>
      </c>
      <c r="AL393" s="17">
        <f>MIN(N393,'Scenario Modelling'!$B$2)</f>
        <v>0.25</v>
      </c>
      <c r="AM393" s="10">
        <f>L393*(1+'Scenario Modelling'!$B$3)</f>
        <v>1301.8345</v>
      </c>
      <c r="AN393">
        <f>O393*(1+'Scenario Modelling'!$B$4)</f>
        <v>42</v>
      </c>
      <c r="AO393" s="28">
        <f t="shared" si="151"/>
        <v>67322.115</v>
      </c>
      <c r="AP393" s="10">
        <f t="shared" si="152"/>
        <v>12645.066</v>
      </c>
    </row>
    <row r="394" spans="1:42">
      <c r="A394" t="s">
        <v>1048</v>
      </c>
      <c r="B394" s="7">
        <v>45360</v>
      </c>
      <c r="C394" s="7">
        <v>45377</v>
      </c>
      <c r="D394" t="s">
        <v>213</v>
      </c>
      <c r="E394" t="s">
        <v>283</v>
      </c>
      <c r="F394" t="s">
        <v>328</v>
      </c>
      <c r="G394" t="s">
        <v>188</v>
      </c>
      <c r="H394" t="s">
        <v>259</v>
      </c>
      <c r="I394" t="s">
        <v>195</v>
      </c>
      <c r="J394" t="s">
        <v>203</v>
      </c>
      <c r="K394" t="s">
        <v>1049</v>
      </c>
      <c r="L394" s="10">
        <v>1137.41</v>
      </c>
      <c r="M394" s="10">
        <v>1680.93</v>
      </c>
      <c r="N394" s="17">
        <v>0.254</v>
      </c>
      <c r="O394">
        <v>9</v>
      </c>
      <c r="P394" t="str">
        <f t="shared" si="133"/>
        <v>Valid</v>
      </c>
      <c r="Q394" s="10">
        <f t="shared" si="134"/>
        <v>1680.93</v>
      </c>
      <c r="R394" t="b">
        <f t="shared" si="135"/>
        <v>0</v>
      </c>
      <c r="S394" s="17">
        <f t="shared" si="136"/>
        <v>0.254</v>
      </c>
      <c r="T394">
        <f t="shared" si="137"/>
        <v>17</v>
      </c>
      <c r="U394" s="26">
        <f t="shared" si="138"/>
        <v>45377</v>
      </c>
      <c r="V394">
        <f t="shared" si="139"/>
        <v>17</v>
      </c>
      <c r="W394" s="10">
        <f t="shared" si="140"/>
        <v>1508994.39402</v>
      </c>
      <c r="X394" s="10">
        <f t="shared" si="141"/>
        <v>15128.37</v>
      </c>
      <c r="Y394" s="10">
        <f t="shared" si="142"/>
        <v>1493866.02402</v>
      </c>
      <c r="Z394" s="14">
        <f t="shared" si="146"/>
        <v>0.989974535319712</v>
      </c>
      <c r="AA394" t="s">
        <v>1560</v>
      </c>
      <c r="AB394" t="str">
        <f t="shared" si="143"/>
        <v>Q1-2024</v>
      </c>
      <c r="AC394" t="str">
        <f t="shared" si="144"/>
        <v>Americas → USA → San Francisco</v>
      </c>
      <c r="AD394" t="str">
        <f t="shared" si="145"/>
        <v>Devices</v>
      </c>
      <c r="AE394" s="8" t="str">
        <f t="shared" si="132"/>
        <v>Medium</v>
      </c>
      <c r="AF394" t="str">
        <f t="shared" si="147"/>
        <v>USA</v>
      </c>
      <c r="AG394" s="7">
        <v>44939</v>
      </c>
      <c r="AH394" t="str">
        <f t="shared" si="148"/>
        <v>Jan-2023</v>
      </c>
      <c r="AI394" s="9">
        <f t="shared" si="149"/>
        <v>45382</v>
      </c>
      <c r="AJ394">
        <f t="shared" si="153"/>
        <v>0</v>
      </c>
      <c r="AK394">
        <f t="shared" si="150"/>
        <v>1</v>
      </c>
      <c r="AL394" s="17">
        <f>MIN(N394,'Scenario Modelling'!$B$2)</f>
        <v>0.25</v>
      </c>
      <c r="AM394" s="10">
        <f>L394*(1+'Scenario Modelling'!$B$3)</f>
        <v>1308.0215</v>
      </c>
      <c r="AN394">
        <f>O394*(1+'Scenario Modelling'!$B$4)</f>
        <v>10.8</v>
      </c>
      <c r="AO394" s="28">
        <f t="shared" si="151"/>
        <v>13615.533</v>
      </c>
      <c r="AP394" s="10">
        <f t="shared" si="152"/>
        <v>-511.099200000001</v>
      </c>
    </row>
    <row r="395" spans="1:42">
      <c r="A395" t="s">
        <v>1050</v>
      </c>
      <c r="B395" s="7">
        <v>45075</v>
      </c>
      <c r="C395" s="7">
        <v>45097</v>
      </c>
      <c r="D395" t="s">
        <v>239</v>
      </c>
      <c r="E395" t="s">
        <v>269</v>
      </c>
      <c r="F395" t="s">
        <v>313</v>
      </c>
      <c r="G395" t="s">
        <v>223</v>
      </c>
      <c r="H395" t="s">
        <v>259</v>
      </c>
      <c r="I395" t="s">
        <v>256</v>
      </c>
      <c r="J395" t="s">
        <v>183</v>
      </c>
      <c r="K395" t="s">
        <v>1051</v>
      </c>
      <c r="L395" s="10">
        <v>1295.39</v>
      </c>
      <c r="M395" s="10">
        <v>2905.06</v>
      </c>
      <c r="N395" s="17">
        <v>0.148</v>
      </c>
      <c r="O395">
        <v>8</v>
      </c>
      <c r="P395" t="str">
        <f t="shared" si="133"/>
        <v>Valid</v>
      </c>
      <c r="Q395" s="10">
        <f t="shared" si="134"/>
        <v>2905.06</v>
      </c>
      <c r="R395" t="b">
        <f t="shared" si="135"/>
        <v>0</v>
      </c>
      <c r="S395" s="17">
        <f t="shared" si="136"/>
        <v>0.148</v>
      </c>
      <c r="T395">
        <f t="shared" si="137"/>
        <v>22</v>
      </c>
      <c r="U395" s="26">
        <f t="shared" si="138"/>
        <v>45097</v>
      </c>
      <c r="V395">
        <f t="shared" si="139"/>
        <v>22</v>
      </c>
      <c r="W395" s="10">
        <f t="shared" si="140"/>
        <v>2320608.40896</v>
      </c>
      <c r="X395" s="10">
        <f t="shared" si="141"/>
        <v>23240.48</v>
      </c>
      <c r="Y395" s="10">
        <f t="shared" si="142"/>
        <v>2297367.92896</v>
      </c>
      <c r="Z395" s="14">
        <f t="shared" si="146"/>
        <v>0.989985178063534</v>
      </c>
      <c r="AA395" t="s">
        <v>1574</v>
      </c>
      <c r="AB395" t="str">
        <f t="shared" si="143"/>
        <v>Q2-2023</v>
      </c>
      <c r="AC395" t="str">
        <f t="shared" si="144"/>
        <v>Europe → United Kingdom → London</v>
      </c>
      <c r="AD395" t="str">
        <f t="shared" si="145"/>
        <v>Support</v>
      </c>
      <c r="AE395" s="8" t="str">
        <f t="shared" si="132"/>
        <v>Low</v>
      </c>
      <c r="AF395" t="str">
        <f t="shared" si="147"/>
        <v>UNITED KINGDOM</v>
      </c>
      <c r="AG395" s="7">
        <v>44945</v>
      </c>
      <c r="AH395" t="str">
        <f t="shared" si="148"/>
        <v>Jan-2023</v>
      </c>
      <c r="AI395" s="9">
        <f t="shared" si="149"/>
        <v>45077</v>
      </c>
      <c r="AJ395">
        <f t="shared" si="153"/>
        <v>0</v>
      </c>
      <c r="AK395">
        <f t="shared" si="150"/>
        <v>0</v>
      </c>
      <c r="AL395" s="17">
        <f>MIN(N395,'Scenario Modelling'!$B$2)</f>
        <v>0.148</v>
      </c>
      <c r="AM395" s="10">
        <f>L395*(1+'Scenario Modelling'!$B$3)</f>
        <v>1489.6985</v>
      </c>
      <c r="AN395">
        <f>O395*(1+'Scenario Modelling'!$B$4)</f>
        <v>9.6</v>
      </c>
      <c r="AO395" s="28">
        <f t="shared" si="151"/>
        <v>23761.066752</v>
      </c>
      <c r="AP395" s="10">
        <f t="shared" si="152"/>
        <v>9459.961152</v>
      </c>
    </row>
    <row r="396" spans="1:42">
      <c r="A396" t="s">
        <v>1052</v>
      </c>
      <c r="B396" s="7">
        <v>45804</v>
      </c>
      <c r="C396" s="7">
        <v>45816</v>
      </c>
      <c r="D396" t="s">
        <v>206</v>
      </c>
      <c r="E396" t="s">
        <v>207</v>
      </c>
      <c r="F396" t="s">
        <v>208</v>
      </c>
      <c r="G396" t="s">
        <v>180</v>
      </c>
      <c r="H396" t="s">
        <v>181</v>
      </c>
      <c r="I396" t="s">
        <v>253</v>
      </c>
      <c r="J396" t="s">
        <v>242</v>
      </c>
      <c r="K396" t="s">
        <v>1053</v>
      </c>
      <c r="L396" s="10">
        <v>653.6</v>
      </c>
      <c r="M396" s="10">
        <v>842.09</v>
      </c>
      <c r="N396" s="17">
        <v>0.098</v>
      </c>
      <c r="O396">
        <v>19</v>
      </c>
      <c r="P396" t="str">
        <f t="shared" si="133"/>
        <v>Valid</v>
      </c>
      <c r="Q396" s="10">
        <f t="shared" si="134"/>
        <v>842.09</v>
      </c>
      <c r="R396" t="b">
        <f t="shared" si="135"/>
        <v>0</v>
      </c>
      <c r="S396" s="17">
        <f t="shared" si="136"/>
        <v>0.098</v>
      </c>
      <c r="T396">
        <f t="shared" si="137"/>
        <v>12</v>
      </c>
      <c r="U396" s="26">
        <f t="shared" si="138"/>
        <v>45816</v>
      </c>
      <c r="V396">
        <f t="shared" si="139"/>
        <v>12</v>
      </c>
      <c r="W396" s="10">
        <f t="shared" si="140"/>
        <v>1598403.02842</v>
      </c>
      <c r="X396" s="10">
        <f t="shared" si="141"/>
        <v>15999.71</v>
      </c>
      <c r="Y396" s="10">
        <f t="shared" si="142"/>
        <v>1582403.31842</v>
      </c>
      <c r="Z396" s="14">
        <f t="shared" si="146"/>
        <v>0.989990190386579</v>
      </c>
      <c r="AA396" t="s">
        <v>1567</v>
      </c>
      <c r="AB396" t="str">
        <f t="shared" si="143"/>
        <v>Q2-2025</v>
      </c>
      <c r="AC396" t="str">
        <f t="shared" si="144"/>
        <v>Asia → Japan → Osaka</v>
      </c>
      <c r="AD396" t="str">
        <f t="shared" si="145"/>
        <v>Support</v>
      </c>
      <c r="AE396" s="8" t="str">
        <f t="shared" si="132"/>
        <v>High</v>
      </c>
      <c r="AF396" t="str">
        <f t="shared" si="147"/>
        <v>JAPAN</v>
      </c>
      <c r="AG396" s="7">
        <v>44988</v>
      </c>
      <c r="AH396" t="str">
        <f t="shared" si="148"/>
        <v>Mar-2023</v>
      </c>
      <c r="AI396" s="9">
        <f t="shared" si="149"/>
        <v>45808</v>
      </c>
      <c r="AJ396">
        <f t="shared" si="153"/>
        <v>0</v>
      </c>
      <c r="AK396">
        <f t="shared" si="150"/>
        <v>0</v>
      </c>
      <c r="AL396" s="17">
        <f>MIN(N396,'Scenario Modelling'!$B$2)</f>
        <v>0.098</v>
      </c>
      <c r="AM396" s="10">
        <f>L396*(1+'Scenario Modelling'!$B$3)</f>
        <v>751.64</v>
      </c>
      <c r="AN396">
        <f>O396*(1+'Scenario Modelling'!$B$4)</f>
        <v>22.8</v>
      </c>
      <c r="AO396" s="28">
        <f t="shared" si="151"/>
        <v>17318.086104</v>
      </c>
      <c r="AP396" s="10">
        <f t="shared" si="152"/>
        <v>180.694104000002</v>
      </c>
    </row>
    <row r="397" spans="1:42">
      <c r="A397" t="s">
        <v>1054</v>
      </c>
      <c r="B397" s="7">
        <v>45890</v>
      </c>
      <c r="C397" s="7">
        <v>45914</v>
      </c>
      <c r="D397" t="s">
        <v>239</v>
      </c>
      <c r="E397" t="s">
        <v>240</v>
      </c>
      <c r="F397" t="s">
        <v>241</v>
      </c>
      <c r="G397" t="s">
        <v>200</v>
      </c>
      <c r="H397" t="s">
        <v>189</v>
      </c>
      <c r="I397" t="s">
        <v>236</v>
      </c>
      <c r="J397" t="s">
        <v>225</v>
      </c>
      <c r="K397" t="s">
        <v>1055</v>
      </c>
      <c r="L397" s="10">
        <v>1397.67</v>
      </c>
      <c r="M397" s="10">
        <v>3131.37</v>
      </c>
      <c r="N397" s="17">
        <v>0.103</v>
      </c>
      <c r="O397">
        <v>20</v>
      </c>
      <c r="P397" t="str">
        <f t="shared" si="133"/>
        <v>Valid</v>
      </c>
      <c r="Q397" s="10">
        <f t="shared" si="134"/>
        <v>3131.37</v>
      </c>
      <c r="R397" t="b">
        <f t="shared" si="135"/>
        <v>0</v>
      </c>
      <c r="S397" s="17">
        <f t="shared" si="136"/>
        <v>0.103</v>
      </c>
      <c r="T397">
        <f t="shared" si="137"/>
        <v>24</v>
      </c>
      <c r="U397" s="26">
        <f t="shared" si="138"/>
        <v>45914</v>
      </c>
      <c r="V397">
        <f t="shared" si="139"/>
        <v>24</v>
      </c>
      <c r="W397" s="10">
        <f t="shared" si="140"/>
        <v>6256289.3778</v>
      </c>
      <c r="X397" s="10">
        <f t="shared" si="141"/>
        <v>62627.4</v>
      </c>
      <c r="Y397" s="10">
        <f t="shared" si="142"/>
        <v>6193661.9778</v>
      </c>
      <c r="Z397" s="14">
        <f t="shared" si="146"/>
        <v>0.989989689380061</v>
      </c>
      <c r="AA397" t="s">
        <v>1590</v>
      </c>
      <c r="AB397" t="str">
        <f t="shared" si="143"/>
        <v>Q3-2025</v>
      </c>
      <c r="AC397" t="str">
        <f t="shared" si="144"/>
        <v>Europe → Germany → Berlin</v>
      </c>
      <c r="AD397" t="str">
        <f t="shared" si="145"/>
        <v>Peripherals</v>
      </c>
      <c r="AE397" s="8" t="str">
        <f t="shared" si="132"/>
        <v>High</v>
      </c>
      <c r="AF397" t="str">
        <f t="shared" si="147"/>
        <v>GERMANY</v>
      </c>
      <c r="AG397" s="7">
        <v>44948</v>
      </c>
      <c r="AH397" t="str">
        <f t="shared" si="148"/>
        <v>Jan-2023</v>
      </c>
      <c r="AI397" s="9">
        <f t="shared" si="149"/>
        <v>45900</v>
      </c>
      <c r="AJ397">
        <f t="shared" si="153"/>
        <v>0</v>
      </c>
      <c r="AK397">
        <f t="shared" si="150"/>
        <v>0</v>
      </c>
      <c r="AL397" s="17">
        <f>MIN(N397,'Scenario Modelling'!$B$2)</f>
        <v>0.103</v>
      </c>
      <c r="AM397" s="10">
        <f>L397*(1+'Scenario Modelling'!$B$3)</f>
        <v>1607.3205</v>
      </c>
      <c r="AN397">
        <f>O397*(1+'Scenario Modelling'!$B$4)</f>
        <v>24</v>
      </c>
      <c r="AO397" s="28">
        <f t="shared" si="151"/>
        <v>67412.13336</v>
      </c>
      <c r="AP397" s="10">
        <f t="shared" si="152"/>
        <v>28836.44136</v>
      </c>
    </row>
    <row r="398" spans="1:42">
      <c r="A398" t="s">
        <v>1056</v>
      </c>
      <c r="B398" s="7">
        <v>45638</v>
      </c>
      <c r="C398" s="7">
        <v>45646</v>
      </c>
      <c r="D398" t="s">
        <v>206</v>
      </c>
      <c r="E398" t="s">
        <v>207</v>
      </c>
      <c r="F398" t="s">
        <v>375</v>
      </c>
      <c r="G398" t="s">
        <v>180</v>
      </c>
      <c r="H398" t="s">
        <v>181</v>
      </c>
      <c r="I398" t="s">
        <v>217</v>
      </c>
      <c r="J398" t="s">
        <v>218</v>
      </c>
      <c r="K398" t="s">
        <v>1057</v>
      </c>
      <c r="L398" s="10">
        <v>1202.47</v>
      </c>
      <c r="M398" s="10">
        <v>1444.72</v>
      </c>
      <c r="N398" s="17">
        <v>0.241</v>
      </c>
      <c r="O398">
        <v>17</v>
      </c>
      <c r="P398" t="str">
        <f t="shared" si="133"/>
        <v>Valid</v>
      </c>
      <c r="Q398" s="10">
        <f t="shared" si="134"/>
        <v>1444.72</v>
      </c>
      <c r="R398" t="b">
        <f t="shared" si="135"/>
        <v>0</v>
      </c>
      <c r="S398" s="17">
        <f t="shared" si="136"/>
        <v>0.241</v>
      </c>
      <c r="T398">
        <f t="shared" si="137"/>
        <v>8</v>
      </c>
      <c r="U398" s="26">
        <f t="shared" si="138"/>
        <v>45646</v>
      </c>
      <c r="V398">
        <f t="shared" si="139"/>
        <v>8</v>
      </c>
      <c r="W398" s="10">
        <f t="shared" si="140"/>
        <v>2450104.98216</v>
      </c>
      <c r="X398" s="10">
        <f t="shared" si="141"/>
        <v>24560.24</v>
      </c>
      <c r="Y398" s="10">
        <f t="shared" si="142"/>
        <v>2425544.74216</v>
      </c>
      <c r="Z398" s="14">
        <f t="shared" si="146"/>
        <v>0.989975841778687</v>
      </c>
      <c r="AA398" t="s">
        <v>1565</v>
      </c>
      <c r="AB398" t="str">
        <f t="shared" si="143"/>
        <v>Q4-2024</v>
      </c>
      <c r="AC398" t="str">
        <f t="shared" si="144"/>
        <v>Asia → Japan → Tokyo</v>
      </c>
      <c r="AD398" t="str">
        <f t="shared" si="145"/>
        <v>Devices</v>
      </c>
      <c r="AE398" s="8" t="str">
        <f t="shared" si="132"/>
        <v>High</v>
      </c>
      <c r="AF398" t="str">
        <f t="shared" si="147"/>
        <v>JAPAN</v>
      </c>
      <c r="AG398" s="7">
        <v>44988</v>
      </c>
      <c r="AH398" t="str">
        <f t="shared" si="148"/>
        <v>Mar-2023</v>
      </c>
      <c r="AI398" s="9">
        <f t="shared" si="149"/>
        <v>45657</v>
      </c>
      <c r="AJ398">
        <f t="shared" si="153"/>
        <v>0</v>
      </c>
      <c r="AK398">
        <f t="shared" si="150"/>
        <v>1</v>
      </c>
      <c r="AL398" s="17">
        <f>MIN(N398,'Scenario Modelling'!$B$2)</f>
        <v>0.241</v>
      </c>
      <c r="AM398" s="10">
        <f>L398*(1+'Scenario Modelling'!$B$3)</f>
        <v>1382.8405</v>
      </c>
      <c r="AN398">
        <f>O398*(1+'Scenario Modelling'!$B$4)</f>
        <v>20.4</v>
      </c>
      <c r="AO398" s="28">
        <f t="shared" si="151"/>
        <v>22369.466592</v>
      </c>
      <c r="AP398" s="10">
        <f t="shared" si="152"/>
        <v>-5840.479608</v>
      </c>
    </row>
    <row r="399" spans="1:42">
      <c r="A399" t="s">
        <v>1058</v>
      </c>
      <c r="B399" s="7">
        <v>45914</v>
      </c>
      <c r="C399" s="7">
        <v>45923</v>
      </c>
      <c r="D399" t="s">
        <v>177</v>
      </c>
      <c r="E399" t="s">
        <v>309</v>
      </c>
      <c r="F399" t="s">
        <v>333</v>
      </c>
      <c r="G399" t="s">
        <v>200</v>
      </c>
      <c r="H399" t="s">
        <v>189</v>
      </c>
      <c r="I399" t="s">
        <v>306</v>
      </c>
      <c r="J399" t="s">
        <v>183</v>
      </c>
      <c r="K399" t="s">
        <v>1059</v>
      </c>
      <c r="L399" s="10">
        <v>1310.3</v>
      </c>
      <c r="M399" s="10">
        <v>2875.8</v>
      </c>
      <c r="N399" s="17">
        <v>0.083</v>
      </c>
      <c r="O399">
        <v>5</v>
      </c>
      <c r="P399" t="str">
        <f t="shared" si="133"/>
        <v>Valid</v>
      </c>
      <c r="Q399" s="10">
        <f t="shared" si="134"/>
        <v>2875.8</v>
      </c>
      <c r="R399" t="b">
        <f t="shared" si="135"/>
        <v>0</v>
      </c>
      <c r="S399" s="17">
        <f t="shared" si="136"/>
        <v>0.083</v>
      </c>
      <c r="T399">
        <f t="shared" si="137"/>
        <v>9</v>
      </c>
      <c r="U399" s="26">
        <f t="shared" si="138"/>
        <v>45923</v>
      </c>
      <c r="V399">
        <f t="shared" si="139"/>
        <v>9</v>
      </c>
      <c r="W399" s="10">
        <f t="shared" si="140"/>
        <v>1436706.543</v>
      </c>
      <c r="X399" s="10">
        <f t="shared" si="141"/>
        <v>14379</v>
      </c>
      <c r="Y399" s="10">
        <f t="shared" si="142"/>
        <v>1422327.543</v>
      </c>
      <c r="Z399" s="14">
        <f t="shared" si="146"/>
        <v>0.989991693105277</v>
      </c>
      <c r="AA399" t="s">
        <v>1570</v>
      </c>
      <c r="AB399" t="str">
        <f t="shared" si="143"/>
        <v>Q3-2025</v>
      </c>
      <c r="AC399" t="str">
        <f t="shared" si="144"/>
        <v>Africa → South Africa → Durban</v>
      </c>
      <c r="AD399" t="str">
        <f t="shared" si="145"/>
        <v>Support</v>
      </c>
      <c r="AE399" s="8" t="str">
        <f t="shared" si="132"/>
        <v>High</v>
      </c>
      <c r="AF399" t="str">
        <f t="shared" si="147"/>
        <v>SOUTH AFRICA</v>
      </c>
      <c r="AG399" s="7">
        <v>44933</v>
      </c>
      <c r="AH399" t="str">
        <f t="shared" si="148"/>
        <v>Jan-2023</v>
      </c>
      <c r="AI399" s="9">
        <f t="shared" si="149"/>
        <v>45930</v>
      </c>
      <c r="AJ399">
        <f t="shared" si="153"/>
        <v>0</v>
      </c>
      <c r="AK399">
        <f t="shared" si="150"/>
        <v>0</v>
      </c>
      <c r="AL399" s="17">
        <f>MIN(N399,'Scenario Modelling'!$B$2)</f>
        <v>0.083</v>
      </c>
      <c r="AM399" s="10">
        <f>L399*(1+'Scenario Modelling'!$B$3)</f>
        <v>1506.845</v>
      </c>
      <c r="AN399">
        <f>O399*(1+'Scenario Modelling'!$B$4)</f>
        <v>6</v>
      </c>
      <c r="AO399" s="28">
        <f t="shared" si="151"/>
        <v>15822.6516</v>
      </c>
      <c r="AP399" s="10">
        <f t="shared" si="152"/>
        <v>6781.5816</v>
      </c>
    </row>
    <row r="400" spans="1:42">
      <c r="A400" t="s">
        <v>1060</v>
      </c>
      <c r="B400" s="7">
        <v>45541</v>
      </c>
      <c r="C400" s="7">
        <v>45569</v>
      </c>
      <c r="D400" t="s">
        <v>177</v>
      </c>
      <c r="E400" t="s">
        <v>309</v>
      </c>
      <c r="F400" t="s">
        <v>419</v>
      </c>
      <c r="G400" t="s">
        <v>180</v>
      </c>
      <c r="H400" t="s">
        <v>201</v>
      </c>
      <c r="I400" t="s">
        <v>306</v>
      </c>
      <c r="J400" t="s">
        <v>225</v>
      </c>
      <c r="K400" t="s">
        <v>1061</v>
      </c>
      <c r="L400" s="10">
        <v>1174.17</v>
      </c>
      <c r="M400" s="10">
        <v>1641.61</v>
      </c>
      <c r="N400" s="17">
        <v>0.122</v>
      </c>
      <c r="O400">
        <v>9</v>
      </c>
      <c r="P400" t="str">
        <f t="shared" si="133"/>
        <v>Valid</v>
      </c>
      <c r="Q400" s="10">
        <f t="shared" si="134"/>
        <v>1641.61</v>
      </c>
      <c r="R400" t="b">
        <f t="shared" si="135"/>
        <v>0</v>
      </c>
      <c r="S400" s="17">
        <f t="shared" si="136"/>
        <v>0.122</v>
      </c>
      <c r="T400">
        <f t="shared" si="137"/>
        <v>28</v>
      </c>
      <c r="U400" s="26">
        <f t="shared" si="138"/>
        <v>45569</v>
      </c>
      <c r="V400">
        <f t="shared" si="139"/>
        <v>28</v>
      </c>
      <c r="W400" s="10">
        <f t="shared" si="140"/>
        <v>1475646.51222</v>
      </c>
      <c r="X400" s="10">
        <f t="shared" si="141"/>
        <v>14774.49</v>
      </c>
      <c r="Y400" s="10">
        <f t="shared" si="142"/>
        <v>1460872.02222</v>
      </c>
      <c r="Z400" s="14">
        <f t="shared" si="146"/>
        <v>0.989987785097819</v>
      </c>
      <c r="AA400" t="s">
        <v>1592</v>
      </c>
      <c r="AB400" t="str">
        <f t="shared" si="143"/>
        <v>Q3-2024</v>
      </c>
      <c r="AC400" t="str">
        <f t="shared" si="144"/>
        <v>Africa → South Africa → Cape Town</v>
      </c>
      <c r="AD400" t="str">
        <f t="shared" si="145"/>
        <v>Peripherals</v>
      </c>
      <c r="AE400" s="8" t="str">
        <f t="shared" si="132"/>
        <v>Medium</v>
      </c>
      <c r="AF400" t="str">
        <f t="shared" si="147"/>
        <v>SOUTH AFRICA</v>
      </c>
      <c r="AG400" s="7">
        <v>44933</v>
      </c>
      <c r="AH400" t="str">
        <f t="shared" si="148"/>
        <v>Jan-2023</v>
      </c>
      <c r="AI400" s="9">
        <f t="shared" si="149"/>
        <v>45565</v>
      </c>
      <c r="AJ400">
        <f t="shared" si="153"/>
        <v>0</v>
      </c>
      <c r="AK400">
        <f t="shared" si="150"/>
        <v>0</v>
      </c>
      <c r="AL400" s="17">
        <f>MIN(N400,'Scenario Modelling'!$B$2)</f>
        <v>0.122</v>
      </c>
      <c r="AM400" s="10">
        <f>L400*(1+'Scenario Modelling'!$B$3)</f>
        <v>1350.2955</v>
      </c>
      <c r="AN400">
        <f>O400*(1+'Scenario Modelling'!$B$4)</f>
        <v>10.8</v>
      </c>
      <c r="AO400" s="28">
        <f t="shared" si="151"/>
        <v>15566.402664</v>
      </c>
      <c r="AP400" s="10">
        <f t="shared" si="152"/>
        <v>983.211264</v>
      </c>
    </row>
    <row r="401" spans="1:42">
      <c r="A401" t="s">
        <v>1062</v>
      </c>
      <c r="B401" s="7">
        <v>45759</v>
      </c>
      <c r="C401" s="7">
        <v>45777</v>
      </c>
      <c r="D401" t="s">
        <v>177</v>
      </c>
      <c r="E401" t="s">
        <v>178</v>
      </c>
      <c r="F401" t="s">
        <v>179</v>
      </c>
      <c r="G401" t="s">
        <v>180</v>
      </c>
      <c r="H401" t="s">
        <v>201</v>
      </c>
      <c r="I401" t="s">
        <v>245</v>
      </c>
      <c r="J401" t="s">
        <v>196</v>
      </c>
      <c r="K401" t="s">
        <v>1063</v>
      </c>
      <c r="L401" s="10">
        <v>1119.04</v>
      </c>
      <c r="M401" s="10">
        <v>1299.02</v>
      </c>
      <c r="N401" s="17">
        <v>0.025</v>
      </c>
      <c r="O401">
        <v>14</v>
      </c>
      <c r="P401" t="str">
        <f t="shared" si="133"/>
        <v>Valid</v>
      </c>
      <c r="Q401" s="10">
        <f t="shared" si="134"/>
        <v>1299.02</v>
      </c>
      <c r="R401" t="b">
        <f t="shared" si="135"/>
        <v>0</v>
      </c>
      <c r="S401" s="17">
        <f t="shared" si="136"/>
        <v>0.025</v>
      </c>
      <c r="T401">
        <f t="shared" si="137"/>
        <v>18</v>
      </c>
      <c r="U401" s="26">
        <f t="shared" si="138"/>
        <v>45777</v>
      </c>
      <c r="V401">
        <f t="shared" si="139"/>
        <v>18</v>
      </c>
      <c r="W401" s="10">
        <f t="shared" si="140"/>
        <v>1818173.343</v>
      </c>
      <c r="X401" s="10">
        <f t="shared" si="141"/>
        <v>18186.28</v>
      </c>
      <c r="Y401" s="10">
        <f t="shared" si="142"/>
        <v>1799987.063</v>
      </c>
      <c r="Z401" s="14">
        <f t="shared" si="146"/>
        <v>0.989997499374844</v>
      </c>
      <c r="AA401" t="s">
        <v>1578</v>
      </c>
      <c r="AB401" t="str">
        <f t="shared" si="143"/>
        <v>Q2-2025</v>
      </c>
      <c r="AC401" t="str">
        <f t="shared" si="144"/>
        <v>Africa → Kenya → Kisumu</v>
      </c>
      <c r="AD401" t="str">
        <f t="shared" si="145"/>
        <v>Support</v>
      </c>
      <c r="AE401" s="8" t="str">
        <f t="shared" si="132"/>
        <v>High</v>
      </c>
      <c r="AF401" t="str">
        <f t="shared" si="147"/>
        <v>KENYA</v>
      </c>
      <c r="AG401" s="7">
        <v>44946</v>
      </c>
      <c r="AH401" t="str">
        <f t="shared" si="148"/>
        <v>Jan-2023</v>
      </c>
      <c r="AI401" s="9">
        <f t="shared" si="149"/>
        <v>45777</v>
      </c>
      <c r="AJ401">
        <f t="shared" si="153"/>
        <v>0</v>
      </c>
      <c r="AK401">
        <f t="shared" si="150"/>
        <v>0</v>
      </c>
      <c r="AL401" s="17">
        <f>MIN(N401,'Scenario Modelling'!$B$2)</f>
        <v>0.025</v>
      </c>
      <c r="AM401" s="10">
        <f>L401*(1+'Scenario Modelling'!$B$3)</f>
        <v>1286.896</v>
      </c>
      <c r="AN401">
        <f>O401*(1+'Scenario Modelling'!$B$4)</f>
        <v>16.8</v>
      </c>
      <c r="AO401" s="28">
        <f t="shared" si="151"/>
        <v>21277.9476</v>
      </c>
      <c r="AP401" s="10">
        <f t="shared" si="152"/>
        <v>-341.9052</v>
      </c>
    </row>
    <row r="402" spans="1:42">
      <c r="A402" t="s">
        <v>1064</v>
      </c>
      <c r="B402" s="7">
        <v>45516</v>
      </c>
      <c r="C402" s="7">
        <v>45519</v>
      </c>
      <c r="D402" t="s">
        <v>213</v>
      </c>
      <c r="E402" t="s">
        <v>283</v>
      </c>
      <c r="F402" t="s">
        <v>284</v>
      </c>
      <c r="G402" t="s">
        <v>180</v>
      </c>
      <c r="H402" t="s">
        <v>201</v>
      </c>
      <c r="I402" t="s">
        <v>306</v>
      </c>
      <c r="J402" t="s">
        <v>191</v>
      </c>
      <c r="K402" t="s">
        <v>1065</v>
      </c>
      <c r="L402" s="10">
        <v>850.7</v>
      </c>
      <c r="M402" s="10">
        <v>1118.56</v>
      </c>
      <c r="N402" s="17">
        <v>0.18</v>
      </c>
      <c r="O402">
        <v>19</v>
      </c>
      <c r="P402" t="str">
        <f t="shared" si="133"/>
        <v>Valid</v>
      </c>
      <c r="Q402" s="10">
        <f t="shared" si="134"/>
        <v>1118.56</v>
      </c>
      <c r="R402" t="b">
        <f t="shared" si="135"/>
        <v>0</v>
      </c>
      <c r="S402" s="17">
        <f t="shared" si="136"/>
        <v>0.18</v>
      </c>
      <c r="T402">
        <f t="shared" si="137"/>
        <v>3</v>
      </c>
      <c r="U402" s="26">
        <f t="shared" si="138"/>
        <v>45519</v>
      </c>
      <c r="V402">
        <f t="shared" si="139"/>
        <v>3</v>
      </c>
      <c r="W402" s="10">
        <f t="shared" si="140"/>
        <v>2121438.5248</v>
      </c>
      <c r="X402" s="10">
        <f t="shared" si="141"/>
        <v>21252.64</v>
      </c>
      <c r="Y402" s="10">
        <f t="shared" si="142"/>
        <v>2100185.8848</v>
      </c>
      <c r="Z402" s="14">
        <f t="shared" si="146"/>
        <v>0.989981967541575</v>
      </c>
      <c r="AA402" t="s">
        <v>1581</v>
      </c>
      <c r="AB402" t="str">
        <f t="shared" si="143"/>
        <v>Q3-2024</v>
      </c>
      <c r="AC402" t="str">
        <f t="shared" si="144"/>
        <v>Americas → USA → Chicago</v>
      </c>
      <c r="AD402" t="str">
        <f t="shared" si="145"/>
        <v>Peripherals</v>
      </c>
      <c r="AE402" s="8" t="str">
        <f t="shared" si="132"/>
        <v>Medium</v>
      </c>
      <c r="AF402" t="str">
        <f t="shared" si="147"/>
        <v>USA</v>
      </c>
      <c r="AG402" s="7">
        <v>44939</v>
      </c>
      <c r="AH402" t="str">
        <f t="shared" si="148"/>
        <v>Jan-2023</v>
      </c>
      <c r="AI402" s="9">
        <f t="shared" si="149"/>
        <v>45535</v>
      </c>
      <c r="AJ402">
        <f t="shared" si="153"/>
        <v>1</v>
      </c>
      <c r="AK402">
        <f t="shared" si="150"/>
        <v>0</v>
      </c>
      <c r="AL402" s="17">
        <f>MIN(N402,'Scenario Modelling'!$B$2)</f>
        <v>0.18</v>
      </c>
      <c r="AM402" s="10">
        <f>L402*(1+'Scenario Modelling'!$B$3)</f>
        <v>978.305</v>
      </c>
      <c r="AN402">
        <f>O402*(1+'Scenario Modelling'!$B$4)</f>
        <v>22.8</v>
      </c>
      <c r="AO402" s="28">
        <f t="shared" si="151"/>
        <v>20912.59776</v>
      </c>
      <c r="AP402" s="10">
        <f t="shared" si="152"/>
        <v>-1392.75624</v>
      </c>
    </row>
    <row r="403" spans="1:42">
      <c r="A403" t="s">
        <v>1066</v>
      </c>
      <c r="B403" s="7">
        <v>45601</v>
      </c>
      <c r="C403" s="7">
        <v>45604</v>
      </c>
      <c r="D403" t="s">
        <v>213</v>
      </c>
      <c r="E403" t="s">
        <v>214</v>
      </c>
      <c r="F403" t="s">
        <v>215</v>
      </c>
      <c r="G403" t="s">
        <v>188</v>
      </c>
      <c r="H403" t="s">
        <v>201</v>
      </c>
      <c r="I403" t="s">
        <v>229</v>
      </c>
      <c r="J403" t="s">
        <v>183</v>
      </c>
      <c r="K403" t="s">
        <v>1067</v>
      </c>
      <c r="L403" s="10">
        <v>1020.4</v>
      </c>
      <c r="M403" s="10">
        <v>1184.71</v>
      </c>
      <c r="N403" s="17">
        <v>0.106</v>
      </c>
      <c r="O403">
        <v>16</v>
      </c>
      <c r="P403" t="str">
        <f t="shared" si="133"/>
        <v>Valid</v>
      </c>
      <c r="Q403" s="10">
        <f t="shared" si="134"/>
        <v>1184.71</v>
      </c>
      <c r="R403" t="b">
        <f t="shared" si="135"/>
        <v>0</v>
      </c>
      <c r="S403" s="17">
        <f t="shared" si="136"/>
        <v>0.106</v>
      </c>
      <c r="T403">
        <f t="shared" si="137"/>
        <v>3</v>
      </c>
      <c r="U403" s="26">
        <f t="shared" si="138"/>
        <v>45604</v>
      </c>
      <c r="V403">
        <f t="shared" si="139"/>
        <v>3</v>
      </c>
      <c r="W403" s="10">
        <f t="shared" si="140"/>
        <v>1893526.73184</v>
      </c>
      <c r="X403" s="10">
        <f t="shared" si="141"/>
        <v>18955.36</v>
      </c>
      <c r="Y403" s="10">
        <f t="shared" si="142"/>
        <v>1874571.37184</v>
      </c>
      <c r="Z403" s="14">
        <f t="shared" si="146"/>
        <v>0.989989388752077</v>
      </c>
      <c r="AA403" t="s">
        <v>1577</v>
      </c>
      <c r="AB403" t="str">
        <f t="shared" si="143"/>
        <v>Q4-2024</v>
      </c>
      <c r="AC403" t="str">
        <f t="shared" si="144"/>
        <v>Americas → Canada → Toronto</v>
      </c>
      <c r="AD403" t="str">
        <f t="shared" si="145"/>
        <v>Support</v>
      </c>
      <c r="AE403" s="8" t="str">
        <f t="shared" si="132"/>
        <v>High</v>
      </c>
      <c r="AF403" t="str">
        <f t="shared" si="147"/>
        <v>CANADA</v>
      </c>
      <c r="AG403" s="7">
        <v>44928</v>
      </c>
      <c r="AH403" t="str">
        <f t="shared" si="148"/>
        <v>Jan-2023</v>
      </c>
      <c r="AI403" s="9">
        <f t="shared" si="149"/>
        <v>45626</v>
      </c>
      <c r="AJ403">
        <f t="shared" si="153"/>
        <v>1</v>
      </c>
      <c r="AK403">
        <f t="shared" si="150"/>
        <v>0</v>
      </c>
      <c r="AL403" s="17">
        <f>MIN(N403,'Scenario Modelling'!$B$2)</f>
        <v>0.106</v>
      </c>
      <c r="AM403" s="10">
        <f>L403*(1+'Scenario Modelling'!$B$3)</f>
        <v>1173.46</v>
      </c>
      <c r="AN403">
        <f>O403*(1+'Scenario Modelling'!$B$4)</f>
        <v>19.2</v>
      </c>
      <c r="AO403" s="28">
        <f t="shared" si="151"/>
        <v>20335.310208</v>
      </c>
      <c r="AP403" s="10">
        <f t="shared" si="152"/>
        <v>-2195.12179199999</v>
      </c>
    </row>
    <row r="404" spans="1:42">
      <c r="A404" t="s">
        <v>1068</v>
      </c>
      <c r="B404" s="7">
        <v>45497</v>
      </c>
      <c r="C404" s="7">
        <v>45512</v>
      </c>
      <c r="D404" t="s">
        <v>239</v>
      </c>
      <c r="E404" t="s">
        <v>251</v>
      </c>
      <c r="F404" t="s">
        <v>252</v>
      </c>
      <c r="G404" t="s">
        <v>266</v>
      </c>
      <c r="H404" t="s">
        <v>201</v>
      </c>
      <c r="I404" t="s">
        <v>253</v>
      </c>
      <c r="J404" t="s">
        <v>218</v>
      </c>
      <c r="K404" t="s">
        <v>1069</v>
      </c>
      <c r="L404" s="10">
        <v>501.5</v>
      </c>
      <c r="M404" s="10">
        <v>1201.47</v>
      </c>
      <c r="N404" s="17">
        <v>0.126</v>
      </c>
      <c r="O404">
        <v>5</v>
      </c>
      <c r="P404" t="str">
        <f t="shared" si="133"/>
        <v>Valid</v>
      </c>
      <c r="Q404" s="10">
        <f t="shared" si="134"/>
        <v>1201.47</v>
      </c>
      <c r="R404" t="b">
        <f t="shared" si="135"/>
        <v>0</v>
      </c>
      <c r="S404" s="17">
        <f t="shared" si="136"/>
        <v>0.126</v>
      </c>
      <c r="T404">
        <f t="shared" si="137"/>
        <v>15</v>
      </c>
      <c r="U404" s="26">
        <f t="shared" si="138"/>
        <v>45512</v>
      </c>
      <c r="V404">
        <f t="shared" si="139"/>
        <v>15</v>
      </c>
      <c r="W404" s="10">
        <f t="shared" si="140"/>
        <v>599978.0739</v>
      </c>
      <c r="X404" s="10">
        <f t="shared" si="141"/>
        <v>6007.35</v>
      </c>
      <c r="Y404" s="10">
        <f t="shared" si="142"/>
        <v>593970.7239</v>
      </c>
      <c r="Z404" s="14">
        <f t="shared" si="146"/>
        <v>0.989987384103971</v>
      </c>
      <c r="AA404" t="s">
        <v>1573</v>
      </c>
      <c r="AB404" t="str">
        <f t="shared" si="143"/>
        <v>Q3-2024</v>
      </c>
      <c r="AC404" t="str">
        <f t="shared" si="144"/>
        <v>Europe → France → Marseille</v>
      </c>
      <c r="AD404" t="str">
        <f t="shared" si="145"/>
        <v>Devices</v>
      </c>
      <c r="AE404" s="8" t="str">
        <f t="shared" si="132"/>
        <v>Medium</v>
      </c>
      <c r="AF404" t="str">
        <f t="shared" si="147"/>
        <v>FRANCE</v>
      </c>
      <c r="AG404" s="7">
        <v>44936</v>
      </c>
      <c r="AH404" t="str">
        <f t="shared" si="148"/>
        <v>Jan-2023</v>
      </c>
      <c r="AI404" s="9">
        <f t="shared" si="149"/>
        <v>45504</v>
      </c>
      <c r="AJ404">
        <f t="shared" si="153"/>
        <v>0</v>
      </c>
      <c r="AK404">
        <f t="shared" si="150"/>
        <v>0</v>
      </c>
      <c r="AL404" s="17">
        <f>MIN(N404,'Scenario Modelling'!$B$2)</f>
        <v>0.126</v>
      </c>
      <c r="AM404" s="10">
        <f>L404*(1+'Scenario Modelling'!$B$3)</f>
        <v>576.725</v>
      </c>
      <c r="AN404">
        <f>O404*(1+'Scenario Modelling'!$B$4)</f>
        <v>6</v>
      </c>
      <c r="AO404" s="28">
        <f t="shared" si="151"/>
        <v>6300.50868</v>
      </c>
      <c r="AP404" s="10">
        <f t="shared" si="152"/>
        <v>2840.15868</v>
      </c>
    </row>
    <row r="405" spans="1:42">
      <c r="A405" t="s">
        <v>1070</v>
      </c>
      <c r="B405" s="7">
        <v>45677</v>
      </c>
      <c r="C405" s="7">
        <v>45691</v>
      </c>
      <c r="D405" t="s">
        <v>213</v>
      </c>
      <c r="E405" t="s">
        <v>234</v>
      </c>
      <c r="F405" t="s">
        <v>248</v>
      </c>
      <c r="G405" t="s">
        <v>266</v>
      </c>
      <c r="H405" t="s">
        <v>201</v>
      </c>
      <c r="I405" t="s">
        <v>245</v>
      </c>
      <c r="J405" t="s">
        <v>183</v>
      </c>
      <c r="K405" t="s">
        <v>1071</v>
      </c>
      <c r="L405" s="10">
        <v>974.11</v>
      </c>
      <c r="M405" s="10">
        <v>880.99</v>
      </c>
      <c r="N405" s="17">
        <v>0.111</v>
      </c>
      <c r="O405">
        <v>10</v>
      </c>
      <c r="P405" t="str">
        <f t="shared" si="133"/>
        <v>Valid</v>
      </c>
      <c r="Q405" s="10">
        <f t="shared" si="134"/>
        <v>880.99</v>
      </c>
      <c r="R405" t="b">
        <f t="shared" si="135"/>
        <v>0</v>
      </c>
      <c r="S405" s="17">
        <f t="shared" si="136"/>
        <v>0.111</v>
      </c>
      <c r="T405">
        <f t="shared" si="137"/>
        <v>14</v>
      </c>
      <c r="U405" s="26">
        <f t="shared" si="138"/>
        <v>45691</v>
      </c>
      <c r="V405">
        <f t="shared" si="139"/>
        <v>14</v>
      </c>
      <c r="W405" s="10">
        <f t="shared" si="140"/>
        <v>880012.1011</v>
      </c>
      <c r="X405" s="10">
        <f t="shared" si="141"/>
        <v>8809.9</v>
      </c>
      <c r="Y405" s="10">
        <f t="shared" si="142"/>
        <v>871202.2011</v>
      </c>
      <c r="Z405" s="14">
        <f t="shared" si="146"/>
        <v>0.989988887665308</v>
      </c>
      <c r="AA405" t="s">
        <v>1569</v>
      </c>
      <c r="AB405" t="str">
        <f t="shared" si="143"/>
        <v>Q1-2025</v>
      </c>
      <c r="AC405" t="str">
        <f t="shared" si="144"/>
        <v>Americas → Brazil → Brasília</v>
      </c>
      <c r="AD405" t="str">
        <f t="shared" si="145"/>
        <v>Support</v>
      </c>
      <c r="AE405" s="8" t="str">
        <f t="shared" si="132"/>
        <v>High</v>
      </c>
      <c r="AF405" t="str">
        <f t="shared" si="147"/>
        <v>BRAZIL</v>
      </c>
      <c r="AG405" s="7">
        <v>44955</v>
      </c>
      <c r="AH405" t="str">
        <f t="shared" si="148"/>
        <v>Jan-2023</v>
      </c>
      <c r="AI405" s="9">
        <f t="shared" si="149"/>
        <v>45688</v>
      </c>
      <c r="AJ405">
        <f t="shared" si="153"/>
        <v>0</v>
      </c>
      <c r="AK405">
        <f t="shared" si="150"/>
        <v>0</v>
      </c>
      <c r="AL405" s="17">
        <f>MIN(N405,'Scenario Modelling'!$B$2)</f>
        <v>0.111</v>
      </c>
      <c r="AM405" s="10">
        <f>L405*(1+'Scenario Modelling'!$B$3)</f>
        <v>1120.2265</v>
      </c>
      <c r="AN405">
        <f>O405*(1+'Scenario Modelling'!$B$4)</f>
        <v>12</v>
      </c>
      <c r="AO405" s="28">
        <f t="shared" si="151"/>
        <v>9398.40132</v>
      </c>
      <c r="AP405" s="10">
        <f t="shared" si="152"/>
        <v>-4044.31668</v>
      </c>
    </row>
    <row r="406" spans="1:42">
      <c r="A406" t="s">
        <v>1072</v>
      </c>
      <c r="B406" s="7">
        <v>44991</v>
      </c>
      <c r="C406" s="7">
        <v>45020</v>
      </c>
      <c r="D406" t="s">
        <v>206</v>
      </c>
      <c r="E406" t="s">
        <v>277</v>
      </c>
      <c r="F406" t="s">
        <v>499</v>
      </c>
      <c r="G406" t="s">
        <v>223</v>
      </c>
      <c r="H406" t="s">
        <v>259</v>
      </c>
      <c r="I406" t="s">
        <v>182</v>
      </c>
      <c r="J406" t="s">
        <v>225</v>
      </c>
      <c r="K406" t="s">
        <v>1073</v>
      </c>
      <c r="L406" s="10">
        <v>1126.29</v>
      </c>
      <c r="M406" s="10">
        <v>2050.87</v>
      </c>
      <c r="N406" s="17">
        <v>0.064</v>
      </c>
      <c r="O406">
        <v>7</v>
      </c>
      <c r="P406" t="str">
        <f t="shared" si="133"/>
        <v>Valid</v>
      </c>
      <c r="Q406" s="10">
        <f t="shared" si="134"/>
        <v>2050.87</v>
      </c>
      <c r="R406" t="b">
        <f t="shared" si="135"/>
        <v>0</v>
      </c>
      <c r="S406" s="17">
        <f t="shared" si="136"/>
        <v>0.064</v>
      </c>
      <c r="T406">
        <f t="shared" si="137"/>
        <v>29</v>
      </c>
      <c r="U406" s="26">
        <f t="shared" si="138"/>
        <v>45020</v>
      </c>
      <c r="V406">
        <f t="shared" si="139"/>
        <v>29</v>
      </c>
      <c r="W406" s="10">
        <f t="shared" si="140"/>
        <v>1434690.21024</v>
      </c>
      <c r="X406" s="10">
        <f t="shared" si="141"/>
        <v>14356.09</v>
      </c>
      <c r="Y406" s="10">
        <f t="shared" si="142"/>
        <v>1420334.12024</v>
      </c>
      <c r="Z406" s="14">
        <f t="shared" si="146"/>
        <v>0.989993595901377</v>
      </c>
      <c r="AA406" t="s">
        <v>1582</v>
      </c>
      <c r="AB406" t="str">
        <f t="shared" si="143"/>
        <v>Q1-2023</v>
      </c>
      <c r="AC406" t="str">
        <f t="shared" si="144"/>
        <v>Asia → China → Beijing</v>
      </c>
      <c r="AD406" t="str">
        <f t="shared" si="145"/>
        <v>Peripherals</v>
      </c>
      <c r="AE406" s="8" t="str">
        <f t="shared" si="132"/>
        <v>Low</v>
      </c>
      <c r="AF406" t="str">
        <f t="shared" si="147"/>
        <v>CHINA</v>
      </c>
      <c r="AG406" s="7">
        <v>44938</v>
      </c>
      <c r="AH406" t="str">
        <f t="shared" si="148"/>
        <v>Jan-2023</v>
      </c>
      <c r="AI406" s="9">
        <f t="shared" si="149"/>
        <v>45016</v>
      </c>
      <c r="AJ406">
        <f t="shared" si="153"/>
        <v>0</v>
      </c>
      <c r="AK406">
        <f t="shared" si="150"/>
        <v>0</v>
      </c>
      <c r="AL406" s="17">
        <f>MIN(N406,'Scenario Modelling'!$B$2)</f>
        <v>0.064</v>
      </c>
      <c r="AM406" s="10">
        <f>L406*(1+'Scenario Modelling'!$B$3)</f>
        <v>1295.2335</v>
      </c>
      <c r="AN406">
        <f>O406*(1+'Scenario Modelling'!$B$4)</f>
        <v>8.4</v>
      </c>
      <c r="AO406" s="28">
        <f t="shared" si="151"/>
        <v>16124.760288</v>
      </c>
      <c r="AP406" s="10">
        <f t="shared" si="152"/>
        <v>5244.798888</v>
      </c>
    </row>
    <row r="407" spans="1:42">
      <c r="A407" t="s">
        <v>1074</v>
      </c>
      <c r="B407" s="7">
        <v>45646</v>
      </c>
      <c r="C407" s="7">
        <v>45671</v>
      </c>
      <c r="D407" t="s">
        <v>206</v>
      </c>
      <c r="E407" t="s">
        <v>221</v>
      </c>
      <c r="F407" t="s">
        <v>302</v>
      </c>
      <c r="G407" t="s">
        <v>223</v>
      </c>
      <c r="H407" t="s">
        <v>181</v>
      </c>
      <c r="I407" t="s">
        <v>271</v>
      </c>
      <c r="J407" t="s">
        <v>191</v>
      </c>
      <c r="K407" t="s">
        <v>1075</v>
      </c>
      <c r="L407" s="10">
        <v>1361.34</v>
      </c>
      <c r="M407" s="10">
        <v>1737.9</v>
      </c>
      <c r="N407" s="17">
        <v>0.077</v>
      </c>
      <c r="O407">
        <v>14</v>
      </c>
      <c r="P407" t="str">
        <f t="shared" si="133"/>
        <v>Valid</v>
      </c>
      <c r="Q407" s="10">
        <f t="shared" si="134"/>
        <v>1737.9</v>
      </c>
      <c r="R407" t="b">
        <f t="shared" si="135"/>
        <v>0</v>
      </c>
      <c r="S407" s="17">
        <f t="shared" si="136"/>
        <v>0.077</v>
      </c>
      <c r="T407">
        <f t="shared" si="137"/>
        <v>25</v>
      </c>
      <c r="U407" s="26">
        <f t="shared" si="138"/>
        <v>45671</v>
      </c>
      <c r="V407">
        <f t="shared" si="139"/>
        <v>25</v>
      </c>
      <c r="W407" s="10">
        <f t="shared" si="140"/>
        <v>2431186.5438</v>
      </c>
      <c r="X407" s="10">
        <f t="shared" si="141"/>
        <v>24330.6</v>
      </c>
      <c r="Y407" s="10">
        <f t="shared" si="142"/>
        <v>2406855.9438</v>
      </c>
      <c r="Z407" s="14">
        <f t="shared" si="146"/>
        <v>0.989992294066431</v>
      </c>
      <c r="AA407" t="s">
        <v>1565</v>
      </c>
      <c r="AB407" t="str">
        <f t="shared" si="143"/>
        <v>Q4-2024</v>
      </c>
      <c r="AC407" t="str">
        <f t="shared" si="144"/>
        <v>Asia → India → Delhi</v>
      </c>
      <c r="AD407" t="str">
        <f t="shared" si="145"/>
        <v>Peripherals</v>
      </c>
      <c r="AE407" s="8" t="str">
        <f t="shared" si="132"/>
        <v>High</v>
      </c>
      <c r="AF407" t="str">
        <f t="shared" si="147"/>
        <v>INDIA</v>
      </c>
      <c r="AG407" s="7">
        <v>44955</v>
      </c>
      <c r="AH407" t="str">
        <f t="shared" si="148"/>
        <v>Jan-2023</v>
      </c>
      <c r="AI407" s="9">
        <f t="shared" si="149"/>
        <v>45657</v>
      </c>
      <c r="AJ407">
        <f t="shared" si="153"/>
        <v>0</v>
      </c>
      <c r="AK407">
        <f t="shared" si="150"/>
        <v>0</v>
      </c>
      <c r="AL407" s="17">
        <f>MIN(N407,'Scenario Modelling'!$B$2)</f>
        <v>0.077</v>
      </c>
      <c r="AM407" s="10">
        <f>L407*(1+'Scenario Modelling'!$B$3)</f>
        <v>1565.541</v>
      </c>
      <c r="AN407">
        <f>O407*(1+'Scenario Modelling'!$B$4)</f>
        <v>16.8</v>
      </c>
      <c r="AO407" s="28">
        <f t="shared" si="151"/>
        <v>26948.57256</v>
      </c>
      <c r="AP407" s="10">
        <f t="shared" si="152"/>
        <v>647.483760000008</v>
      </c>
    </row>
    <row r="408" spans="1:42">
      <c r="A408" t="s">
        <v>1076</v>
      </c>
      <c r="B408" s="7">
        <v>45709</v>
      </c>
      <c r="C408" s="7">
        <v>45737</v>
      </c>
      <c r="D408" t="s">
        <v>177</v>
      </c>
      <c r="E408" t="s">
        <v>186</v>
      </c>
      <c r="F408" t="s">
        <v>228</v>
      </c>
      <c r="G408" t="s">
        <v>266</v>
      </c>
      <c r="H408" t="s">
        <v>201</v>
      </c>
      <c r="I408" t="s">
        <v>195</v>
      </c>
      <c r="J408" t="s">
        <v>203</v>
      </c>
      <c r="K408" t="s">
        <v>1077</v>
      </c>
      <c r="L408" s="10">
        <v>1437.39</v>
      </c>
      <c r="M408" s="10">
        <v>1388.31</v>
      </c>
      <c r="N408" s="17">
        <v>0.138</v>
      </c>
      <c r="O408">
        <v>18</v>
      </c>
      <c r="P408" t="str">
        <f t="shared" si="133"/>
        <v>Valid</v>
      </c>
      <c r="Q408" s="10">
        <f t="shared" si="134"/>
        <v>1388.31</v>
      </c>
      <c r="R408" t="b">
        <f t="shared" si="135"/>
        <v>0</v>
      </c>
      <c r="S408" s="17">
        <f t="shared" si="136"/>
        <v>0.138</v>
      </c>
      <c r="T408">
        <f t="shared" si="137"/>
        <v>28</v>
      </c>
      <c r="U408" s="26">
        <f t="shared" si="138"/>
        <v>45737</v>
      </c>
      <c r="V408">
        <f t="shared" si="139"/>
        <v>28</v>
      </c>
      <c r="W408" s="10">
        <f t="shared" si="140"/>
        <v>2495509.43796</v>
      </c>
      <c r="X408" s="10">
        <f t="shared" si="141"/>
        <v>24989.58</v>
      </c>
      <c r="Y408" s="10">
        <f t="shared" si="142"/>
        <v>2470519.85796</v>
      </c>
      <c r="Z408" s="14">
        <f t="shared" si="146"/>
        <v>0.989986180929683</v>
      </c>
      <c r="AA408" t="s">
        <v>1586</v>
      </c>
      <c r="AB408" t="str">
        <f t="shared" si="143"/>
        <v>Q1-2025</v>
      </c>
      <c r="AC408" t="str">
        <f t="shared" si="144"/>
        <v>Africa → Nigeria → Abuja</v>
      </c>
      <c r="AD408" t="str">
        <f t="shared" si="145"/>
        <v>Devices</v>
      </c>
      <c r="AE408" s="8" t="str">
        <f t="shared" si="132"/>
        <v>High</v>
      </c>
      <c r="AF408" t="str">
        <f t="shared" si="147"/>
        <v>NIGERIA</v>
      </c>
      <c r="AG408" s="7">
        <v>44941</v>
      </c>
      <c r="AH408" t="str">
        <f t="shared" si="148"/>
        <v>Jan-2023</v>
      </c>
      <c r="AI408" s="9">
        <f t="shared" si="149"/>
        <v>45716</v>
      </c>
      <c r="AJ408">
        <f t="shared" si="153"/>
        <v>0</v>
      </c>
      <c r="AK408">
        <f t="shared" si="150"/>
        <v>0</v>
      </c>
      <c r="AL408" s="17">
        <f>MIN(N408,'Scenario Modelling'!$B$2)</f>
        <v>0.138</v>
      </c>
      <c r="AM408" s="10">
        <f>L408*(1+'Scenario Modelling'!$B$3)</f>
        <v>1652.9985</v>
      </c>
      <c r="AN408">
        <f>O408*(1+'Scenario Modelling'!$B$4)</f>
        <v>21.6</v>
      </c>
      <c r="AO408" s="28">
        <f t="shared" si="151"/>
        <v>25849.221552</v>
      </c>
      <c r="AP408" s="10">
        <f t="shared" si="152"/>
        <v>-9855.546048</v>
      </c>
    </row>
    <row r="409" spans="1:42">
      <c r="A409" t="s">
        <v>1078</v>
      </c>
      <c r="B409" s="7">
        <v>45724</v>
      </c>
      <c r="C409" s="7">
        <v>45731</v>
      </c>
      <c r="D409" t="s">
        <v>206</v>
      </c>
      <c r="E409" t="s">
        <v>221</v>
      </c>
      <c r="F409" t="s">
        <v>222</v>
      </c>
      <c r="G409" t="s">
        <v>180</v>
      </c>
      <c r="H409" t="s">
        <v>216</v>
      </c>
      <c r="I409" t="s">
        <v>256</v>
      </c>
      <c r="J409" t="s">
        <v>218</v>
      </c>
      <c r="K409" t="s">
        <v>1079</v>
      </c>
      <c r="L409" s="10">
        <v>475.66</v>
      </c>
      <c r="M409" s="10">
        <v>529.14</v>
      </c>
      <c r="N409" s="17">
        <v>0.196</v>
      </c>
      <c r="O409">
        <v>11</v>
      </c>
      <c r="P409" t="str">
        <f t="shared" si="133"/>
        <v>Valid</v>
      </c>
      <c r="Q409" s="10">
        <f t="shared" si="134"/>
        <v>529.14</v>
      </c>
      <c r="R409" t="b">
        <f t="shared" si="135"/>
        <v>0</v>
      </c>
      <c r="S409" s="17">
        <f t="shared" si="136"/>
        <v>0.196</v>
      </c>
      <c r="T409">
        <f t="shared" si="137"/>
        <v>7</v>
      </c>
      <c r="U409" s="26">
        <f t="shared" si="138"/>
        <v>45731</v>
      </c>
      <c r="V409">
        <f t="shared" si="139"/>
        <v>7</v>
      </c>
      <c r="W409" s="10">
        <f t="shared" si="140"/>
        <v>580913.17416</v>
      </c>
      <c r="X409" s="10">
        <f t="shared" si="141"/>
        <v>5820.54</v>
      </c>
      <c r="Y409" s="10">
        <f t="shared" si="142"/>
        <v>575092.63416</v>
      </c>
      <c r="Z409" s="14">
        <f t="shared" si="146"/>
        <v>0.989980361508557</v>
      </c>
      <c r="AA409" t="s">
        <v>1563</v>
      </c>
      <c r="AB409" t="str">
        <f t="shared" si="143"/>
        <v>Q1-2025</v>
      </c>
      <c r="AC409" t="str">
        <f t="shared" si="144"/>
        <v>Asia → India → Bengaluru</v>
      </c>
      <c r="AD409" t="str">
        <f t="shared" si="145"/>
        <v>Devices</v>
      </c>
      <c r="AE409" s="8" t="str">
        <f t="shared" si="132"/>
        <v>High</v>
      </c>
      <c r="AF409" t="str">
        <f t="shared" si="147"/>
        <v>INDIA</v>
      </c>
      <c r="AG409" s="7">
        <v>44955</v>
      </c>
      <c r="AH409" t="str">
        <f t="shared" si="148"/>
        <v>Jan-2023</v>
      </c>
      <c r="AI409" s="9">
        <f t="shared" si="149"/>
        <v>45747</v>
      </c>
      <c r="AJ409">
        <f t="shared" si="153"/>
        <v>1</v>
      </c>
      <c r="AK409">
        <f t="shared" si="150"/>
        <v>0</v>
      </c>
      <c r="AL409" s="17">
        <f>MIN(N409,'Scenario Modelling'!$B$2)</f>
        <v>0.196</v>
      </c>
      <c r="AM409" s="10">
        <f>L409*(1+'Scenario Modelling'!$B$3)</f>
        <v>547.009</v>
      </c>
      <c r="AN409">
        <f>O409*(1+'Scenario Modelling'!$B$4)</f>
        <v>13.2</v>
      </c>
      <c r="AO409" s="28">
        <f t="shared" si="151"/>
        <v>5615.656992</v>
      </c>
      <c r="AP409" s="10">
        <f t="shared" si="152"/>
        <v>-1604.861808</v>
      </c>
    </row>
    <row r="410" spans="1:42">
      <c r="A410" t="s">
        <v>1080</v>
      </c>
      <c r="B410" s="7">
        <v>45276</v>
      </c>
      <c r="C410" s="7">
        <v>45279</v>
      </c>
      <c r="D410" t="s">
        <v>206</v>
      </c>
      <c r="E410" t="s">
        <v>277</v>
      </c>
      <c r="F410" t="s">
        <v>499</v>
      </c>
      <c r="G410" t="s">
        <v>188</v>
      </c>
      <c r="H410" t="s">
        <v>181</v>
      </c>
      <c r="I410" t="s">
        <v>236</v>
      </c>
      <c r="J410" t="s">
        <v>242</v>
      </c>
      <c r="K410" t="s">
        <v>1081</v>
      </c>
      <c r="L410" s="10">
        <v>1415.05</v>
      </c>
      <c r="M410" s="10">
        <v>1972.38</v>
      </c>
      <c r="N410" s="17">
        <v>0</v>
      </c>
      <c r="O410">
        <v>12</v>
      </c>
      <c r="P410" t="str">
        <f t="shared" si="133"/>
        <v>Valid</v>
      </c>
      <c r="Q410" s="10">
        <f t="shared" si="134"/>
        <v>1972.38</v>
      </c>
      <c r="R410" t="b">
        <f t="shared" si="135"/>
        <v>0</v>
      </c>
      <c r="S410" s="17">
        <f t="shared" si="136"/>
        <v>0</v>
      </c>
      <c r="T410">
        <f t="shared" si="137"/>
        <v>3</v>
      </c>
      <c r="U410" s="26">
        <f t="shared" si="138"/>
        <v>45279</v>
      </c>
      <c r="V410">
        <f t="shared" si="139"/>
        <v>3</v>
      </c>
      <c r="W410" s="10">
        <f t="shared" si="140"/>
        <v>2366856</v>
      </c>
      <c r="X410" s="10">
        <f t="shared" si="141"/>
        <v>23668.56</v>
      </c>
      <c r="Y410" s="10">
        <f t="shared" si="142"/>
        <v>2343187.44</v>
      </c>
      <c r="Z410" s="14">
        <f t="shared" si="146"/>
        <v>0.99</v>
      </c>
      <c r="AA410" t="s">
        <v>1587</v>
      </c>
      <c r="AB410" t="str">
        <f t="shared" si="143"/>
        <v>Q4-2023</v>
      </c>
      <c r="AC410" t="str">
        <f t="shared" si="144"/>
        <v>Asia → China → Beijing</v>
      </c>
      <c r="AD410" t="str">
        <f t="shared" si="145"/>
        <v>Support</v>
      </c>
      <c r="AE410" s="8" t="str">
        <f t="shared" si="132"/>
        <v>Medium</v>
      </c>
      <c r="AF410" t="str">
        <f t="shared" si="147"/>
        <v>CHINA</v>
      </c>
      <c r="AG410" s="7">
        <v>44938</v>
      </c>
      <c r="AH410" t="str">
        <f t="shared" si="148"/>
        <v>Jan-2023</v>
      </c>
      <c r="AI410" s="9">
        <f t="shared" si="149"/>
        <v>45291</v>
      </c>
      <c r="AJ410">
        <f t="shared" si="153"/>
        <v>1</v>
      </c>
      <c r="AK410">
        <f t="shared" si="150"/>
        <v>0</v>
      </c>
      <c r="AL410" s="17">
        <f>MIN(N410,'Scenario Modelling'!$B$2)</f>
        <v>0</v>
      </c>
      <c r="AM410" s="10">
        <f>L410*(1+'Scenario Modelling'!$B$3)</f>
        <v>1627.3075</v>
      </c>
      <c r="AN410">
        <f>O410*(1+'Scenario Modelling'!$B$4)</f>
        <v>14.4</v>
      </c>
      <c r="AO410" s="28">
        <f t="shared" si="151"/>
        <v>28402.272</v>
      </c>
      <c r="AP410" s="10">
        <f t="shared" si="152"/>
        <v>4969.044</v>
      </c>
    </row>
    <row r="411" spans="1:42">
      <c r="A411" t="s">
        <v>1082</v>
      </c>
      <c r="B411" s="7">
        <v>45534</v>
      </c>
      <c r="C411" s="7">
        <v>45540</v>
      </c>
      <c r="D411" t="s">
        <v>206</v>
      </c>
      <c r="E411" t="s">
        <v>207</v>
      </c>
      <c r="F411" t="s">
        <v>392</v>
      </c>
      <c r="G411" t="s">
        <v>188</v>
      </c>
      <c r="H411" t="s">
        <v>189</v>
      </c>
      <c r="I411" t="s">
        <v>287</v>
      </c>
      <c r="J411" t="s">
        <v>218</v>
      </c>
      <c r="K411" t="s">
        <v>1083</v>
      </c>
      <c r="L411" s="10">
        <v>466.16</v>
      </c>
      <c r="M411" s="10">
        <v>876.81</v>
      </c>
      <c r="N411" s="17">
        <v>0.241</v>
      </c>
      <c r="O411">
        <v>8</v>
      </c>
      <c r="P411" t="str">
        <f t="shared" si="133"/>
        <v>Valid</v>
      </c>
      <c r="Q411" s="10">
        <f t="shared" si="134"/>
        <v>876.81</v>
      </c>
      <c r="R411" t="b">
        <f t="shared" si="135"/>
        <v>0</v>
      </c>
      <c r="S411" s="17">
        <f t="shared" si="136"/>
        <v>0.241</v>
      </c>
      <c r="T411">
        <f t="shared" si="137"/>
        <v>6</v>
      </c>
      <c r="U411" s="26">
        <f t="shared" si="138"/>
        <v>45540</v>
      </c>
      <c r="V411">
        <f t="shared" si="139"/>
        <v>6</v>
      </c>
      <c r="W411" s="10">
        <f t="shared" si="140"/>
        <v>699757.51032</v>
      </c>
      <c r="X411" s="10">
        <f t="shared" si="141"/>
        <v>7014.48</v>
      </c>
      <c r="Y411" s="10">
        <f t="shared" si="142"/>
        <v>692743.03032</v>
      </c>
      <c r="Z411" s="14">
        <f t="shared" si="146"/>
        <v>0.989975841778687</v>
      </c>
      <c r="AA411" t="s">
        <v>1581</v>
      </c>
      <c r="AB411" t="str">
        <f t="shared" si="143"/>
        <v>Q3-2024</v>
      </c>
      <c r="AC411" t="str">
        <f t="shared" si="144"/>
        <v>Asia → Japan → Nagoya</v>
      </c>
      <c r="AD411" t="str">
        <f t="shared" si="145"/>
        <v>Devices</v>
      </c>
      <c r="AE411" s="8" t="str">
        <f t="shared" si="132"/>
        <v>Medium</v>
      </c>
      <c r="AF411" t="str">
        <f t="shared" si="147"/>
        <v>JAPAN</v>
      </c>
      <c r="AG411" s="7">
        <v>44988</v>
      </c>
      <c r="AH411" t="str">
        <f t="shared" si="148"/>
        <v>Mar-2023</v>
      </c>
      <c r="AI411" s="9">
        <f t="shared" si="149"/>
        <v>45535</v>
      </c>
      <c r="AJ411">
        <f t="shared" si="153"/>
        <v>1</v>
      </c>
      <c r="AK411">
        <f t="shared" si="150"/>
        <v>1</v>
      </c>
      <c r="AL411" s="17">
        <f>MIN(N411,'Scenario Modelling'!$B$2)</f>
        <v>0.241</v>
      </c>
      <c r="AM411" s="10">
        <f>L411*(1+'Scenario Modelling'!$B$3)</f>
        <v>536.084</v>
      </c>
      <c r="AN411">
        <f>O411*(1+'Scenario Modelling'!$B$4)</f>
        <v>9.6</v>
      </c>
      <c r="AO411" s="28">
        <f t="shared" si="151"/>
        <v>6388.788384</v>
      </c>
      <c r="AP411" s="10">
        <f t="shared" si="152"/>
        <v>1242.381984</v>
      </c>
    </row>
    <row r="412" spans="1:42">
      <c r="A412" t="s">
        <v>1084</v>
      </c>
      <c r="B412" s="7">
        <v>45430</v>
      </c>
      <c r="C412" s="7">
        <v>45433</v>
      </c>
      <c r="D412" t="s">
        <v>239</v>
      </c>
      <c r="E412" t="s">
        <v>251</v>
      </c>
      <c r="F412" t="s">
        <v>252</v>
      </c>
      <c r="G412" t="s">
        <v>200</v>
      </c>
      <c r="H412" t="s">
        <v>201</v>
      </c>
      <c r="I412" t="s">
        <v>306</v>
      </c>
      <c r="J412" t="s">
        <v>191</v>
      </c>
      <c r="K412" t="s">
        <v>1085</v>
      </c>
      <c r="L412" s="10">
        <v>663.66</v>
      </c>
      <c r="M412" s="10">
        <v>824.26</v>
      </c>
      <c r="N412" s="17">
        <v>0.239</v>
      </c>
      <c r="O412">
        <v>11</v>
      </c>
      <c r="P412" t="str">
        <f t="shared" si="133"/>
        <v>Valid</v>
      </c>
      <c r="Q412" s="10">
        <f t="shared" si="134"/>
        <v>824.26</v>
      </c>
      <c r="R412" t="b">
        <f t="shared" si="135"/>
        <v>0</v>
      </c>
      <c r="S412" s="17">
        <f t="shared" si="136"/>
        <v>0.239</v>
      </c>
      <c r="T412">
        <f t="shared" si="137"/>
        <v>3</v>
      </c>
      <c r="U412" s="26">
        <f t="shared" si="138"/>
        <v>45433</v>
      </c>
      <c r="V412">
        <f t="shared" si="139"/>
        <v>3</v>
      </c>
      <c r="W412" s="10">
        <f t="shared" si="140"/>
        <v>904519.02046</v>
      </c>
      <c r="X412" s="10">
        <f t="shared" si="141"/>
        <v>9066.86</v>
      </c>
      <c r="Y412" s="10">
        <f t="shared" si="142"/>
        <v>895452.16046</v>
      </c>
      <c r="Z412" s="14">
        <f t="shared" si="146"/>
        <v>0.989976042742154</v>
      </c>
      <c r="AA412" t="s">
        <v>1566</v>
      </c>
      <c r="AB412" t="str">
        <f t="shared" si="143"/>
        <v>Q2-2024</v>
      </c>
      <c r="AC412" t="str">
        <f t="shared" si="144"/>
        <v>Europe → France → Marseille</v>
      </c>
      <c r="AD412" t="str">
        <f t="shared" si="145"/>
        <v>Peripherals</v>
      </c>
      <c r="AE412" s="8" t="str">
        <f t="shared" si="132"/>
        <v>Medium</v>
      </c>
      <c r="AF412" t="str">
        <f t="shared" si="147"/>
        <v>FRANCE</v>
      </c>
      <c r="AG412" s="7">
        <v>44936</v>
      </c>
      <c r="AH412" t="str">
        <f t="shared" si="148"/>
        <v>Jan-2023</v>
      </c>
      <c r="AI412" s="9">
        <f t="shared" si="149"/>
        <v>45443</v>
      </c>
      <c r="AJ412">
        <f t="shared" si="153"/>
        <v>1</v>
      </c>
      <c r="AK412">
        <f t="shared" si="150"/>
        <v>1</v>
      </c>
      <c r="AL412" s="17">
        <f>MIN(N412,'Scenario Modelling'!$B$2)</f>
        <v>0.239</v>
      </c>
      <c r="AM412" s="10">
        <f>L412*(1+'Scenario Modelling'!$B$3)</f>
        <v>763.209</v>
      </c>
      <c r="AN412">
        <f>O412*(1+'Scenario Modelling'!$B$4)</f>
        <v>13.2</v>
      </c>
      <c r="AO412" s="28">
        <f t="shared" si="151"/>
        <v>8279.856552</v>
      </c>
      <c r="AP412" s="10">
        <f t="shared" si="152"/>
        <v>-1794.502248</v>
      </c>
    </row>
    <row r="413" spans="1:42">
      <c r="A413" t="s">
        <v>1086</v>
      </c>
      <c r="B413" s="7">
        <v>45002</v>
      </c>
      <c r="C413" s="7">
        <v>45022</v>
      </c>
      <c r="D413" t="s">
        <v>239</v>
      </c>
      <c r="E413" t="s">
        <v>240</v>
      </c>
      <c r="F413" t="s">
        <v>320</v>
      </c>
      <c r="G413" t="s">
        <v>209</v>
      </c>
      <c r="H413" t="s">
        <v>181</v>
      </c>
      <c r="I413" t="s">
        <v>229</v>
      </c>
      <c r="J413" t="s">
        <v>203</v>
      </c>
      <c r="K413" t="s">
        <v>1087</v>
      </c>
      <c r="L413" s="10">
        <v>692.18</v>
      </c>
      <c r="M413" s="10">
        <v>1159.35</v>
      </c>
      <c r="N413" s="17">
        <v>0.112</v>
      </c>
      <c r="O413">
        <v>2</v>
      </c>
      <c r="P413" t="str">
        <f t="shared" si="133"/>
        <v>Valid</v>
      </c>
      <c r="Q413" s="10">
        <f t="shared" si="134"/>
        <v>1159.35</v>
      </c>
      <c r="R413" t="b">
        <f t="shared" si="135"/>
        <v>0</v>
      </c>
      <c r="S413" s="17">
        <f t="shared" si="136"/>
        <v>0.112</v>
      </c>
      <c r="T413">
        <f t="shared" si="137"/>
        <v>20</v>
      </c>
      <c r="U413" s="26">
        <f t="shared" si="138"/>
        <v>45022</v>
      </c>
      <c r="V413">
        <f t="shared" si="139"/>
        <v>20</v>
      </c>
      <c r="W413" s="10">
        <f t="shared" si="140"/>
        <v>231610.3056</v>
      </c>
      <c r="X413" s="10">
        <f t="shared" si="141"/>
        <v>2318.7</v>
      </c>
      <c r="Y413" s="10">
        <f t="shared" si="142"/>
        <v>229291.6056</v>
      </c>
      <c r="Z413" s="14">
        <f t="shared" si="146"/>
        <v>0.989988787441935</v>
      </c>
      <c r="AA413" t="s">
        <v>1582</v>
      </c>
      <c r="AB413" t="str">
        <f t="shared" si="143"/>
        <v>Q1-2023</v>
      </c>
      <c r="AC413" t="str">
        <f t="shared" si="144"/>
        <v>Europe → Germany → Munich</v>
      </c>
      <c r="AD413" t="str">
        <f t="shared" si="145"/>
        <v>Devices</v>
      </c>
      <c r="AE413" s="8" t="str">
        <f t="shared" si="132"/>
        <v>Low</v>
      </c>
      <c r="AF413" t="str">
        <f t="shared" si="147"/>
        <v>GERMANY</v>
      </c>
      <c r="AG413" s="7">
        <v>44948</v>
      </c>
      <c r="AH413" t="str">
        <f t="shared" si="148"/>
        <v>Jan-2023</v>
      </c>
      <c r="AI413" s="9">
        <f t="shared" si="149"/>
        <v>45016</v>
      </c>
      <c r="AJ413">
        <f t="shared" si="153"/>
        <v>0</v>
      </c>
      <c r="AK413">
        <f t="shared" si="150"/>
        <v>0</v>
      </c>
      <c r="AL413" s="17">
        <f>MIN(N413,'Scenario Modelling'!$B$2)</f>
        <v>0.112</v>
      </c>
      <c r="AM413" s="10">
        <f>L413*(1+'Scenario Modelling'!$B$3)</f>
        <v>796.007</v>
      </c>
      <c r="AN413">
        <f>O413*(1+'Scenario Modelling'!$B$4)</f>
        <v>2.4</v>
      </c>
      <c r="AO413" s="28">
        <f t="shared" si="151"/>
        <v>2470.80672</v>
      </c>
      <c r="AP413" s="10">
        <f t="shared" si="152"/>
        <v>560.38992</v>
      </c>
    </row>
    <row r="414" spans="1:42">
      <c r="A414" t="s">
        <v>1088</v>
      </c>
      <c r="B414" s="7">
        <v>45163</v>
      </c>
      <c r="C414" s="7">
        <v>45185</v>
      </c>
      <c r="D414" t="s">
        <v>177</v>
      </c>
      <c r="E414" t="s">
        <v>186</v>
      </c>
      <c r="F414" t="s">
        <v>228</v>
      </c>
      <c r="G414" t="s">
        <v>180</v>
      </c>
      <c r="H414" t="s">
        <v>201</v>
      </c>
      <c r="I414" t="s">
        <v>210</v>
      </c>
      <c r="J414" t="s">
        <v>203</v>
      </c>
      <c r="K414" t="s">
        <v>1089</v>
      </c>
      <c r="L414" s="10">
        <v>1196.83</v>
      </c>
      <c r="M414" s="10">
        <v>2513.51</v>
      </c>
      <c r="N414" s="17">
        <v>0.083</v>
      </c>
      <c r="O414">
        <v>7</v>
      </c>
      <c r="P414" t="str">
        <f t="shared" si="133"/>
        <v>Valid</v>
      </c>
      <c r="Q414" s="10">
        <f t="shared" si="134"/>
        <v>2513.51</v>
      </c>
      <c r="R414" t="b">
        <f t="shared" si="135"/>
        <v>0</v>
      </c>
      <c r="S414" s="17">
        <f t="shared" si="136"/>
        <v>0.083</v>
      </c>
      <c r="T414">
        <f t="shared" si="137"/>
        <v>22</v>
      </c>
      <c r="U414" s="26">
        <f t="shared" si="138"/>
        <v>45185</v>
      </c>
      <c r="V414">
        <f t="shared" si="139"/>
        <v>22</v>
      </c>
      <c r="W414" s="10">
        <f t="shared" si="140"/>
        <v>1757996.65069</v>
      </c>
      <c r="X414" s="10">
        <f t="shared" si="141"/>
        <v>17594.57</v>
      </c>
      <c r="Y414" s="10">
        <f t="shared" si="142"/>
        <v>1740402.08069</v>
      </c>
      <c r="Z414" s="14">
        <f t="shared" si="146"/>
        <v>0.989991693105277</v>
      </c>
      <c r="AA414" t="s">
        <v>1585</v>
      </c>
      <c r="AB414" t="str">
        <f t="shared" si="143"/>
        <v>Q3-2023</v>
      </c>
      <c r="AC414" t="str">
        <f t="shared" si="144"/>
        <v>Africa → Nigeria → Abuja</v>
      </c>
      <c r="AD414" t="str">
        <f t="shared" si="145"/>
        <v>Devices</v>
      </c>
      <c r="AE414" s="8" t="str">
        <f t="shared" si="132"/>
        <v>Low</v>
      </c>
      <c r="AF414" t="str">
        <f t="shared" si="147"/>
        <v>NIGERIA</v>
      </c>
      <c r="AG414" s="7">
        <v>44941</v>
      </c>
      <c r="AH414" t="str">
        <f t="shared" si="148"/>
        <v>Jan-2023</v>
      </c>
      <c r="AI414" s="9">
        <f t="shared" si="149"/>
        <v>45169</v>
      </c>
      <c r="AJ414">
        <f t="shared" si="153"/>
        <v>0</v>
      </c>
      <c r="AK414">
        <f t="shared" si="150"/>
        <v>0</v>
      </c>
      <c r="AL414" s="17">
        <f>MIN(N414,'Scenario Modelling'!$B$2)</f>
        <v>0.083</v>
      </c>
      <c r="AM414" s="10">
        <f>L414*(1+'Scenario Modelling'!$B$3)</f>
        <v>1376.3545</v>
      </c>
      <c r="AN414">
        <f>O414*(1+'Scenario Modelling'!$B$4)</f>
        <v>8.4</v>
      </c>
      <c r="AO414" s="28">
        <f t="shared" si="151"/>
        <v>19361.064828</v>
      </c>
      <c r="AP414" s="10">
        <f t="shared" si="152"/>
        <v>7799.687028</v>
      </c>
    </row>
    <row r="415" spans="1:42">
      <c r="A415" t="s">
        <v>1090</v>
      </c>
      <c r="B415" s="7">
        <v>45449</v>
      </c>
      <c r="C415" s="7">
        <v>45467</v>
      </c>
      <c r="D415" t="s">
        <v>206</v>
      </c>
      <c r="E415" t="s">
        <v>221</v>
      </c>
      <c r="F415" t="s">
        <v>222</v>
      </c>
      <c r="G415" t="s">
        <v>223</v>
      </c>
      <c r="H415" t="s">
        <v>259</v>
      </c>
      <c r="I415" t="s">
        <v>253</v>
      </c>
      <c r="J415" t="s">
        <v>196</v>
      </c>
      <c r="K415" t="s">
        <v>1091</v>
      </c>
      <c r="L415" s="10">
        <v>1253.25</v>
      </c>
      <c r="M415" s="10">
        <v>3087.13</v>
      </c>
      <c r="N415" s="17">
        <v>0.072</v>
      </c>
      <c r="O415">
        <v>11</v>
      </c>
      <c r="P415" t="str">
        <f t="shared" si="133"/>
        <v>Valid</v>
      </c>
      <c r="Q415" s="10">
        <f t="shared" si="134"/>
        <v>3087.13</v>
      </c>
      <c r="R415" t="b">
        <f t="shared" si="135"/>
        <v>0</v>
      </c>
      <c r="S415" s="17">
        <f t="shared" si="136"/>
        <v>0.072</v>
      </c>
      <c r="T415">
        <f t="shared" si="137"/>
        <v>18</v>
      </c>
      <c r="U415" s="26">
        <f t="shared" si="138"/>
        <v>45467</v>
      </c>
      <c r="V415">
        <f t="shared" si="139"/>
        <v>18</v>
      </c>
      <c r="W415" s="10">
        <f t="shared" si="140"/>
        <v>3393397.99304</v>
      </c>
      <c r="X415" s="10">
        <f t="shared" si="141"/>
        <v>33958.43</v>
      </c>
      <c r="Y415" s="10">
        <f t="shared" si="142"/>
        <v>3359439.56304</v>
      </c>
      <c r="Z415" s="14">
        <f t="shared" si="146"/>
        <v>0.989992794812265</v>
      </c>
      <c r="AA415" t="s">
        <v>1576</v>
      </c>
      <c r="AB415" t="str">
        <f t="shared" si="143"/>
        <v>Q2-2024</v>
      </c>
      <c r="AC415" t="str">
        <f t="shared" si="144"/>
        <v>Asia → India → Bengaluru</v>
      </c>
      <c r="AD415" t="str">
        <f t="shared" si="145"/>
        <v>Support</v>
      </c>
      <c r="AE415" s="8" t="str">
        <f t="shared" si="132"/>
        <v>Medium</v>
      </c>
      <c r="AF415" t="str">
        <f t="shared" si="147"/>
        <v>INDIA</v>
      </c>
      <c r="AG415" s="7">
        <v>44955</v>
      </c>
      <c r="AH415" t="str">
        <f t="shared" si="148"/>
        <v>Jan-2023</v>
      </c>
      <c r="AI415" s="9">
        <f t="shared" si="149"/>
        <v>45473</v>
      </c>
      <c r="AJ415">
        <f t="shared" si="153"/>
        <v>0</v>
      </c>
      <c r="AK415">
        <f t="shared" si="150"/>
        <v>0</v>
      </c>
      <c r="AL415" s="17">
        <f>MIN(N415,'Scenario Modelling'!$B$2)</f>
        <v>0.072</v>
      </c>
      <c r="AM415" s="10">
        <f>L415*(1+'Scenario Modelling'!$B$3)</f>
        <v>1441.2375</v>
      </c>
      <c r="AN415">
        <f>O415*(1+'Scenario Modelling'!$B$4)</f>
        <v>13.2</v>
      </c>
      <c r="AO415" s="28">
        <f t="shared" si="151"/>
        <v>37816.107648</v>
      </c>
      <c r="AP415" s="10">
        <f t="shared" si="152"/>
        <v>18791.772648</v>
      </c>
    </row>
    <row r="416" spans="1:42">
      <c r="A416" t="s">
        <v>1092</v>
      </c>
      <c r="B416" s="7">
        <v>45167</v>
      </c>
      <c r="C416" s="7">
        <v>45182</v>
      </c>
      <c r="D416" t="s">
        <v>213</v>
      </c>
      <c r="E416" t="s">
        <v>214</v>
      </c>
      <c r="F416" t="s">
        <v>340</v>
      </c>
      <c r="G416" t="s">
        <v>223</v>
      </c>
      <c r="H416" t="s">
        <v>201</v>
      </c>
      <c r="I416" t="s">
        <v>229</v>
      </c>
      <c r="J416" t="s">
        <v>191</v>
      </c>
      <c r="K416" t="s">
        <v>1093</v>
      </c>
      <c r="L416" s="10">
        <v>1287.64</v>
      </c>
      <c r="M416" s="10">
        <v>2717.15</v>
      </c>
      <c r="N416" s="17">
        <v>0.032</v>
      </c>
      <c r="O416">
        <v>7</v>
      </c>
      <c r="P416" t="str">
        <f t="shared" si="133"/>
        <v>Valid</v>
      </c>
      <c r="Q416" s="10">
        <f t="shared" si="134"/>
        <v>2717.15</v>
      </c>
      <c r="R416" t="b">
        <f t="shared" si="135"/>
        <v>0</v>
      </c>
      <c r="S416" s="17">
        <f t="shared" si="136"/>
        <v>0.032</v>
      </c>
      <c r="T416">
        <f t="shared" si="137"/>
        <v>15</v>
      </c>
      <c r="U416" s="26">
        <f t="shared" si="138"/>
        <v>45182</v>
      </c>
      <c r="V416">
        <f t="shared" si="139"/>
        <v>15</v>
      </c>
      <c r="W416" s="10">
        <f t="shared" si="140"/>
        <v>1901396.3584</v>
      </c>
      <c r="X416" s="10">
        <f t="shared" si="141"/>
        <v>19020.05</v>
      </c>
      <c r="Y416" s="10">
        <f t="shared" si="142"/>
        <v>1882376.3084</v>
      </c>
      <c r="Z416" s="14">
        <f t="shared" si="146"/>
        <v>0.989996798975672</v>
      </c>
      <c r="AA416" t="s">
        <v>1585</v>
      </c>
      <c r="AB416" t="str">
        <f t="shared" si="143"/>
        <v>Q3-2023</v>
      </c>
      <c r="AC416" t="str">
        <f t="shared" si="144"/>
        <v>Americas → Canada → Vancouver</v>
      </c>
      <c r="AD416" t="str">
        <f t="shared" si="145"/>
        <v>Peripherals</v>
      </c>
      <c r="AE416" s="8" t="str">
        <f t="shared" si="132"/>
        <v>Low</v>
      </c>
      <c r="AF416" t="str">
        <f t="shared" si="147"/>
        <v>CANADA</v>
      </c>
      <c r="AG416" s="7">
        <v>44928</v>
      </c>
      <c r="AH416" t="str">
        <f t="shared" si="148"/>
        <v>Jan-2023</v>
      </c>
      <c r="AI416" s="9">
        <f t="shared" si="149"/>
        <v>45169</v>
      </c>
      <c r="AJ416">
        <f t="shared" si="153"/>
        <v>0</v>
      </c>
      <c r="AK416">
        <f t="shared" si="150"/>
        <v>0</v>
      </c>
      <c r="AL416" s="17">
        <f>MIN(N416,'Scenario Modelling'!$B$2)</f>
        <v>0.032</v>
      </c>
      <c r="AM416" s="10">
        <f>L416*(1+'Scenario Modelling'!$B$3)</f>
        <v>1480.786</v>
      </c>
      <c r="AN416">
        <f>O416*(1+'Scenario Modelling'!$B$4)</f>
        <v>8.4</v>
      </c>
      <c r="AO416" s="28">
        <f t="shared" si="151"/>
        <v>22093.69008</v>
      </c>
      <c r="AP416" s="10">
        <f t="shared" si="152"/>
        <v>9655.08768</v>
      </c>
    </row>
    <row r="417" spans="1:42">
      <c r="A417" t="s">
        <v>1094</v>
      </c>
      <c r="B417" s="7">
        <v>45626</v>
      </c>
      <c r="C417" s="7">
        <v>45636</v>
      </c>
      <c r="D417" t="s">
        <v>206</v>
      </c>
      <c r="E417" t="s">
        <v>221</v>
      </c>
      <c r="F417" t="s">
        <v>442</v>
      </c>
      <c r="G417" t="s">
        <v>223</v>
      </c>
      <c r="H417" t="s">
        <v>181</v>
      </c>
      <c r="I417" t="s">
        <v>245</v>
      </c>
      <c r="J417" t="s">
        <v>242</v>
      </c>
      <c r="K417" t="s">
        <v>1095</v>
      </c>
      <c r="L417" s="10">
        <v>851.49</v>
      </c>
      <c r="M417" s="10">
        <v>901.79</v>
      </c>
      <c r="N417" s="17">
        <v>0.245</v>
      </c>
      <c r="O417">
        <v>16</v>
      </c>
      <c r="P417" t="str">
        <f t="shared" si="133"/>
        <v>Valid</v>
      </c>
      <c r="Q417" s="10">
        <f t="shared" si="134"/>
        <v>901.79</v>
      </c>
      <c r="R417" t="b">
        <f t="shared" si="135"/>
        <v>0</v>
      </c>
      <c r="S417" s="17">
        <f t="shared" si="136"/>
        <v>0.245</v>
      </c>
      <c r="T417">
        <f t="shared" si="137"/>
        <v>10</v>
      </c>
      <c r="U417" s="26">
        <f t="shared" si="138"/>
        <v>45636</v>
      </c>
      <c r="V417">
        <f t="shared" si="139"/>
        <v>10</v>
      </c>
      <c r="W417" s="10">
        <f t="shared" si="140"/>
        <v>1439328.9832</v>
      </c>
      <c r="X417" s="10">
        <f t="shared" si="141"/>
        <v>14428.64</v>
      </c>
      <c r="Y417" s="10">
        <f t="shared" si="142"/>
        <v>1424900.3432</v>
      </c>
      <c r="Z417" s="14">
        <f t="shared" si="146"/>
        <v>0.989975439827578</v>
      </c>
      <c r="AA417" t="s">
        <v>1577</v>
      </c>
      <c r="AB417" t="str">
        <f t="shared" si="143"/>
        <v>Q4-2024</v>
      </c>
      <c r="AC417" t="str">
        <f t="shared" si="144"/>
        <v>Asia → India → Hyderabad</v>
      </c>
      <c r="AD417" t="str">
        <f t="shared" si="145"/>
        <v>Support</v>
      </c>
      <c r="AE417" s="8" t="str">
        <f t="shared" si="132"/>
        <v>High</v>
      </c>
      <c r="AF417" t="str">
        <f t="shared" si="147"/>
        <v>INDIA</v>
      </c>
      <c r="AG417" s="7">
        <v>44955</v>
      </c>
      <c r="AH417" t="str">
        <f t="shared" si="148"/>
        <v>Jan-2023</v>
      </c>
      <c r="AI417" s="9">
        <f t="shared" si="149"/>
        <v>45626</v>
      </c>
      <c r="AJ417">
        <f t="shared" si="153"/>
        <v>0</v>
      </c>
      <c r="AK417">
        <f t="shared" si="150"/>
        <v>1</v>
      </c>
      <c r="AL417" s="17">
        <f>MIN(N417,'Scenario Modelling'!$B$2)</f>
        <v>0.245</v>
      </c>
      <c r="AM417" s="10">
        <f>L417*(1+'Scenario Modelling'!$B$3)</f>
        <v>979.2135</v>
      </c>
      <c r="AN417">
        <f>O417*(1+'Scenario Modelling'!$B$4)</f>
        <v>19.2</v>
      </c>
      <c r="AO417" s="28">
        <f t="shared" si="151"/>
        <v>13072.34784</v>
      </c>
      <c r="AP417" s="10">
        <f t="shared" si="152"/>
        <v>-5728.55136</v>
      </c>
    </row>
    <row r="418" spans="1:42">
      <c r="A418" t="s">
        <v>1096</v>
      </c>
      <c r="B418" s="7">
        <v>45813</v>
      </c>
      <c r="C418" s="7">
        <v>45822</v>
      </c>
      <c r="D418" t="s">
        <v>206</v>
      </c>
      <c r="E418" t="s">
        <v>221</v>
      </c>
      <c r="F418" t="s">
        <v>302</v>
      </c>
      <c r="G418" t="s">
        <v>200</v>
      </c>
      <c r="H418" t="s">
        <v>181</v>
      </c>
      <c r="I418" t="s">
        <v>236</v>
      </c>
      <c r="J418" t="s">
        <v>242</v>
      </c>
      <c r="K418" t="s">
        <v>1097</v>
      </c>
      <c r="L418" s="10">
        <v>618.69</v>
      </c>
      <c r="M418" s="10">
        <v>796.15</v>
      </c>
      <c r="N418" s="17">
        <v>0.09</v>
      </c>
      <c r="O418">
        <v>11</v>
      </c>
      <c r="P418" t="str">
        <f t="shared" si="133"/>
        <v>Valid</v>
      </c>
      <c r="Q418" s="10">
        <f t="shared" si="134"/>
        <v>796.15</v>
      </c>
      <c r="R418" t="b">
        <f t="shared" si="135"/>
        <v>0</v>
      </c>
      <c r="S418" s="17">
        <f t="shared" si="136"/>
        <v>0.09</v>
      </c>
      <c r="T418">
        <f t="shared" si="137"/>
        <v>9</v>
      </c>
      <c r="U418" s="26">
        <f t="shared" si="138"/>
        <v>45822</v>
      </c>
      <c r="V418">
        <f t="shared" si="139"/>
        <v>9</v>
      </c>
      <c r="W418" s="10">
        <f t="shared" si="140"/>
        <v>874976.8115</v>
      </c>
      <c r="X418" s="10">
        <f t="shared" si="141"/>
        <v>8757.65</v>
      </c>
      <c r="Y418" s="10">
        <f t="shared" si="142"/>
        <v>866219.1615</v>
      </c>
      <c r="Z418" s="14">
        <f t="shared" si="146"/>
        <v>0.989990991892703</v>
      </c>
      <c r="AA418" t="s">
        <v>1575</v>
      </c>
      <c r="AB418" t="str">
        <f t="shared" si="143"/>
        <v>Q2-2025</v>
      </c>
      <c r="AC418" t="str">
        <f t="shared" si="144"/>
        <v>Asia → India → Delhi</v>
      </c>
      <c r="AD418" t="str">
        <f t="shared" si="145"/>
        <v>Support</v>
      </c>
      <c r="AE418" s="8" t="str">
        <f t="shared" si="132"/>
        <v>High</v>
      </c>
      <c r="AF418" t="str">
        <f t="shared" si="147"/>
        <v>INDIA</v>
      </c>
      <c r="AG418" s="7">
        <v>44955</v>
      </c>
      <c r="AH418" t="str">
        <f t="shared" si="148"/>
        <v>Jan-2023</v>
      </c>
      <c r="AI418" s="9">
        <f t="shared" si="149"/>
        <v>45838</v>
      </c>
      <c r="AJ418">
        <f t="shared" si="153"/>
        <v>0</v>
      </c>
      <c r="AK418">
        <f t="shared" si="150"/>
        <v>0</v>
      </c>
      <c r="AL418" s="17">
        <f>MIN(N418,'Scenario Modelling'!$B$2)</f>
        <v>0.09</v>
      </c>
      <c r="AM418" s="10">
        <f>L418*(1+'Scenario Modelling'!$B$3)</f>
        <v>711.4935</v>
      </c>
      <c r="AN418">
        <f>O418*(1+'Scenario Modelling'!$B$4)</f>
        <v>13.2</v>
      </c>
      <c r="AO418" s="28">
        <f t="shared" si="151"/>
        <v>9563.3538</v>
      </c>
      <c r="AP418" s="10">
        <f t="shared" si="152"/>
        <v>171.639599999999</v>
      </c>
    </row>
    <row r="419" spans="1:42">
      <c r="A419" t="s">
        <v>1098</v>
      </c>
      <c r="B419" s="7">
        <v>45730</v>
      </c>
      <c r="C419" s="7">
        <v>45755</v>
      </c>
      <c r="D419" t="s">
        <v>206</v>
      </c>
      <c r="E419" t="s">
        <v>277</v>
      </c>
      <c r="F419" t="s">
        <v>1591</v>
      </c>
      <c r="G419" t="s">
        <v>180</v>
      </c>
      <c r="H419" t="s">
        <v>216</v>
      </c>
      <c r="I419" t="s">
        <v>306</v>
      </c>
      <c r="J419" t="s">
        <v>191</v>
      </c>
      <c r="K419" t="s">
        <v>1099</v>
      </c>
      <c r="L419" s="10">
        <v>80.59</v>
      </c>
      <c r="M419" s="10">
        <v>157.82</v>
      </c>
      <c r="N419" s="17">
        <v>0.217</v>
      </c>
      <c r="O419">
        <v>6</v>
      </c>
      <c r="P419" t="str">
        <f t="shared" si="133"/>
        <v>Valid</v>
      </c>
      <c r="Q419" s="10">
        <f t="shared" si="134"/>
        <v>157.82</v>
      </c>
      <c r="R419" t="b">
        <f t="shared" si="135"/>
        <v>0</v>
      </c>
      <c r="S419" s="17">
        <f t="shared" si="136"/>
        <v>0.217</v>
      </c>
      <c r="T419">
        <f t="shared" si="137"/>
        <v>25</v>
      </c>
      <c r="U419" s="26">
        <f t="shared" si="138"/>
        <v>45755</v>
      </c>
      <c r="V419">
        <f t="shared" si="139"/>
        <v>25</v>
      </c>
      <c r="W419" s="10">
        <f t="shared" si="140"/>
        <v>94486.51836</v>
      </c>
      <c r="X419" s="10">
        <f t="shared" si="141"/>
        <v>946.92</v>
      </c>
      <c r="Y419" s="10">
        <f t="shared" si="142"/>
        <v>93539.59836</v>
      </c>
      <c r="Z419" s="14">
        <f t="shared" si="146"/>
        <v>0.989978252808595</v>
      </c>
      <c r="AA419" t="s">
        <v>1563</v>
      </c>
      <c r="AB419" t="str">
        <f t="shared" si="143"/>
        <v>Q1-2025</v>
      </c>
      <c r="AC419" t="str">
        <f t="shared" si="144"/>
        <v>Asia → China → Unknown City </v>
      </c>
      <c r="AD419" t="str">
        <f t="shared" si="145"/>
        <v>Peripherals</v>
      </c>
      <c r="AE419" s="8" t="str">
        <f t="shared" si="132"/>
        <v>High</v>
      </c>
      <c r="AF419" t="str">
        <f t="shared" si="147"/>
        <v>CHINA</v>
      </c>
      <c r="AG419" s="7">
        <v>44938</v>
      </c>
      <c r="AH419" t="str">
        <f t="shared" si="148"/>
        <v>Jan-2023</v>
      </c>
      <c r="AI419" s="9">
        <f t="shared" si="149"/>
        <v>45747</v>
      </c>
      <c r="AJ419">
        <f t="shared" si="153"/>
        <v>0</v>
      </c>
      <c r="AK419">
        <f t="shared" si="150"/>
        <v>1</v>
      </c>
      <c r="AL419" s="17">
        <f>MIN(N419,'Scenario Modelling'!$B$2)</f>
        <v>0.217</v>
      </c>
      <c r="AM419" s="10">
        <f>L419*(1+'Scenario Modelling'!$B$3)</f>
        <v>92.6785</v>
      </c>
      <c r="AN419">
        <f>O419*(1+'Scenario Modelling'!$B$4)</f>
        <v>7.2</v>
      </c>
      <c r="AO419" s="28">
        <f t="shared" si="151"/>
        <v>889.726032</v>
      </c>
      <c r="AP419" s="10">
        <f t="shared" si="152"/>
        <v>222.440832</v>
      </c>
    </row>
    <row r="420" spans="1:42">
      <c r="A420" t="s">
        <v>1100</v>
      </c>
      <c r="B420" s="7">
        <v>45307</v>
      </c>
      <c r="C420" s="7">
        <v>45333</v>
      </c>
      <c r="D420" t="s">
        <v>239</v>
      </c>
      <c r="E420" t="s">
        <v>240</v>
      </c>
      <c r="F420" t="s">
        <v>496</v>
      </c>
      <c r="G420" t="s">
        <v>200</v>
      </c>
      <c r="H420" t="s">
        <v>216</v>
      </c>
      <c r="I420" t="s">
        <v>224</v>
      </c>
      <c r="J420" t="s">
        <v>225</v>
      </c>
      <c r="K420" t="s">
        <v>1101</v>
      </c>
      <c r="L420" s="10">
        <v>504.93</v>
      </c>
      <c r="M420" s="10">
        <v>819.06</v>
      </c>
      <c r="N420" s="17">
        <v>0.226</v>
      </c>
      <c r="O420">
        <v>15</v>
      </c>
      <c r="P420" t="str">
        <f t="shared" si="133"/>
        <v>Valid</v>
      </c>
      <c r="Q420" s="10">
        <f t="shared" si="134"/>
        <v>819.06</v>
      </c>
      <c r="R420" t="b">
        <f t="shared" si="135"/>
        <v>0</v>
      </c>
      <c r="S420" s="17">
        <f t="shared" si="136"/>
        <v>0.226</v>
      </c>
      <c r="T420">
        <f t="shared" si="137"/>
        <v>26</v>
      </c>
      <c r="U420" s="26">
        <f t="shared" si="138"/>
        <v>45333</v>
      </c>
      <c r="V420">
        <f t="shared" si="139"/>
        <v>26</v>
      </c>
      <c r="W420" s="10">
        <f t="shared" si="140"/>
        <v>1225813.3866</v>
      </c>
      <c r="X420" s="10">
        <f t="shared" si="141"/>
        <v>12285.9</v>
      </c>
      <c r="Y420" s="10">
        <f t="shared" si="142"/>
        <v>1213527.4866</v>
      </c>
      <c r="Z420" s="14">
        <f t="shared" si="146"/>
        <v>0.989977348808307</v>
      </c>
      <c r="AA420" t="s">
        <v>1568</v>
      </c>
      <c r="AB420" t="str">
        <f t="shared" si="143"/>
        <v>Q1-2024</v>
      </c>
      <c r="AC420" t="str">
        <f t="shared" si="144"/>
        <v>Europe → Germany → Frankfurt</v>
      </c>
      <c r="AD420" t="str">
        <f t="shared" si="145"/>
        <v>Peripherals</v>
      </c>
      <c r="AE420" s="8" t="str">
        <f t="shared" si="132"/>
        <v>Medium</v>
      </c>
      <c r="AF420" t="str">
        <f t="shared" si="147"/>
        <v>GERMANY</v>
      </c>
      <c r="AG420" s="7">
        <v>44948</v>
      </c>
      <c r="AH420" t="str">
        <f t="shared" si="148"/>
        <v>Jan-2023</v>
      </c>
      <c r="AI420" s="9">
        <f t="shared" si="149"/>
        <v>45322</v>
      </c>
      <c r="AJ420">
        <f t="shared" si="153"/>
        <v>0</v>
      </c>
      <c r="AK420">
        <f t="shared" si="150"/>
        <v>1</v>
      </c>
      <c r="AL420" s="17">
        <f>MIN(N420,'Scenario Modelling'!$B$2)</f>
        <v>0.226</v>
      </c>
      <c r="AM420" s="10">
        <f>L420*(1+'Scenario Modelling'!$B$3)</f>
        <v>580.6695</v>
      </c>
      <c r="AN420">
        <f>O420*(1+'Scenario Modelling'!$B$4)</f>
        <v>18</v>
      </c>
      <c r="AO420" s="28">
        <f t="shared" si="151"/>
        <v>11411.14392</v>
      </c>
      <c r="AP420" s="10">
        <f t="shared" si="152"/>
        <v>959.092920000001</v>
      </c>
    </row>
    <row r="421" spans="1:42">
      <c r="A421" t="s">
        <v>1102</v>
      </c>
      <c r="B421" s="7">
        <v>45211</v>
      </c>
      <c r="C421" s="7">
        <v>45228</v>
      </c>
      <c r="D421" t="s">
        <v>206</v>
      </c>
      <c r="E421" t="s">
        <v>207</v>
      </c>
      <c r="F421" t="s">
        <v>392</v>
      </c>
      <c r="G421" t="s">
        <v>200</v>
      </c>
      <c r="H421" t="s">
        <v>259</v>
      </c>
      <c r="I421" t="s">
        <v>253</v>
      </c>
      <c r="J421" t="s">
        <v>203</v>
      </c>
      <c r="K421" t="s">
        <v>1103</v>
      </c>
      <c r="L421" s="10">
        <v>1102.19</v>
      </c>
      <c r="M421" s="10">
        <v>1711.16</v>
      </c>
      <c r="N421" s="17">
        <v>0.151</v>
      </c>
      <c r="O421">
        <v>10</v>
      </c>
      <c r="P421" t="str">
        <f t="shared" si="133"/>
        <v>Valid</v>
      </c>
      <c r="Q421" s="10">
        <f t="shared" si="134"/>
        <v>1711.16</v>
      </c>
      <c r="R421" t="b">
        <f t="shared" si="135"/>
        <v>0</v>
      </c>
      <c r="S421" s="17">
        <f t="shared" si="136"/>
        <v>0.151</v>
      </c>
      <c r="T421">
        <f t="shared" si="137"/>
        <v>17</v>
      </c>
      <c r="U421" s="26">
        <f t="shared" si="138"/>
        <v>45228</v>
      </c>
      <c r="V421">
        <f t="shared" si="139"/>
        <v>17</v>
      </c>
      <c r="W421" s="10">
        <f t="shared" si="140"/>
        <v>1708576.1484</v>
      </c>
      <c r="X421" s="10">
        <f t="shared" si="141"/>
        <v>17111.6</v>
      </c>
      <c r="Y421" s="10">
        <f t="shared" si="142"/>
        <v>1691464.5484</v>
      </c>
      <c r="Z421" s="14">
        <f t="shared" si="146"/>
        <v>0.989984877164518</v>
      </c>
      <c r="AA421" t="s">
        <v>1595</v>
      </c>
      <c r="AB421" t="str">
        <f t="shared" si="143"/>
        <v>Q4-2023</v>
      </c>
      <c r="AC421" t="str">
        <f t="shared" si="144"/>
        <v>Asia → Japan → Nagoya</v>
      </c>
      <c r="AD421" t="str">
        <f t="shared" si="145"/>
        <v>Devices</v>
      </c>
      <c r="AE421" s="8" t="str">
        <f t="shared" si="132"/>
        <v>Low</v>
      </c>
      <c r="AF421" t="str">
        <f t="shared" si="147"/>
        <v>JAPAN</v>
      </c>
      <c r="AG421" s="7">
        <v>44988</v>
      </c>
      <c r="AH421" t="str">
        <f t="shared" si="148"/>
        <v>Mar-2023</v>
      </c>
      <c r="AI421" s="9">
        <f t="shared" si="149"/>
        <v>45230</v>
      </c>
      <c r="AJ421">
        <f t="shared" si="153"/>
        <v>0</v>
      </c>
      <c r="AK421">
        <f t="shared" si="150"/>
        <v>0</v>
      </c>
      <c r="AL421" s="17">
        <f>MIN(N421,'Scenario Modelling'!$B$2)</f>
        <v>0.151</v>
      </c>
      <c r="AM421" s="10">
        <f>L421*(1+'Scenario Modelling'!$B$3)</f>
        <v>1267.5185</v>
      </c>
      <c r="AN421">
        <f>O421*(1+'Scenario Modelling'!$B$4)</f>
        <v>12</v>
      </c>
      <c r="AO421" s="28">
        <f t="shared" si="151"/>
        <v>17433.29808</v>
      </c>
      <c r="AP421" s="10">
        <f t="shared" si="152"/>
        <v>2223.07608</v>
      </c>
    </row>
    <row r="422" spans="1:42">
      <c r="A422" t="s">
        <v>1104</v>
      </c>
      <c r="B422" s="7">
        <v>45713</v>
      </c>
      <c r="C422" s="7">
        <v>45733</v>
      </c>
      <c r="D422" t="s">
        <v>213</v>
      </c>
      <c r="E422" t="s">
        <v>283</v>
      </c>
      <c r="F422" t="s">
        <v>328</v>
      </c>
      <c r="G422" t="s">
        <v>200</v>
      </c>
      <c r="H422" t="s">
        <v>201</v>
      </c>
      <c r="I422" t="s">
        <v>253</v>
      </c>
      <c r="J422" t="s">
        <v>203</v>
      </c>
      <c r="K422" t="s">
        <v>1105</v>
      </c>
      <c r="L422" s="10">
        <v>1205.26</v>
      </c>
      <c r="M422" s="10">
        <v>1696.35</v>
      </c>
      <c r="N422" s="17">
        <v>0.019</v>
      </c>
      <c r="O422">
        <v>6</v>
      </c>
      <c r="P422" t="str">
        <f t="shared" si="133"/>
        <v>Valid</v>
      </c>
      <c r="Q422" s="10">
        <f t="shared" si="134"/>
        <v>1696.35</v>
      </c>
      <c r="R422" t="b">
        <f t="shared" si="135"/>
        <v>0</v>
      </c>
      <c r="S422" s="17">
        <f t="shared" si="136"/>
        <v>0.019</v>
      </c>
      <c r="T422">
        <f t="shared" si="137"/>
        <v>20</v>
      </c>
      <c r="U422" s="26">
        <f t="shared" si="138"/>
        <v>45733</v>
      </c>
      <c r="V422">
        <f t="shared" si="139"/>
        <v>20</v>
      </c>
      <c r="W422" s="10">
        <f t="shared" si="140"/>
        <v>1017616.6161</v>
      </c>
      <c r="X422" s="10">
        <f t="shared" si="141"/>
        <v>10178.1</v>
      </c>
      <c r="Y422" s="10">
        <f t="shared" si="142"/>
        <v>1007438.5161</v>
      </c>
      <c r="Z422" s="14">
        <f t="shared" si="146"/>
        <v>0.989998099638931</v>
      </c>
      <c r="AA422" t="s">
        <v>1586</v>
      </c>
      <c r="AB422" t="str">
        <f t="shared" si="143"/>
        <v>Q1-2025</v>
      </c>
      <c r="AC422" t="str">
        <f t="shared" si="144"/>
        <v>Americas → USA → San Francisco</v>
      </c>
      <c r="AD422" t="str">
        <f t="shared" si="145"/>
        <v>Devices</v>
      </c>
      <c r="AE422" s="8" t="str">
        <f t="shared" si="132"/>
        <v>High</v>
      </c>
      <c r="AF422" t="str">
        <f t="shared" si="147"/>
        <v>USA</v>
      </c>
      <c r="AG422" s="7">
        <v>44939</v>
      </c>
      <c r="AH422" t="str">
        <f t="shared" si="148"/>
        <v>Jan-2023</v>
      </c>
      <c r="AI422" s="9">
        <f t="shared" si="149"/>
        <v>45716</v>
      </c>
      <c r="AJ422">
        <f t="shared" si="153"/>
        <v>0</v>
      </c>
      <c r="AK422">
        <f t="shared" si="150"/>
        <v>0</v>
      </c>
      <c r="AL422" s="17">
        <f>MIN(N422,'Scenario Modelling'!$B$2)</f>
        <v>0.019</v>
      </c>
      <c r="AM422" s="10">
        <f>L422*(1+'Scenario Modelling'!$B$3)</f>
        <v>1386.049</v>
      </c>
      <c r="AN422">
        <f>O422*(1+'Scenario Modelling'!$B$4)</f>
        <v>7.2</v>
      </c>
      <c r="AO422" s="28">
        <f t="shared" si="151"/>
        <v>11981.65932</v>
      </c>
      <c r="AP422" s="10">
        <f t="shared" si="152"/>
        <v>2002.10652</v>
      </c>
    </row>
    <row r="423" spans="1:42">
      <c r="A423" t="s">
        <v>1106</v>
      </c>
      <c r="B423" s="7">
        <v>45841</v>
      </c>
      <c r="C423" s="7">
        <v>45844</v>
      </c>
      <c r="D423" t="s">
        <v>177</v>
      </c>
      <c r="E423" t="s">
        <v>186</v>
      </c>
      <c r="F423" t="s">
        <v>199</v>
      </c>
      <c r="G423" t="s">
        <v>209</v>
      </c>
      <c r="H423" t="s">
        <v>189</v>
      </c>
      <c r="I423" t="s">
        <v>1589</v>
      </c>
      <c r="J423" t="s">
        <v>218</v>
      </c>
      <c r="K423" t="s">
        <v>1107</v>
      </c>
      <c r="L423" s="10">
        <v>1313.3</v>
      </c>
      <c r="M423" s="10">
        <v>2884.34</v>
      </c>
      <c r="N423" s="17">
        <v>0.157</v>
      </c>
      <c r="O423">
        <v>42</v>
      </c>
      <c r="P423" t="str">
        <f t="shared" si="133"/>
        <v>Valid</v>
      </c>
      <c r="Q423" s="10">
        <f t="shared" si="134"/>
        <v>2884.34</v>
      </c>
      <c r="R423" t="b">
        <f t="shared" si="135"/>
        <v>0</v>
      </c>
      <c r="S423" s="17">
        <f t="shared" si="136"/>
        <v>0.157</v>
      </c>
      <c r="T423">
        <f t="shared" si="137"/>
        <v>3</v>
      </c>
      <c r="U423" s="26">
        <f t="shared" si="138"/>
        <v>45844</v>
      </c>
      <c r="V423">
        <f t="shared" si="139"/>
        <v>3</v>
      </c>
      <c r="W423" s="10">
        <f t="shared" si="140"/>
        <v>12095208.66204</v>
      </c>
      <c r="X423" s="10">
        <f t="shared" si="141"/>
        <v>121142.28</v>
      </c>
      <c r="Y423" s="10">
        <f t="shared" si="142"/>
        <v>11974066.38204</v>
      </c>
      <c r="Z423" s="14">
        <f t="shared" si="146"/>
        <v>0.98998427531224</v>
      </c>
      <c r="AA423" t="s">
        <v>1572</v>
      </c>
      <c r="AB423" t="str">
        <f t="shared" si="143"/>
        <v>Q3-2025</v>
      </c>
      <c r="AC423" t="str">
        <f t="shared" si="144"/>
        <v>Africa → Nigeria → Lagos</v>
      </c>
      <c r="AD423" t="str">
        <f t="shared" si="145"/>
        <v>Devices</v>
      </c>
      <c r="AE423" s="8" t="str">
        <f t="shared" si="132"/>
        <v>High</v>
      </c>
      <c r="AF423" t="str">
        <f t="shared" si="147"/>
        <v>NIGERIA</v>
      </c>
      <c r="AG423" s="7">
        <v>44941</v>
      </c>
      <c r="AH423" t="str">
        <f t="shared" si="148"/>
        <v>Jan-2023</v>
      </c>
      <c r="AI423" s="9">
        <f t="shared" si="149"/>
        <v>45869</v>
      </c>
      <c r="AJ423">
        <f t="shared" si="153"/>
        <v>1</v>
      </c>
      <c r="AK423">
        <f t="shared" si="150"/>
        <v>0</v>
      </c>
      <c r="AL423" s="17">
        <f>MIN(N423,'Scenario Modelling'!$B$2)</f>
        <v>0.157</v>
      </c>
      <c r="AM423" s="10">
        <f>L423*(1+'Scenario Modelling'!$B$3)</f>
        <v>1510.295</v>
      </c>
      <c r="AN423">
        <f>O423*(1+'Scenario Modelling'!$B$4)</f>
        <v>50.4</v>
      </c>
      <c r="AO423" s="28">
        <f t="shared" si="151"/>
        <v>122547.530448</v>
      </c>
      <c r="AP423" s="10">
        <f t="shared" si="152"/>
        <v>46428.662448</v>
      </c>
    </row>
    <row r="424" spans="1:42">
      <c r="A424" t="s">
        <v>1108</v>
      </c>
      <c r="B424" s="7">
        <v>45915</v>
      </c>
      <c r="C424" s="7">
        <v>45925</v>
      </c>
      <c r="D424" t="s">
        <v>206</v>
      </c>
      <c r="E424" t="s">
        <v>221</v>
      </c>
      <c r="F424" t="s">
        <v>302</v>
      </c>
      <c r="G424" t="s">
        <v>209</v>
      </c>
      <c r="H424" t="s">
        <v>181</v>
      </c>
      <c r="I424" t="s">
        <v>236</v>
      </c>
      <c r="J424" t="s">
        <v>203</v>
      </c>
      <c r="K424" t="s">
        <v>1109</v>
      </c>
      <c r="L424" s="10">
        <v>1488.91</v>
      </c>
      <c r="M424" s="10">
        <v>1483.74</v>
      </c>
      <c r="N424" s="17">
        <v>0.168</v>
      </c>
      <c r="O424">
        <v>24</v>
      </c>
      <c r="P424" t="str">
        <f t="shared" si="133"/>
        <v>Valid</v>
      </c>
      <c r="Q424" s="10">
        <f t="shared" si="134"/>
        <v>1483.74</v>
      </c>
      <c r="R424" t="b">
        <f t="shared" si="135"/>
        <v>0</v>
      </c>
      <c r="S424" s="17">
        <f t="shared" si="136"/>
        <v>0.168</v>
      </c>
      <c r="T424">
        <f t="shared" si="137"/>
        <v>10</v>
      </c>
      <c r="U424" s="26">
        <f t="shared" si="138"/>
        <v>45925</v>
      </c>
      <c r="V424">
        <f t="shared" si="139"/>
        <v>10</v>
      </c>
      <c r="W424" s="10">
        <f t="shared" si="140"/>
        <v>3554993.56032</v>
      </c>
      <c r="X424" s="10">
        <f t="shared" si="141"/>
        <v>35609.76</v>
      </c>
      <c r="Y424" s="10">
        <f t="shared" si="142"/>
        <v>3519383.80032</v>
      </c>
      <c r="Z424" s="14">
        <f t="shared" si="146"/>
        <v>0.989983171728504</v>
      </c>
      <c r="AA424" t="s">
        <v>1570</v>
      </c>
      <c r="AB424" t="str">
        <f t="shared" si="143"/>
        <v>Q3-2025</v>
      </c>
      <c r="AC424" t="str">
        <f t="shared" si="144"/>
        <v>Asia → India → Delhi</v>
      </c>
      <c r="AD424" t="str">
        <f t="shared" si="145"/>
        <v>Devices</v>
      </c>
      <c r="AE424" s="8" t="str">
        <f t="shared" si="132"/>
        <v>High</v>
      </c>
      <c r="AF424" t="str">
        <f t="shared" si="147"/>
        <v>INDIA</v>
      </c>
      <c r="AG424" s="7">
        <v>44955</v>
      </c>
      <c r="AH424" t="str">
        <f t="shared" si="148"/>
        <v>Jan-2023</v>
      </c>
      <c r="AI424" s="9">
        <f t="shared" si="149"/>
        <v>45930</v>
      </c>
      <c r="AJ424">
        <f t="shared" si="153"/>
        <v>0</v>
      </c>
      <c r="AK424">
        <f t="shared" si="150"/>
        <v>0</v>
      </c>
      <c r="AL424" s="17">
        <f>MIN(N424,'Scenario Modelling'!$B$2)</f>
        <v>0.168</v>
      </c>
      <c r="AM424" s="10">
        <f>L424*(1+'Scenario Modelling'!$B$3)</f>
        <v>1712.2465</v>
      </c>
      <c r="AN424">
        <f>O424*(1+'Scenario Modelling'!$B$4)</f>
        <v>28.8</v>
      </c>
      <c r="AO424" s="28">
        <f t="shared" si="151"/>
        <v>35552.784384</v>
      </c>
      <c r="AP424" s="10">
        <f t="shared" si="152"/>
        <v>-13759.914816</v>
      </c>
    </row>
    <row r="425" spans="1:42">
      <c r="A425" t="s">
        <v>1110</v>
      </c>
      <c r="B425" s="7">
        <v>45341</v>
      </c>
      <c r="C425" s="7">
        <v>45357</v>
      </c>
      <c r="D425" t="s">
        <v>206</v>
      </c>
      <c r="E425" t="s">
        <v>277</v>
      </c>
      <c r="F425" t="s">
        <v>499</v>
      </c>
      <c r="G425" t="s">
        <v>188</v>
      </c>
      <c r="H425" t="s">
        <v>201</v>
      </c>
      <c r="I425" t="s">
        <v>229</v>
      </c>
      <c r="J425" t="s">
        <v>191</v>
      </c>
      <c r="K425" t="s">
        <v>1111</v>
      </c>
      <c r="L425" s="10">
        <v>1477.84</v>
      </c>
      <c r="M425" s="10">
        <v>3197.47</v>
      </c>
      <c r="N425" s="17">
        <v>0.243</v>
      </c>
      <c r="O425">
        <v>24</v>
      </c>
      <c r="P425" t="str">
        <f t="shared" si="133"/>
        <v>Valid</v>
      </c>
      <c r="Q425" s="10">
        <f t="shared" si="134"/>
        <v>3197.47</v>
      </c>
      <c r="R425" t="b">
        <f t="shared" si="135"/>
        <v>0</v>
      </c>
      <c r="S425" s="17">
        <f t="shared" si="136"/>
        <v>0.243</v>
      </c>
      <c r="T425">
        <f t="shared" si="137"/>
        <v>16</v>
      </c>
      <c r="U425" s="26">
        <f t="shared" si="138"/>
        <v>45357</v>
      </c>
      <c r="V425">
        <f t="shared" si="139"/>
        <v>16</v>
      </c>
      <c r="W425" s="10">
        <f t="shared" si="140"/>
        <v>7655280.35496</v>
      </c>
      <c r="X425" s="10">
        <f t="shared" si="141"/>
        <v>76739.28</v>
      </c>
      <c r="Y425" s="10">
        <f t="shared" si="142"/>
        <v>7578541.07496</v>
      </c>
      <c r="Z425" s="14">
        <f t="shared" si="146"/>
        <v>0.989975640807161</v>
      </c>
      <c r="AA425" t="s">
        <v>1594</v>
      </c>
      <c r="AB425" t="str">
        <f t="shared" si="143"/>
        <v>Q1-2024</v>
      </c>
      <c r="AC425" t="str">
        <f t="shared" si="144"/>
        <v>Asia → China → Beijing</v>
      </c>
      <c r="AD425" t="str">
        <f t="shared" si="145"/>
        <v>Peripherals</v>
      </c>
      <c r="AE425" s="8" t="str">
        <f t="shared" si="132"/>
        <v>Medium</v>
      </c>
      <c r="AF425" t="str">
        <f t="shared" si="147"/>
        <v>CHINA</v>
      </c>
      <c r="AG425" s="7">
        <v>44938</v>
      </c>
      <c r="AH425" t="str">
        <f t="shared" si="148"/>
        <v>Jan-2023</v>
      </c>
      <c r="AI425" s="9">
        <f t="shared" si="149"/>
        <v>45351</v>
      </c>
      <c r="AJ425">
        <f t="shared" si="153"/>
        <v>0</v>
      </c>
      <c r="AK425">
        <f t="shared" si="150"/>
        <v>1</v>
      </c>
      <c r="AL425" s="17">
        <f>MIN(N425,'Scenario Modelling'!$B$2)</f>
        <v>0.243</v>
      </c>
      <c r="AM425" s="10">
        <f>L425*(1+'Scenario Modelling'!$B$3)</f>
        <v>1699.516</v>
      </c>
      <c r="AN425">
        <f>O425*(1+'Scenario Modelling'!$B$4)</f>
        <v>28.8</v>
      </c>
      <c r="AO425" s="28">
        <f t="shared" si="151"/>
        <v>69709.961952</v>
      </c>
      <c r="AP425" s="10">
        <f t="shared" si="152"/>
        <v>20763.901152</v>
      </c>
    </row>
    <row r="426" spans="1:42">
      <c r="A426" t="s">
        <v>1112</v>
      </c>
      <c r="B426" s="7">
        <v>45349</v>
      </c>
      <c r="C426" s="7">
        <v>45377</v>
      </c>
      <c r="D426" t="s">
        <v>206</v>
      </c>
      <c r="E426" t="s">
        <v>221</v>
      </c>
      <c r="F426" t="s">
        <v>381</v>
      </c>
      <c r="G426" t="s">
        <v>188</v>
      </c>
      <c r="H426" t="s">
        <v>201</v>
      </c>
      <c r="I426" t="s">
        <v>202</v>
      </c>
      <c r="J426" t="s">
        <v>218</v>
      </c>
      <c r="K426" t="s">
        <v>1113</v>
      </c>
      <c r="L426" s="10">
        <v>1035.19</v>
      </c>
      <c r="M426" s="10">
        <v>2322.7</v>
      </c>
      <c r="N426" s="17">
        <v>0.173</v>
      </c>
      <c r="O426">
        <v>8</v>
      </c>
      <c r="P426" t="str">
        <f t="shared" si="133"/>
        <v>Valid</v>
      </c>
      <c r="Q426" s="10">
        <f t="shared" si="134"/>
        <v>2322.7</v>
      </c>
      <c r="R426" t="b">
        <f t="shared" si="135"/>
        <v>0</v>
      </c>
      <c r="S426" s="17">
        <f t="shared" si="136"/>
        <v>0.173</v>
      </c>
      <c r="T426">
        <f t="shared" si="137"/>
        <v>28</v>
      </c>
      <c r="U426" s="26">
        <f t="shared" si="138"/>
        <v>45377</v>
      </c>
      <c r="V426">
        <f t="shared" si="139"/>
        <v>28</v>
      </c>
      <c r="W426" s="10">
        <f t="shared" si="140"/>
        <v>1854945.3832</v>
      </c>
      <c r="X426" s="10">
        <f t="shared" si="141"/>
        <v>18581.6</v>
      </c>
      <c r="Y426" s="10">
        <f t="shared" si="142"/>
        <v>1836363.7832</v>
      </c>
      <c r="Z426" s="14">
        <f t="shared" si="146"/>
        <v>0.989982670019133</v>
      </c>
      <c r="AA426" t="s">
        <v>1594</v>
      </c>
      <c r="AB426" t="str">
        <f t="shared" si="143"/>
        <v>Q1-2024</v>
      </c>
      <c r="AC426" t="str">
        <f t="shared" si="144"/>
        <v>Asia → India → Mumbai</v>
      </c>
      <c r="AD426" t="str">
        <f t="shared" si="145"/>
        <v>Devices</v>
      </c>
      <c r="AE426" s="8" t="str">
        <f t="shared" si="132"/>
        <v>Medium</v>
      </c>
      <c r="AF426" t="str">
        <f t="shared" si="147"/>
        <v>INDIA</v>
      </c>
      <c r="AG426" s="7">
        <v>44955</v>
      </c>
      <c r="AH426" t="str">
        <f t="shared" si="148"/>
        <v>Jan-2023</v>
      </c>
      <c r="AI426" s="9">
        <f t="shared" si="149"/>
        <v>45351</v>
      </c>
      <c r="AJ426">
        <f t="shared" si="153"/>
        <v>0</v>
      </c>
      <c r="AK426">
        <f t="shared" si="150"/>
        <v>0</v>
      </c>
      <c r="AL426" s="17">
        <f>MIN(N426,'Scenario Modelling'!$B$2)</f>
        <v>0.173</v>
      </c>
      <c r="AM426" s="10">
        <f>L426*(1+'Scenario Modelling'!$B$3)</f>
        <v>1190.4685</v>
      </c>
      <c r="AN426">
        <f>O426*(1+'Scenario Modelling'!$B$4)</f>
        <v>9.6</v>
      </c>
      <c r="AO426" s="28">
        <f t="shared" si="151"/>
        <v>18440.37984</v>
      </c>
      <c r="AP426" s="10">
        <f t="shared" si="152"/>
        <v>7011.88224</v>
      </c>
    </row>
    <row r="427" spans="1:42">
      <c r="A427" t="s">
        <v>1114</v>
      </c>
      <c r="B427" s="7">
        <v>45897</v>
      </c>
      <c r="C427" s="7">
        <v>45905</v>
      </c>
      <c r="D427" t="s">
        <v>177</v>
      </c>
      <c r="E427" t="s">
        <v>186</v>
      </c>
      <c r="F427" t="s">
        <v>187</v>
      </c>
      <c r="G427" t="s">
        <v>223</v>
      </c>
      <c r="H427" t="s">
        <v>201</v>
      </c>
      <c r="I427" t="s">
        <v>224</v>
      </c>
      <c r="J427" t="s">
        <v>218</v>
      </c>
      <c r="K427" t="s">
        <v>1115</v>
      </c>
      <c r="L427" s="10">
        <v>1271.1</v>
      </c>
      <c r="M427" s="10">
        <v>1932.42</v>
      </c>
      <c r="N427" s="17">
        <v>0.25</v>
      </c>
      <c r="O427">
        <v>21</v>
      </c>
      <c r="P427" t="str">
        <f t="shared" si="133"/>
        <v>Valid</v>
      </c>
      <c r="Q427" s="10">
        <f t="shared" si="134"/>
        <v>1932.42</v>
      </c>
      <c r="R427" t="b">
        <f t="shared" si="135"/>
        <v>0</v>
      </c>
      <c r="S427" s="17">
        <f t="shared" si="136"/>
        <v>0.25</v>
      </c>
      <c r="T427">
        <f t="shared" si="137"/>
        <v>8</v>
      </c>
      <c r="U427" s="26">
        <f t="shared" si="138"/>
        <v>45905</v>
      </c>
      <c r="V427">
        <f t="shared" si="139"/>
        <v>8</v>
      </c>
      <c r="W427" s="10">
        <f t="shared" si="140"/>
        <v>4047936.795</v>
      </c>
      <c r="X427" s="10">
        <f t="shared" si="141"/>
        <v>40580.82</v>
      </c>
      <c r="Y427" s="10">
        <f t="shared" si="142"/>
        <v>4007355.975</v>
      </c>
      <c r="Z427" s="14">
        <f t="shared" si="146"/>
        <v>0.989974937343358</v>
      </c>
      <c r="AA427" t="s">
        <v>1590</v>
      </c>
      <c r="AB427" t="str">
        <f t="shared" si="143"/>
        <v>Q3-2025</v>
      </c>
      <c r="AC427" t="str">
        <f t="shared" si="144"/>
        <v>Africa → Nigeria → Port Harcourt</v>
      </c>
      <c r="AD427" t="str">
        <f t="shared" si="145"/>
        <v>Devices</v>
      </c>
      <c r="AE427" s="8" t="str">
        <f t="shared" si="132"/>
        <v>High</v>
      </c>
      <c r="AF427" t="str">
        <f t="shared" si="147"/>
        <v>NIGERIA</v>
      </c>
      <c r="AG427" s="7">
        <v>44941</v>
      </c>
      <c r="AH427" t="str">
        <f t="shared" si="148"/>
        <v>Jan-2023</v>
      </c>
      <c r="AI427" s="9">
        <f t="shared" si="149"/>
        <v>45900</v>
      </c>
      <c r="AJ427">
        <f t="shared" si="153"/>
        <v>0</v>
      </c>
      <c r="AK427">
        <f t="shared" si="150"/>
        <v>1</v>
      </c>
      <c r="AL427" s="17">
        <f>MIN(N427,'Scenario Modelling'!$B$2)</f>
        <v>0.25</v>
      </c>
      <c r="AM427" s="10">
        <f>L427*(1+'Scenario Modelling'!$B$3)</f>
        <v>1461.765</v>
      </c>
      <c r="AN427">
        <f>O427*(1+'Scenario Modelling'!$B$4)</f>
        <v>25.2</v>
      </c>
      <c r="AO427" s="28">
        <f t="shared" si="151"/>
        <v>36522.738</v>
      </c>
      <c r="AP427" s="10">
        <f t="shared" si="152"/>
        <v>-313.739999999995</v>
      </c>
    </row>
    <row r="428" spans="1:42">
      <c r="A428" t="s">
        <v>1116</v>
      </c>
      <c r="B428" s="7">
        <v>45522</v>
      </c>
      <c r="C428" s="7">
        <v>45547</v>
      </c>
      <c r="D428" t="s">
        <v>206</v>
      </c>
      <c r="E428" t="s">
        <v>221</v>
      </c>
      <c r="F428" t="s">
        <v>381</v>
      </c>
      <c r="G428" t="s">
        <v>209</v>
      </c>
      <c r="H428" t="s">
        <v>201</v>
      </c>
      <c r="I428" t="s">
        <v>182</v>
      </c>
      <c r="J428" t="s">
        <v>203</v>
      </c>
      <c r="K428" t="s">
        <v>1117</v>
      </c>
      <c r="L428" s="10">
        <v>1154.03</v>
      </c>
      <c r="M428" s="10">
        <v>1590.36</v>
      </c>
      <c r="N428" s="17">
        <v>0.314</v>
      </c>
      <c r="O428">
        <v>18</v>
      </c>
      <c r="P428" t="str">
        <f t="shared" si="133"/>
        <v>Valid</v>
      </c>
      <c r="Q428" s="10">
        <f t="shared" si="134"/>
        <v>1590.36</v>
      </c>
      <c r="R428" t="str">
        <f t="shared" si="135"/>
        <v>Excess</v>
      </c>
      <c r="S428" s="17">
        <f t="shared" si="136"/>
        <v>0.3</v>
      </c>
      <c r="T428">
        <f t="shared" si="137"/>
        <v>25</v>
      </c>
      <c r="U428" s="26">
        <f t="shared" si="138"/>
        <v>45547</v>
      </c>
      <c r="V428">
        <f t="shared" si="139"/>
        <v>25</v>
      </c>
      <c r="W428" s="10">
        <f t="shared" si="140"/>
        <v>2854060.056</v>
      </c>
      <c r="X428" s="10">
        <f t="shared" si="141"/>
        <v>28626.48</v>
      </c>
      <c r="Y428" s="10">
        <f t="shared" si="142"/>
        <v>2825433.576</v>
      </c>
      <c r="Z428" s="14">
        <f t="shared" si="146"/>
        <v>0.989969909729188</v>
      </c>
      <c r="AA428" t="s">
        <v>1581</v>
      </c>
      <c r="AB428" t="str">
        <f t="shared" si="143"/>
        <v>Q3-2024</v>
      </c>
      <c r="AC428" t="str">
        <f t="shared" si="144"/>
        <v>Asia → India → Mumbai</v>
      </c>
      <c r="AD428" t="str">
        <f t="shared" si="145"/>
        <v>Devices</v>
      </c>
      <c r="AE428" s="8" t="str">
        <f t="shared" si="132"/>
        <v>Medium</v>
      </c>
      <c r="AF428" t="str">
        <f t="shared" si="147"/>
        <v>INDIA</v>
      </c>
      <c r="AG428" s="7">
        <v>44955</v>
      </c>
      <c r="AH428" t="str">
        <f t="shared" si="148"/>
        <v>Jan-2023</v>
      </c>
      <c r="AI428" s="9">
        <f t="shared" si="149"/>
        <v>45535</v>
      </c>
      <c r="AJ428">
        <f t="shared" si="153"/>
        <v>0</v>
      </c>
      <c r="AK428">
        <f t="shared" si="150"/>
        <v>1</v>
      </c>
      <c r="AL428" s="17">
        <f>MIN(N428,'Scenario Modelling'!$B$2)</f>
        <v>0.25</v>
      </c>
      <c r="AM428" s="10">
        <f>L428*(1+'Scenario Modelling'!$B$3)</f>
        <v>1327.1345</v>
      </c>
      <c r="AN428">
        <f>O428*(1+'Scenario Modelling'!$B$4)</f>
        <v>21.6</v>
      </c>
      <c r="AO428" s="28">
        <f t="shared" si="151"/>
        <v>25763.832</v>
      </c>
      <c r="AP428" s="10">
        <f t="shared" si="152"/>
        <v>-2902.2732</v>
      </c>
    </row>
    <row r="429" spans="1:42">
      <c r="A429" t="s">
        <v>1118</v>
      </c>
      <c r="B429" s="7">
        <v>45347</v>
      </c>
      <c r="C429" s="7">
        <v>45360</v>
      </c>
      <c r="D429" t="s">
        <v>239</v>
      </c>
      <c r="E429" t="s">
        <v>251</v>
      </c>
      <c r="F429" t="s">
        <v>252</v>
      </c>
      <c r="G429" t="s">
        <v>223</v>
      </c>
      <c r="H429" t="s">
        <v>216</v>
      </c>
      <c r="I429" t="s">
        <v>224</v>
      </c>
      <c r="J429" t="s">
        <v>225</v>
      </c>
      <c r="K429" t="s">
        <v>1119</v>
      </c>
      <c r="L429" s="10">
        <v>322.44</v>
      </c>
      <c r="M429" s="10">
        <v>395.61</v>
      </c>
      <c r="N429" s="17">
        <v>0</v>
      </c>
      <c r="O429">
        <v>34</v>
      </c>
      <c r="P429" t="str">
        <f t="shared" si="133"/>
        <v>Valid</v>
      </c>
      <c r="Q429" s="10">
        <f t="shared" si="134"/>
        <v>395.61</v>
      </c>
      <c r="R429" t="b">
        <f t="shared" si="135"/>
        <v>0</v>
      </c>
      <c r="S429" s="17">
        <f t="shared" si="136"/>
        <v>0</v>
      </c>
      <c r="T429">
        <f t="shared" si="137"/>
        <v>13</v>
      </c>
      <c r="U429" s="26">
        <f t="shared" si="138"/>
        <v>45360</v>
      </c>
      <c r="V429">
        <f t="shared" si="139"/>
        <v>13</v>
      </c>
      <c r="W429" s="10">
        <f t="shared" si="140"/>
        <v>1345074</v>
      </c>
      <c r="X429" s="10">
        <f t="shared" si="141"/>
        <v>13450.74</v>
      </c>
      <c r="Y429" s="10">
        <f t="shared" si="142"/>
        <v>1331623.26</v>
      </c>
      <c r="Z429" s="14">
        <f t="shared" si="146"/>
        <v>0.99</v>
      </c>
      <c r="AA429" t="s">
        <v>1594</v>
      </c>
      <c r="AB429" t="str">
        <f t="shared" si="143"/>
        <v>Q1-2024</v>
      </c>
      <c r="AC429" t="str">
        <f t="shared" si="144"/>
        <v>Europe → France → Marseille</v>
      </c>
      <c r="AD429" t="str">
        <f t="shared" si="145"/>
        <v>Peripherals</v>
      </c>
      <c r="AE429" s="8" t="str">
        <f t="shared" si="132"/>
        <v>Medium</v>
      </c>
      <c r="AF429" t="str">
        <f t="shared" si="147"/>
        <v>FRANCE</v>
      </c>
      <c r="AG429" s="7">
        <v>44936</v>
      </c>
      <c r="AH429" t="str">
        <f t="shared" si="148"/>
        <v>Jan-2023</v>
      </c>
      <c r="AI429" s="9">
        <f t="shared" si="149"/>
        <v>45351</v>
      </c>
      <c r="AJ429">
        <f t="shared" si="153"/>
        <v>0</v>
      </c>
      <c r="AK429">
        <f t="shared" si="150"/>
        <v>0</v>
      </c>
      <c r="AL429" s="17">
        <f>MIN(N429,'Scenario Modelling'!$B$2)</f>
        <v>0</v>
      </c>
      <c r="AM429" s="10">
        <f>L429*(1+'Scenario Modelling'!$B$3)</f>
        <v>370.806</v>
      </c>
      <c r="AN429">
        <f>O429*(1+'Scenario Modelling'!$B$4)</f>
        <v>40.8</v>
      </c>
      <c r="AO429" s="28">
        <f t="shared" si="151"/>
        <v>16140.888</v>
      </c>
      <c r="AP429" s="10">
        <f t="shared" si="152"/>
        <v>1012.0032</v>
      </c>
    </row>
    <row r="430" spans="1:42">
      <c r="A430" t="s">
        <v>1120</v>
      </c>
      <c r="B430" s="7">
        <v>45784</v>
      </c>
      <c r="C430" s="7">
        <v>45790</v>
      </c>
      <c r="D430" t="s">
        <v>206</v>
      </c>
      <c r="E430" t="s">
        <v>221</v>
      </c>
      <c r="F430" t="s">
        <v>222</v>
      </c>
      <c r="G430" t="s">
        <v>266</v>
      </c>
      <c r="H430" t="s">
        <v>259</v>
      </c>
      <c r="I430" t="s">
        <v>190</v>
      </c>
      <c r="J430" t="s">
        <v>203</v>
      </c>
      <c r="K430" t="s">
        <v>1121</v>
      </c>
      <c r="L430" s="10">
        <v>935.98</v>
      </c>
      <c r="M430" s="10">
        <v>2077.69</v>
      </c>
      <c r="N430" s="17">
        <v>0.175</v>
      </c>
      <c r="O430">
        <v>24</v>
      </c>
      <c r="P430" t="str">
        <f t="shared" si="133"/>
        <v>Valid</v>
      </c>
      <c r="Q430" s="10">
        <f t="shared" si="134"/>
        <v>2077.69</v>
      </c>
      <c r="R430" t="b">
        <f t="shared" si="135"/>
        <v>0</v>
      </c>
      <c r="S430" s="17">
        <f t="shared" si="136"/>
        <v>0.175</v>
      </c>
      <c r="T430">
        <f t="shared" si="137"/>
        <v>6</v>
      </c>
      <c r="U430" s="26">
        <f t="shared" si="138"/>
        <v>45790</v>
      </c>
      <c r="V430">
        <f t="shared" si="139"/>
        <v>6</v>
      </c>
      <c r="W430" s="10">
        <f t="shared" si="140"/>
        <v>4977729.702</v>
      </c>
      <c r="X430" s="10">
        <f t="shared" si="141"/>
        <v>49864.56</v>
      </c>
      <c r="Y430" s="10">
        <f t="shared" si="142"/>
        <v>4927865.142</v>
      </c>
      <c r="Z430" s="14">
        <f t="shared" si="146"/>
        <v>0.989982469321312</v>
      </c>
      <c r="AA430" t="s">
        <v>1567</v>
      </c>
      <c r="AB430" t="str">
        <f t="shared" si="143"/>
        <v>Q2-2025</v>
      </c>
      <c r="AC430" t="str">
        <f t="shared" si="144"/>
        <v>Asia → India → Bengaluru</v>
      </c>
      <c r="AD430" t="str">
        <f t="shared" si="145"/>
        <v>Devices</v>
      </c>
      <c r="AE430" s="8" t="str">
        <f t="shared" si="132"/>
        <v>High</v>
      </c>
      <c r="AF430" t="str">
        <f t="shared" si="147"/>
        <v>INDIA</v>
      </c>
      <c r="AG430" s="7">
        <v>44955</v>
      </c>
      <c r="AH430" t="str">
        <f t="shared" si="148"/>
        <v>Jan-2023</v>
      </c>
      <c r="AI430" s="9">
        <f t="shared" si="149"/>
        <v>45808</v>
      </c>
      <c r="AJ430">
        <f t="shared" si="153"/>
        <v>1</v>
      </c>
      <c r="AK430">
        <f t="shared" si="150"/>
        <v>0</v>
      </c>
      <c r="AL430" s="17">
        <f>MIN(N430,'Scenario Modelling'!$B$2)</f>
        <v>0.175</v>
      </c>
      <c r="AM430" s="10">
        <f>L430*(1+'Scenario Modelling'!$B$3)</f>
        <v>1076.377</v>
      </c>
      <c r="AN430">
        <f>O430*(1+'Scenario Modelling'!$B$4)</f>
        <v>28.8</v>
      </c>
      <c r="AO430" s="28">
        <f t="shared" si="151"/>
        <v>49365.9144</v>
      </c>
      <c r="AP430" s="10">
        <f t="shared" si="152"/>
        <v>18366.2568</v>
      </c>
    </row>
    <row r="431" spans="1:42">
      <c r="A431" t="s">
        <v>1122</v>
      </c>
      <c r="B431" s="7">
        <v>45597</v>
      </c>
      <c r="C431" s="7">
        <v>45608</v>
      </c>
      <c r="D431" t="s">
        <v>239</v>
      </c>
      <c r="E431" t="s">
        <v>240</v>
      </c>
      <c r="F431" t="s">
        <v>496</v>
      </c>
      <c r="G431" t="s">
        <v>209</v>
      </c>
      <c r="H431" t="s">
        <v>189</v>
      </c>
      <c r="I431" t="s">
        <v>217</v>
      </c>
      <c r="J431" t="s">
        <v>191</v>
      </c>
      <c r="K431" t="s">
        <v>1123</v>
      </c>
      <c r="L431" s="10">
        <v>599.84</v>
      </c>
      <c r="M431" s="10">
        <v>1330.85</v>
      </c>
      <c r="N431" s="17">
        <v>0.115</v>
      </c>
      <c r="O431">
        <v>11</v>
      </c>
      <c r="P431" t="str">
        <f t="shared" si="133"/>
        <v>Valid</v>
      </c>
      <c r="Q431" s="10">
        <f t="shared" si="134"/>
        <v>1330.85</v>
      </c>
      <c r="R431" t="b">
        <f t="shared" si="135"/>
        <v>0</v>
      </c>
      <c r="S431" s="17">
        <f t="shared" si="136"/>
        <v>0.115</v>
      </c>
      <c r="T431">
        <f t="shared" si="137"/>
        <v>11</v>
      </c>
      <c r="U431" s="26">
        <f t="shared" si="138"/>
        <v>45608</v>
      </c>
      <c r="V431">
        <f t="shared" si="139"/>
        <v>11</v>
      </c>
      <c r="W431" s="10">
        <f t="shared" si="140"/>
        <v>1462251.47475</v>
      </c>
      <c r="X431" s="10">
        <f t="shared" si="141"/>
        <v>14639.35</v>
      </c>
      <c r="Y431" s="10">
        <f t="shared" si="142"/>
        <v>1447612.12475</v>
      </c>
      <c r="Z431" s="14">
        <f t="shared" si="146"/>
        <v>0.989988486759774</v>
      </c>
      <c r="AA431" t="s">
        <v>1577</v>
      </c>
      <c r="AB431" t="str">
        <f t="shared" si="143"/>
        <v>Q4-2024</v>
      </c>
      <c r="AC431" t="str">
        <f t="shared" si="144"/>
        <v>Europe → Germany → Frankfurt</v>
      </c>
      <c r="AD431" t="str">
        <f t="shared" si="145"/>
        <v>Peripherals</v>
      </c>
      <c r="AE431" s="8" t="str">
        <f t="shared" si="132"/>
        <v>High</v>
      </c>
      <c r="AF431" t="str">
        <f t="shared" si="147"/>
        <v>GERMANY</v>
      </c>
      <c r="AG431" s="7">
        <v>44948</v>
      </c>
      <c r="AH431" t="str">
        <f t="shared" si="148"/>
        <v>Jan-2023</v>
      </c>
      <c r="AI431" s="9">
        <f t="shared" si="149"/>
        <v>45626</v>
      </c>
      <c r="AJ431">
        <f t="shared" si="153"/>
        <v>0</v>
      </c>
      <c r="AK431">
        <f t="shared" si="150"/>
        <v>0</v>
      </c>
      <c r="AL431" s="17">
        <f>MIN(N431,'Scenario Modelling'!$B$2)</f>
        <v>0.115</v>
      </c>
      <c r="AM431" s="10">
        <f>L431*(1+'Scenario Modelling'!$B$3)</f>
        <v>689.816</v>
      </c>
      <c r="AN431">
        <f>O431*(1+'Scenario Modelling'!$B$4)</f>
        <v>13.2</v>
      </c>
      <c r="AO431" s="28">
        <f t="shared" si="151"/>
        <v>15546.9897</v>
      </c>
      <c r="AP431" s="10">
        <f t="shared" si="152"/>
        <v>6441.4185</v>
      </c>
    </row>
    <row r="432" spans="1:42">
      <c r="A432" t="s">
        <v>1124</v>
      </c>
      <c r="B432" s="7">
        <v>45654</v>
      </c>
      <c r="C432" s="7">
        <v>45665</v>
      </c>
      <c r="D432" t="s">
        <v>206</v>
      </c>
      <c r="E432" t="s">
        <v>277</v>
      </c>
      <c r="F432" t="s">
        <v>278</v>
      </c>
      <c r="G432" t="s">
        <v>266</v>
      </c>
      <c r="H432" t="s">
        <v>189</v>
      </c>
      <c r="I432" t="s">
        <v>256</v>
      </c>
      <c r="J432" t="s">
        <v>218</v>
      </c>
      <c r="K432" t="s">
        <v>1125</v>
      </c>
      <c r="L432" s="10">
        <v>1201.31</v>
      </c>
      <c r="M432" s="10">
        <v>2764.65</v>
      </c>
      <c r="N432" s="17">
        <v>0</v>
      </c>
      <c r="O432">
        <v>21</v>
      </c>
      <c r="P432" t="str">
        <f t="shared" si="133"/>
        <v>Valid</v>
      </c>
      <c r="Q432" s="10">
        <f t="shared" si="134"/>
        <v>2764.65</v>
      </c>
      <c r="R432" t="b">
        <f t="shared" si="135"/>
        <v>0</v>
      </c>
      <c r="S432" s="17">
        <f t="shared" si="136"/>
        <v>0</v>
      </c>
      <c r="T432">
        <f t="shared" si="137"/>
        <v>11</v>
      </c>
      <c r="U432" s="26">
        <f t="shared" si="138"/>
        <v>45665</v>
      </c>
      <c r="V432">
        <f t="shared" si="139"/>
        <v>11</v>
      </c>
      <c r="W432" s="10">
        <f t="shared" si="140"/>
        <v>5805765</v>
      </c>
      <c r="X432" s="10">
        <f t="shared" si="141"/>
        <v>58057.65</v>
      </c>
      <c r="Y432" s="10">
        <f t="shared" si="142"/>
        <v>5747707.35</v>
      </c>
      <c r="Z432" s="14">
        <f t="shared" si="146"/>
        <v>0.99</v>
      </c>
      <c r="AA432" t="s">
        <v>1565</v>
      </c>
      <c r="AB432" t="str">
        <f t="shared" si="143"/>
        <v>Q4-2024</v>
      </c>
      <c r="AC432" t="str">
        <f t="shared" si="144"/>
        <v>Asia → China → Shenzhen</v>
      </c>
      <c r="AD432" t="str">
        <f t="shared" si="145"/>
        <v>Devices</v>
      </c>
      <c r="AE432" s="8" t="str">
        <f t="shared" si="132"/>
        <v>High</v>
      </c>
      <c r="AF432" t="str">
        <f t="shared" si="147"/>
        <v>CHINA</v>
      </c>
      <c r="AG432" s="7">
        <v>44938</v>
      </c>
      <c r="AH432" t="str">
        <f t="shared" si="148"/>
        <v>Jan-2023</v>
      </c>
      <c r="AI432" s="9">
        <f t="shared" si="149"/>
        <v>45657</v>
      </c>
      <c r="AJ432">
        <f t="shared" si="153"/>
        <v>0</v>
      </c>
      <c r="AK432">
        <f t="shared" si="150"/>
        <v>0</v>
      </c>
      <c r="AL432" s="17">
        <f>MIN(N432,'Scenario Modelling'!$B$2)</f>
        <v>0</v>
      </c>
      <c r="AM432" s="10">
        <f>L432*(1+'Scenario Modelling'!$B$3)</f>
        <v>1381.5065</v>
      </c>
      <c r="AN432">
        <f>O432*(1+'Scenario Modelling'!$B$4)</f>
        <v>25.2</v>
      </c>
      <c r="AO432" s="28">
        <f t="shared" si="151"/>
        <v>69669.18</v>
      </c>
      <c r="AP432" s="10">
        <f t="shared" si="152"/>
        <v>34855.2162</v>
      </c>
    </row>
    <row r="433" spans="1:42">
      <c r="A433" t="s">
        <v>1126</v>
      </c>
      <c r="B433" s="7">
        <v>45220</v>
      </c>
      <c r="C433" s="7">
        <v>45220</v>
      </c>
      <c r="D433" t="s">
        <v>239</v>
      </c>
      <c r="E433" t="s">
        <v>269</v>
      </c>
      <c r="F433" t="s">
        <v>389</v>
      </c>
      <c r="G433" t="s">
        <v>266</v>
      </c>
      <c r="H433" t="s">
        <v>216</v>
      </c>
      <c r="I433" t="s">
        <v>190</v>
      </c>
      <c r="J433" t="s">
        <v>225</v>
      </c>
      <c r="K433" t="s">
        <v>1127</v>
      </c>
      <c r="L433" s="10">
        <v>384.19</v>
      </c>
      <c r="M433" s="10">
        <v>278.35</v>
      </c>
      <c r="N433" s="17">
        <v>0.056</v>
      </c>
      <c r="O433">
        <v>10</v>
      </c>
      <c r="P433" t="str">
        <f t="shared" si="133"/>
        <v>Valid</v>
      </c>
      <c r="Q433" s="10">
        <f t="shared" si="134"/>
        <v>278.35</v>
      </c>
      <c r="R433" t="b">
        <f t="shared" si="135"/>
        <v>0</v>
      </c>
      <c r="S433" s="17">
        <f t="shared" si="136"/>
        <v>0.056</v>
      </c>
      <c r="T433">
        <f t="shared" si="137"/>
        <v>0</v>
      </c>
      <c r="U433" s="26">
        <f t="shared" si="138"/>
        <v>45220</v>
      </c>
      <c r="V433">
        <f t="shared" si="139"/>
        <v>0</v>
      </c>
      <c r="W433" s="10">
        <f t="shared" si="140"/>
        <v>278194.124</v>
      </c>
      <c r="X433" s="10">
        <f t="shared" si="141"/>
        <v>2783.5</v>
      </c>
      <c r="Y433" s="10">
        <f t="shared" si="142"/>
        <v>275410.624</v>
      </c>
      <c r="Z433" s="14">
        <f t="shared" si="146"/>
        <v>0.989994396862243</v>
      </c>
      <c r="AA433" t="s">
        <v>1595</v>
      </c>
      <c r="AB433" t="str">
        <f t="shared" si="143"/>
        <v>Q4-2023</v>
      </c>
      <c r="AC433" t="str">
        <f t="shared" si="144"/>
        <v>Europe → United Kingdom → Manchester</v>
      </c>
      <c r="AD433" t="str">
        <f t="shared" si="145"/>
        <v>Peripherals</v>
      </c>
      <c r="AE433" s="8" t="str">
        <f t="shared" si="132"/>
        <v>Low</v>
      </c>
      <c r="AF433" t="str">
        <f t="shared" si="147"/>
        <v>UNITED KINGDOM</v>
      </c>
      <c r="AG433" s="7">
        <v>44945</v>
      </c>
      <c r="AH433" t="str">
        <f t="shared" si="148"/>
        <v>Jan-2023</v>
      </c>
      <c r="AI433" s="9">
        <f t="shared" si="149"/>
        <v>45230</v>
      </c>
      <c r="AJ433">
        <f t="shared" si="153"/>
        <v>1</v>
      </c>
      <c r="AK433">
        <f t="shared" si="150"/>
        <v>0</v>
      </c>
      <c r="AL433" s="17">
        <f>MIN(N433,'Scenario Modelling'!$B$2)</f>
        <v>0.056</v>
      </c>
      <c r="AM433" s="10">
        <f>L433*(1+'Scenario Modelling'!$B$3)</f>
        <v>441.8185</v>
      </c>
      <c r="AN433">
        <f>O433*(1+'Scenario Modelling'!$B$4)</f>
        <v>12</v>
      </c>
      <c r="AO433" s="28">
        <f t="shared" si="151"/>
        <v>3153.1488</v>
      </c>
      <c r="AP433" s="10">
        <f t="shared" si="152"/>
        <v>-2148.6732</v>
      </c>
    </row>
    <row r="434" spans="1:42">
      <c r="A434" t="s">
        <v>1128</v>
      </c>
      <c r="B434" s="7">
        <v>45636</v>
      </c>
      <c r="C434" s="7">
        <v>45645</v>
      </c>
      <c r="D434" t="s">
        <v>177</v>
      </c>
      <c r="E434" t="s">
        <v>186</v>
      </c>
      <c r="F434" t="s">
        <v>199</v>
      </c>
      <c r="G434" t="s">
        <v>180</v>
      </c>
      <c r="H434" t="s">
        <v>181</v>
      </c>
      <c r="I434" t="s">
        <v>229</v>
      </c>
      <c r="J434" t="s">
        <v>225</v>
      </c>
      <c r="K434" t="s">
        <v>1129</v>
      </c>
      <c r="L434" s="10">
        <v>488.68</v>
      </c>
      <c r="M434" s="10">
        <v>984.36</v>
      </c>
      <c r="N434" s="17">
        <v>0.059</v>
      </c>
      <c r="O434">
        <v>14</v>
      </c>
      <c r="P434" t="str">
        <f t="shared" si="133"/>
        <v>Valid</v>
      </c>
      <c r="Q434" s="10">
        <f t="shared" si="134"/>
        <v>984.36</v>
      </c>
      <c r="R434" t="b">
        <f t="shared" si="135"/>
        <v>0</v>
      </c>
      <c r="S434" s="17">
        <f t="shared" si="136"/>
        <v>0.059</v>
      </c>
      <c r="T434">
        <f t="shared" si="137"/>
        <v>9</v>
      </c>
      <c r="U434" s="26">
        <f t="shared" si="138"/>
        <v>45645</v>
      </c>
      <c r="V434">
        <f t="shared" si="139"/>
        <v>9</v>
      </c>
      <c r="W434" s="10">
        <f t="shared" si="140"/>
        <v>1377290.91864</v>
      </c>
      <c r="X434" s="10">
        <f t="shared" si="141"/>
        <v>13781.04</v>
      </c>
      <c r="Y434" s="10">
        <f t="shared" si="142"/>
        <v>1363509.87864</v>
      </c>
      <c r="Z434" s="14">
        <f t="shared" si="146"/>
        <v>0.989994096516945</v>
      </c>
      <c r="AA434" t="s">
        <v>1565</v>
      </c>
      <c r="AB434" t="str">
        <f t="shared" si="143"/>
        <v>Q4-2024</v>
      </c>
      <c r="AC434" t="str">
        <f t="shared" si="144"/>
        <v>Africa → Nigeria → Lagos</v>
      </c>
      <c r="AD434" t="str">
        <f t="shared" si="145"/>
        <v>Peripherals</v>
      </c>
      <c r="AE434" s="8" t="str">
        <f t="shared" si="132"/>
        <v>High</v>
      </c>
      <c r="AF434" t="str">
        <f t="shared" si="147"/>
        <v>NIGERIA</v>
      </c>
      <c r="AG434" s="7">
        <v>44941</v>
      </c>
      <c r="AH434" t="str">
        <f t="shared" si="148"/>
        <v>Jan-2023</v>
      </c>
      <c r="AI434" s="9">
        <f t="shared" si="149"/>
        <v>45657</v>
      </c>
      <c r="AJ434">
        <f t="shared" si="153"/>
        <v>0</v>
      </c>
      <c r="AK434">
        <f t="shared" si="150"/>
        <v>0</v>
      </c>
      <c r="AL434" s="17">
        <f>MIN(N434,'Scenario Modelling'!$B$2)</f>
        <v>0.059</v>
      </c>
      <c r="AM434" s="10">
        <f>L434*(1+'Scenario Modelling'!$B$3)</f>
        <v>561.982</v>
      </c>
      <c r="AN434">
        <f>O434*(1+'Scenario Modelling'!$B$4)</f>
        <v>16.8</v>
      </c>
      <c r="AO434" s="28">
        <f t="shared" si="151"/>
        <v>15561.550368</v>
      </c>
      <c r="AP434" s="10">
        <f t="shared" si="152"/>
        <v>6120.252768</v>
      </c>
    </row>
    <row r="435" spans="1:42">
      <c r="A435" t="s">
        <v>1130</v>
      </c>
      <c r="B435" s="7">
        <v>45542</v>
      </c>
      <c r="C435" s="7">
        <v>45553</v>
      </c>
      <c r="D435" t="s">
        <v>206</v>
      </c>
      <c r="E435" t="s">
        <v>277</v>
      </c>
      <c r="F435" t="s">
        <v>499</v>
      </c>
      <c r="G435" t="s">
        <v>209</v>
      </c>
      <c r="H435" t="s">
        <v>216</v>
      </c>
      <c r="I435" t="s">
        <v>229</v>
      </c>
      <c r="J435" t="s">
        <v>196</v>
      </c>
      <c r="K435" t="s">
        <v>1131</v>
      </c>
      <c r="L435" s="10">
        <v>181.74</v>
      </c>
      <c r="M435" s="10">
        <v>190.84</v>
      </c>
      <c r="N435" s="17">
        <v>0.214</v>
      </c>
      <c r="O435">
        <v>13</v>
      </c>
      <c r="P435" t="str">
        <f t="shared" si="133"/>
        <v>Valid</v>
      </c>
      <c r="Q435" s="10">
        <f t="shared" si="134"/>
        <v>190.84</v>
      </c>
      <c r="R435" t="b">
        <f t="shared" si="135"/>
        <v>0</v>
      </c>
      <c r="S435" s="17">
        <f t="shared" si="136"/>
        <v>0.214</v>
      </c>
      <c r="T435">
        <f t="shared" si="137"/>
        <v>11</v>
      </c>
      <c r="U435" s="26">
        <f t="shared" si="138"/>
        <v>45553</v>
      </c>
      <c r="V435">
        <f t="shared" si="139"/>
        <v>11</v>
      </c>
      <c r="W435" s="10">
        <f t="shared" si="140"/>
        <v>247561.08312</v>
      </c>
      <c r="X435" s="10">
        <f t="shared" si="141"/>
        <v>2480.92</v>
      </c>
      <c r="Y435" s="10">
        <f t="shared" si="142"/>
        <v>245080.16312</v>
      </c>
      <c r="Z435" s="14">
        <f t="shared" si="146"/>
        <v>0.989978554105786</v>
      </c>
      <c r="AA435" t="s">
        <v>1592</v>
      </c>
      <c r="AB435" t="str">
        <f t="shared" si="143"/>
        <v>Q3-2024</v>
      </c>
      <c r="AC435" t="str">
        <f t="shared" si="144"/>
        <v>Asia → China → Beijing</v>
      </c>
      <c r="AD435" t="str">
        <f t="shared" si="145"/>
        <v>Support</v>
      </c>
      <c r="AE435" s="8" t="str">
        <f t="shared" si="132"/>
        <v>Medium</v>
      </c>
      <c r="AF435" t="str">
        <f t="shared" si="147"/>
        <v>CHINA</v>
      </c>
      <c r="AG435" s="7">
        <v>44938</v>
      </c>
      <c r="AH435" t="str">
        <f t="shared" si="148"/>
        <v>Jan-2023</v>
      </c>
      <c r="AI435" s="9">
        <f t="shared" si="149"/>
        <v>45565</v>
      </c>
      <c r="AJ435">
        <f t="shared" si="153"/>
        <v>0</v>
      </c>
      <c r="AK435">
        <f t="shared" si="150"/>
        <v>1</v>
      </c>
      <c r="AL435" s="17">
        <f>MIN(N435,'Scenario Modelling'!$B$2)</f>
        <v>0.214</v>
      </c>
      <c r="AM435" s="10">
        <f>L435*(1+'Scenario Modelling'!$B$3)</f>
        <v>209.001</v>
      </c>
      <c r="AN435">
        <f>O435*(1+'Scenario Modelling'!$B$4)</f>
        <v>15.6</v>
      </c>
      <c r="AO435" s="28">
        <f t="shared" si="151"/>
        <v>2340.003744</v>
      </c>
      <c r="AP435" s="10">
        <f t="shared" si="152"/>
        <v>-920.411856</v>
      </c>
    </row>
    <row r="436" spans="1:42">
      <c r="A436" t="s">
        <v>1132</v>
      </c>
      <c r="B436" s="7">
        <v>45217</v>
      </c>
      <c r="C436" s="7">
        <v>45219</v>
      </c>
      <c r="D436" t="s">
        <v>177</v>
      </c>
      <c r="E436" t="s">
        <v>178</v>
      </c>
      <c r="F436" t="s">
        <v>179</v>
      </c>
      <c r="G436" t="s">
        <v>209</v>
      </c>
      <c r="H436" t="s">
        <v>181</v>
      </c>
      <c r="I436" t="s">
        <v>190</v>
      </c>
      <c r="J436" t="s">
        <v>203</v>
      </c>
      <c r="K436" t="s">
        <v>1133</v>
      </c>
      <c r="L436" s="10">
        <v>774.12</v>
      </c>
      <c r="M436" s="10">
        <v>908.3</v>
      </c>
      <c r="N436" s="17">
        <v>0</v>
      </c>
      <c r="O436">
        <v>30</v>
      </c>
      <c r="P436" t="str">
        <f t="shared" si="133"/>
        <v>Valid</v>
      </c>
      <c r="Q436" s="10">
        <f t="shared" si="134"/>
        <v>908.3</v>
      </c>
      <c r="R436" t="b">
        <f t="shared" si="135"/>
        <v>0</v>
      </c>
      <c r="S436" s="17">
        <f t="shared" si="136"/>
        <v>0</v>
      </c>
      <c r="T436">
        <f t="shared" si="137"/>
        <v>2</v>
      </c>
      <c r="U436" s="26">
        <f t="shared" si="138"/>
        <v>45219</v>
      </c>
      <c r="V436">
        <f t="shared" si="139"/>
        <v>2</v>
      </c>
      <c r="W436" s="10">
        <f t="shared" si="140"/>
        <v>2724900</v>
      </c>
      <c r="X436" s="10">
        <f t="shared" si="141"/>
        <v>27249</v>
      </c>
      <c r="Y436" s="10">
        <f t="shared" si="142"/>
        <v>2697651</v>
      </c>
      <c r="Z436" s="14">
        <f t="shared" si="146"/>
        <v>0.99</v>
      </c>
      <c r="AA436" t="s">
        <v>1595</v>
      </c>
      <c r="AB436" t="str">
        <f t="shared" si="143"/>
        <v>Q4-2023</v>
      </c>
      <c r="AC436" t="str">
        <f t="shared" si="144"/>
        <v>Africa → Kenya → Kisumu</v>
      </c>
      <c r="AD436" t="str">
        <f t="shared" si="145"/>
        <v>Devices</v>
      </c>
      <c r="AE436" s="8" t="str">
        <f t="shared" si="132"/>
        <v>Low</v>
      </c>
      <c r="AF436" t="str">
        <f t="shared" si="147"/>
        <v>KENYA</v>
      </c>
      <c r="AG436" s="7">
        <v>44946</v>
      </c>
      <c r="AH436" t="str">
        <f t="shared" si="148"/>
        <v>Jan-2023</v>
      </c>
      <c r="AI436" s="9">
        <f t="shared" si="149"/>
        <v>45230</v>
      </c>
      <c r="AJ436">
        <f t="shared" si="153"/>
        <v>1</v>
      </c>
      <c r="AK436">
        <f t="shared" si="150"/>
        <v>0</v>
      </c>
      <c r="AL436" s="17">
        <f>MIN(N436,'Scenario Modelling'!$B$2)</f>
        <v>0</v>
      </c>
      <c r="AM436" s="10">
        <f>L436*(1+'Scenario Modelling'!$B$3)</f>
        <v>890.238</v>
      </c>
      <c r="AN436">
        <f>O436*(1+'Scenario Modelling'!$B$4)</f>
        <v>36</v>
      </c>
      <c r="AO436" s="28">
        <f t="shared" si="151"/>
        <v>32698.8</v>
      </c>
      <c r="AP436" s="10">
        <f t="shared" si="152"/>
        <v>650.232</v>
      </c>
    </row>
    <row r="437" spans="1:42">
      <c r="A437" t="s">
        <v>1134</v>
      </c>
      <c r="B437" s="7">
        <v>45650</v>
      </c>
      <c r="C437" s="7">
        <v>45670</v>
      </c>
      <c r="D437" t="s">
        <v>206</v>
      </c>
      <c r="E437" t="s">
        <v>221</v>
      </c>
      <c r="F437" t="s">
        <v>222</v>
      </c>
      <c r="G437" t="s">
        <v>180</v>
      </c>
      <c r="H437" t="s">
        <v>201</v>
      </c>
      <c r="I437" t="s">
        <v>306</v>
      </c>
      <c r="J437" t="s">
        <v>196</v>
      </c>
      <c r="K437" t="s">
        <v>1135</v>
      </c>
      <c r="L437" s="10">
        <v>126.15</v>
      </c>
      <c r="M437" s="10">
        <v>284.23</v>
      </c>
      <c r="N437" s="17">
        <v>0.113</v>
      </c>
      <c r="O437">
        <v>22</v>
      </c>
      <c r="P437" t="str">
        <f t="shared" si="133"/>
        <v>Valid</v>
      </c>
      <c r="Q437" s="10">
        <f t="shared" si="134"/>
        <v>284.23</v>
      </c>
      <c r="R437" t="b">
        <f t="shared" si="135"/>
        <v>0</v>
      </c>
      <c r="S437" s="17">
        <f t="shared" si="136"/>
        <v>0.113</v>
      </c>
      <c r="T437">
        <f t="shared" si="137"/>
        <v>20</v>
      </c>
      <c r="U437" s="26">
        <f t="shared" si="138"/>
        <v>45670</v>
      </c>
      <c r="V437">
        <f t="shared" si="139"/>
        <v>20</v>
      </c>
      <c r="W437" s="10">
        <f t="shared" si="140"/>
        <v>624599.40422</v>
      </c>
      <c r="X437" s="10">
        <f t="shared" si="141"/>
        <v>6253.06</v>
      </c>
      <c r="Y437" s="10">
        <f t="shared" si="142"/>
        <v>618346.34422</v>
      </c>
      <c r="Z437" s="14">
        <f t="shared" si="146"/>
        <v>0.989988687216555</v>
      </c>
      <c r="AA437" t="s">
        <v>1565</v>
      </c>
      <c r="AB437" t="str">
        <f t="shared" si="143"/>
        <v>Q4-2024</v>
      </c>
      <c r="AC437" t="str">
        <f t="shared" si="144"/>
        <v>Asia → India → Bengaluru</v>
      </c>
      <c r="AD437" t="str">
        <f t="shared" si="145"/>
        <v>Support</v>
      </c>
      <c r="AE437" s="8" t="str">
        <f t="shared" si="132"/>
        <v>High</v>
      </c>
      <c r="AF437" t="str">
        <f t="shared" si="147"/>
        <v>INDIA</v>
      </c>
      <c r="AG437" s="7">
        <v>44955</v>
      </c>
      <c r="AH437" t="str">
        <f t="shared" si="148"/>
        <v>Jan-2023</v>
      </c>
      <c r="AI437" s="9">
        <f t="shared" si="149"/>
        <v>45657</v>
      </c>
      <c r="AJ437">
        <f t="shared" si="153"/>
        <v>0</v>
      </c>
      <c r="AK437">
        <f t="shared" si="150"/>
        <v>0</v>
      </c>
      <c r="AL437" s="17">
        <f>MIN(N437,'Scenario Modelling'!$B$2)</f>
        <v>0.113</v>
      </c>
      <c r="AM437" s="10">
        <f>L437*(1+'Scenario Modelling'!$B$3)</f>
        <v>145.0725</v>
      </c>
      <c r="AN437">
        <f>O437*(1+'Scenario Modelling'!$B$4)</f>
        <v>26.4</v>
      </c>
      <c r="AO437" s="28">
        <f t="shared" si="151"/>
        <v>6655.757064</v>
      </c>
      <c r="AP437" s="10">
        <f t="shared" si="152"/>
        <v>2825.843064</v>
      </c>
    </row>
    <row r="438" spans="1:42">
      <c r="A438" t="s">
        <v>1136</v>
      </c>
      <c r="B438" s="7">
        <v>45037</v>
      </c>
      <c r="C438" s="7">
        <v>45035</v>
      </c>
      <c r="D438" t="s">
        <v>206</v>
      </c>
      <c r="E438" t="s">
        <v>207</v>
      </c>
      <c r="F438" t="s">
        <v>392</v>
      </c>
      <c r="G438" t="s">
        <v>223</v>
      </c>
      <c r="H438" t="s">
        <v>259</v>
      </c>
      <c r="I438" t="s">
        <v>271</v>
      </c>
      <c r="J438" t="s">
        <v>183</v>
      </c>
      <c r="K438" t="s">
        <v>1137</v>
      </c>
      <c r="L438" s="10">
        <v>607.04</v>
      </c>
      <c r="M438" s="10">
        <v>1229.34</v>
      </c>
      <c r="N438" s="17">
        <v>0.147</v>
      </c>
      <c r="O438">
        <v>7</v>
      </c>
      <c r="P438" t="str">
        <f t="shared" si="133"/>
        <v>Valid</v>
      </c>
      <c r="Q438" s="10">
        <f t="shared" si="134"/>
        <v>1229.34</v>
      </c>
      <c r="R438" t="b">
        <f t="shared" si="135"/>
        <v>0</v>
      </c>
      <c r="S438" s="17">
        <f t="shared" si="136"/>
        <v>0.147</v>
      </c>
      <c r="T438">
        <f t="shared" si="137"/>
        <v>-2</v>
      </c>
      <c r="U438" s="26">
        <f t="shared" si="138"/>
        <v>45044</v>
      </c>
      <c r="V438">
        <f t="shared" si="139"/>
        <v>7</v>
      </c>
      <c r="W438" s="10">
        <f t="shared" si="140"/>
        <v>859273.00914</v>
      </c>
      <c r="X438" s="10">
        <f t="shared" si="141"/>
        <v>8605.38</v>
      </c>
      <c r="Y438" s="10">
        <f t="shared" si="142"/>
        <v>850667.62914</v>
      </c>
      <c r="Z438" s="14">
        <f t="shared" si="146"/>
        <v>0.989985278359188</v>
      </c>
      <c r="AA438" t="s">
        <v>1571</v>
      </c>
      <c r="AB438" t="str">
        <f t="shared" si="143"/>
        <v>Q2-2023</v>
      </c>
      <c r="AC438" t="str">
        <f t="shared" si="144"/>
        <v>Asia → Japan → Nagoya</v>
      </c>
      <c r="AD438" t="str">
        <f t="shared" si="145"/>
        <v>Support</v>
      </c>
      <c r="AE438" s="8" t="str">
        <f t="shared" ref="AE438:AE501" si="154">IF(B438&lt;=PERCENTILE($B$2:$B$632,0.33),"Low",IF(B438&lt;=PERCENTILE($B$2:$B$632,0.66),"Medium","High"))</f>
        <v>Low</v>
      </c>
      <c r="AF438" t="str">
        <f t="shared" si="147"/>
        <v>JAPAN</v>
      </c>
      <c r="AG438" s="7">
        <v>44988</v>
      </c>
      <c r="AH438" t="str">
        <f t="shared" si="148"/>
        <v>Mar-2023</v>
      </c>
      <c r="AI438" s="9">
        <f t="shared" si="149"/>
        <v>45046</v>
      </c>
      <c r="AJ438">
        <f t="shared" si="153"/>
        <v>1</v>
      </c>
      <c r="AK438">
        <f t="shared" si="150"/>
        <v>0</v>
      </c>
      <c r="AL438" s="17">
        <f>MIN(N438,'Scenario Modelling'!$B$2)</f>
        <v>0.147</v>
      </c>
      <c r="AM438" s="10">
        <f>L438*(1+'Scenario Modelling'!$B$3)</f>
        <v>698.096</v>
      </c>
      <c r="AN438">
        <f>O438*(1+'Scenario Modelling'!$B$4)</f>
        <v>8.4</v>
      </c>
      <c r="AO438" s="28">
        <f t="shared" si="151"/>
        <v>8808.466968</v>
      </c>
      <c r="AP438" s="10">
        <f t="shared" si="152"/>
        <v>2944.460568</v>
      </c>
    </row>
    <row r="439" spans="1:42">
      <c r="A439" t="s">
        <v>1138</v>
      </c>
      <c r="B439" s="7">
        <v>45290</v>
      </c>
      <c r="C439" s="7">
        <v>45299</v>
      </c>
      <c r="D439" t="s">
        <v>239</v>
      </c>
      <c r="E439" t="s">
        <v>251</v>
      </c>
      <c r="F439" t="s">
        <v>252</v>
      </c>
      <c r="G439" t="s">
        <v>209</v>
      </c>
      <c r="H439" t="s">
        <v>201</v>
      </c>
      <c r="I439" t="s">
        <v>210</v>
      </c>
      <c r="J439" t="s">
        <v>242</v>
      </c>
      <c r="K439" t="s">
        <v>1139</v>
      </c>
      <c r="L439" s="10">
        <v>861.1</v>
      </c>
      <c r="M439" s="10">
        <v>1224.72</v>
      </c>
      <c r="N439" s="17">
        <v>0.174</v>
      </c>
      <c r="O439">
        <v>24</v>
      </c>
      <c r="P439" t="str">
        <f t="shared" si="133"/>
        <v>Valid</v>
      </c>
      <c r="Q439" s="10">
        <f t="shared" si="134"/>
        <v>1224.72</v>
      </c>
      <c r="R439" t="b">
        <f t="shared" si="135"/>
        <v>0</v>
      </c>
      <c r="S439" s="17">
        <f t="shared" si="136"/>
        <v>0.174</v>
      </c>
      <c r="T439">
        <f t="shared" si="137"/>
        <v>9</v>
      </c>
      <c r="U439" s="26">
        <f t="shared" si="138"/>
        <v>45299</v>
      </c>
      <c r="V439">
        <f t="shared" si="139"/>
        <v>9</v>
      </c>
      <c r="W439" s="10">
        <f t="shared" si="140"/>
        <v>2934213.56928</v>
      </c>
      <c r="X439" s="10">
        <f t="shared" si="141"/>
        <v>29393.28</v>
      </c>
      <c r="Y439" s="10">
        <f t="shared" si="142"/>
        <v>2904820.28928</v>
      </c>
      <c r="Z439" s="14">
        <f t="shared" si="146"/>
        <v>0.989982569671228</v>
      </c>
      <c r="AA439" t="s">
        <v>1587</v>
      </c>
      <c r="AB439" t="str">
        <f t="shared" si="143"/>
        <v>Q4-2023</v>
      </c>
      <c r="AC439" t="str">
        <f t="shared" si="144"/>
        <v>Europe → France → Marseille</v>
      </c>
      <c r="AD439" t="str">
        <f t="shared" si="145"/>
        <v>Support</v>
      </c>
      <c r="AE439" s="8" t="str">
        <f t="shared" si="154"/>
        <v>Medium</v>
      </c>
      <c r="AF439" t="str">
        <f t="shared" si="147"/>
        <v>FRANCE</v>
      </c>
      <c r="AG439" s="7">
        <v>44936</v>
      </c>
      <c r="AH439" t="str">
        <f t="shared" si="148"/>
        <v>Jan-2023</v>
      </c>
      <c r="AI439" s="9">
        <f t="shared" si="149"/>
        <v>45291</v>
      </c>
      <c r="AJ439">
        <f t="shared" si="153"/>
        <v>0</v>
      </c>
      <c r="AK439">
        <f t="shared" si="150"/>
        <v>0</v>
      </c>
      <c r="AL439" s="17">
        <f>MIN(N439,'Scenario Modelling'!$B$2)</f>
        <v>0.174</v>
      </c>
      <c r="AM439" s="10">
        <f>L439*(1+'Scenario Modelling'!$B$3)</f>
        <v>990.265</v>
      </c>
      <c r="AN439">
        <f>O439*(1+'Scenario Modelling'!$B$4)</f>
        <v>28.8</v>
      </c>
      <c r="AO439" s="28">
        <f t="shared" si="151"/>
        <v>29134.619136</v>
      </c>
      <c r="AP439" s="10">
        <f t="shared" si="152"/>
        <v>614.987136000002</v>
      </c>
    </row>
    <row r="440" spans="1:42">
      <c r="A440" t="s">
        <v>1140</v>
      </c>
      <c r="B440" s="7">
        <v>44978</v>
      </c>
      <c r="C440" s="7">
        <v>44997</v>
      </c>
      <c r="D440" t="s">
        <v>177</v>
      </c>
      <c r="E440" t="s">
        <v>178</v>
      </c>
      <c r="F440" t="s">
        <v>296</v>
      </c>
      <c r="G440" t="s">
        <v>180</v>
      </c>
      <c r="H440" t="s">
        <v>189</v>
      </c>
      <c r="I440" t="s">
        <v>245</v>
      </c>
      <c r="J440" t="s">
        <v>196</v>
      </c>
      <c r="K440" t="s">
        <v>1141</v>
      </c>
      <c r="L440" s="10">
        <v>352.65</v>
      </c>
      <c r="M440" s="10">
        <v>485.86</v>
      </c>
      <c r="N440" s="17">
        <v>0.041</v>
      </c>
      <c r="O440">
        <v>6</v>
      </c>
      <c r="P440" t="str">
        <f t="shared" si="133"/>
        <v>Valid</v>
      </c>
      <c r="Q440" s="10">
        <f t="shared" si="134"/>
        <v>485.86</v>
      </c>
      <c r="R440" t="b">
        <f t="shared" si="135"/>
        <v>0</v>
      </c>
      <c r="S440" s="17">
        <f t="shared" si="136"/>
        <v>0.041</v>
      </c>
      <c r="T440">
        <f t="shared" si="137"/>
        <v>19</v>
      </c>
      <c r="U440" s="26">
        <f t="shared" si="138"/>
        <v>44997</v>
      </c>
      <c r="V440">
        <f t="shared" si="139"/>
        <v>19</v>
      </c>
      <c r="W440" s="10">
        <f t="shared" si="140"/>
        <v>291396.47844</v>
      </c>
      <c r="X440" s="10">
        <f t="shared" si="141"/>
        <v>2915.16</v>
      </c>
      <c r="Y440" s="10">
        <f t="shared" si="142"/>
        <v>288481.31844</v>
      </c>
      <c r="Z440" s="14">
        <f t="shared" si="146"/>
        <v>0.989995898318311</v>
      </c>
      <c r="AA440" t="s">
        <v>1562</v>
      </c>
      <c r="AB440" t="str">
        <f t="shared" si="143"/>
        <v>Q1-2023</v>
      </c>
      <c r="AC440" t="str">
        <f t="shared" si="144"/>
        <v>Africa → Kenya → Nakuru</v>
      </c>
      <c r="AD440" t="str">
        <f t="shared" si="145"/>
        <v>Support</v>
      </c>
      <c r="AE440" s="8" t="str">
        <f t="shared" si="154"/>
        <v>Low</v>
      </c>
      <c r="AF440" t="str">
        <f t="shared" si="147"/>
        <v>KENYA</v>
      </c>
      <c r="AG440" s="7">
        <v>44946</v>
      </c>
      <c r="AH440" t="str">
        <f t="shared" si="148"/>
        <v>Jan-2023</v>
      </c>
      <c r="AI440" s="9">
        <f t="shared" si="149"/>
        <v>44985</v>
      </c>
      <c r="AJ440">
        <f t="shared" si="153"/>
        <v>0</v>
      </c>
      <c r="AK440">
        <f t="shared" si="150"/>
        <v>0</v>
      </c>
      <c r="AL440" s="17">
        <f>MIN(N440,'Scenario Modelling'!$B$2)</f>
        <v>0.041</v>
      </c>
      <c r="AM440" s="10">
        <f>L440*(1+'Scenario Modelling'!$B$3)</f>
        <v>405.5475</v>
      </c>
      <c r="AN440">
        <f>O440*(1+'Scenario Modelling'!$B$4)</f>
        <v>7.2</v>
      </c>
      <c r="AO440" s="28">
        <f t="shared" si="151"/>
        <v>3354.766128</v>
      </c>
      <c r="AP440" s="10">
        <f t="shared" si="152"/>
        <v>434.824128</v>
      </c>
    </row>
    <row r="441" spans="1:42">
      <c r="A441" t="s">
        <v>1142</v>
      </c>
      <c r="B441" s="7">
        <v>45063</v>
      </c>
      <c r="C441" s="7">
        <v>45080</v>
      </c>
      <c r="D441" t="s">
        <v>206</v>
      </c>
      <c r="E441" t="s">
        <v>277</v>
      </c>
      <c r="F441" t="s">
        <v>499</v>
      </c>
      <c r="G441" t="s">
        <v>200</v>
      </c>
      <c r="H441" t="s">
        <v>216</v>
      </c>
      <c r="I441" t="s">
        <v>271</v>
      </c>
      <c r="J441" t="s">
        <v>191</v>
      </c>
      <c r="K441" t="s">
        <v>1143</v>
      </c>
      <c r="L441" s="10">
        <v>979.59</v>
      </c>
      <c r="M441" s="10">
        <v>2210.94</v>
      </c>
      <c r="N441" s="17">
        <v>0.15</v>
      </c>
      <c r="O441">
        <v>11</v>
      </c>
      <c r="P441" t="str">
        <f t="shared" si="133"/>
        <v>Valid</v>
      </c>
      <c r="Q441" s="10">
        <f t="shared" si="134"/>
        <v>2210.94</v>
      </c>
      <c r="R441" t="b">
        <f t="shared" si="135"/>
        <v>0</v>
      </c>
      <c r="S441" s="17">
        <f t="shared" si="136"/>
        <v>0.15</v>
      </c>
      <c r="T441">
        <f t="shared" si="137"/>
        <v>17</v>
      </c>
      <c r="U441" s="26">
        <f t="shared" si="138"/>
        <v>45080</v>
      </c>
      <c r="V441">
        <f t="shared" si="139"/>
        <v>17</v>
      </c>
      <c r="W441" s="10">
        <f t="shared" si="140"/>
        <v>2428385.949</v>
      </c>
      <c r="X441" s="10">
        <f t="shared" si="141"/>
        <v>24320.34</v>
      </c>
      <c r="Y441" s="10">
        <f t="shared" si="142"/>
        <v>2404065.609</v>
      </c>
      <c r="Z441" s="14">
        <f t="shared" si="146"/>
        <v>0.989984977466199</v>
      </c>
      <c r="AA441" t="s">
        <v>1574</v>
      </c>
      <c r="AB441" t="str">
        <f t="shared" si="143"/>
        <v>Q2-2023</v>
      </c>
      <c r="AC441" t="str">
        <f t="shared" si="144"/>
        <v>Asia → China → Beijing</v>
      </c>
      <c r="AD441" t="str">
        <f t="shared" si="145"/>
        <v>Peripherals</v>
      </c>
      <c r="AE441" s="8" t="str">
        <f t="shared" si="154"/>
        <v>Low</v>
      </c>
      <c r="AF441" t="str">
        <f t="shared" si="147"/>
        <v>CHINA</v>
      </c>
      <c r="AG441" s="7">
        <v>44938</v>
      </c>
      <c r="AH441" t="str">
        <f t="shared" si="148"/>
        <v>Jan-2023</v>
      </c>
      <c r="AI441" s="9">
        <f t="shared" si="149"/>
        <v>45077</v>
      </c>
      <c r="AJ441">
        <f t="shared" si="153"/>
        <v>0</v>
      </c>
      <c r="AK441">
        <f t="shared" si="150"/>
        <v>0</v>
      </c>
      <c r="AL441" s="17">
        <f>MIN(N441,'Scenario Modelling'!$B$2)</f>
        <v>0.15</v>
      </c>
      <c r="AM441" s="10">
        <f>L441*(1+'Scenario Modelling'!$B$3)</f>
        <v>1126.5285</v>
      </c>
      <c r="AN441">
        <f>O441*(1+'Scenario Modelling'!$B$4)</f>
        <v>13.2</v>
      </c>
      <c r="AO441" s="28">
        <f t="shared" si="151"/>
        <v>24806.7468</v>
      </c>
      <c r="AP441" s="10">
        <f t="shared" si="152"/>
        <v>9936.5706</v>
      </c>
    </row>
    <row r="442" spans="1:42">
      <c r="A442" t="s">
        <v>1144</v>
      </c>
      <c r="B442" s="7">
        <v>45374</v>
      </c>
      <c r="C442" s="7">
        <v>45377</v>
      </c>
      <c r="D442" t="s">
        <v>206</v>
      </c>
      <c r="E442" t="s">
        <v>221</v>
      </c>
      <c r="F442" t="s">
        <v>222</v>
      </c>
      <c r="G442" t="s">
        <v>188</v>
      </c>
      <c r="H442" t="s">
        <v>259</v>
      </c>
      <c r="I442" t="s">
        <v>202</v>
      </c>
      <c r="J442" t="s">
        <v>203</v>
      </c>
      <c r="K442" t="s">
        <v>1145</v>
      </c>
      <c r="L442" s="10">
        <v>382.21</v>
      </c>
      <c r="M442" s="10">
        <v>571.89</v>
      </c>
      <c r="N442" s="17">
        <v>0.148</v>
      </c>
      <c r="O442">
        <v>26</v>
      </c>
      <c r="P442" t="str">
        <f t="shared" si="133"/>
        <v>Valid</v>
      </c>
      <c r="Q442" s="10">
        <f t="shared" si="134"/>
        <v>571.89</v>
      </c>
      <c r="R442" t="b">
        <f t="shared" si="135"/>
        <v>0</v>
      </c>
      <c r="S442" s="17">
        <f t="shared" si="136"/>
        <v>0.148</v>
      </c>
      <c r="T442">
        <f t="shared" si="137"/>
        <v>3</v>
      </c>
      <c r="U442" s="26">
        <f t="shared" si="138"/>
        <v>45377</v>
      </c>
      <c r="V442">
        <f t="shared" si="139"/>
        <v>3</v>
      </c>
      <c r="W442" s="10">
        <f t="shared" si="140"/>
        <v>1484713.36728</v>
      </c>
      <c r="X442" s="10">
        <f t="shared" si="141"/>
        <v>14869.14</v>
      </c>
      <c r="Y442" s="10">
        <f t="shared" si="142"/>
        <v>1469844.22728</v>
      </c>
      <c r="Z442" s="14">
        <f t="shared" si="146"/>
        <v>0.989985178063534</v>
      </c>
      <c r="AA442" t="s">
        <v>1560</v>
      </c>
      <c r="AB442" t="str">
        <f t="shared" si="143"/>
        <v>Q1-2024</v>
      </c>
      <c r="AC442" t="str">
        <f t="shared" si="144"/>
        <v>Asia → India → Bengaluru</v>
      </c>
      <c r="AD442" t="str">
        <f t="shared" si="145"/>
        <v>Devices</v>
      </c>
      <c r="AE442" s="8" t="str">
        <f t="shared" si="154"/>
        <v>Medium</v>
      </c>
      <c r="AF442" t="str">
        <f t="shared" si="147"/>
        <v>INDIA</v>
      </c>
      <c r="AG442" s="7">
        <v>44955</v>
      </c>
      <c r="AH442" t="str">
        <f t="shared" si="148"/>
        <v>Jan-2023</v>
      </c>
      <c r="AI442" s="9">
        <f t="shared" si="149"/>
        <v>45382</v>
      </c>
      <c r="AJ442">
        <f t="shared" si="153"/>
        <v>1</v>
      </c>
      <c r="AK442">
        <f t="shared" si="150"/>
        <v>0</v>
      </c>
      <c r="AL442" s="17">
        <f>MIN(N442,'Scenario Modelling'!$B$2)</f>
        <v>0.148</v>
      </c>
      <c r="AM442" s="10">
        <f>L442*(1+'Scenario Modelling'!$B$3)</f>
        <v>439.5415</v>
      </c>
      <c r="AN442">
        <f>O442*(1+'Scenario Modelling'!$B$4)</f>
        <v>31.2</v>
      </c>
      <c r="AO442" s="28">
        <f t="shared" si="151"/>
        <v>15202.208736</v>
      </c>
      <c r="AP442" s="10">
        <f t="shared" si="152"/>
        <v>1488.513936</v>
      </c>
    </row>
    <row r="443" spans="1:42">
      <c r="A443" t="s">
        <v>1146</v>
      </c>
      <c r="B443" s="7">
        <v>45189</v>
      </c>
      <c r="C443" s="7">
        <v>45197</v>
      </c>
      <c r="D443" t="s">
        <v>206</v>
      </c>
      <c r="E443" t="s">
        <v>221</v>
      </c>
      <c r="F443" t="s">
        <v>1591</v>
      </c>
      <c r="G443" t="s">
        <v>180</v>
      </c>
      <c r="H443" t="s">
        <v>1579</v>
      </c>
      <c r="I443" t="s">
        <v>217</v>
      </c>
      <c r="J443" t="s">
        <v>242</v>
      </c>
      <c r="K443" t="s">
        <v>1147</v>
      </c>
      <c r="L443" s="10">
        <v>1362.06</v>
      </c>
      <c r="M443" s="10">
        <v>3398.37</v>
      </c>
      <c r="N443" s="17">
        <v>0.157</v>
      </c>
      <c r="O443">
        <v>11</v>
      </c>
      <c r="P443" t="str">
        <f t="shared" si="133"/>
        <v>Valid</v>
      </c>
      <c r="Q443" s="10">
        <f t="shared" si="134"/>
        <v>3398.37</v>
      </c>
      <c r="R443" t="b">
        <f t="shared" si="135"/>
        <v>0</v>
      </c>
      <c r="S443" s="17">
        <f t="shared" si="136"/>
        <v>0.157</v>
      </c>
      <c r="T443">
        <f t="shared" si="137"/>
        <v>8</v>
      </c>
      <c r="U443" s="26">
        <f t="shared" si="138"/>
        <v>45197</v>
      </c>
      <c r="V443">
        <f t="shared" si="139"/>
        <v>8</v>
      </c>
      <c r="W443" s="10">
        <f t="shared" si="140"/>
        <v>3732338.01501</v>
      </c>
      <c r="X443" s="10">
        <f t="shared" si="141"/>
        <v>37382.07</v>
      </c>
      <c r="Y443" s="10">
        <f t="shared" si="142"/>
        <v>3694955.94501</v>
      </c>
      <c r="Z443" s="14">
        <f t="shared" si="146"/>
        <v>0.98998427531224</v>
      </c>
      <c r="AA443" t="s">
        <v>1588</v>
      </c>
      <c r="AB443" t="str">
        <f t="shared" si="143"/>
        <v>Q3-2023</v>
      </c>
      <c r="AC443" t="str">
        <f t="shared" si="144"/>
        <v>Asia → India → Unknown City </v>
      </c>
      <c r="AD443" t="str">
        <f t="shared" si="145"/>
        <v>Support</v>
      </c>
      <c r="AE443" s="8" t="str">
        <f t="shared" si="154"/>
        <v>Low</v>
      </c>
      <c r="AF443" t="str">
        <f t="shared" si="147"/>
        <v>INDIA</v>
      </c>
      <c r="AG443" s="7">
        <v>44955</v>
      </c>
      <c r="AH443" t="str">
        <f t="shared" si="148"/>
        <v>Jan-2023</v>
      </c>
      <c r="AI443" s="9">
        <f t="shared" si="149"/>
        <v>45199</v>
      </c>
      <c r="AJ443">
        <f t="shared" si="153"/>
        <v>0</v>
      </c>
      <c r="AK443">
        <f t="shared" si="150"/>
        <v>0</v>
      </c>
      <c r="AL443" s="17">
        <f>MIN(N443,'Scenario Modelling'!$B$2)</f>
        <v>0.157</v>
      </c>
      <c r="AM443" s="10">
        <f>L443*(1+'Scenario Modelling'!$B$3)</f>
        <v>1566.369</v>
      </c>
      <c r="AN443">
        <f>O443*(1+'Scenario Modelling'!$B$4)</f>
        <v>13.2</v>
      </c>
      <c r="AO443" s="28">
        <f t="shared" si="151"/>
        <v>37815.702012</v>
      </c>
      <c r="AP443" s="10">
        <f t="shared" si="152"/>
        <v>17139.631212</v>
      </c>
    </row>
    <row r="444" spans="1:42">
      <c r="A444" t="s">
        <v>1148</v>
      </c>
      <c r="B444" s="7">
        <v>45526</v>
      </c>
      <c r="C444" s="7">
        <v>45539</v>
      </c>
      <c r="D444" t="s">
        <v>239</v>
      </c>
      <c r="E444" t="s">
        <v>240</v>
      </c>
      <c r="F444" t="s">
        <v>496</v>
      </c>
      <c r="G444" t="s">
        <v>200</v>
      </c>
      <c r="H444" t="s">
        <v>181</v>
      </c>
      <c r="I444" t="s">
        <v>210</v>
      </c>
      <c r="J444" t="s">
        <v>191</v>
      </c>
      <c r="K444" t="s">
        <v>1149</v>
      </c>
      <c r="L444" s="10">
        <v>90.04</v>
      </c>
      <c r="M444" s="10">
        <v>194.62</v>
      </c>
      <c r="N444" s="17">
        <v>0.043</v>
      </c>
      <c r="O444">
        <v>32</v>
      </c>
      <c r="P444" t="str">
        <f t="shared" si="133"/>
        <v>Valid</v>
      </c>
      <c r="Q444" s="10">
        <f t="shared" si="134"/>
        <v>194.62</v>
      </c>
      <c r="R444" t="b">
        <f t="shared" si="135"/>
        <v>0</v>
      </c>
      <c r="S444" s="17">
        <f t="shared" si="136"/>
        <v>0.043</v>
      </c>
      <c r="T444">
        <f t="shared" si="137"/>
        <v>13</v>
      </c>
      <c r="U444" s="26">
        <f t="shared" si="138"/>
        <v>45539</v>
      </c>
      <c r="V444">
        <f t="shared" si="139"/>
        <v>13</v>
      </c>
      <c r="W444" s="10">
        <f t="shared" si="140"/>
        <v>622516.20288</v>
      </c>
      <c r="X444" s="10">
        <f t="shared" si="141"/>
        <v>6227.84</v>
      </c>
      <c r="Y444" s="10">
        <f t="shared" si="142"/>
        <v>616288.36288</v>
      </c>
      <c r="Z444" s="14">
        <f t="shared" si="146"/>
        <v>0.989995698150205</v>
      </c>
      <c r="AA444" t="s">
        <v>1581</v>
      </c>
      <c r="AB444" t="str">
        <f t="shared" si="143"/>
        <v>Q3-2024</v>
      </c>
      <c r="AC444" t="str">
        <f t="shared" si="144"/>
        <v>Europe → Germany → Frankfurt</v>
      </c>
      <c r="AD444" t="str">
        <f t="shared" si="145"/>
        <v>Peripherals</v>
      </c>
      <c r="AE444" s="8" t="str">
        <f t="shared" si="154"/>
        <v>Medium</v>
      </c>
      <c r="AF444" t="str">
        <f t="shared" si="147"/>
        <v>GERMANY</v>
      </c>
      <c r="AG444" s="7">
        <v>44948</v>
      </c>
      <c r="AH444" t="str">
        <f t="shared" si="148"/>
        <v>Jan-2023</v>
      </c>
      <c r="AI444" s="9">
        <f t="shared" si="149"/>
        <v>45535</v>
      </c>
      <c r="AJ444">
        <f t="shared" si="153"/>
        <v>0</v>
      </c>
      <c r="AK444">
        <f t="shared" si="150"/>
        <v>0</v>
      </c>
      <c r="AL444" s="17">
        <f>MIN(N444,'Scenario Modelling'!$B$2)</f>
        <v>0.043</v>
      </c>
      <c r="AM444" s="10">
        <f>L444*(1+'Scenario Modelling'!$B$3)</f>
        <v>103.546</v>
      </c>
      <c r="AN444">
        <f>O444*(1+'Scenario Modelling'!$B$4)</f>
        <v>38.4</v>
      </c>
      <c r="AO444" s="28">
        <f t="shared" si="151"/>
        <v>7152.051456</v>
      </c>
      <c r="AP444" s="10">
        <f t="shared" si="152"/>
        <v>3175.885056</v>
      </c>
    </row>
    <row r="445" spans="1:42">
      <c r="A445" t="s">
        <v>1150</v>
      </c>
      <c r="B445" s="7">
        <v>45560</v>
      </c>
      <c r="C445" s="7">
        <v>45568</v>
      </c>
      <c r="D445" t="s">
        <v>213</v>
      </c>
      <c r="E445" t="s">
        <v>214</v>
      </c>
      <c r="F445" t="s">
        <v>215</v>
      </c>
      <c r="G445" t="s">
        <v>209</v>
      </c>
      <c r="H445" t="s">
        <v>189</v>
      </c>
      <c r="I445" t="s">
        <v>224</v>
      </c>
      <c r="J445" t="s">
        <v>191</v>
      </c>
      <c r="K445" t="s">
        <v>1151</v>
      </c>
      <c r="L445" s="10">
        <v>558.19</v>
      </c>
      <c r="M445" s="10">
        <v>1031.64</v>
      </c>
      <c r="N445" s="17">
        <v>0</v>
      </c>
      <c r="O445">
        <v>21</v>
      </c>
      <c r="P445" t="str">
        <f t="shared" si="133"/>
        <v>Valid</v>
      </c>
      <c r="Q445" s="10">
        <f t="shared" si="134"/>
        <v>1031.64</v>
      </c>
      <c r="R445" t="b">
        <f t="shared" si="135"/>
        <v>0</v>
      </c>
      <c r="S445" s="17">
        <f t="shared" si="136"/>
        <v>0</v>
      </c>
      <c r="T445">
        <f t="shared" si="137"/>
        <v>8</v>
      </c>
      <c r="U445" s="26">
        <f t="shared" si="138"/>
        <v>45568</v>
      </c>
      <c r="V445">
        <f t="shared" si="139"/>
        <v>8</v>
      </c>
      <c r="W445" s="10">
        <f t="shared" si="140"/>
        <v>2166444</v>
      </c>
      <c r="X445" s="10">
        <f t="shared" si="141"/>
        <v>21664.44</v>
      </c>
      <c r="Y445" s="10">
        <f t="shared" si="142"/>
        <v>2144779.56</v>
      </c>
      <c r="Z445" s="14">
        <f t="shared" si="146"/>
        <v>0.99</v>
      </c>
      <c r="AA445" t="s">
        <v>1592</v>
      </c>
      <c r="AB445" t="str">
        <f t="shared" si="143"/>
        <v>Q3-2024</v>
      </c>
      <c r="AC445" t="str">
        <f t="shared" si="144"/>
        <v>Americas → Canada → Toronto</v>
      </c>
      <c r="AD445" t="str">
        <f t="shared" si="145"/>
        <v>Peripherals</v>
      </c>
      <c r="AE445" s="8" t="str">
        <f t="shared" si="154"/>
        <v>Medium</v>
      </c>
      <c r="AF445" t="str">
        <f t="shared" si="147"/>
        <v>CANADA</v>
      </c>
      <c r="AG445" s="7">
        <v>44928</v>
      </c>
      <c r="AH445" t="str">
        <f t="shared" si="148"/>
        <v>Jan-2023</v>
      </c>
      <c r="AI445" s="9">
        <f t="shared" si="149"/>
        <v>45565</v>
      </c>
      <c r="AJ445">
        <f t="shared" si="153"/>
        <v>0</v>
      </c>
      <c r="AK445">
        <f t="shared" si="150"/>
        <v>0</v>
      </c>
      <c r="AL445" s="17">
        <f>MIN(N445,'Scenario Modelling'!$B$2)</f>
        <v>0</v>
      </c>
      <c r="AM445" s="10">
        <f>L445*(1+'Scenario Modelling'!$B$3)</f>
        <v>641.9185</v>
      </c>
      <c r="AN445">
        <f>O445*(1+'Scenario Modelling'!$B$4)</f>
        <v>25.2</v>
      </c>
      <c r="AO445" s="28">
        <f t="shared" si="151"/>
        <v>25997.328</v>
      </c>
      <c r="AP445" s="10">
        <f t="shared" si="152"/>
        <v>9820.9818</v>
      </c>
    </row>
    <row r="446" spans="1:42">
      <c r="A446" t="s">
        <v>1152</v>
      </c>
      <c r="B446" s="7">
        <v>45090</v>
      </c>
      <c r="C446" s="7">
        <v>45101</v>
      </c>
      <c r="D446" t="s">
        <v>213</v>
      </c>
      <c r="E446" t="s">
        <v>214</v>
      </c>
      <c r="F446" t="s">
        <v>215</v>
      </c>
      <c r="G446" t="s">
        <v>180</v>
      </c>
      <c r="H446" t="s">
        <v>189</v>
      </c>
      <c r="I446" t="s">
        <v>182</v>
      </c>
      <c r="J446" t="s">
        <v>191</v>
      </c>
      <c r="K446" t="s">
        <v>1153</v>
      </c>
      <c r="L446" s="10">
        <v>247.07</v>
      </c>
      <c r="M446" s="10">
        <v>495.19</v>
      </c>
      <c r="N446" s="17">
        <v>0.028</v>
      </c>
      <c r="O446">
        <v>4</v>
      </c>
      <c r="P446" t="str">
        <f t="shared" si="133"/>
        <v>Valid</v>
      </c>
      <c r="Q446" s="10">
        <f t="shared" si="134"/>
        <v>495.19</v>
      </c>
      <c r="R446" t="b">
        <f t="shared" si="135"/>
        <v>0</v>
      </c>
      <c r="S446" s="17">
        <f t="shared" si="136"/>
        <v>0.028</v>
      </c>
      <c r="T446">
        <f t="shared" si="137"/>
        <v>11</v>
      </c>
      <c r="U446" s="26">
        <f t="shared" si="138"/>
        <v>45101</v>
      </c>
      <c r="V446">
        <f t="shared" si="139"/>
        <v>11</v>
      </c>
      <c r="W446" s="10">
        <f t="shared" si="140"/>
        <v>198020.53872</v>
      </c>
      <c r="X446" s="10">
        <f t="shared" si="141"/>
        <v>1980.76</v>
      </c>
      <c r="Y446" s="10">
        <f t="shared" si="142"/>
        <v>196039.77872</v>
      </c>
      <c r="Z446" s="14">
        <f t="shared" si="146"/>
        <v>0.98999719921578</v>
      </c>
      <c r="AA446" t="s">
        <v>1583</v>
      </c>
      <c r="AB446" t="str">
        <f t="shared" si="143"/>
        <v>Q2-2023</v>
      </c>
      <c r="AC446" t="str">
        <f t="shared" si="144"/>
        <v>Americas → Canada → Toronto</v>
      </c>
      <c r="AD446" t="str">
        <f t="shared" si="145"/>
        <v>Peripherals</v>
      </c>
      <c r="AE446" s="8" t="str">
        <f t="shared" si="154"/>
        <v>Low</v>
      </c>
      <c r="AF446" t="str">
        <f t="shared" si="147"/>
        <v>CANADA</v>
      </c>
      <c r="AG446" s="7">
        <v>44928</v>
      </c>
      <c r="AH446" t="str">
        <f t="shared" si="148"/>
        <v>Jan-2023</v>
      </c>
      <c r="AI446" s="9">
        <f t="shared" si="149"/>
        <v>45107</v>
      </c>
      <c r="AJ446">
        <f t="shared" si="153"/>
        <v>0</v>
      </c>
      <c r="AK446">
        <f t="shared" si="150"/>
        <v>0</v>
      </c>
      <c r="AL446" s="17">
        <f>MIN(N446,'Scenario Modelling'!$B$2)</f>
        <v>0.028</v>
      </c>
      <c r="AM446" s="10">
        <f>L446*(1+'Scenario Modelling'!$B$3)</f>
        <v>284.1305</v>
      </c>
      <c r="AN446">
        <f>O446*(1+'Scenario Modelling'!$B$4)</f>
        <v>4.8</v>
      </c>
      <c r="AO446" s="28">
        <f t="shared" si="151"/>
        <v>2310.358464</v>
      </c>
      <c r="AP446" s="10">
        <f t="shared" si="152"/>
        <v>946.532064</v>
      </c>
    </row>
    <row r="447" spans="1:42">
      <c r="A447" t="s">
        <v>1154</v>
      </c>
      <c r="B447" s="7">
        <v>45284</v>
      </c>
      <c r="C447" s="7">
        <v>45304</v>
      </c>
      <c r="D447" t="s">
        <v>206</v>
      </c>
      <c r="E447" t="s">
        <v>207</v>
      </c>
      <c r="F447" t="s">
        <v>392</v>
      </c>
      <c r="G447" t="s">
        <v>188</v>
      </c>
      <c r="H447" t="s">
        <v>259</v>
      </c>
      <c r="I447" t="s">
        <v>217</v>
      </c>
      <c r="J447" t="s">
        <v>218</v>
      </c>
      <c r="K447" t="s">
        <v>1155</v>
      </c>
      <c r="L447" s="10">
        <v>625.37</v>
      </c>
      <c r="M447" s="10">
        <v>1319.04</v>
      </c>
      <c r="N447" s="17">
        <v>0.074</v>
      </c>
      <c r="O447">
        <v>8</v>
      </c>
      <c r="P447" t="str">
        <f t="shared" si="133"/>
        <v>Valid</v>
      </c>
      <c r="Q447" s="10">
        <f t="shared" si="134"/>
        <v>1319.04</v>
      </c>
      <c r="R447" t="b">
        <f t="shared" si="135"/>
        <v>0</v>
      </c>
      <c r="S447" s="17">
        <f t="shared" si="136"/>
        <v>0.074</v>
      </c>
      <c r="T447">
        <f t="shared" si="137"/>
        <v>20</v>
      </c>
      <c r="U447" s="26">
        <f t="shared" si="138"/>
        <v>45304</v>
      </c>
      <c r="V447">
        <f t="shared" si="139"/>
        <v>20</v>
      </c>
      <c r="W447" s="10">
        <f t="shared" si="140"/>
        <v>1054451.12832</v>
      </c>
      <c r="X447" s="10">
        <f t="shared" si="141"/>
        <v>10552.32</v>
      </c>
      <c r="Y447" s="10">
        <f t="shared" si="142"/>
        <v>1043898.80832</v>
      </c>
      <c r="Z447" s="14">
        <f t="shared" si="146"/>
        <v>0.989992594519945</v>
      </c>
      <c r="AA447" t="s">
        <v>1587</v>
      </c>
      <c r="AB447" t="str">
        <f t="shared" si="143"/>
        <v>Q4-2023</v>
      </c>
      <c r="AC447" t="str">
        <f t="shared" si="144"/>
        <v>Asia → Japan → Nagoya</v>
      </c>
      <c r="AD447" t="str">
        <f t="shared" si="145"/>
        <v>Devices</v>
      </c>
      <c r="AE447" s="8" t="str">
        <f t="shared" si="154"/>
        <v>Medium</v>
      </c>
      <c r="AF447" t="str">
        <f t="shared" si="147"/>
        <v>JAPAN</v>
      </c>
      <c r="AG447" s="7">
        <v>44988</v>
      </c>
      <c r="AH447" t="str">
        <f t="shared" si="148"/>
        <v>Mar-2023</v>
      </c>
      <c r="AI447" s="9">
        <f t="shared" si="149"/>
        <v>45291</v>
      </c>
      <c r="AJ447">
        <f t="shared" si="153"/>
        <v>0</v>
      </c>
      <c r="AK447">
        <f t="shared" si="150"/>
        <v>0</v>
      </c>
      <c r="AL447" s="17">
        <f>MIN(N447,'Scenario Modelling'!$B$2)</f>
        <v>0.074</v>
      </c>
      <c r="AM447" s="10">
        <f>L447*(1+'Scenario Modelling'!$B$3)</f>
        <v>719.1755</v>
      </c>
      <c r="AN447">
        <f>O447*(1+'Scenario Modelling'!$B$4)</f>
        <v>9.6</v>
      </c>
      <c r="AO447" s="28">
        <f t="shared" si="151"/>
        <v>11725.737984</v>
      </c>
      <c r="AP447" s="10">
        <f t="shared" si="152"/>
        <v>4821.653184</v>
      </c>
    </row>
    <row r="448" spans="1:42">
      <c r="A448" t="s">
        <v>1156</v>
      </c>
      <c r="B448" s="7">
        <v>45746</v>
      </c>
      <c r="C448" s="7">
        <v>45776</v>
      </c>
      <c r="D448" t="s">
        <v>177</v>
      </c>
      <c r="E448" t="s">
        <v>309</v>
      </c>
      <c r="F448" t="s">
        <v>333</v>
      </c>
      <c r="G448" t="s">
        <v>209</v>
      </c>
      <c r="H448" t="s">
        <v>201</v>
      </c>
      <c r="I448" t="s">
        <v>190</v>
      </c>
      <c r="J448" t="s">
        <v>225</v>
      </c>
      <c r="K448" t="s">
        <v>1157</v>
      </c>
      <c r="L448" s="10">
        <v>194.6</v>
      </c>
      <c r="M448" s="10">
        <v>314.87</v>
      </c>
      <c r="N448" s="17">
        <v>0.293</v>
      </c>
      <c r="O448">
        <v>25</v>
      </c>
      <c r="P448" t="str">
        <f t="shared" si="133"/>
        <v>Valid</v>
      </c>
      <c r="Q448" s="10">
        <f t="shared" si="134"/>
        <v>314.87</v>
      </c>
      <c r="R448" t="b">
        <f t="shared" si="135"/>
        <v>0</v>
      </c>
      <c r="S448" s="17">
        <f t="shared" si="136"/>
        <v>0.293</v>
      </c>
      <c r="T448">
        <f t="shared" si="137"/>
        <v>30</v>
      </c>
      <c r="U448" s="26">
        <f t="shared" si="138"/>
        <v>45776</v>
      </c>
      <c r="V448">
        <f t="shared" si="139"/>
        <v>30</v>
      </c>
      <c r="W448" s="10">
        <f t="shared" si="140"/>
        <v>784868.57725</v>
      </c>
      <c r="X448" s="10">
        <f t="shared" si="141"/>
        <v>7871.75</v>
      </c>
      <c r="Y448" s="10">
        <f t="shared" si="142"/>
        <v>776996.82725</v>
      </c>
      <c r="Z448" s="14">
        <f t="shared" si="146"/>
        <v>0.989970613898723</v>
      </c>
      <c r="AA448" t="s">
        <v>1563</v>
      </c>
      <c r="AB448" t="str">
        <f t="shared" si="143"/>
        <v>Q1-2025</v>
      </c>
      <c r="AC448" t="str">
        <f t="shared" si="144"/>
        <v>Africa → South Africa → Durban</v>
      </c>
      <c r="AD448" t="str">
        <f t="shared" si="145"/>
        <v>Peripherals</v>
      </c>
      <c r="AE448" s="8" t="str">
        <f t="shared" si="154"/>
        <v>High</v>
      </c>
      <c r="AF448" t="str">
        <f t="shared" si="147"/>
        <v>SOUTH AFRICA</v>
      </c>
      <c r="AG448" s="7">
        <v>44933</v>
      </c>
      <c r="AH448" t="str">
        <f t="shared" si="148"/>
        <v>Jan-2023</v>
      </c>
      <c r="AI448" s="9">
        <f t="shared" si="149"/>
        <v>45747</v>
      </c>
      <c r="AJ448">
        <f t="shared" si="153"/>
        <v>0</v>
      </c>
      <c r="AK448">
        <f t="shared" si="150"/>
        <v>1</v>
      </c>
      <c r="AL448" s="17">
        <f>MIN(N448,'Scenario Modelling'!$B$2)</f>
        <v>0.25</v>
      </c>
      <c r="AM448" s="10">
        <f>L448*(1+'Scenario Modelling'!$B$3)</f>
        <v>223.79</v>
      </c>
      <c r="AN448">
        <f>O448*(1+'Scenario Modelling'!$B$4)</f>
        <v>30</v>
      </c>
      <c r="AO448" s="28">
        <f t="shared" si="151"/>
        <v>7084.575</v>
      </c>
      <c r="AP448" s="10">
        <f t="shared" si="152"/>
        <v>370.875000000001</v>
      </c>
    </row>
    <row r="449" spans="1:42">
      <c r="A449" t="s">
        <v>1158</v>
      </c>
      <c r="B449" s="7">
        <v>45446</v>
      </c>
      <c r="C449" s="7">
        <v>45467</v>
      </c>
      <c r="D449" t="s">
        <v>213</v>
      </c>
      <c r="E449" t="s">
        <v>214</v>
      </c>
      <c r="F449" t="s">
        <v>215</v>
      </c>
      <c r="G449" t="s">
        <v>223</v>
      </c>
      <c r="H449" t="s">
        <v>259</v>
      </c>
      <c r="I449" t="s">
        <v>202</v>
      </c>
      <c r="J449" t="s">
        <v>225</v>
      </c>
      <c r="K449" t="s">
        <v>1159</v>
      </c>
      <c r="L449" s="10">
        <v>1205.5</v>
      </c>
      <c r="M449" s="10">
        <v>2210.17</v>
      </c>
      <c r="N449" s="17">
        <v>0.104</v>
      </c>
      <c r="O449">
        <v>23</v>
      </c>
      <c r="P449" t="str">
        <f t="shared" si="133"/>
        <v>Valid</v>
      </c>
      <c r="Q449" s="10">
        <f t="shared" si="134"/>
        <v>2210.17</v>
      </c>
      <c r="R449" t="b">
        <f t="shared" si="135"/>
        <v>0</v>
      </c>
      <c r="S449" s="17">
        <f t="shared" si="136"/>
        <v>0.104</v>
      </c>
      <c r="T449">
        <f t="shared" si="137"/>
        <v>21</v>
      </c>
      <c r="U449" s="26">
        <f t="shared" si="138"/>
        <v>45467</v>
      </c>
      <c r="V449">
        <f t="shared" si="139"/>
        <v>21</v>
      </c>
      <c r="W449" s="10">
        <f t="shared" si="140"/>
        <v>5078104.27336</v>
      </c>
      <c r="X449" s="10">
        <f t="shared" si="141"/>
        <v>50833.91</v>
      </c>
      <c r="Y449" s="10">
        <f t="shared" si="142"/>
        <v>5027270.36336</v>
      </c>
      <c r="Z449" s="14">
        <f t="shared" si="146"/>
        <v>0.98998958917274</v>
      </c>
      <c r="AA449" t="s">
        <v>1576</v>
      </c>
      <c r="AB449" t="str">
        <f t="shared" si="143"/>
        <v>Q2-2024</v>
      </c>
      <c r="AC449" t="str">
        <f t="shared" si="144"/>
        <v>Americas → Canada → Toronto</v>
      </c>
      <c r="AD449" t="str">
        <f t="shared" si="145"/>
        <v>Peripherals</v>
      </c>
      <c r="AE449" s="8" t="str">
        <f t="shared" si="154"/>
        <v>Medium</v>
      </c>
      <c r="AF449" t="str">
        <f t="shared" si="147"/>
        <v>CANADA</v>
      </c>
      <c r="AG449" s="7">
        <v>44928</v>
      </c>
      <c r="AH449" t="str">
        <f t="shared" si="148"/>
        <v>Jan-2023</v>
      </c>
      <c r="AI449" s="9">
        <f t="shared" si="149"/>
        <v>45473</v>
      </c>
      <c r="AJ449">
        <f t="shared" si="153"/>
        <v>0</v>
      </c>
      <c r="AK449">
        <f t="shared" si="150"/>
        <v>0</v>
      </c>
      <c r="AL449" s="17">
        <f>MIN(N449,'Scenario Modelling'!$B$2)</f>
        <v>0.104</v>
      </c>
      <c r="AM449" s="10">
        <f>L449*(1+'Scenario Modelling'!$B$3)</f>
        <v>1386.325</v>
      </c>
      <c r="AN449">
        <f>O449*(1+'Scenario Modelling'!$B$4)</f>
        <v>27.6</v>
      </c>
      <c r="AO449" s="28">
        <f t="shared" si="151"/>
        <v>54656.620032</v>
      </c>
      <c r="AP449" s="10">
        <f t="shared" si="152"/>
        <v>16394.050032</v>
      </c>
    </row>
    <row r="450" spans="1:42">
      <c r="A450" t="s">
        <v>1160</v>
      </c>
      <c r="B450" s="7">
        <v>45454</v>
      </c>
      <c r="C450" s="7">
        <v>45482</v>
      </c>
      <c r="D450" t="s">
        <v>177</v>
      </c>
      <c r="E450" t="s">
        <v>186</v>
      </c>
      <c r="F450" t="s">
        <v>187</v>
      </c>
      <c r="G450" t="s">
        <v>180</v>
      </c>
      <c r="H450" t="s">
        <v>201</v>
      </c>
      <c r="I450" t="s">
        <v>195</v>
      </c>
      <c r="J450" t="s">
        <v>203</v>
      </c>
      <c r="K450" t="s">
        <v>1161</v>
      </c>
      <c r="L450" s="10">
        <v>895.54</v>
      </c>
      <c r="M450" s="10">
        <v>1045</v>
      </c>
      <c r="N450" s="17">
        <v>0.216</v>
      </c>
      <c r="O450">
        <v>15</v>
      </c>
      <c r="P450" t="str">
        <f t="shared" ref="P450:P513" si="155">IF(M450&gt;0,"Valid")</f>
        <v>Valid</v>
      </c>
      <c r="Q450" s="10">
        <f t="shared" ref="Q450:Q513" si="156">ABS(M450)</f>
        <v>1045</v>
      </c>
      <c r="R450" t="b">
        <f t="shared" ref="R450:R513" si="157">IF(N450&gt;30%,"Excess")</f>
        <v>0</v>
      </c>
      <c r="S450" s="17">
        <f t="shared" ref="S450:S513" si="158">IF(R450="Excess",30%,N450)</f>
        <v>0.216</v>
      </c>
      <c r="T450">
        <f t="shared" ref="T450:T513" si="159">(C450-B450)</f>
        <v>28</v>
      </c>
      <c r="U450" s="26">
        <f t="shared" ref="U450:U513" si="160">IF(C450&lt;B450,B450+7,C450)</f>
        <v>45482</v>
      </c>
      <c r="V450">
        <f t="shared" ref="V450:V513" si="161">(U450-B450)</f>
        <v>28</v>
      </c>
      <c r="W450" s="10">
        <f t="shared" ref="W450:W513" si="162">(Q450*O450*(100-S450))</f>
        <v>1564114.2</v>
      </c>
      <c r="X450" s="10">
        <f t="shared" ref="X450:X513" si="163">(Q450*O450)</f>
        <v>15675</v>
      </c>
      <c r="Y450" s="10">
        <f t="shared" ref="Y450:Y513" si="164">W450-X450</f>
        <v>1548439.2</v>
      </c>
      <c r="Z450" s="14">
        <f t="shared" si="146"/>
        <v>0.989978353243005</v>
      </c>
      <c r="AA450" t="s">
        <v>1576</v>
      </c>
      <c r="AB450" t="str">
        <f t="shared" ref="AB450:AB513" si="165">"Q"&amp;ROUNDUP(MONTH(B450)/3,0)&amp;"-"&amp;YEAR(B450)</f>
        <v>Q2-2024</v>
      </c>
      <c r="AC450" t="str">
        <f t="shared" ref="AC450:AC513" si="166">D450&amp;" → "&amp;E450&amp;" → "&amp;F450</f>
        <v>Africa → Nigeria → Port Harcourt</v>
      </c>
      <c r="AD450" t="str">
        <f t="shared" ref="AD450:AD513" si="167">IF(OR(J450="Laptops",J450="Phones"),"Devices",IF(OR(J450="Monitors",J450="Printers"),"Peripherals","Support"))</f>
        <v>Devices</v>
      </c>
      <c r="AE450" s="8" t="str">
        <f t="shared" si="154"/>
        <v>Medium</v>
      </c>
      <c r="AF450" t="str">
        <f t="shared" si="147"/>
        <v>NIGERIA</v>
      </c>
      <c r="AG450" s="7">
        <v>44941</v>
      </c>
      <c r="AH450" t="str">
        <f t="shared" si="148"/>
        <v>Jan-2023</v>
      </c>
      <c r="AI450" s="9">
        <f t="shared" si="149"/>
        <v>45473</v>
      </c>
      <c r="AJ450">
        <f t="shared" si="153"/>
        <v>0</v>
      </c>
      <c r="AK450">
        <f t="shared" si="150"/>
        <v>1</v>
      </c>
      <c r="AL450" s="17">
        <f>MIN(N450,'Scenario Modelling'!$B$2)</f>
        <v>0.216</v>
      </c>
      <c r="AM450" s="10">
        <f>L450*(1+'Scenario Modelling'!$B$3)</f>
        <v>1029.871</v>
      </c>
      <c r="AN450">
        <f>O450*(1+'Scenario Modelling'!$B$4)</f>
        <v>18</v>
      </c>
      <c r="AO450" s="28">
        <f t="shared" si="151"/>
        <v>14747.04</v>
      </c>
      <c r="AP450" s="10">
        <f t="shared" si="152"/>
        <v>-3790.638</v>
      </c>
    </row>
    <row r="451" spans="1:42">
      <c r="A451" t="s">
        <v>1162</v>
      </c>
      <c r="B451" s="7">
        <v>45129</v>
      </c>
      <c r="C451" s="7">
        <v>45128</v>
      </c>
      <c r="D451" t="s">
        <v>206</v>
      </c>
      <c r="E451" t="s">
        <v>221</v>
      </c>
      <c r="F451" t="s">
        <v>302</v>
      </c>
      <c r="G451" t="s">
        <v>223</v>
      </c>
      <c r="H451" t="s">
        <v>216</v>
      </c>
      <c r="I451" t="s">
        <v>224</v>
      </c>
      <c r="J451" t="s">
        <v>191</v>
      </c>
      <c r="K451" t="s">
        <v>1163</v>
      </c>
      <c r="L451" s="10">
        <v>946.99</v>
      </c>
      <c r="M451" s="10">
        <v>2132.19</v>
      </c>
      <c r="N451" s="17">
        <v>0.165</v>
      </c>
      <c r="O451">
        <v>7</v>
      </c>
      <c r="P451" t="str">
        <f t="shared" si="155"/>
        <v>Valid</v>
      </c>
      <c r="Q451" s="10">
        <f t="shared" si="156"/>
        <v>2132.19</v>
      </c>
      <c r="R451" t="b">
        <f t="shared" si="157"/>
        <v>0</v>
      </c>
      <c r="S451" s="17">
        <f t="shared" si="158"/>
        <v>0.165</v>
      </c>
      <c r="T451">
        <f t="shared" si="159"/>
        <v>-1</v>
      </c>
      <c r="U451" s="26">
        <f t="shared" si="160"/>
        <v>45136</v>
      </c>
      <c r="V451">
        <f t="shared" si="161"/>
        <v>7</v>
      </c>
      <c r="W451" s="10">
        <f t="shared" si="162"/>
        <v>1490070.32055</v>
      </c>
      <c r="X451" s="10">
        <f t="shared" si="163"/>
        <v>14925.33</v>
      </c>
      <c r="Y451" s="10">
        <f t="shared" si="164"/>
        <v>1475144.99055</v>
      </c>
      <c r="Z451" s="14">
        <f t="shared" ref="Z451:Z514" si="168">Y451/W451</f>
        <v>0.989983472730004</v>
      </c>
      <c r="AA451" t="s">
        <v>1584</v>
      </c>
      <c r="AB451" t="str">
        <f t="shared" si="165"/>
        <v>Q3-2023</v>
      </c>
      <c r="AC451" t="str">
        <f t="shared" si="166"/>
        <v>Asia → India → Delhi</v>
      </c>
      <c r="AD451" t="str">
        <f t="shared" si="167"/>
        <v>Peripherals</v>
      </c>
      <c r="AE451" s="8" t="str">
        <f t="shared" si="154"/>
        <v>Low</v>
      </c>
      <c r="AF451" t="str">
        <f t="shared" ref="AF451:AF514" si="169">UPPER(TRIM(CLEAN(SUBSTITUTE(E451,CHAR(160),""))))</f>
        <v>INDIA</v>
      </c>
      <c r="AG451" s="7">
        <v>44955</v>
      </c>
      <c r="AH451" t="str">
        <f t="shared" ref="AH451:AH514" si="170">TEXT(AG451,"MMM-YYYY")</f>
        <v>Jan-2023</v>
      </c>
      <c r="AI451" s="9">
        <f t="shared" ref="AI451:AI514" si="171">EOMONTH(B451,0)</f>
        <v>45138</v>
      </c>
      <c r="AJ451">
        <f t="shared" si="153"/>
        <v>1</v>
      </c>
      <c r="AK451">
        <f t="shared" ref="AK451:AK514" si="172">IF(N451&gt;20%,1,0)</f>
        <v>0</v>
      </c>
      <c r="AL451" s="17">
        <f>MIN(N451,'Scenario Modelling'!$B$2)</f>
        <v>0.165</v>
      </c>
      <c r="AM451" s="10">
        <f>L451*(1+'Scenario Modelling'!$B$3)</f>
        <v>1089.0385</v>
      </c>
      <c r="AN451">
        <f>O451*(1+'Scenario Modelling'!$B$4)</f>
        <v>8.4</v>
      </c>
      <c r="AO451" s="28">
        <f t="shared" ref="AO451:AO514" si="173">AN451*M451*(1-AL451)</f>
        <v>14955.18066</v>
      </c>
      <c r="AP451" s="10">
        <f t="shared" ref="AP451:AP514" si="174">(M451*(1-AL451)-AM451)*AN451</f>
        <v>5807.25726</v>
      </c>
    </row>
    <row r="452" spans="1:42">
      <c r="A452" t="s">
        <v>1164</v>
      </c>
      <c r="B452" s="7">
        <v>44945</v>
      </c>
      <c r="C452" s="7">
        <v>44960</v>
      </c>
      <c r="D452" t="s">
        <v>239</v>
      </c>
      <c r="E452" t="s">
        <v>269</v>
      </c>
      <c r="F452" t="s">
        <v>313</v>
      </c>
      <c r="G452" t="s">
        <v>266</v>
      </c>
      <c r="H452" t="s">
        <v>216</v>
      </c>
      <c r="I452" t="s">
        <v>202</v>
      </c>
      <c r="J452" t="s">
        <v>242</v>
      </c>
      <c r="K452" t="s">
        <v>1165</v>
      </c>
      <c r="L452" s="10">
        <v>873.06</v>
      </c>
      <c r="M452" s="10">
        <v>2101.55</v>
      </c>
      <c r="N452" s="17">
        <v>0.066</v>
      </c>
      <c r="O452">
        <v>10</v>
      </c>
      <c r="P452" t="str">
        <f t="shared" si="155"/>
        <v>Valid</v>
      </c>
      <c r="Q452" s="10">
        <f t="shared" si="156"/>
        <v>2101.55</v>
      </c>
      <c r="R452" t="b">
        <f t="shared" si="157"/>
        <v>0</v>
      </c>
      <c r="S452" s="17">
        <f t="shared" si="158"/>
        <v>0.066</v>
      </c>
      <c r="T452">
        <f t="shared" si="159"/>
        <v>15</v>
      </c>
      <c r="U452" s="26">
        <f t="shared" si="160"/>
        <v>44960</v>
      </c>
      <c r="V452">
        <f t="shared" si="161"/>
        <v>15</v>
      </c>
      <c r="W452" s="10">
        <f t="shared" si="162"/>
        <v>2100162.977</v>
      </c>
      <c r="X452" s="10">
        <f t="shared" si="163"/>
        <v>21015.5</v>
      </c>
      <c r="Y452" s="10">
        <f t="shared" si="164"/>
        <v>2079147.477</v>
      </c>
      <c r="Z452" s="14">
        <f t="shared" si="168"/>
        <v>0.989993395641123</v>
      </c>
      <c r="AA452" t="s">
        <v>1564</v>
      </c>
      <c r="AB452" t="str">
        <f t="shared" si="165"/>
        <v>Q1-2023</v>
      </c>
      <c r="AC452" t="str">
        <f t="shared" si="166"/>
        <v>Europe → United Kingdom → London</v>
      </c>
      <c r="AD452" t="str">
        <f t="shared" si="167"/>
        <v>Support</v>
      </c>
      <c r="AE452" s="8" t="str">
        <f t="shared" si="154"/>
        <v>Low</v>
      </c>
      <c r="AF452" t="str">
        <f t="shared" si="169"/>
        <v>UNITED KINGDOM</v>
      </c>
      <c r="AG452" s="7">
        <v>44945</v>
      </c>
      <c r="AH452" t="str">
        <f t="shared" si="170"/>
        <v>Jan-2023</v>
      </c>
      <c r="AI452" s="9">
        <f t="shared" si="171"/>
        <v>44957</v>
      </c>
      <c r="AJ452">
        <f t="shared" ref="AJ452:AJ515" si="175">IF(V452&lt;=7,1,0)</f>
        <v>0</v>
      </c>
      <c r="AK452">
        <f t="shared" si="172"/>
        <v>0</v>
      </c>
      <c r="AL452" s="17">
        <f>MIN(N452,'Scenario Modelling'!$B$2)</f>
        <v>0.066</v>
      </c>
      <c r="AM452" s="10">
        <f>L452*(1+'Scenario Modelling'!$B$3)</f>
        <v>1004.019</v>
      </c>
      <c r="AN452">
        <f>O452*(1+'Scenario Modelling'!$B$4)</f>
        <v>12</v>
      </c>
      <c r="AO452" s="28">
        <f t="shared" si="173"/>
        <v>23554.1724</v>
      </c>
      <c r="AP452" s="10">
        <f t="shared" si="174"/>
        <v>11505.9444</v>
      </c>
    </row>
    <row r="453" spans="1:42">
      <c r="A453" t="s">
        <v>1166</v>
      </c>
      <c r="B453" s="7">
        <v>45413</v>
      </c>
      <c r="C453" s="7">
        <v>45428</v>
      </c>
      <c r="D453" t="s">
        <v>206</v>
      </c>
      <c r="E453" t="s">
        <v>221</v>
      </c>
      <c r="F453" t="s">
        <v>222</v>
      </c>
      <c r="G453" t="s">
        <v>223</v>
      </c>
      <c r="H453" t="s">
        <v>181</v>
      </c>
      <c r="I453" t="s">
        <v>210</v>
      </c>
      <c r="J453" t="s">
        <v>183</v>
      </c>
      <c r="K453" t="s">
        <v>1167</v>
      </c>
      <c r="L453" s="10">
        <v>901.19</v>
      </c>
      <c r="M453" s="10">
        <v>2125.44</v>
      </c>
      <c r="N453" s="17">
        <v>0.071</v>
      </c>
      <c r="O453">
        <v>12</v>
      </c>
      <c r="P453" t="str">
        <f t="shared" si="155"/>
        <v>Valid</v>
      </c>
      <c r="Q453" s="10">
        <f t="shared" si="156"/>
        <v>2125.44</v>
      </c>
      <c r="R453" t="b">
        <f t="shared" si="157"/>
        <v>0</v>
      </c>
      <c r="S453" s="17">
        <f t="shared" si="158"/>
        <v>0.071</v>
      </c>
      <c r="T453">
        <f t="shared" si="159"/>
        <v>15</v>
      </c>
      <c r="U453" s="26">
        <f t="shared" si="160"/>
        <v>45428</v>
      </c>
      <c r="V453">
        <f t="shared" si="161"/>
        <v>15</v>
      </c>
      <c r="W453" s="10">
        <f t="shared" si="162"/>
        <v>2548717.12512</v>
      </c>
      <c r="X453" s="10">
        <f t="shared" si="163"/>
        <v>25505.28</v>
      </c>
      <c r="Y453" s="10">
        <f t="shared" si="164"/>
        <v>2523211.84512</v>
      </c>
      <c r="Z453" s="14">
        <f t="shared" si="168"/>
        <v>0.989992894955418</v>
      </c>
      <c r="AA453" t="s">
        <v>1566</v>
      </c>
      <c r="AB453" t="str">
        <f t="shared" si="165"/>
        <v>Q2-2024</v>
      </c>
      <c r="AC453" t="str">
        <f t="shared" si="166"/>
        <v>Asia → India → Bengaluru</v>
      </c>
      <c r="AD453" t="str">
        <f t="shared" si="167"/>
        <v>Support</v>
      </c>
      <c r="AE453" s="8" t="str">
        <f t="shared" si="154"/>
        <v>Medium</v>
      </c>
      <c r="AF453" t="str">
        <f t="shared" si="169"/>
        <v>INDIA</v>
      </c>
      <c r="AG453" s="7">
        <v>44955</v>
      </c>
      <c r="AH453" t="str">
        <f t="shared" si="170"/>
        <v>Jan-2023</v>
      </c>
      <c r="AI453" s="9">
        <f t="shared" si="171"/>
        <v>45443</v>
      </c>
      <c r="AJ453">
        <f t="shared" si="175"/>
        <v>0</v>
      </c>
      <c r="AK453">
        <f t="shared" si="172"/>
        <v>0</v>
      </c>
      <c r="AL453" s="17">
        <f>MIN(N453,'Scenario Modelling'!$B$2)</f>
        <v>0.071</v>
      </c>
      <c r="AM453" s="10">
        <f>L453*(1+'Scenario Modelling'!$B$3)</f>
        <v>1036.3685</v>
      </c>
      <c r="AN453">
        <f>O453*(1+'Scenario Modelling'!$B$4)</f>
        <v>14.4</v>
      </c>
      <c r="AO453" s="28">
        <f t="shared" si="173"/>
        <v>28433.286144</v>
      </c>
      <c r="AP453" s="10">
        <f t="shared" si="174"/>
        <v>13509.579744</v>
      </c>
    </row>
    <row r="454" spans="1:42">
      <c r="A454" t="s">
        <v>1168</v>
      </c>
      <c r="B454" s="7">
        <v>45817</v>
      </c>
      <c r="C454" s="7">
        <v>45832</v>
      </c>
      <c r="D454" t="s">
        <v>206</v>
      </c>
      <c r="E454" t="s">
        <v>207</v>
      </c>
      <c r="F454" t="s">
        <v>392</v>
      </c>
      <c r="G454" t="s">
        <v>180</v>
      </c>
      <c r="H454" t="s">
        <v>259</v>
      </c>
      <c r="I454" t="s">
        <v>217</v>
      </c>
      <c r="J454" t="s">
        <v>203</v>
      </c>
      <c r="K454" t="s">
        <v>1169</v>
      </c>
      <c r="L454" s="10">
        <v>400.39</v>
      </c>
      <c r="M454" s="10">
        <v>712.75</v>
      </c>
      <c r="N454" s="17">
        <v>0.115</v>
      </c>
      <c r="O454">
        <v>19</v>
      </c>
      <c r="P454" t="str">
        <f t="shared" si="155"/>
        <v>Valid</v>
      </c>
      <c r="Q454" s="10">
        <f t="shared" si="156"/>
        <v>712.75</v>
      </c>
      <c r="R454" t="b">
        <f t="shared" si="157"/>
        <v>0</v>
      </c>
      <c r="S454" s="17">
        <f t="shared" si="158"/>
        <v>0.115</v>
      </c>
      <c r="T454">
        <f t="shared" si="159"/>
        <v>15</v>
      </c>
      <c r="U454" s="26">
        <f t="shared" si="160"/>
        <v>45832</v>
      </c>
      <c r="V454">
        <f t="shared" si="161"/>
        <v>15</v>
      </c>
      <c r="W454" s="10">
        <f t="shared" si="162"/>
        <v>1352667.64125</v>
      </c>
      <c r="X454" s="10">
        <f t="shared" si="163"/>
        <v>13542.25</v>
      </c>
      <c r="Y454" s="10">
        <f t="shared" si="164"/>
        <v>1339125.39125</v>
      </c>
      <c r="Z454" s="14">
        <f t="shared" si="168"/>
        <v>0.989988486759774</v>
      </c>
      <c r="AA454" t="s">
        <v>1575</v>
      </c>
      <c r="AB454" t="str">
        <f t="shared" si="165"/>
        <v>Q2-2025</v>
      </c>
      <c r="AC454" t="str">
        <f t="shared" si="166"/>
        <v>Asia → Japan → Nagoya</v>
      </c>
      <c r="AD454" t="str">
        <f t="shared" si="167"/>
        <v>Devices</v>
      </c>
      <c r="AE454" s="8" t="str">
        <f t="shared" si="154"/>
        <v>High</v>
      </c>
      <c r="AF454" t="str">
        <f t="shared" si="169"/>
        <v>JAPAN</v>
      </c>
      <c r="AG454" s="7">
        <v>44988</v>
      </c>
      <c r="AH454" t="str">
        <f t="shared" si="170"/>
        <v>Mar-2023</v>
      </c>
      <c r="AI454" s="9">
        <f t="shared" si="171"/>
        <v>45838</v>
      </c>
      <c r="AJ454">
        <f t="shared" si="175"/>
        <v>0</v>
      </c>
      <c r="AK454">
        <f t="shared" si="172"/>
        <v>0</v>
      </c>
      <c r="AL454" s="17">
        <f>MIN(N454,'Scenario Modelling'!$B$2)</f>
        <v>0.115</v>
      </c>
      <c r="AM454" s="10">
        <f>L454*(1+'Scenario Modelling'!$B$3)</f>
        <v>460.4485</v>
      </c>
      <c r="AN454">
        <f>O454*(1+'Scenario Modelling'!$B$4)</f>
        <v>22.8</v>
      </c>
      <c r="AO454" s="28">
        <f t="shared" si="173"/>
        <v>14381.8695</v>
      </c>
      <c r="AP454" s="10">
        <f t="shared" si="174"/>
        <v>3883.6437</v>
      </c>
    </row>
    <row r="455" spans="1:42">
      <c r="A455" t="s">
        <v>1170</v>
      </c>
      <c r="B455" s="7">
        <v>45070</v>
      </c>
      <c r="C455" s="7">
        <v>45098</v>
      </c>
      <c r="D455" t="s">
        <v>213</v>
      </c>
      <c r="E455" t="s">
        <v>283</v>
      </c>
      <c r="F455" t="s">
        <v>487</v>
      </c>
      <c r="G455" t="s">
        <v>223</v>
      </c>
      <c r="H455" t="s">
        <v>201</v>
      </c>
      <c r="I455" t="s">
        <v>202</v>
      </c>
      <c r="J455" t="s">
        <v>225</v>
      </c>
      <c r="K455" t="s">
        <v>1171</v>
      </c>
      <c r="L455" s="10">
        <v>813.97</v>
      </c>
      <c r="M455" s="10">
        <v>1568.83</v>
      </c>
      <c r="N455" s="17">
        <v>0.017</v>
      </c>
      <c r="O455">
        <v>15</v>
      </c>
      <c r="P455" t="str">
        <f t="shared" si="155"/>
        <v>Valid</v>
      </c>
      <c r="Q455" s="10">
        <f t="shared" si="156"/>
        <v>1568.83</v>
      </c>
      <c r="R455" t="b">
        <f t="shared" si="157"/>
        <v>0</v>
      </c>
      <c r="S455" s="17">
        <f t="shared" si="158"/>
        <v>0.017</v>
      </c>
      <c r="T455">
        <f t="shared" si="159"/>
        <v>28</v>
      </c>
      <c r="U455" s="26">
        <f t="shared" si="160"/>
        <v>45098</v>
      </c>
      <c r="V455">
        <f t="shared" si="161"/>
        <v>28</v>
      </c>
      <c r="W455" s="10">
        <f t="shared" si="162"/>
        <v>2352844.94835</v>
      </c>
      <c r="X455" s="10">
        <f t="shared" si="163"/>
        <v>23532.45</v>
      </c>
      <c r="Y455" s="10">
        <f t="shared" si="164"/>
        <v>2329312.49835</v>
      </c>
      <c r="Z455" s="14">
        <f t="shared" si="168"/>
        <v>0.989998299710951</v>
      </c>
      <c r="AA455" t="s">
        <v>1574</v>
      </c>
      <c r="AB455" t="str">
        <f t="shared" si="165"/>
        <v>Q2-2023</v>
      </c>
      <c r="AC455" t="str">
        <f t="shared" si="166"/>
        <v>Americas → USA → Austin</v>
      </c>
      <c r="AD455" t="str">
        <f t="shared" si="167"/>
        <v>Peripherals</v>
      </c>
      <c r="AE455" s="8" t="str">
        <f t="shared" si="154"/>
        <v>Low</v>
      </c>
      <c r="AF455" t="str">
        <f t="shared" si="169"/>
        <v>USA</v>
      </c>
      <c r="AG455" s="7">
        <v>44939</v>
      </c>
      <c r="AH455" t="str">
        <f t="shared" si="170"/>
        <v>Jan-2023</v>
      </c>
      <c r="AI455" s="9">
        <f t="shared" si="171"/>
        <v>45077</v>
      </c>
      <c r="AJ455">
        <f t="shared" si="175"/>
        <v>0</v>
      </c>
      <c r="AK455">
        <f t="shared" si="172"/>
        <v>0</v>
      </c>
      <c r="AL455" s="17">
        <f>MIN(N455,'Scenario Modelling'!$B$2)</f>
        <v>0.017</v>
      </c>
      <c r="AM455" s="10">
        <f>L455*(1+'Scenario Modelling'!$B$3)</f>
        <v>936.0655</v>
      </c>
      <c r="AN455">
        <f>O455*(1+'Scenario Modelling'!$B$4)</f>
        <v>18</v>
      </c>
      <c r="AO455" s="28">
        <f t="shared" si="173"/>
        <v>27758.87802</v>
      </c>
      <c r="AP455" s="10">
        <f t="shared" si="174"/>
        <v>10909.69902</v>
      </c>
    </row>
    <row r="456" spans="1:42">
      <c r="A456" t="s">
        <v>1172</v>
      </c>
      <c r="B456" s="7">
        <v>45653</v>
      </c>
      <c r="C456" s="7">
        <v>45655</v>
      </c>
      <c r="D456" t="s">
        <v>213</v>
      </c>
      <c r="E456" t="s">
        <v>214</v>
      </c>
      <c r="F456" t="s">
        <v>340</v>
      </c>
      <c r="G456" t="s">
        <v>266</v>
      </c>
      <c r="H456" t="s">
        <v>201</v>
      </c>
      <c r="I456" t="s">
        <v>182</v>
      </c>
      <c r="J456" t="s">
        <v>242</v>
      </c>
      <c r="K456" t="s">
        <v>1173</v>
      </c>
      <c r="L456" s="10">
        <v>1146.72</v>
      </c>
      <c r="M456" s="10">
        <v>2074.34</v>
      </c>
      <c r="N456" s="17">
        <v>0.111</v>
      </c>
      <c r="O456">
        <v>8</v>
      </c>
      <c r="P456" t="str">
        <f t="shared" si="155"/>
        <v>Valid</v>
      </c>
      <c r="Q456" s="10">
        <f t="shared" si="156"/>
        <v>2074.34</v>
      </c>
      <c r="R456" t="b">
        <f t="shared" si="157"/>
        <v>0</v>
      </c>
      <c r="S456" s="17">
        <f t="shared" si="158"/>
        <v>0.111</v>
      </c>
      <c r="T456">
        <f t="shared" si="159"/>
        <v>2</v>
      </c>
      <c r="U456" s="26">
        <f t="shared" si="160"/>
        <v>45655</v>
      </c>
      <c r="V456">
        <f t="shared" si="161"/>
        <v>2</v>
      </c>
      <c r="W456" s="10">
        <f t="shared" si="162"/>
        <v>1657629.98608</v>
      </c>
      <c r="X456" s="10">
        <f t="shared" si="163"/>
        <v>16594.72</v>
      </c>
      <c r="Y456" s="10">
        <f t="shared" si="164"/>
        <v>1641035.26608</v>
      </c>
      <c r="Z456" s="14">
        <f t="shared" si="168"/>
        <v>0.989988887665308</v>
      </c>
      <c r="AA456" t="s">
        <v>1565</v>
      </c>
      <c r="AB456" t="str">
        <f t="shared" si="165"/>
        <v>Q4-2024</v>
      </c>
      <c r="AC456" t="str">
        <f t="shared" si="166"/>
        <v>Americas → Canada → Vancouver</v>
      </c>
      <c r="AD456" t="str">
        <f t="shared" si="167"/>
        <v>Support</v>
      </c>
      <c r="AE456" s="8" t="str">
        <f t="shared" si="154"/>
        <v>High</v>
      </c>
      <c r="AF456" t="str">
        <f t="shared" si="169"/>
        <v>CANADA</v>
      </c>
      <c r="AG456" s="7">
        <v>44928</v>
      </c>
      <c r="AH456" t="str">
        <f t="shared" si="170"/>
        <v>Jan-2023</v>
      </c>
      <c r="AI456" s="9">
        <f t="shared" si="171"/>
        <v>45657</v>
      </c>
      <c r="AJ456">
        <f t="shared" si="175"/>
        <v>1</v>
      </c>
      <c r="AK456">
        <f t="shared" si="172"/>
        <v>0</v>
      </c>
      <c r="AL456" s="17">
        <f>MIN(N456,'Scenario Modelling'!$B$2)</f>
        <v>0.111</v>
      </c>
      <c r="AM456" s="10">
        <f>L456*(1+'Scenario Modelling'!$B$3)</f>
        <v>1318.728</v>
      </c>
      <c r="AN456">
        <f>O456*(1+'Scenario Modelling'!$B$4)</f>
        <v>9.6</v>
      </c>
      <c r="AO456" s="28">
        <f t="shared" si="173"/>
        <v>17703.247296</v>
      </c>
      <c r="AP456" s="10">
        <f t="shared" si="174"/>
        <v>5043.458496</v>
      </c>
    </row>
    <row r="457" spans="1:42">
      <c r="A457" t="s">
        <v>1174</v>
      </c>
      <c r="B457" s="7">
        <v>45265</v>
      </c>
      <c r="C457" s="7">
        <v>45272</v>
      </c>
      <c r="D457" t="s">
        <v>213</v>
      </c>
      <c r="E457" t="s">
        <v>234</v>
      </c>
      <c r="F457" t="s">
        <v>248</v>
      </c>
      <c r="G457" t="s">
        <v>180</v>
      </c>
      <c r="H457" t="s">
        <v>259</v>
      </c>
      <c r="I457" t="s">
        <v>245</v>
      </c>
      <c r="J457" t="s">
        <v>203</v>
      </c>
      <c r="K457" t="s">
        <v>1175</v>
      </c>
      <c r="L457" s="10">
        <v>307.43</v>
      </c>
      <c r="M457" s="10">
        <v>495.19</v>
      </c>
      <c r="N457" s="17">
        <v>0</v>
      </c>
      <c r="O457">
        <v>42</v>
      </c>
      <c r="P457" t="str">
        <f t="shared" si="155"/>
        <v>Valid</v>
      </c>
      <c r="Q457" s="10">
        <f t="shared" si="156"/>
        <v>495.19</v>
      </c>
      <c r="R457" t="b">
        <f t="shared" si="157"/>
        <v>0</v>
      </c>
      <c r="S457" s="17">
        <f t="shared" si="158"/>
        <v>0</v>
      </c>
      <c r="T457">
        <f t="shared" si="159"/>
        <v>7</v>
      </c>
      <c r="U457" s="26">
        <f t="shared" si="160"/>
        <v>45272</v>
      </c>
      <c r="V457">
        <f t="shared" si="161"/>
        <v>7</v>
      </c>
      <c r="W457" s="10">
        <f t="shared" si="162"/>
        <v>2079798</v>
      </c>
      <c r="X457" s="10">
        <f t="shared" si="163"/>
        <v>20797.98</v>
      </c>
      <c r="Y457" s="10">
        <f t="shared" si="164"/>
        <v>2059000.02</v>
      </c>
      <c r="Z457" s="14">
        <f t="shared" si="168"/>
        <v>0.99</v>
      </c>
      <c r="AA457" t="s">
        <v>1587</v>
      </c>
      <c r="AB457" t="str">
        <f t="shared" si="165"/>
        <v>Q4-2023</v>
      </c>
      <c r="AC457" t="str">
        <f t="shared" si="166"/>
        <v>Americas → Brazil → Brasília</v>
      </c>
      <c r="AD457" t="str">
        <f t="shared" si="167"/>
        <v>Devices</v>
      </c>
      <c r="AE457" s="8" t="str">
        <f t="shared" si="154"/>
        <v>Medium</v>
      </c>
      <c r="AF457" t="str">
        <f t="shared" si="169"/>
        <v>BRAZIL</v>
      </c>
      <c r="AG457" s="7">
        <v>44955</v>
      </c>
      <c r="AH457" t="str">
        <f t="shared" si="170"/>
        <v>Jan-2023</v>
      </c>
      <c r="AI457" s="9">
        <f t="shared" si="171"/>
        <v>45291</v>
      </c>
      <c r="AJ457">
        <f t="shared" si="175"/>
        <v>1</v>
      </c>
      <c r="AK457">
        <f t="shared" si="172"/>
        <v>0</v>
      </c>
      <c r="AL457" s="17">
        <f>MIN(N457,'Scenario Modelling'!$B$2)</f>
        <v>0</v>
      </c>
      <c r="AM457" s="10">
        <f>L457*(1+'Scenario Modelling'!$B$3)</f>
        <v>353.5445</v>
      </c>
      <c r="AN457">
        <f>O457*(1+'Scenario Modelling'!$B$4)</f>
        <v>50.4</v>
      </c>
      <c r="AO457" s="28">
        <f t="shared" si="173"/>
        <v>24957.576</v>
      </c>
      <c r="AP457" s="10">
        <f t="shared" si="174"/>
        <v>7138.9332</v>
      </c>
    </row>
    <row r="458" spans="1:42">
      <c r="A458" t="s">
        <v>1176</v>
      </c>
      <c r="B458" s="7">
        <v>45048</v>
      </c>
      <c r="C458" s="7">
        <v>45065</v>
      </c>
      <c r="D458" t="s">
        <v>206</v>
      </c>
      <c r="E458" t="s">
        <v>277</v>
      </c>
      <c r="F458" t="s">
        <v>323</v>
      </c>
      <c r="G458" t="s">
        <v>200</v>
      </c>
      <c r="H458" t="s">
        <v>259</v>
      </c>
      <c r="I458" t="s">
        <v>190</v>
      </c>
      <c r="J458" t="s">
        <v>225</v>
      </c>
      <c r="K458" t="s">
        <v>1177</v>
      </c>
      <c r="L458" s="10">
        <v>714.28</v>
      </c>
      <c r="M458" s="10">
        <v>757.59</v>
      </c>
      <c r="N458" s="17">
        <v>0.136</v>
      </c>
      <c r="O458">
        <v>12</v>
      </c>
      <c r="P458" t="str">
        <f t="shared" si="155"/>
        <v>Valid</v>
      </c>
      <c r="Q458" s="10">
        <f t="shared" si="156"/>
        <v>757.59</v>
      </c>
      <c r="R458" t="b">
        <f t="shared" si="157"/>
        <v>0</v>
      </c>
      <c r="S458" s="17">
        <f t="shared" si="158"/>
        <v>0.136</v>
      </c>
      <c r="T458">
        <f t="shared" si="159"/>
        <v>17</v>
      </c>
      <c r="U458" s="26">
        <f t="shared" si="160"/>
        <v>45065</v>
      </c>
      <c r="V458">
        <f t="shared" si="161"/>
        <v>17</v>
      </c>
      <c r="W458" s="10">
        <f t="shared" si="162"/>
        <v>907871.61312</v>
      </c>
      <c r="X458" s="10">
        <f t="shared" si="163"/>
        <v>9091.08</v>
      </c>
      <c r="Y458" s="10">
        <f t="shared" si="164"/>
        <v>898780.53312</v>
      </c>
      <c r="Z458" s="14">
        <f t="shared" si="168"/>
        <v>0.989986381478811</v>
      </c>
      <c r="AA458" t="s">
        <v>1574</v>
      </c>
      <c r="AB458" t="str">
        <f t="shared" si="165"/>
        <v>Q2-2023</v>
      </c>
      <c r="AC458" t="str">
        <f t="shared" si="166"/>
        <v>Asia → China → Shanghai</v>
      </c>
      <c r="AD458" t="str">
        <f t="shared" si="167"/>
        <v>Peripherals</v>
      </c>
      <c r="AE458" s="8" t="str">
        <f t="shared" si="154"/>
        <v>Low</v>
      </c>
      <c r="AF458" t="str">
        <f t="shared" si="169"/>
        <v>CHINA</v>
      </c>
      <c r="AG458" s="7">
        <v>44938</v>
      </c>
      <c r="AH458" t="str">
        <f t="shared" si="170"/>
        <v>Jan-2023</v>
      </c>
      <c r="AI458" s="9">
        <f t="shared" si="171"/>
        <v>45077</v>
      </c>
      <c r="AJ458">
        <f t="shared" si="175"/>
        <v>0</v>
      </c>
      <c r="AK458">
        <f t="shared" si="172"/>
        <v>0</v>
      </c>
      <c r="AL458" s="17">
        <f>MIN(N458,'Scenario Modelling'!$B$2)</f>
        <v>0.136</v>
      </c>
      <c r="AM458" s="10">
        <f>L458*(1+'Scenario Modelling'!$B$3)</f>
        <v>821.422</v>
      </c>
      <c r="AN458">
        <f>O458*(1+'Scenario Modelling'!$B$4)</f>
        <v>14.4</v>
      </c>
      <c r="AO458" s="28">
        <f t="shared" si="173"/>
        <v>9425.631744</v>
      </c>
      <c r="AP458" s="10">
        <f t="shared" si="174"/>
        <v>-2402.845056</v>
      </c>
    </row>
    <row r="459" spans="1:42">
      <c r="A459" t="s">
        <v>1178</v>
      </c>
      <c r="B459" s="7">
        <v>45260</v>
      </c>
      <c r="C459" s="7">
        <v>45270</v>
      </c>
      <c r="D459" t="s">
        <v>239</v>
      </c>
      <c r="E459" t="s">
        <v>240</v>
      </c>
      <c r="F459" t="s">
        <v>320</v>
      </c>
      <c r="G459" t="s">
        <v>223</v>
      </c>
      <c r="H459" t="s">
        <v>259</v>
      </c>
      <c r="I459" t="s">
        <v>245</v>
      </c>
      <c r="J459" t="s">
        <v>218</v>
      </c>
      <c r="K459" t="s">
        <v>1179</v>
      </c>
      <c r="L459" s="10">
        <v>174.74</v>
      </c>
      <c r="M459" s="10">
        <v>415.96</v>
      </c>
      <c r="N459" s="17">
        <v>0.125</v>
      </c>
      <c r="O459">
        <v>21</v>
      </c>
      <c r="P459" t="str">
        <f t="shared" si="155"/>
        <v>Valid</v>
      </c>
      <c r="Q459" s="10">
        <f t="shared" si="156"/>
        <v>415.96</v>
      </c>
      <c r="R459" t="b">
        <f t="shared" si="157"/>
        <v>0</v>
      </c>
      <c r="S459" s="17">
        <f t="shared" si="158"/>
        <v>0.125</v>
      </c>
      <c r="T459">
        <f t="shared" si="159"/>
        <v>10</v>
      </c>
      <c r="U459" s="26">
        <f t="shared" si="160"/>
        <v>45270</v>
      </c>
      <c r="V459">
        <f t="shared" si="161"/>
        <v>10</v>
      </c>
      <c r="W459" s="10">
        <f t="shared" si="162"/>
        <v>872424.105</v>
      </c>
      <c r="X459" s="10">
        <f t="shared" si="163"/>
        <v>8735.16</v>
      </c>
      <c r="Y459" s="10">
        <f t="shared" si="164"/>
        <v>863688.945</v>
      </c>
      <c r="Z459" s="14">
        <f t="shared" si="168"/>
        <v>0.989987484355444</v>
      </c>
      <c r="AA459" t="s">
        <v>1593</v>
      </c>
      <c r="AB459" t="str">
        <f t="shared" si="165"/>
        <v>Q4-2023</v>
      </c>
      <c r="AC459" t="str">
        <f t="shared" si="166"/>
        <v>Europe → Germany → Munich</v>
      </c>
      <c r="AD459" t="str">
        <f t="shared" si="167"/>
        <v>Devices</v>
      </c>
      <c r="AE459" s="8" t="str">
        <f t="shared" si="154"/>
        <v>Low</v>
      </c>
      <c r="AF459" t="str">
        <f t="shared" si="169"/>
        <v>GERMANY</v>
      </c>
      <c r="AG459" s="7">
        <v>44948</v>
      </c>
      <c r="AH459" t="str">
        <f t="shared" si="170"/>
        <v>Jan-2023</v>
      </c>
      <c r="AI459" s="9">
        <f t="shared" si="171"/>
        <v>45260</v>
      </c>
      <c r="AJ459">
        <f t="shared" si="175"/>
        <v>0</v>
      </c>
      <c r="AK459">
        <f t="shared" si="172"/>
        <v>0</v>
      </c>
      <c r="AL459" s="17">
        <f>MIN(N459,'Scenario Modelling'!$B$2)</f>
        <v>0.125</v>
      </c>
      <c r="AM459" s="10">
        <f>L459*(1+'Scenario Modelling'!$B$3)</f>
        <v>200.951</v>
      </c>
      <c r="AN459">
        <f>O459*(1+'Scenario Modelling'!$B$4)</f>
        <v>25.2</v>
      </c>
      <c r="AO459" s="28">
        <f t="shared" si="173"/>
        <v>9171.918</v>
      </c>
      <c r="AP459" s="10">
        <f t="shared" si="174"/>
        <v>4107.9528</v>
      </c>
    </row>
    <row r="460" spans="1:42">
      <c r="A460" t="s">
        <v>1180</v>
      </c>
      <c r="B460" s="7">
        <v>45417</v>
      </c>
      <c r="C460" s="7">
        <v>45430</v>
      </c>
      <c r="D460" t="s">
        <v>239</v>
      </c>
      <c r="E460" t="s">
        <v>251</v>
      </c>
      <c r="F460" t="s">
        <v>252</v>
      </c>
      <c r="G460" t="s">
        <v>180</v>
      </c>
      <c r="H460" t="s">
        <v>201</v>
      </c>
      <c r="I460" t="s">
        <v>236</v>
      </c>
      <c r="J460" t="s">
        <v>183</v>
      </c>
      <c r="K460" t="s">
        <v>1181</v>
      </c>
      <c r="L460" s="10">
        <v>1264.04</v>
      </c>
      <c r="M460" s="10">
        <v>1870.89</v>
      </c>
      <c r="N460" s="17">
        <v>0</v>
      </c>
      <c r="O460">
        <v>13</v>
      </c>
      <c r="P460" t="str">
        <f t="shared" si="155"/>
        <v>Valid</v>
      </c>
      <c r="Q460" s="10">
        <f t="shared" si="156"/>
        <v>1870.89</v>
      </c>
      <c r="R460" t="b">
        <f t="shared" si="157"/>
        <v>0</v>
      </c>
      <c r="S460" s="17">
        <f t="shared" si="158"/>
        <v>0</v>
      </c>
      <c r="T460">
        <f t="shared" si="159"/>
        <v>13</v>
      </c>
      <c r="U460" s="26">
        <f t="shared" si="160"/>
        <v>45430</v>
      </c>
      <c r="V460">
        <f t="shared" si="161"/>
        <v>13</v>
      </c>
      <c r="W460" s="10">
        <f t="shared" si="162"/>
        <v>2432157</v>
      </c>
      <c r="X460" s="10">
        <f t="shared" si="163"/>
        <v>24321.57</v>
      </c>
      <c r="Y460" s="10">
        <f t="shared" si="164"/>
        <v>2407835.43</v>
      </c>
      <c r="Z460" s="14">
        <f t="shared" si="168"/>
        <v>0.99</v>
      </c>
      <c r="AA460" t="s">
        <v>1566</v>
      </c>
      <c r="AB460" t="str">
        <f t="shared" si="165"/>
        <v>Q2-2024</v>
      </c>
      <c r="AC460" t="str">
        <f t="shared" si="166"/>
        <v>Europe → France → Marseille</v>
      </c>
      <c r="AD460" t="str">
        <f t="shared" si="167"/>
        <v>Support</v>
      </c>
      <c r="AE460" s="8" t="str">
        <f t="shared" si="154"/>
        <v>Medium</v>
      </c>
      <c r="AF460" t="str">
        <f t="shared" si="169"/>
        <v>FRANCE</v>
      </c>
      <c r="AG460" s="7">
        <v>44936</v>
      </c>
      <c r="AH460" t="str">
        <f t="shared" si="170"/>
        <v>Jan-2023</v>
      </c>
      <c r="AI460" s="9">
        <f t="shared" si="171"/>
        <v>45443</v>
      </c>
      <c r="AJ460">
        <f t="shared" si="175"/>
        <v>0</v>
      </c>
      <c r="AK460">
        <f t="shared" si="172"/>
        <v>0</v>
      </c>
      <c r="AL460" s="17">
        <f>MIN(N460,'Scenario Modelling'!$B$2)</f>
        <v>0</v>
      </c>
      <c r="AM460" s="10">
        <f>L460*(1+'Scenario Modelling'!$B$3)</f>
        <v>1453.646</v>
      </c>
      <c r="AN460">
        <f>O460*(1+'Scenario Modelling'!$B$4)</f>
        <v>15.6</v>
      </c>
      <c r="AO460" s="28">
        <f t="shared" si="173"/>
        <v>29185.884</v>
      </c>
      <c r="AP460" s="10">
        <f t="shared" si="174"/>
        <v>6509.0064</v>
      </c>
    </row>
    <row r="461" spans="1:42">
      <c r="A461" t="s">
        <v>1182</v>
      </c>
      <c r="B461" s="7">
        <v>45116</v>
      </c>
      <c r="C461" s="7">
        <v>45126</v>
      </c>
      <c r="D461" t="s">
        <v>206</v>
      </c>
      <c r="E461" t="s">
        <v>207</v>
      </c>
      <c r="F461" t="s">
        <v>375</v>
      </c>
      <c r="G461" t="s">
        <v>266</v>
      </c>
      <c r="H461" t="s">
        <v>216</v>
      </c>
      <c r="I461" t="s">
        <v>287</v>
      </c>
      <c r="J461" t="s">
        <v>183</v>
      </c>
      <c r="K461" t="s">
        <v>1183</v>
      </c>
      <c r="L461" s="10">
        <v>141.26</v>
      </c>
      <c r="M461" s="10">
        <v>206.88</v>
      </c>
      <c r="N461" s="17">
        <v>0.107</v>
      </c>
      <c r="O461">
        <v>9</v>
      </c>
      <c r="P461" t="str">
        <f t="shared" si="155"/>
        <v>Valid</v>
      </c>
      <c r="Q461" s="10">
        <f t="shared" si="156"/>
        <v>206.88</v>
      </c>
      <c r="R461" t="b">
        <f t="shared" si="157"/>
        <v>0</v>
      </c>
      <c r="S461" s="17">
        <f t="shared" si="158"/>
        <v>0.107</v>
      </c>
      <c r="T461">
        <f t="shared" si="159"/>
        <v>10</v>
      </c>
      <c r="U461" s="26">
        <f t="shared" si="160"/>
        <v>45126</v>
      </c>
      <c r="V461">
        <f t="shared" si="161"/>
        <v>10</v>
      </c>
      <c r="W461" s="10">
        <f t="shared" si="162"/>
        <v>185992.77456</v>
      </c>
      <c r="X461" s="10">
        <f t="shared" si="163"/>
        <v>1861.92</v>
      </c>
      <c r="Y461" s="10">
        <f t="shared" si="164"/>
        <v>184130.85456</v>
      </c>
      <c r="Z461" s="14">
        <f t="shared" si="168"/>
        <v>0.989989288538736</v>
      </c>
      <c r="AA461" t="s">
        <v>1584</v>
      </c>
      <c r="AB461" t="str">
        <f t="shared" si="165"/>
        <v>Q3-2023</v>
      </c>
      <c r="AC461" t="str">
        <f t="shared" si="166"/>
        <v>Asia → Japan → Tokyo</v>
      </c>
      <c r="AD461" t="str">
        <f t="shared" si="167"/>
        <v>Support</v>
      </c>
      <c r="AE461" s="8" t="str">
        <f t="shared" si="154"/>
        <v>Low</v>
      </c>
      <c r="AF461" t="str">
        <f t="shared" si="169"/>
        <v>JAPAN</v>
      </c>
      <c r="AG461" s="7">
        <v>44988</v>
      </c>
      <c r="AH461" t="str">
        <f t="shared" si="170"/>
        <v>Mar-2023</v>
      </c>
      <c r="AI461" s="9">
        <f t="shared" si="171"/>
        <v>45138</v>
      </c>
      <c r="AJ461">
        <f t="shared" si="175"/>
        <v>0</v>
      </c>
      <c r="AK461">
        <f t="shared" si="172"/>
        <v>0</v>
      </c>
      <c r="AL461" s="17">
        <f>MIN(N461,'Scenario Modelling'!$B$2)</f>
        <v>0.107</v>
      </c>
      <c r="AM461" s="10">
        <f>L461*(1+'Scenario Modelling'!$B$3)</f>
        <v>162.449</v>
      </c>
      <c r="AN461">
        <f>O461*(1+'Scenario Modelling'!$B$4)</f>
        <v>10.8</v>
      </c>
      <c r="AO461" s="28">
        <f t="shared" si="173"/>
        <v>1995.233472</v>
      </c>
      <c r="AP461" s="10">
        <f t="shared" si="174"/>
        <v>240.784272</v>
      </c>
    </row>
    <row r="462" spans="1:42">
      <c r="A462" t="s">
        <v>1184</v>
      </c>
      <c r="B462" s="7">
        <v>45063</v>
      </c>
      <c r="C462" s="7">
        <v>45092</v>
      </c>
      <c r="D462" t="s">
        <v>177</v>
      </c>
      <c r="E462" t="s">
        <v>309</v>
      </c>
      <c r="F462" t="s">
        <v>333</v>
      </c>
      <c r="G462" t="s">
        <v>266</v>
      </c>
      <c r="H462" t="s">
        <v>181</v>
      </c>
      <c r="I462" t="s">
        <v>256</v>
      </c>
      <c r="J462" t="s">
        <v>242</v>
      </c>
      <c r="K462" t="s">
        <v>1185</v>
      </c>
      <c r="L462" s="10">
        <v>40.89</v>
      </c>
      <c r="M462" s="10">
        <v>62.82</v>
      </c>
      <c r="N462" s="17">
        <v>0.129</v>
      </c>
      <c r="O462">
        <v>17</v>
      </c>
      <c r="P462" t="str">
        <f t="shared" si="155"/>
        <v>Valid</v>
      </c>
      <c r="Q462" s="10">
        <f t="shared" si="156"/>
        <v>62.82</v>
      </c>
      <c r="R462" t="b">
        <f t="shared" si="157"/>
        <v>0</v>
      </c>
      <c r="S462" s="17">
        <f t="shared" si="158"/>
        <v>0.129</v>
      </c>
      <c r="T462">
        <f t="shared" si="159"/>
        <v>29</v>
      </c>
      <c r="U462" s="26">
        <f t="shared" si="160"/>
        <v>45092</v>
      </c>
      <c r="V462">
        <f t="shared" si="161"/>
        <v>29</v>
      </c>
      <c r="W462" s="10">
        <f t="shared" si="162"/>
        <v>106656.23574</v>
      </c>
      <c r="X462" s="10">
        <f t="shared" si="163"/>
        <v>1067.94</v>
      </c>
      <c r="Y462" s="10">
        <f t="shared" si="164"/>
        <v>105588.29574</v>
      </c>
      <c r="Z462" s="14">
        <f t="shared" si="168"/>
        <v>0.989987083337505</v>
      </c>
      <c r="AA462" t="s">
        <v>1574</v>
      </c>
      <c r="AB462" t="str">
        <f t="shared" si="165"/>
        <v>Q2-2023</v>
      </c>
      <c r="AC462" t="str">
        <f t="shared" si="166"/>
        <v>Africa → South Africa → Durban</v>
      </c>
      <c r="AD462" t="str">
        <f t="shared" si="167"/>
        <v>Support</v>
      </c>
      <c r="AE462" s="8" t="str">
        <f t="shared" si="154"/>
        <v>Low</v>
      </c>
      <c r="AF462" t="str">
        <f t="shared" si="169"/>
        <v>SOUTH AFRICA</v>
      </c>
      <c r="AG462" s="7">
        <v>44933</v>
      </c>
      <c r="AH462" t="str">
        <f t="shared" si="170"/>
        <v>Jan-2023</v>
      </c>
      <c r="AI462" s="9">
        <f t="shared" si="171"/>
        <v>45077</v>
      </c>
      <c r="AJ462">
        <f t="shared" si="175"/>
        <v>0</v>
      </c>
      <c r="AK462">
        <f t="shared" si="172"/>
        <v>0</v>
      </c>
      <c r="AL462" s="17">
        <f>MIN(N462,'Scenario Modelling'!$B$2)</f>
        <v>0.129</v>
      </c>
      <c r="AM462" s="10">
        <f>L462*(1+'Scenario Modelling'!$B$3)</f>
        <v>47.0235</v>
      </c>
      <c r="AN462">
        <f>O462*(1+'Scenario Modelling'!$B$4)</f>
        <v>20.4</v>
      </c>
      <c r="AO462" s="28">
        <f t="shared" si="173"/>
        <v>1116.210888</v>
      </c>
      <c r="AP462" s="10">
        <f t="shared" si="174"/>
        <v>156.931488</v>
      </c>
    </row>
    <row r="463" spans="1:42">
      <c r="A463" t="s">
        <v>1186</v>
      </c>
      <c r="B463" s="7">
        <v>45358</v>
      </c>
      <c r="C463" s="7">
        <v>45385</v>
      </c>
      <c r="D463" t="s">
        <v>239</v>
      </c>
      <c r="E463" t="s">
        <v>240</v>
      </c>
      <c r="F463" t="s">
        <v>496</v>
      </c>
      <c r="G463" t="s">
        <v>180</v>
      </c>
      <c r="H463" t="s">
        <v>259</v>
      </c>
      <c r="I463" t="s">
        <v>271</v>
      </c>
      <c r="J463" t="s">
        <v>191</v>
      </c>
      <c r="K463" t="s">
        <v>1187</v>
      </c>
      <c r="L463" s="10">
        <v>738.16</v>
      </c>
      <c r="M463" s="10">
        <v>956.49</v>
      </c>
      <c r="N463" s="17">
        <v>0.152</v>
      </c>
      <c r="O463">
        <v>5</v>
      </c>
      <c r="P463" t="str">
        <f t="shared" si="155"/>
        <v>Valid</v>
      </c>
      <c r="Q463" s="10">
        <f t="shared" si="156"/>
        <v>956.49</v>
      </c>
      <c r="R463" t="b">
        <f t="shared" si="157"/>
        <v>0</v>
      </c>
      <c r="S463" s="17">
        <f t="shared" si="158"/>
        <v>0.152</v>
      </c>
      <c r="T463">
        <f t="shared" si="159"/>
        <v>27</v>
      </c>
      <c r="U463" s="26">
        <f t="shared" si="160"/>
        <v>45385</v>
      </c>
      <c r="V463">
        <f t="shared" si="161"/>
        <v>27</v>
      </c>
      <c r="W463" s="10">
        <f t="shared" si="162"/>
        <v>477518.0676</v>
      </c>
      <c r="X463" s="10">
        <f t="shared" si="163"/>
        <v>4782.45</v>
      </c>
      <c r="Y463" s="10">
        <f t="shared" si="164"/>
        <v>472735.6176</v>
      </c>
      <c r="Z463" s="14">
        <f t="shared" si="168"/>
        <v>0.989984776860828</v>
      </c>
      <c r="AA463" t="s">
        <v>1560</v>
      </c>
      <c r="AB463" t="str">
        <f t="shared" si="165"/>
        <v>Q1-2024</v>
      </c>
      <c r="AC463" t="str">
        <f t="shared" si="166"/>
        <v>Europe → Germany → Frankfurt</v>
      </c>
      <c r="AD463" t="str">
        <f t="shared" si="167"/>
        <v>Peripherals</v>
      </c>
      <c r="AE463" s="8" t="str">
        <f t="shared" si="154"/>
        <v>Medium</v>
      </c>
      <c r="AF463" t="str">
        <f t="shared" si="169"/>
        <v>GERMANY</v>
      </c>
      <c r="AG463" s="7">
        <v>44948</v>
      </c>
      <c r="AH463" t="str">
        <f t="shared" si="170"/>
        <v>Jan-2023</v>
      </c>
      <c r="AI463" s="9">
        <f t="shared" si="171"/>
        <v>45382</v>
      </c>
      <c r="AJ463">
        <f t="shared" si="175"/>
        <v>0</v>
      </c>
      <c r="AK463">
        <f t="shared" si="172"/>
        <v>0</v>
      </c>
      <c r="AL463" s="17">
        <f>MIN(N463,'Scenario Modelling'!$B$2)</f>
        <v>0.152</v>
      </c>
      <c r="AM463" s="10">
        <f>L463*(1+'Scenario Modelling'!$B$3)</f>
        <v>848.884</v>
      </c>
      <c r="AN463">
        <f>O463*(1+'Scenario Modelling'!$B$4)</f>
        <v>6</v>
      </c>
      <c r="AO463" s="28">
        <f t="shared" si="173"/>
        <v>4866.62112</v>
      </c>
      <c r="AP463" s="10">
        <f t="shared" si="174"/>
        <v>-226.682879999999</v>
      </c>
    </row>
    <row r="464" spans="1:42">
      <c r="A464" t="s">
        <v>1188</v>
      </c>
      <c r="B464" s="7">
        <v>45757</v>
      </c>
      <c r="C464" s="7">
        <v>45766</v>
      </c>
      <c r="D464" t="s">
        <v>177</v>
      </c>
      <c r="E464" t="s">
        <v>309</v>
      </c>
      <c r="F464" t="s">
        <v>333</v>
      </c>
      <c r="G464" t="s">
        <v>266</v>
      </c>
      <c r="H464" t="s">
        <v>1579</v>
      </c>
      <c r="I464" t="s">
        <v>202</v>
      </c>
      <c r="J464" t="s">
        <v>196</v>
      </c>
      <c r="K464" t="s">
        <v>1189</v>
      </c>
      <c r="L464" s="10">
        <v>113.74</v>
      </c>
      <c r="M464" s="10">
        <v>165.7</v>
      </c>
      <c r="N464" s="17">
        <v>0.124</v>
      </c>
      <c r="O464">
        <v>13</v>
      </c>
      <c r="P464" t="str">
        <f t="shared" si="155"/>
        <v>Valid</v>
      </c>
      <c r="Q464" s="10">
        <f t="shared" si="156"/>
        <v>165.7</v>
      </c>
      <c r="R464" t="b">
        <f t="shared" si="157"/>
        <v>0</v>
      </c>
      <c r="S464" s="17">
        <f t="shared" si="158"/>
        <v>0.124</v>
      </c>
      <c r="T464">
        <f t="shared" si="159"/>
        <v>9</v>
      </c>
      <c r="U464" s="26">
        <f t="shared" si="160"/>
        <v>45766</v>
      </c>
      <c r="V464">
        <f t="shared" si="161"/>
        <v>9</v>
      </c>
      <c r="W464" s="10">
        <f t="shared" si="162"/>
        <v>215142.8916</v>
      </c>
      <c r="X464" s="10">
        <f t="shared" si="163"/>
        <v>2154.1</v>
      </c>
      <c r="Y464" s="10">
        <f t="shared" si="164"/>
        <v>212988.7916</v>
      </c>
      <c r="Z464" s="14">
        <f t="shared" si="168"/>
        <v>0.98998758460491</v>
      </c>
      <c r="AA464" t="s">
        <v>1578</v>
      </c>
      <c r="AB464" t="str">
        <f t="shared" si="165"/>
        <v>Q2-2025</v>
      </c>
      <c r="AC464" t="str">
        <f t="shared" si="166"/>
        <v>Africa → South Africa → Durban</v>
      </c>
      <c r="AD464" t="str">
        <f t="shared" si="167"/>
        <v>Support</v>
      </c>
      <c r="AE464" s="8" t="str">
        <f t="shared" si="154"/>
        <v>High</v>
      </c>
      <c r="AF464" t="str">
        <f t="shared" si="169"/>
        <v>SOUTH AFRICA</v>
      </c>
      <c r="AG464" s="7">
        <v>44933</v>
      </c>
      <c r="AH464" t="str">
        <f t="shared" si="170"/>
        <v>Jan-2023</v>
      </c>
      <c r="AI464" s="9">
        <f t="shared" si="171"/>
        <v>45777</v>
      </c>
      <c r="AJ464">
        <f t="shared" si="175"/>
        <v>0</v>
      </c>
      <c r="AK464">
        <f t="shared" si="172"/>
        <v>0</v>
      </c>
      <c r="AL464" s="17">
        <f>MIN(N464,'Scenario Modelling'!$B$2)</f>
        <v>0.124</v>
      </c>
      <c r="AM464" s="10">
        <f>L464*(1+'Scenario Modelling'!$B$3)</f>
        <v>130.801</v>
      </c>
      <c r="AN464">
        <f>O464*(1+'Scenario Modelling'!$B$4)</f>
        <v>15.6</v>
      </c>
      <c r="AO464" s="28">
        <f t="shared" si="173"/>
        <v>2264.38992</v>
      </c>
      <c r="AP464" s="10">
        <f t="shared" si="174"/>
        <v>223.89432</v>
      </c>
    </row>
    <row r="465" spans="1:42">
      <c r="A465" t="s">
        <v>1190</v>
      </c>
      <c r="B465" s="7">
        <v>45865</v>
      </c>
      <c r="C465" s="7">
        <v>45884</v>
      </c>
      <c r="D465" t="s">
        <v>206</v>
      </c>
      <c r="E465" t="s">
        <v>207</v>
      </c>
      <c r="F465" t="s">
        <v>375</v>
      </c>
      <c r="G465" t="s">
        <v>223</v>
      </c>
      <c r="H465" t="s">
        <v>201</v>
      </c>
      <c r="I465" t="s">
        <v>190</v>
      </c>
      <c r="J465" t="s">
        <v>183</v>
      </c>
      <c r="K465" t="s">
        <v>1191</v>
      </c>
      <c r="L465" s="10">
        <v>275.43</v>
      </c>
      <c r="M465" s="10">
        <v>608.36</v>
      </c>
      <c r="N465" s="17">
        <v>0.257</v>
      </c>
      <c r="O465">
        <v>4</v>
      </c>
      <c r="P465" t="str">
        <f t="shared" si="155"/>
        <v>Valid</v>
      </c>
      <c r="Q465" s="10">
        <f t="shared" si="156"/>
        <v>608.36</v>
      </c>
      <c r="R465" t="b">
        <f t="shared" si="157"/>
        <v>0</v>
      </c>
      <c r="S465" s="17">
        <f t="shared" si="158"/>
        <v>0.257</v>
      </c>
      <c r="T465">
        <f t="shared" si="159"/>
        <v>19</v>
      </c>
      <c r="U465" s="26">
        <f t="shared" si="160"/>
        <v>45884</v>
      </c>
      <c r="V465">
        <f t="shared" si="161"/>
        <v>19</v>
      </c>
      <c r="W465" s="10">
        <f t="shared" si="162"/>
        <v>242718.60592</v>
      </c>
      <c r="X465" s="10">
        <f t="shared" si="163"/>
        <v>2433.44</v>
      </c>
      <c r="Y465" s="10">
        <f t="shared" si="164"/>
        <v>240285.16592</v>
      </c>
      <c r="Z465" s="14">
        <f t="shared" si="168"/>
        <v>0.989974233780817</v>
      </c>
      <c r="AA465" t="s">
        <v>1572</v>
      </c>
      <c r="AB465" t="str">
        <f t="shared" si="165"/>
        <v>Q3-2025</v>
      </c>
      <c r="AC465" t="str">
        <f t="shared" si="166"/>
        <v>Asia → Japan → Tokyo</v>
      </c>
      <c r="AD465" t="str">
        <f t="shared" si="167"/>
        <v>Support</v>
      </c>
      <c r="AE465" s="8" t="str">
        <f t="shared" si="154"/>
        <v>High</v>
      </c>
      <c r="AF465" t="str">
        <f t="shared" si="169"/>
        <v>JAPAN</v>
      </c>
      <c r="AG465" s="7">
        <v>44988</v>
      </c>
      <c r="AH465" t="str">
        <f t="shared" si="170"/>
        <v>Mar-2023</v>
      </c>
      <c r="AI465" s="9">
        <f t="shared" si="171"/>
        <v>45869</v>
      </c>
      <c r="AJ465">
        <f t="shared" si="175"/>
        <v>0</v>
      </c>
      <c r="AK465">
        <f t="shared" si="172"/>
        <v>1</v>
      </c>
      <c r="AL465" s="17">
        <f>MIN(N465,'Scenario Modelling'!$B$2)</f>
        <v>0.25</v>
      </c>
      <c r="AM465" s="10">
        <f>L465*(1+'Scenario Modelling'!$B$3)</f>
        <v>316.7445</v>
      </c>
      <c r="AN465">
        <f>O465*(1+'Scenario Modelling'!$B$4)</f>
        <v>4.8</v>
      </c>
      <c r="AO465" s="28">
        <f t="shared" si="173"/>
        <v>2190.096</v>
      </c>
      <c r="AP465" s="10">
        <f t="shared" si="174"/>
        <v>669.7224</v>
      </c>
    </row>
    <row r="466" spans="1:42">
      <c r="A466" t="s">
        <v>1192</v>
      </c>
      <c r="B466" s="7">
        <v>45618</v>
      </c>
      <c r="C466" s="7">
        <v>45641</v>
      </c>
      <c r="D466" t="s">
        <v>177</v>
      </c>
      <c r="E466" t="s">
        <v>178</v>
      </c>
      <c r="F466" t="s">
        <v>274</v>
      </c>
      <c r="G466" t="s">
        <v>200</v>
      </c>
      <c r="H466" t="s">
        <v>216</v>
      </c>
      <c r="I466" t="s">
        <v>182</v>
      </c>
      <c r="J466" t="s">
        <v>183</v>
      </c>
      <c r="K466" t="s">
        <v>1193</v>
      </c>
      <c r="L466" s="10">
        <v>1335.76</v>
      </c>
      <c r="M466" s="10">
        <v>2665.91</v>
      </c>
      <c r="N466" s="17">
        <v>0.211</v>
      </c>
      <c r="O466">
        <v>40</v>
      </c>
      <c r="P466" t="str">
        <f t="shared" si="155"/>
        <v>Valid</v>
      </c>
      <c r="Q466" s="10">
        <f t="shared" si="156"/>
        <v>2665.91</v>
      </c>
      <c r="R466" t="b">
        <f t="shared" si="157"/>
        <v>0</v>
      </c>
      <c r="S466" s="17">
        <f t="shared" si="158"/>
        <v>0.211</v>
      </c>
      <c r="T466">
        <f t="shared" si="159"/>
        <v>23</v>
      </c>
      <c r="U466" s="26">
        <f t="shared" si="160"/>
        <v>45641</v>
      </c>
      <c r="V466">
        <f t="shared" si="161"/>
        <v>23</v>
      </c>
      <c r="W466" s="10">
        <f t="shared" si="162"/>
        <v>10641139.7196</v>
      </c>
      <c r="X466" s="10">
        <f t="shared" si="163"/>
        <v>106636.4</v>
      </c>
      <c r="Y466" s="10">
        <f t="shared" si="164"/>
        <v>10534503.3196</v>
      </c>
      <c r="Z466" s="14">
        <f t="shared" si="168"/>
        <v>0.989978855384862</v>
      </c>
      <c r="AA466" t="s">
        <v>1577</v>
      </c>
      <c r="AB466" t="str">
        <f t="shared" si="165"/>
        <v>Q4-2024</v>
      </c>
      <c r="AC466" t="str">
        <f t="shared" si="166"/>
        <v>Africa → Kenya → Mombasa</v>
      </c>
      <c r="AD466" t="str">
        <f t="shared" si="167"/>
        <v>Support</v>
      </c>
      <c r="AE466" s="8" t="str">
        <f t="shared" si="154"/>
        <v>High</v>
      </c>
      <c r="AF466" t="str">
        <f t="shared" si="169"/>
        <v>KENYA</v>
      </c>
      <c r="AG466" s="7">
        <v>44946</v>
      </c>
      <c r="AH466" t="str">
        <f t="shared" si="170"/>
        <v>Jan-2023</v>
      </c>
      <c r="AI466" s="9">
        <f t="shared" si="171"/>
        <v>45626</v>
      </c>
      <c r="AJ466">
        <f t="shared" si="175"/>
        <v>0</v>
      </c>
      <c r="AK466">
        <f t="shared" si="172"/>
        <v>1</v>
      </c>
      <c r="AL466" s="17">
        <f>MIN(N466,'Scenario Modelling'!$B$2)</f>
        <v>0.211</v>
      </c>
      <c r="AM466" s="10">
        <f>L466*(1+'Scenario Modelling'!$B$3)</f>
        <v>1536.124</v>
      </c>
      <c r="AN466">
        <f>O466*(1+'Scenario Modelling'!$B$4)</f>
        <v>48</v>
      </c>
      <c r="AO466" s="28">
        <f t="shared" si="173"/>
        <v>100963.34352</v>
      </c>
      <c r="AP466" s="10">
        <f t="shared" si="174"/>
        <v>27229.39152</v>
      </c>
    </row>
    <row r="467" spans="1:42">
      <c r="A467" t="s">
        <v>1194</v>
      </c>
      <c r="B467" s="7">
        <v>45466</v>
      </c>
      <c r="C467" s="7">
        <v>45471</v>
      </c>
      <c r="D467" t="s">
        <v>177</v>
      </c>
      <c r="E467" t="s">
        <v>186</v>
      </c>
      <c r="F467" t="s">
        <v>187</v>
      </c>
      <c r="G467" t="s">
        <v>200</v>
      </c>
      <c r="H467" t="s">
        <v>259</v>
      </c>
      <c r="I467" t="s">
        <v>271</v>
      </c>
      <c r="J467" t="s">
        <v>242</v>
      </c>
      <c r="K467" t="s">
        <v>1195</v>
      </c>
      <c r="L467" s="10">
        <v>242.31</v>
      </c>
      <c r="M467" s="10">
        <v>587.95</v>
      </c>
      <c r="N467" s="17">
        <v>0.229</v>
      </c>
      <c r="O467">
        <v>6</v>
      </c>
      <c r="P467" t="str">
        <f t="shared" si="155"/>
        <v>Valid</v>
      </c>
      <c r="Q467" s="10">
        <f t="shared" si="156"/>
        <v>587.95</v>
      </c>
      <c r="R467" t="b">
        <f t="shared" si="157"/>
        <v>0</v>
      </c>
      <c r="S467" s="17">
        <f t="shared" si="158"/>
        <v>0.229</v>
      </c>
      <c r="T467">
        <f t="shared" si="159"/>
        <v>5</v>
      </c>
      <c r="U467" s="26">
        <f t="shared" si="160"/>
        <v>45471</v>
      </c>
      <c r="V467">
        <f t="shared" si="161"/>
        <v>5</v>
      </c>
      <c r="W467" s="10">
        <f t="shared" si="162"/>
        <v>351962.1567</v>
      </c>
      <c r="X467" s="10">
        <f t="shared" si="163"/>
        <v>3527.7</v>
      </c>
      <c r="Y467" s="10">
        <f t="shared" si="164"/>
        <v>348434.4567</v>
      </c>
      <c r="Z467" s="14">
        <f t="shared" si="168"/>
        <v>0.989977047438634</v>
      </c>
      <c r="AA467" t="s">
        <v>1576</v>
      </c>
      <c r="AB467" t="str">
        <f t="shared" si="165"/>
        <v>Q2-2024</v>
      </c>
      <c r="AC467" t="str">
        <f t="shared" si="166"/>
        <v>Africa → Nigeria → Port Harcourt</v>
      </c>
      <c r="AD467" t="str">
        <f t="shared" si="167"/>
        <v>Support</v>
      </c>
      <c r="AE467" s="8" t="str">
        <f t="shared" si="154"/>
        <v>Medium</v>
      </c>
      <c r="AF467" t="str">
        <f t="shared" si="169"/>
        <v>NIGERIA</v>
      </c>
      <c r="AG467" s="7">
        <v>44941</v>
      </c>
      <c r="AH467" t="str">
        <f t="shared" si="170"/>
        <v>Jan-2023</v>
      </c>
      <c r="AI467" s="9">
        <f t="shared" si="171"/>
        <v>45473</v>
      </c>
      <c r="AJ467">
        <f t="shared" si="175"/>
        <v>1</v>
      </c>
      <c r="AK467">
        <f t="shared" si="172"/>
        <v>1</v>
      </c>
      <c r="AL467" s="17">
        <f>MIN(N467,'Scenario Modelling'!$B$2)</f>
        <v>0.229</v>
      </c>
      <c r="AM467" s="10">
        <f>L467*(1+'Scenario Modelling'!$B$3)</f>
        <v>278.6565</v>
      </c>
      <c r="AN467">
        <f>O467*(1+'Scenario Modelling'!$B$4)</f>
        <v>7.2</v>
      </c>
      <c r="AO467" s="28">
        <f t="shared" si="173"/>
        <v>3263.82804</v>
      </c>
      <c r="AP467" s="10">
        <f t="shared" si="174"/>
        <v>1257.50124</v>
      </c>
    </row>
    <row r="468" spans="1:42">
      <c r="A468" t="s">
        <v>1196</v>
      </c>
      <c r="B468" s="7">
        <v>45278</v>
      </c>
      <c r="C468" s="7">
        <v>45305</v>
      </c>
      <c r="D468" t="s">
        <v>206</v>
      </c>
      <c r="E468" t="s">
        <v>221</v>
      </c>
      <c r="F468" t="s">
        <v>381</v>
      </c>
      <c r="G468" t="s">
        <v>209</v>
      </c>
      <c r="H468" t="s">
        <v>216</v>
      </c>
      <c r="I468" t="s">
        <v>306</v>
      </c>
      <c r="J468" t="s">
        <v>196</v>
      </c>
      <c r="K468" t="s">
        <v>1197</v>
      </c>
      <c r="L468" s="10">
        <v>1408.3</v>
      </c>
      <c r="M468" s="10">
        <v>2193.13</v>
      </c>
      <c r="N468" s="17">
        <v>0.071</v>
      </c>
      <c r="O468">
        <v>7</v>
      </c>
      <c r="P468" t="str">
        <f t="shared" si="155"/>
        <v>Valid</v>
      </c>
      <c r="Q468" s="10">
        <f t="shared" si="156"/>
        <v>2193.13</v>
      </c>
      <c r="R468" t="b">
        <f t="shared" si="157"/>
        <v>0</v>
      </c>
      <c r="S468" s="17">
        <f t="shared" si="158"/>
        <v>0.071</v>
      </c>
      <c r="T468">
        <f t="shared" si="159"/>
        <v>27</v>
      </c>
      <c r="U468" s="26">
        <f t="shared" si="160"/>
        <v>45305</v>
      </c>
      <c r="V468">
        <f t="shared" si="161"/>
        <v>27</v>
      </c>
      <c r="W468" s="10">
        <f t="shared" si="162"/>
        <v>1534101.01439</v>
      </c>
      <c r="X468" s="10">
        <f t="shared" si="163"/>
        <v>15351.91</v>
      </c>
      <c r="Y468" s="10">
        <f t="shared" si="164"/>
        <v>1518749.10439</v>
      </c>
      <c r="Z468" s="14">
        <f t="shared" si="168"/>
        <v>0.989992894955418</v>
      </c>
      <c r="AA468" t="s">
        <v>1587</v>
      </c>
      <c r="AB468" t="str">
        <f t="shared" si="165"/>
        <v>Q4-2023</v>
      </c>
      <c r="AC468" t="str">
        <f t="shared" si="166"/>
        <v>Asia → India → Mumbai</v>
      </c>
      <c r="AD468" t="str">
        <f t="shared" si="167"/>
        <v>Support</v>
      </c>
      <c r="AE468" s="8" t="str">
        <f t="shared" si="154"/>
        <v>Medium</v>
      </c>
      <c r="AF468" t="str">
        <f t="shared" si="169"/>
        <v>INDIA</v>
      </c>
      <c r="AG468" s="7">
        <v>44955</v>
      </c>
      <c r="AH468" t="str">
        <f t="shared" si="170"/>
        <v>Jan-2023</v>
      </c>
      <c r="AI468" s="9">
        <f t="shared" si="171"/>
        <v>45291</v>
      </c>
      <c r="AJ468">
        <f t="shared" si="175"/>
        <v>0</v>
      </c>
      <c r="AK468">
        <f t="shared" si="172"/>
        <v>0</v>
      </c>
      <c r="AL468" s="17">
        <f>MIN(N468,'Scenario Modelling'!$B$2)</f>
        <v>0.071</v>
      </c>
      <c r="AM468" s="10">
        <f>L468*(1+'Scenario Modelling'!$B$3)</f>
        <v>1619.545</v>
      </c>
      <c r="AN468">
        <f>O468*(1+'Scenario Modelling'!$B$4)</f>
        <v>8.4</v>
      </c>
      <c r="AO468" s="28">
        <f t="shared" si="173"/>
        <v>17114.309268</v>
      </c>
      <c r="AP468" s="10">
        <f t="shared" si="174"/>
        <v>3510.131268</v>
      </c>
    </row>
    <row r="469" spans="1:42">
      <c r="A469" t="s">
        <v>1198</v>
      </c>
      <c r="B469" s="7">
        <v>45809</v>
      </c>
      <c r="C469" s="7">
        <v>45813</v>
      </c>
      <c r="D469" t="s">
        <v>239</v>
      </c>
      <c r="E469" t="s">
        <v>240</v>
      </c>
      <c r="F469" t="s">
        <v>320</v>
      </c>
      <c r="G469" t="s">
        <v>266</v>
      </c>
      <c r="H469" t="s">
        <v>259</v>
      </c>
      <c r="I469" t="s">
        <v>271</v>
      </c>
      <c r="J469" t="s">
        <v>183</v>
      </c>
      <c r="K469" t="s">
        <v>1199</v>
      </c>
      <c r="L469" s="10">
        <v>1171.42</v>
      </c>
      <c r="M469" s="10">
        <v>2187.8</v>
      </c>
      <c r="N469" s="17">
        <v>0.23</v>
      </c>
      <c r="O469">
        <v>15</v>
      </c>
      <c r="P469" t="str">
        <f t="shared" si="155"/>
        <v>Valid</v>
      </c>
      <c r="Q469" s="10">
        <f t="shared" si="156"/>
        <v>2187.8</v>
      </c>
      <c r="R469" t="b">
        <f t="shared" si="157"/>
        <v>0</v>
      </c>
      <c r="S469" s="17">
        <f t="shared" si="158"/>
        <v>0.23</v>
      </c>
      <c r="T469">
        <f t="shared" si="159"/>
        <v>4</v>
      </c>
      <c r="U469" s="26">
        <f t="shared" si="160"/>
        <v>45813</v>
      </c>
      <c r="V469">
        <f t="shared" si="161"/>
        <v>4</v>
      </c>
      <c r="W469" s="10">
        <f t="shared" si="162"/>
        <v>3274152.09</v>
      </c>
      <c r="X469" s="10">
        <f t="shared" si="163"/>
        <v>32817</v>
      </c>
      <c r="Y469" s="10">
        <f t="shared" si="164"/>
        <v>3241335.09</v>
      </c>
      <c r="Z469" s="14">
        <f t="shared" si="168"/>
        <v>0.989976946978049</v>
      </c>
      <c r="AA469" t="s">
        <v>1575</v>
      </c>
      <c r="AB469" t="str">
        <f t="shared" si="165"/>
        <v>Q2-2025</v>
      </c>
      <c r="AC469" t="str">
        <f t="shared" si="166"/>
        <v>Europe → Germany → Munich</v>
      </c>
      <c r="AD469" t="str">
        <f t="shared" si="167"/>
        <v>Support</v>
      </c>
      <c r="AE469" s="8" t="str">
        <f t="shared" si="154"/>
        <v>High</v>
      </c>
      <c r="AF469" t="str">
        <f t="shared" si="169"/>
        <v>GERMANY</v>
      </c>
      <c r="AG469" s="7">
        <v>44948</v>
      </c>
      <c r="AH469" t="str">
        <f t="shared" si="170"/>
        <v>Jan-2023</v>
      </c>
      <c r="AI469" s="9">
        <f t="shared" si="171"/>
        <v>45838</v>
      </c>
      <c r="AJ469">
        <f t="shared" si="175"/>
        <v>1</v>
      </c>
      <c r="AK469">
        <f t="shared" si="172"/>
        <v>1</v>
      </c>
      <c r="AL469" s="17">
        <f>MIN(N469,'Scenario Modelling'!$B$2)</f>
        <v>0.23</v>
      </c>
      <c r="AM469" s="10">
        <f>L469*(1+'Scenario Modelling'!$B$3)</f>
        <v>1347.133</v>
      </c>
      <c r="AN469">
        <f>O469*(1+'Scenario Modelling'!$B$4)</f>
        <v>18</v>
      </c>
      <c r="AO469" s="28">
        <f t="shared" si="173"/>
        <v>30322.908</v>
      </c>
      <c r="AP469" s="10">
        <f t="shared" si="174"/>
        <v>6074.514</v>
      </c>
    </row>
    <row r="470" spans="1:42">
      <c r="A470" t="s">
        <v>1200</v>
      </c>
      <c r="B470" s="7">
        <v>45739</v>
      </c>
      <c r="C470" s="7">
        <v>45749</v>
      </c>
      <c r="D470" t="s">
        <v>239</v>
      </c>
      <c r="E470" t="s">
        <v>240</v>
      </c>
      <c r="F470" t="s">
        <v>241</v>
      </c>
      <c r="G470" t="s">
        <v>266</v>
      </c>
      <c r="H470" t="s">
        <v>189</v>
      </c>
      <c r="I470" t="s">
        <v>224</v>
      </c>
      <c r="J470" t="s">
        <v>191</v>
      </c>
      <c r="K470" t="s">
        <v>1201</v>
      </c>
      <c r="L470" s="10">
        <v>663.61</v>
      </c>
      <c r="M470" s="10">
        <v>1002.11</v>
      </c>
      <c r="N470" s="17">
        <v>0.046</v>
      </c>
      <c r="O470">
        <v>17</v>
      </c>
      <c r="P470" t="str">
        <f t="shared" si="155"/>
        <v>Valid</v>
      </c>
      <c r="Q470" s="10">
        <f t="shared" si="156"/>
        <v>1002.11</v>
      </c>
      <c r="R470" t="b">
        <f t="shared" si="157"/>
        <v>0</v>
      </c>
      <c r="S470" s="17">
        <f t="shared" si="158"/>
        <v>0.046</v>
      </c>
      <c r="T470">
        <f t="shared" si="159"/>
        <v>10</v>
      </c>
      <c r="U470" s="26">
        <f t="shared" si="160"/>
        <v>45749</v>
      </c>
      <c r="V470">
        <f t="shared" si="161"/>
        <v>10</v>
      </c>
      <c r="W470" s="10">
        <f t="shared" si="162"/>
        <v>1702803.34998</v>
      </c>
      <c r="X470" s="10">
        <f t="shared" si="163"/>
        <v>17035.87</v>
      </c>
      <c r="Y470" s="10">
        <f t="shared" si="164"/>
        <v>1685767.47998</v>
      </c>
      <c r="Z470" s="14">
        <f t="shared" si="168"/>
        <v>0.989995397883026</v>
      </c>
      <c r="AA470" t="s">
        <v>1563</v>
      </c>
      <c r="AB470" t="str">
        <f t="shared" si="165"/>
        <v>Q1-2025</v>
      </c>
      <c r="AC470" t="str">
        <f t="shared" si="166"/>
        <v>Europe → Germany → Berlin</v>
      </c>
      <c r="AD470" t="str">
        <f t="shared" si="167"/>
        <v>Peripherals</v>
      </c>
      <c r="AE470" s="8" t="str">
        <f t="shared" si="154"/>
        <v>High</v>
      </c>
      <c r="AF470" t="str">
        <f t="shared" si="169"/>
        <v>GERMANY</v>
      </c>
      <c r="AG470" s="7">
        <v>44948</v>
      </c>
      <c r="AH470" t="str">
        <f t="shared" si="170"/>
        <v>Jan-2023</v>
      </c>
      <c r="AI470" s="9">
        <f t="shared" si="171"/>
        <v>45747</v>
      </c>
      <c r="AJ470">
        <f t="shared" si="175"/>
        <v>0</v>
      </c>
      <c r="AK470">
        <f t="shared" si="172"/>
        <v>0</v>
      </c>
      <c r="AL470" s="17">
        <f>MIN(N470,'Scenario Modelling'!$B$2)</f>
        <v>0.046</v>
      </c>
      <c r="AM470" s="10">
        <f>L470*(1+'Scenario Modelling'!$B$3)</f>
        <v>763.1515</v>
      </c>
      <c r="AN470">
        <f>O470*(1+'Scenario Modelling'!$B$4)</f>
        <v>20.4</v>
      </c>
      <c r="AO470" s="28">
        <f t="shared" si="173"/>
        <v>19502.663976</v>
      </c>
      <c r="AP470" s="10">
        <f t="shared" si="174"/>
        <v>3934.373376</v>
      </c>
    </row>
    <row r="471" spans="1:42">
      <c r="A471" t="s">
        <v>1202</v>
      </c>
      <c r="B471" s="7">
        <v>45060</v>
      </c>
      <c r="C471" s="7">
        <v>45068</v>
      </c>
      <c r="D471" t="s">
        <v>177</v>
      </c>
      <c r="E471" t="s">
        <v>178</v>
      </c>
      <c r="F471" t="s">
        <v>274</v>
      </c>
      <c r="G471" t="s">
        <v>223</v>
      </c>
      <c r="H471" t="s">
        <v>216</v>
      </c>
      <c r="I471" t="s">
        <v>245</v>
      </c>
      <c r="J471" t="s">
        <v>191</v>
      </c>
      <c r="K471" t="s">
        <v>1203</v>
      </c>
      <c r="L471" s="10">
        <v>432.01</v>
      </c>
      <c r="M471" s="10">
        <v>913.78</v>
      </c>
      <c r="N471" s="17">
        <v>0.049</v>
      </c>
      <c r="O471">
        <v>12</v>
      </c>
      <c r="P471" t="str">
        <f t="shared" si="155"/>
        <v>Valid</v>
      </c>
      <c r="Q471" s="10">
        <f t="shared" si="156"/>
        <v>913.78</v>
      </c>
      <c r="R471" t="b">
        <f t="shared" si="157"/>
        <v>0</v>
      </c>
      <c r="S471" s="17">
        <f t="shared" si="158"/>
        <v>0.049</v>
      </c>
      <c r="T471">
        <f t="shared" si="159"/>
        <v>8</v>
      </c>
      <c r="U471" s="26">
        <f t="shared" si="160"/>
        <v>45068</v>
      </c>
      <c r="V471">
        <f t="shared" si="161"/>
        <v>8</v>
      </c>
      <c r="W471" s="10">
        <f t="shared" si="162"/>
        <v>1095998.69736</v>
      </c>
      <c r="X471" s="10">
        <f t="shared" si="163"/>
        <v>10965.36</v>
      </c>
      <c r="Y471" s="10">
        <f t="shared" si="164"/>
        <v>1085033.33736</v>
      </c>
      <c r="Z471" s="14">
        <f t="shared" si="168"/>
        <v>0.989995097597823</v>
      </c>
      <c r="AA471" t="s">
        <v>1574</v>
      </c>
      <c r="AB471" t="str">
        <f t="shared" si="165"/>
        <v>Q2-2023</v>
      </c>
      <c r="AC471" t="str">
        <f t="shared" si="166"/>
        <v>Africa → Kenya → Mombasa</v>
      </c>
      <c r="AD471" t="str">
        <f t="shared" si="167"/>
        <v>Peripherals</v>
      </c>
      <c r="AE471" s="8" t="str">
        <f t="shared" si="154"/>
        <v>Low</v>
      </c>
      <c r="AF471" t="str">
        <f t="shared" si="169"/>
        <v>KENYA</v>
      </c>
      <c r="AG471" s="7">
        <v>44946</v>
      </c>
      <c r="AH471" t="str">
        <f t="shared" si="170"/>
        <v>Jan-2023</v>
      </c>
      <c r="AI471" s="9">
        <f t="shared" si="171"/>
        <v>45077</v>
      </c>
      <c r="AJ471">
        <f t="shared" si="175"/>
        <v>0</v>
      </c>
      <c r="AK471">
        <f t="shared" si="172"/>
        <v>0</v>
      </c>
      <c r="AL471" s="17">
        <f>MIN(N471,'Scenario Modelling'!$B$2)</f>
        <v>0.049</v>
      </c>
      <c r="AM471" s="10">
        <f>L471*(1+'Scenario Modelling'!$B$3)</f>
        <v>496.8115</v>
      </c>
      <c r="AN471">
        <f>O471*(1+'Scenario Modelling'!$B$4)</f>
        <v>14.4</v>
      </c>
      <c r="AO471" s="28">
        <f t="shared" si="173"/>
        <v>12513.668832</v>
      </c>
      <c r="AP471" s="10">
        <f t="shared" si="174"/>
        <v>5359.583232</v>
      </c>
    </row>
    <row r="472" spans="1:42">
      <c r="A472" t="s">
        <v>1204</v>
      </c>
      <c r="B472" s="7">
        <v>45167</v>
      </c>
      <c r="C472" s="7">
        <v>45188</v>
      </c>
      <c r="D472" t="s">
        <v>239</v>
      </c>
      <c r="E472" t="s">
        <v>251</v>
      </c>
      <c r="F472" t="s">
        <v>299</v>
      </c>
      <c r="G472" t="s">
        <v>223</v>
      </c>
      <c r="H472" t="s">
        <v>259</v>
      </c>
      <c r="I472" t="s">
        <v>217</v>
      </c>
      <c r="J472" t="s">
        <v>191</v>
      </c>
      <c r="K472" t="s">
        <v>1205</v>
      </c>
      <c r="L472" s="10">
        <v>784.46</v>
      </c>
      <c r="M472" s="10">
        <v>1843.51</v>
      </c>
      <c r="N472" s="17">
        <v>0.138</v>
      </c>
      <c r="O472">
        <v>23</v>
      </c>
      <c r="P472" t="str">
        <f t="shared" si="155"/>
        <v>Valid</v>
      </c>
      <c r="Q472" s="10">
        <f t="shared" si="156"/>
        <v>1843.51</v>
      </c>
      <c r="R472" t="b">
        <f t="shared" si="157"/>
        <v>0</v>
      </c>
      <c r="S472" s="17">
        <f t="shared" si="158"/>
        <v>0.138</v>
      </c>
      <c r="T472">
        <f t="shared" si="159"/>
        <v>21</v>
      </c>
      <c r="U472" s="26">
        <f t="shared" si="160"/>
        <v>45188</v>
      </c>
      <c r="V472">
        <f t="shared" si="161"/>
        <v>21</v>
      </c>
      <c r="W472" s="10">
        <f t="shared" si="162"/>
        <v>4234221.69926</v>
      </c>
      <c r="X472" s="10">
        <f t="shared" si="163"/>
        <v>42400.73</v>
      </c>
      <c r="Y472" s="10">
        <f t="shared" si="164"/>
        <v>4191820.96926</v>
      </c>
      <c r="Z472" s="14">
        <f t="shared" si="168"/>
        <v>0.989986180929683</v>
      </c>
      <c r="AA472" t="s">
        <v>1585</v>
      </c>
      <c r="AB472" t="str">
        <f t="shared" si="165"/>
        <v>Q3-2023</v>
      </c>
      <c r="AC472" t="str">
        <f t="shared" si="166"/>
        <v>Europe → France → Lyon</v>
      </c>
      <c r="AD472" t="str">
        <f t="shared" si="167"/>
        <v>Peripherals</v>
      </c>
      <c r="AE472" s="8" t="str">
        <f t="shared" si="154"/>
        <v>Low</v>
      </c>
      <c r="AF472" t="str">
        <f t="shared" si="169"/>
        <v>FRANCE</v>
      </c>
      <c r="AG472" s="7">
        <v>44936</v>
      </c>
      <c r="AH472" t="str">
        <f t="shared" si="170"/>
        <v>Jan-2023</v>
      </c>
      <c r="AI472" s="9">
        <f t="shared" si="171"/>
        <v>45169</v>
      </c>
      <c r="AJ472">
        <f t="shared" si="175"/>
        <v>0</v>
      </c>
      <c r="AK472">
        <f t="shared" si="172"/>
        <v>0</v>
      </c>
      <c r="AL472" s="17">
        <f>MIN(N472,'Scenario Modelling'!$B$2)</f>
        <v>0.138</v>
      </c>
      <c r="AM472" s="10">
        <f>L472*(1+'Scenario Modelling'!$B$3)</f>
        <v>902.129</v>
      </c>
      <c r="AN472">
        <f>O472*(1+'Scenario Modelling'!$B$4)</f>
        <v>27.6</v>
      </c>
      <c r="AO472" s="28">
        <f t="shared" si="173"/>
        <v>43859.315112</v>
      </c>
      <c r="AP472" s="10">
        <f t="shared" si="174"/>
        <v>18960.554712</v>
      </c>
    </row>
    <row r="473" spans="1:42">
      <c r="A473" t="s">
        <v>1206</v>
      </c>
      <c r="B473" s="7">
        <v>45841</v>
      </c>
      <c r="C473" s="7">
        <v>45861</v>
      </c>
      <c r="D473" t="s">
        <v>206</v>
      </c>
      <c r="E473" t="s">
        <v>277</v>
      </c>
      <c r="F473" t="s">
        <v>499</v>
      </c>
      <c r="G473" t="s">
        <v>223</v>
      </c>
      <c r="H473" t="s">
        <v>189</v>
      </c>
      <c r="I473" t="s">
        <v>271</v>
      </c>
      <c r="J473" t="s">
        <v>183</v>
      </c>
      <c r="K473" t="s">
        <v>1207</v>
      </c>
      <c r="L473" s="10">
        <v>647.36</v>
      </c>
      <c r="M473" s="10">
        <v>1383.6</v>
      </c>
      <c r="N473" s="17">
        <v>0.074</v>
      </c>
      <c r="O473">
        <v>12</v>
      </c>
      <c r="P473" t="str">
        <f t="shared" si="155"/>
        <v>Valid</v>
      </c>
      <c r="Q473" s="10">
        <f t="shared" si="156"/>
        <v>1383.6</v>
      </c>
      <c r="R473" t="b">
        <f t="shared" si="157"/>
        <v>0</v>
      </c>
      <c r="S473" s="17">
        <f t="shared" si="158"/>
        <v>0.074</v>
      </c>
      <c r="T473">
        <f t="shared" si="159"/>
        <v>20</v>
      </c>
      <c r="U473" s="26">
        <f t="shared" si="160"/>
        <v>45861</v>
      </c>
      <c r="V473">
        <f t="shared" si="161"/>
        <v>20</v>
      </c>
      <c r="W473" s="10">
        <f t="shared" si="162"/>
        <v>1659091.3632</v>
      </c>
      <c r="X473" s="10">
        <f t="shared" si="163"/>
        <v>16603.2</v>
      </c>
      <c r="Y473" s="10">
        <f t="shared" si="164"/>
        <v>1642488.1632</v>
      </c>
      <c r="Z473" s="14">
        <f t="shared" si="168"/>
        <v>0.989992594519945</v>
      </c>
      <c r="AA473" t="s">
        <v>1572</v>
      </c>
      <c r="AB473" t="str">
        <f t="shared" si="165"/>
        <v>Q3-2025</v>
      </c>
      <c r="AC473" t="str">
        <f t="shared" si="166"/>
        <v>Asia → China → Beijing</v>
      </c>
      <c r="AD473" t="str">
        <f t="shared" si="167"/>
        <v>Support</v>
      </c>
      <c r="AE473" s="8" t="str">
        <f t="shared" si="154"/>
        <v>High</v>
      </c>
      <c r="AF473" t="str">
        <f t="shared" si="169"/>
        <v>CHINA</v>
      </c>
      <c r="AG473" s="7">
        <v>44938</v>
      </c>
      <c r="AH473" t="str">
        <f t="shared" si="170"/>
        <v>Jan-2023</v>
      </c>
      <c r="AI473" s="9">
        <f t="shared" si="171"/>
        <v>45869</v>
      </c>
      <c r="AJ473">
        <f t="shared" si="175"/>
        <v>0</v>
      </c>
      <c r="AK473">
        <f t="shared" si="172"/>
        <v>0</v>
      </c>
      <c r="AL473" s="17">
        <f>MIN(N473,'Scenario Modelling'!$B$2)</f>
        <v>0.074</v>
      </c>
      <c r="AM473" s="10">
        <f>L473*(1+'Scenario Modelling'!$B$3)</f>
        <v>744.464</v>
      </c>
      <c r="AN473">
        <f>O473*(1+'Scenario Modelling'!$B$4)</f>
        <v>14.4</v>
      </c>
      <c r="AO473" s="28">
        <f t="shared" si="173"/>
        <v>18449.47584</v>
      </c>
      <c r="AP473" s="10">
        <f t="shared" si="174"/>
        <v>7729.19424</v>
      </c>
    </row>
    <row r="474" spans="1:42">
      <c r="A474" t="s">
        <v>1208</v>
      </c>
      <c r="B474" s="7">
        <v>45328</v>
      </c>
      <c r="C474" s="7">
        <v>45350</v>
      </c>
      <c r="D474" t="s">
        <v>177</v>
      </c>
      <c r="E474" t="s">
        <v>178</v>
      </c>
      <c r="F474" t="s">
        <v>179</v>
      </c>
      <c r="G474" t="s">
        <v>200</v>
      </c>
      <c r="H474" t="s">
        <v>189</v>
      </c>
      <c r="I474" t="s">
        <v>256</v>
      </c>
      <c r="J474" t="s">
        <v>225</v>
      </c>
      <c r="K474" t="s">
        <v>1209</v>
      </c>
      <c r="L474" s="10">
        <v>834.93</v>
      </c>
      <c r="M474" s="10">
        <v>1588.53</v>
      </c>
      <c r="N474" s="17">
        <v>0.126</v>
      </c>
      <c r="O474">
        <v>6</v>
      </c>
      <c r="P474" t="str">
        <f t="shared" si="155"/>
        <v>Valid</v>
      </c>
      <c r="Q474" s="10">
        <f t="shared" si="156"/>
        <v>1588.53</v>
      </c>
      <c r="R474" t="b">
        <f t="shared" si="157"/>
        <v>0</v>
      </c>
      <c r="S474" s="17">
        <f t="shared" si="158"/>
        <v>0.126</v>
      </c>
      <c r="T474">
        <f t="shared" si="159"/>
        <v>22</v>
      </c>
      <c r="U474" s="26">
        <f t="shared" si="160"/>
        <v>45350</v>
      </c>
      <c r="V474">
        <f t="shared" si="161"/>
        <v>22</v>
      </c>
      <c r="W474" s="10">
        <f t="shared" si="162"/>
        <v>951917.07132</v>
      </c>
      <c r="X474" s="10">
        <f t="shared" si="163"/>
        <v>9531.18</v>
      </c>
      <c r="Y474" s="10">
        <f t="shared" si="164"/>
        <v>942385.89132</v>
      </c>
      <c r="Z474" s="14">
        <f t="shared" si="168"/>
        <v>0.989987384103971</v>
      </c>
      <c r="AA474" t="s">
        <v>1594</v>
      </c>
      <c r="AB474" t="str">
        <f t="shared" si="165"/>
        <v>Q1-2024</v>
      </c>
      <c r="AC474" t="str">
        <f t="shared" si="166"/>
        <v>Africa → Kenya → Kisumu</v>
      </c>
      <c r="AD474" t="str">
        <f t="shared" si="167"/>
        <v>Peripherals</v>
      </c>
      <c r="AE474" s="8" t="str">
        <f t="shared" si="154"/>
        <v>Medium</v>
      </c>
      <c r="AF474" t="str">
        <f t="shared" si="169"/>
        <v>KENYA</v>
      </c>
      <c r="AG474" s="7">
        <v>44946</v>
      </c>
      <c r="AH474" t="str">
        <f t="shared" si="170"/>
        <v>Jan-2023</v>
      </c>
      <c r="AI474" s="9">
        <f t="shared" si="171"/>
        <v>45351</v>
      </c>
      <c r="AJ474">
        <f t="shared" si="175"/>
        <v>0</v>
      </c>
      <c r="AK474">
        <f t="shared" si="172"/>
        <v>0</v>
      </c>
      <c r="AL474" s="17">
        <f>MIN(N474,'Scenario Modelling'!$B$2)</f>
        <v>0.126</v>
      </c>
      <c r="AM474" s="10">
        <f>L474*(1+'Scenario Modelling'!$B$3)</f>
        <v>960.1695</v>
      </c>
      <c r="AN474">
        <f>O474*(1+'Scenario Modelling'!$B$4)</f>
        <v>7.2</v>
      </c>
      <c r="AO474" s="28">
        <f t="shared" si="173"/>
        <v>9996.301584</v>
      </c>
      <c r="AP474" s="10">
        <f t="shared" si="174"/>
        <v>3083.081184</v>
      </c>
    </row>
    <row r="475" spans="1:42">
      <c r="A475" t="s">
        <v>1210</v>
      </c>
      <c r="B475" s="7">
        <v>45882</v>
      </c>
      <c r="C475" s="7">
        <v>45903</v>
      </c>
      <c r="D475" t="s">
        <v>239</v>
      </c>
      <c r="E475" t="s">
        <v>251</v>
      </c>
      <c r="F475" t="s">
        <v>378</v>
      </c>
      <c r="G475" t="s">
        <v>188</v>
      </c>
      <c r="H475" t="s">
        <v>181</v>
      </c>
      <c r="I475" t="s">
        <v>195</v>
      </c>
      <c r="J475" t="s">
        <v>203</v>
      </c>
      <c r="K475" t="s">
        <v>1211</v>
      </c>
      <c r="L475" s="10">
        <v>603.47</v>
      </c>
      <c r="M475" s="10">
        <v>1344.05</v>
      </c>
      <c r="N475" s="17">
        <v>0.205</v>
      </c>
      <c r="O475">
        <v>18</v>
      </c>
      <c r="P475" t="str">
        <f t="shared" si="155"/>
        <v>Valid</v>
      </c>
      <c r="Q475" s="10">
        <f t="shared" si="156"/>
        <v>1344.05</v>
      </c>
      <c r="R475" t="b">
        <f t="shared" si="157"/>
        <v>0</v>
      </c>
      <c r="S475" s="17">
        <f t="shared" si="158"/>
        <v>0.205</v>
      </c>
      <c r="T475">
        <f t="shared" si="159"/>
        <v>21</v>
      </c>
      <c r="U475" s="26">
        <f t="shared" si="160"/>
        <v>45903</v>
      </c>
      <c r="V475">
        <f t="shared" si="161"/>
        <v>21</v>
      </c>
      <c r="W475" s="10">
        <f t="shared" si="162"/>
        <v>2414330.4555</v>
      </c>
      <c r="X475" s="10">
        <f t="shared" si="163"/>
        <v>24192.9</v>
      </c>
      <c r="Y475" s="10">
        <f t="shared" si="164"/>
        <v>2390137.5555</v>
      </c>
      <c r="Z475" s="14">
        <f t="shared" si="168"/>
        <v>0.989979457888672</v>
      </c>
      <c r="AA475" t="s">
        <v>1590</v>
      </c>
      <c r="AB475" t="str">
        <f t="shared" si="165"/>
        <v>Q3-2025</v>
      </c>
      <c r="AC475" t="str">
        <f t="shared" si="166"/>
        <v>Europe → France → Paris</v>
      </c>
      <c r="AD475" t="str">
        <f t="shared" si="167"/>
        <v>Devices</v>
      </c>
      <c r="AE475" s="8" t="str">
        <f t="shared" si="154"/>
        <v>High</v>
      </c>
      <c r="AF475" t="str">
        <f t="shared" si="169"/>
        <v>FRANCE</v>
      </c>
      <c r="AG475" s="7">
        <v>44936</v>
      </c>
      <c r="AH475" t="str">
        <f t="shared" si="170"/>
        <v>Jan-2023</v>
      </c>
      <c r="AI475" s="9">
        <f t="shared" si="171"/>
        <v>45900</v>
      </c>
      <c r="AJ475">
        <f t="shared" si="175"/>
        <v>0</v>
      </c>
      <c r="AK475">
        <f t="shared" si="172"/>
        <v>1</v>
      </c>
      <c r="AL475" s="17">
        <f>MIN(N475,'Scenario Modelling'!$B$2)</f>
        <v>0.205</v>
      </c>
      <c r="AM475" s="10">
        <f>L475*(1+'Scenario Modelling'!$B$3)</f>
        <v>693.9905</v>
      </c>
      <c r="AN475">
        <f>O475*(1+'Scenario Modelling'!$B$4)</f>
        <v>21.6</v>
      </c>
      <c r="AO475" s="28">
        <f t="shared" si="173"/>
        <v>23080.0266</v>
      </c>
      <c r="AP475" s="10">
        <f t="shared" si="174"/>
        <v>8089.8318</v>
      </c>
    </row>
    <row r="476" spans="1:42">
      <c r="A476" t="s">
        <v>1212</v>
      </c>
      <c r="B476" s="7">
        <v>45069</v>
      </c>
      <c r="C476" s="7">
        <v>45071</v>
      </c>
      <c r="D476" t="s">
        <v>213</v>
      </c>
      <c r="E476" t="s">
        <v>234</v>
      </c>
      <c r="F476" t="s">
        <v>386</v>
      </c>
      <c r="G476" t="s">
        <v>266</v>
      </c>
      <c r="H476" t="s">
        <v>181</v>
      </c>
      <c r="I476" t="s">
        <v>271</v>
      </c>
      <c r="J476" t="s">
        <v>191</v>
      </c>
      <c r="K476" t="s">
        <v>1213</v>
      </c>
      <c r="L476" s="10">
        <v>690.49</v>
      </c>
      <c r="M476" s="10">
        <v>1290.29</v>
      </c>
      <c r="N476" s="17">
        <v>0.042</v>
      </c>
      <c r="O476">
        <v>22</v>
      </c>
      <c r="P476" t="str">
        <f t="shared" si="155"/>
        <v>Valid</v>
      </c>
      <c r="Q476" s="10">
        <f t="shared" si="156"/>
        <v>1290.29</v>
      </c>
      <c r="R476" t="b">
        <f t="shared" si="157"/>
        <v>0</v>
      </c>
      <c r="S476" s="17">
        <f t="shared" si="158"/>
        <v>0.042</v>
      </c>
      <c r="T476">
        <f t="shared" si="159"/>
        <v>2</v>
      </c>
      <c r="U476" s="26">
        <f t="shared" si="160"/>
        <v>45071</v>
      </c>
      <c r="V476">
        <f t="shared" si="161"/>
        <v>2</v>
      </c>
      <c r="W476" s="10">
        <f t="shared" si="162"/>
        <v>2837445.77204</v>
      </c>
      <c r="X476" s="10">
        <f t="shared" si="163"/>
        <v>28386.38</v>
      </c>
      <c r="Y476" s="10">
        <f t="shared" si="164"/>
        <v>2809059.39204</v>
      </c>
      <c r="Z476" s="14">
        <f t="shared" si="168"/>
        <v>0.989995798235259</v>
      </c>
      <c r="AA476" t="s">
        <v>1574</v>
      </c>
      <c r="AB476" t="str">
        <f t="shared" si="165"/>
        <v>Q2-2023</v>
      </c>
      <c r="AC476" t="str">
        <f t="shared" si="166"/>
        <v>Americas → Brazil → Rio de Janeiro</v>
      </c>
      <c r="AD476" t="str">
        <f t="shared" si="167"/>
        <v>Peripherals</v>
      </c>
      <c r="AE476" s="8" t="str">
        <f t="shared" si="154"/>
        <v>Low</v>
      </c>
      <c r="AF476" t="str">
        <f t="shared" si="169"/>
        <v>BRAZIL</v>
      </c>
      <c r="AG476" s="7">
        <v>44955</v>
      </c>
      <c r="AH476" t="str">
        <f t="shared" si="170"/>
        <v>Jan-2023</v>
      </c>
      <c r="AI476" s="9">
        <f t="shared" si="171"/>
        <v>45077</v>
      </c>
      <c r="AJ476">
        <f t="shared" si="175"/>
        <v>1</v>
      </c>
      <c r="AK476">
        <f t="shared" si="172"/>
        <v>0</v>
      </c>
      <c r="AL476" s="17">
        <f>MIN(N476,'Scenario Modelling'!$B$2)</f>
        <v>0.042</v>
      </c>
      <c r="AM476" s="10">
        <f>L476*(1+'Scenario Modelling'!$B$3)</f>
        <v>794.0635</v>
      </c>
      <c r="AN476">
        <f>O476*(1+'Scenario Modelling'!$B$4)</f>
        <v>26.4</v>
      </c>
      <c r="AO476" s="28">
        <f t="shared" si="173"/>
        <v>32632.982448</v>
      </c>
      <c r="AP476" s="10">
        <f t="shared" si="174"/>
        <v>11669.706048</v>
      </c>
    </row>
    <row r="477" spans="1:42">
      <c r="A477" t="s">
        <v>1214</v>
      </c>
      <c r="B477" s="7">
        <v>45422</v>
      </c>
      <c r="C477" s="7">
        <v>45428</v>
      </c>
      <c r="D477" t="s">
        <v>239</v>
      </c>
      <c r="E477" t="s">
        <v>269</v>
      </c>
      <c r="F477" t="s">
        <v>270</v>
      </c>
      <c r="G477" t="s">
        <v>200</v>
      </c>
      <c r="H477" t="s">
        <v>259</v>
      </c>
      <c r="I477" t="s">
        <v>202</v>
      </c>
      <c r="J477" t="s">
        <v>218</v>
      </c>
      <c r="K477" t="s">
        <v>1215</v>
      </c>
      <c r="L477" s="10">
        <v>210.76</v>
      </c>
      <c r="M477" s="10">
        <v>221.58</v>
      </c>
      <c r="N477" s="17">
        <v>0.089</v>
      </c>
      <c r="O477">
        <v>5</v>
      </c>
      <c r="P477" t="str">
        <f t="shared" si="155"/>
        <v>Valid</v>
      </c>
      <c r="Q477" s="10">
        <f t="shared" si="156"/>
        <v>221.58</v>
      </c>
      <c r="R477" t="b">
        <f t="shared" si="157"/>
        <v>0</v>
      </c>
      <c r="S477" s="17">
        <f t="shared" si="158"/>
        <v>0.089</v>
      </c>
      <c r="T477">
        <f t="shared" si="159"/>
        <v>6</v>
      </c>
      <c r="U477" s="26">
        <f t="shared" si="160"/>
        <v>45428</v>
      </c>
      <c r="V477">
        <f t="shared" si="161"/>
        <v>6</v>
      </c>
      <c r="W477" s="10">
        <f t="shared" si="162"/>
        <v>110691.3969</v>
      </c>
      <c r="X477" s="10">
        <f t="shared" si="163"/>
        <v>1107.9</v>
      </c>
      <c r="Y477" s="10">
        <f t="shared" si="164"/>
        <v>109583.4969</v>
      </c>
      <c r="Z477" s="14">
        <f t="shared" si="168"/>
        <v>0.989991092071944</v>
      </c>
      <c r="AA477" t="s">
        <v>1566</v>
      </c>
      <c r="AB477" t="str">
        <f t="shared" si="165"/>
        <v>Q2-2024</v>
      </c>
      <c r="AC477" t="str">
        <f t="shared" si="166"/>
        <v>Europe → United Kingdom → Birmingham</v>
      </c>
      <c r="AD477" t="str">
        <f t="shared" si="167"/>
        <v>Devices</v>
      </c>
      <c r="AE477" s="8" t="str">
        <f t="shared" si="154"/>
        <v>Medium</v>
      </c>
      <c r="AF477" t="str">
        <f t="shared" si="169"/>
        <v>UNITED KINGDOM</v>
      </c>
      <c r="AG477" s="7">
        <v>44945</v>
      </c>
      <c r="AH477" t="str">
        <f t="shared" si="170"/>
        <v>Jan-2023</v>
      </c>
      <c r="AI477" s="9">
        <f t="shared" si="171"/>
        <v>45443</v>
      </c>
      <c r="AJ477">
        <f t="shared" si="175"/>
        <v>1</v>
      </c>
      <c r="AK477">
        <f t="shared" si="172"/>
        <v>0</v>
      </c>
      <c r="AL477" s="17">
        <f>MIN(N477,'Scenario Modelling'!$B$2)</f>
        <v>0.089</v>
      </c>
      <c r="AM477" s="10">
        <f>L477*(1+'Scenario Modelling'!$B$3)</f>
        <v>242.374</v>
      </c>
      <c r="AN477">
        <f>O477*(1+'Scenario Modelling'!$B$4)</f>
        <v>6</v>
      </c>
      <c r="AO477" s="28">
        <f t="shared" si="173"/>
        <v>1211.15628</v>
      </c>
      <c r="AP477" s="10">
        <f t="shared" si="174"/>
        <v>-243.08772</v>
      </c>
    </row>
    <row r="478" spans="1:42">
      <c r="A478" t="s">
        <v>1216</v>
      </c>
      <c r="B478" s="7">
        <v>44999</v>
      </c>
      <c r="C478" s="7">
        <v>45003</v>
      </c>
      <c r="D478" t="s">
        <v>239</v>
      </c>
      <c r="E478" t="s">
        <v>240</v>
      </c>
      <c r="F478" t="s">
        <v>496</v>
      </c>
      <c r="G478" t="s">
        <v>266</v>
      </c>
      <c r="H478" t="s">
        <v>259</v>
      </c>
      <c r="I478" t="s">
        <v>236</v>
      </c>
      <c r="J478" t="s">
        <v>183</v>
      </c>
      <c r="K478" t="s">
        <v>1217</v>
      </c>
      <c r="L478" s="10">
        <v>472.33</v>
      </c>
      <c r="M478" s="10">
        <v>360.34</v>
      </c>
      <c r="N478" s="17">
        <v>0.165</v>
      </c>
      <c r="O478">
        <v>14</v>
      </c>
      <c r="P478" t="str">
        <f t="shared" si="155"/>
        <v>Valid</v>
      </c>
      <c r="Q478" s="10">
        <f t="shared" si="156"/>
        <v>360.34</v>
      </c>
      <c r="R478" t="b">
        <f t="shared" si="157"/>
        <v>0</v>
      </c>
      <c r="S478" s="17">
        <f t="shared" si="158"/>
        <v>0.165</v>
      </c>
      <c r="T478">
        <f t="shared" si="159"/>
        <v>4</v>
      </c>
      <c r="U478" s="26">
        <f t="shared" si="160"/>
        <v>45003</v>
      </c>
      <c r="V478">
        <f t="shared" si="161"/>
        <v>4</v>
      </c>
      <c r="W478" s="10">
        <f t="shared" si="162"/>
        <v>503643.6146</v>
      </c>
      <c r="X478" s="10">
        <f t="shared" si="163"/>
        <v>5044.76</v>
      </c>
      <c r="Y478" s="10">
        <f t="shared" si="164"/>
        <v>498598.8546</v>
      </c>
      <c r="Z478" s="14">
        <f t="shared" si="168"/>
        <v>0.989983472730005</v>
      </c>
      <c r="AA478" t="s">
        <v>1582</v>
      </c>
      <c r="AB478" t="str">
        <f t="shared" si="165"/>
        <v>Q1-2023</v>
      </c>
      <c r="AC478" t="str">
        <f t="shared" si="166"/>
        <v>Europe → Germany → Frankfurt</v>
      </c>
      <c r="AD478" t="str">
        <f t="shared" si="167"/>
        <v>Support</v>
      </c>
      <c r="AE478" s="8" t="str">
        <f t="shared" si="154"/>
        <v>Low</v>
      </c>
      <c r="AF478" t="str">
        <f t="shared" si="169"/>
        <v>GERMANY</v>
      </c>
      <c r="AG478" s="7">
        <v>44948</v>
      </c>
      <c r="AH478" t="str">
        <f t="shared" si="170"/>
        <v>Jan-2023</v>
      </c>
      <c r="AI478" s="9">
        <f t="shared" si="171"/>
        <v>45016</v>
      </c>
      <c r="AJ478">
        <f t="shared" si="175"/>
        <v>1</v>
      </c>
      <c r="AK478">
        <f t="shared" si="172"/>
        <v>0</v>
      </c>
      <c r="AL478" s="17">
        <f>MIN(N478,'Scenario Modelling'!$B$2)</f>
        <v>0.165</v>
      </c>
      <c r="AM478" s="10">
        <f>L478*(1+'Scenario Modelling'!$B$3)</f>
        <v>543.1795</v>
      </c>
      <c r="AN478">
        <f>O478*(1+'Scenario Modelling'!$B$4)</f>
        <v>16.8</v>
      </c>
      <c r="AO478" s="28">
        <f t="shared" si="173"/>
        <v>5054.84952</v>
      </c>
      <c r="AP478" s="10">
        <f t="shared" si="174"/>
        <v>-4070.56608</v>
      </c>
    </row>
    <row r="479" spans="1:42">
      <c r="A479" t="s">
        <v>1218</v>
      </c>
      <c r="B479" s="7">
        <v>45123</v>
      </c>
      <c r="C479" s="7">
        <v>45151</v>
      </c>
      <c r="D479" t="s">
        <v>239</v>
      </c>
      <c r="E479" t="s">
        <v>269</v>
      </c>
      <c r="F479" t="s">
        <v>389</v>
      </c>
      <c r="G479" t="s">
        <v>200</v>
      </c>
      <c r="H479" t="s">
        <v>189</v>
      </c>
      <c r="I479" t="s">
        <v>190</v>
      </c>
      <c r="J479" t="s">
        <v>218</v>
      </c>
      <c r="K479" t="s">
        <v>1219</v>
      </c>
      <c r="L479" s="10">
        <v>1039.03</v>
      </c>
      <c r="M479" s="10">
        <v>2545.81</v>
      </c>
      <c r="N479" s="17">
        <v>0.216</v>
      </c>
      <c r="O479">
        <v>21</v>
      </c>
      <c r="P479" t="str">
        <f t="shared" si="155"/>
        <v>Valid</v>
      </c>
      <c r="Q479" s="10">
        <f t="shared" si="156"/>
        <v>2545.81</v>
      </c>
      <c r="R479" t="b">
        <f t="shared" si="157"/>
        <v>0</v>
      </c>
      <c r="S479" s="17">
        <f t="shared" si="158"/>
        <v>0.216</v>
      </c>
      <c r="T479">
        <f t="shared" si="159"/>
        <v>28</v>
      </c>
      <c r="U479" s="26">
        <f t="shared" si="160"/>
        <v>45151</v>
      </c>
      <c r="V479">
        <f t="shared" si="161"/>
        <v>28</v>
      </c>
      <c r="W479" s="10">
        <f t="shared" si="162"/>
        <v>5334653.20584</v>
      </c>
      <c r="X479" s="10">
        <f t="shared" si="163"/>
        <v>53462.01</v>
      </c>
      <c r="Y479" s="10">
        <f t="shared" si="164"/>
        <v>5281191.19584</v>
      </c>
      <c r="Z479" s="14">
        <f t="shared" si="168"/>
        <v>0.989978353243005</v>
      </c>
      <c r="AA479" t="s">
        <v>1584</v>
      </c>
      <c r="AB479" t="str">
        <f t="shared" si="165"/>
        <v>Q3-2023</v>
      </c>
      <c r="AC479" t="str">
        <f t="shared" si="166"/>
        <v>Europe → United Kingdom → Manchester</v>
      </c>
      <c r="AD479" t="str">
        <f t="shared" si="167"/>
        <v>Devices</v>
      </c>
      <c r="AE479" s="8" t="str">
        <f t="shared" si="154"/>
        <v>Low</v>
      </c>
      <c r="AF479" t="str">
        <f t="shared" si="169"/>
        <v>UNITED KINGDOM</v>
      </c>
      <c r="AG479" s="7">
        <v>44945</v>
      </c>
      <c r="AH479" t="str">
        <f t="shared" si="170"/>
        <v>Jan-2023</v>
      </c>
      <c r="AI479" s="9">
        <f t="shared" si="171"/>
        <v>45138</v>
      </c>
      <c r="AJ479">
        <f t="shared" si="175"/>
        <v>0</v>
      </c>
      <c r="AK479">
        <f t="shared" si="172"/>
        <v>1</v>
      </c>
      <c r="AL479" s="17">
        <f>MIN(N479,'Scenario Modelling'!$B$2)</f>
        <v>0.216</v>
      </c>
      <c r="AM479" s="10">
        <f>L479*(1+'Scenario Modelling'!$B$3)</f>
        <v>1194.8845</v>
      </c>
      <c r="AN479">
        <f>O479*(1+'Scenario Modelling'!$B$4)</f>
        <v>25.2</v>
      </c>
      <c r="AO479" s="28">
        <f t="shared" si="173"/>
        <v>50297.059008</v>
      </c>
      <c r="AP479" s="10">
        <f t="shared" si="174"/>
        <v>20185.969608</v>
      </c>
    </row>
    <row r="480" spans="1:42">
      <c r="A480" t="s">
        <v>1220</v>
      </c>
      <c r="B480" s="7">
        <v>45032</v>
      </c>
      <c r="C480" s="7">
        <v>45035</v>
      </c>
      <c r="D480" t="s">
        <v>239</v>
      </c>
      <c r="E480" t="s">
        <v>240</v>
      </c>
      <c r="F480" t="s">
        <v>320</v>
      </c>
      <c r="G480" t="s">
        <v>180</v>
      </c>
      <c r="H480" t="s">
        <v>259</v>
      </c>
      <c r="I480" t="s">
        <v>217</v>
      </c>
      <c r="J480" t="s">
        <v>242</v>
      </c>
      <c r="K480" t="s">
        <v>1221</v>
      </c>
      <c r="L480" s="10">
        <v>553.61</v>
      </c>
      <c r="M480" s="10">
        <v>699.47</v>
      </c>
      <c r="N480" s="17">
        <v>0.02</v>
      </c>
      <c r="O480">
        <v>33</v>
      </c>
      <c r="P480" t="str">
        <f t="shared" si="155"/>
        <v>Valid</v>
      </c>
      <c r="Q480" s="10">
        <f t="shared" si="156"/>
        <v>699.47</v>
      </c>
      <c r="R480" t="b">
        <f t="shared" si="157"/>
        <v>0</v>
      </c>
      <c r="S480" s="17">
        <f t="shared" si="158"/>
        <v>0.02</v>
      </c>
      <c r="T480">
        <f t="shared" si="159"/>
        <v>3</v>
      </c>
      <c r="U480" s="26">
        <f t="shared" si="160"/>
        <v>45035</v>
      </c>
      <c r="V480">
        <f t="shared" si="161"/>
        <v>3</v>
      </c>
      <c r="W480" s="10">
        <f t="shared" si="162"/>
        <v>2307789.3498</v>
      </c>
      <c r="X480" s="10">
        <f t="shared" si="163"/>
        <v>23082.51</v>
      </c>
      <c r="Y480" s="10">
        <f t="shared" si="164"/>
        <v>2284706.8398</v>
      </c>
      <c r="Z480" s="14">
        <f t="shared" si="168"/>
        <v>0.98999799959992</v>
      </c>
      <c r="AA480" t="s">
        <v>1571</v>
      </c>
      <c r="AB480" t="str">
        <f t="shared" si="165"/>
        <v>Q2-2023</v>
      </c>
      <c r="AC480" t="str">
        <f t="shared" si="166"/>
        <v>Europe → Germany → Munich</v>
      </c>
      <c r="AD480" t="str">
        <f t="shared" si="167"/>
        <v>Support</v>
      </c>
      <c r="AE480" s="8" t="str">
        <f t="shared" si="154"/>
        <v>Low</v>
      </c>
      <c r="AF480" t="str">
        <f t="shared" si="169"/>
        <v>GERMANY</v>
      </c>
      <c r="AG480" s="7">
        <v>44948</v>
      </c>
      <c r="AH480" t="str">
        <f t="shared" si="170"/>
        <v>Jan-2023</v>
      </c>
      <c r="AI480" s="9">
        <f t="shared" si="171"/>
        <v>45046</v>
      </c>
      <c r="AJ480">
        <f t="shared" si="175"/>
        <v>1</v>
      </c>
      <c r="AK480">
        <f t="shared" si="172"/>
        <v>0</v>
      </c>
      <c r="AL480" s="17">
        <f>MIN(N480,'Scenario Modelling'!$B$2)</f>
        <v>0.02</v>
      </c>
      <c r="AM480" s="10">
        <f>L480*(1+'Scenario Modelling'!$B$3)</f>
        <v>636.6515</v>
      </c>
      <c r="AN480">
        <f>O480*(1+'Scenario Modelling'!$B$4)</f>
        <v>39.6</v>
      </c>
      <c r="AO480" s="28">
        <f t="shared" si="173"/>
        <v>27145.03176</v>
      </c>
      <c r="AP480" s="10">
        <f t="shared" si="174"/>
        <v>1933.63236</v>
      </c>
    </row>
    <row r="481" spans="1:42">
      <c r="A481" t="s">
        <v>1222</v>
      </c>
      <c r="B481" s="7">
        <v>45293</v>
      </c>
      <c r="C481" s="7">
        <v>45306</v>
      </c>
      <c r="D481" t="s">
        <v>206</v>
      </c>
      <c r="E481" t="s">
        <v>207</v>
      </c>
      <c r="F481" t="s">
        <v>392</v>
      </c>
      <c r="G481" t="s">
        <v>223</v>
      </c>
      <c r="H481" t="s">
        <v>201</v>
      </c>
      <c r="I481" t="s">
        <v>202</v>
      </c>
      <c r="J481" t="s">
        <v>196</v>
      </c>
      <c r="K481" t="s">
        <v>1223</v>
      </c>
      <c r="L481" s="10">
        <v>1219.06</v>
      </c>
      <c r="M481" s="10">
        <v>2738.69</v>
      </c>
      <c r="N481" s="17">
        <v>0.076</v>
      </c>
      <c r="O481">
        <v>16</v>
      </c>
      <c r="P481" t="str">
        <f t="shared" si="155"/>
        <v>Valid</v>
      </c>
      <c r="Q481" s="10">
        <f t="shared" si="156"/>
        <v>2738.69</v>
      </c>
      <c r="R481" t="b">
        <f t="shared" si="157"/>
        <v>0</v>
      </c>
      <c r="S481" s="17">
        <f t="shared" si="158"/>
        <v>0.076</v>
      </c>
      <c r="T481">
        <f t="shared" si="159"/>
        <v>13</v>
      </c>
      <c r="U481" s="26">
        <f t="shared" si="160"/>
        <v>45306</v>
      </c>
      <c r="V481">
        <f t="shared" si="161"/>
        <v>13</v>
      </c>
      <c r="W481" s="10">
        <f t="shared" si="162"/>
        <v>4378573.75296</v>
      </c>
      <c r="X481" s="10">
        <f t="shared" si="163"/>
        <v>43819.04</v>
      </c>
      <c r="Y481" s="10">
        <f t="shared" si="164"/>
        <v>4334754.71296</v>
      </c>
      <c r="Z481" s="14">
        <f t="shared" si="168"/>
        <v>0.989992394219607</v>
      </c>
      <c r="AA481" t="s">
        <v>1568</v>
      </c>
      <c r="AB481" t="str">
        <f t="shared" si="165"/>
        <v>Q1-2024</v>
      </c>
      <c r="AC481" t="str">
        <f t="shared" si="166"/>
        <v>Asia → Japan → Nagoya</v>
      </c>
      <c r="AD481" t="str">
        <f t="shared" si="167"/>
        <v>Support</v>
      </c>
      <c r="AE481" s="8" t="str">
        <f t="shared" si="154"/>
        <v>Medium</v>
      </c>
      <c r="AF481" t="str">
        <f t="shared" si="169"/>
        <v>JAPAN</v>
      </c>
      <c r="AG481" s="7">
        <v>44988</v>
      </c>
      <c r="AH481" t="str">
        <f t="shared" si="170"/>
        <v>Mar-2023</v>
      </c>
      <c r="AI481" s="9">
        <f t="shared" si="171"/>
        <v>45322</v>
      </c>
      <c r="AJ481">
        <f t="shared" si="175"/>
        <v>0</v>
      </c>
      <c r="AK481">
        <f t="shared" si="172"/>
        <v>0</v>
      </c>
      <c r="AL481" s="17">
        <f>MIN(N481,'Scenario Modelling'!$B$2)</f>
        <v>0.076</v>
      </c>
      <c r="AM481" s="10">
        <f>L481*(1+'Scenario Modelling'!$B$3)</f>
        <v>1401.919</v>
      </c>
      <c r="AN481">
        <f>O481*(1+'Scenario Modelling'!$B$4)</f>
        <v>19.2</v>
      </c>
      <c r="AO481" s="28">
        <f t="shared" si="173"/>
        <v>48586.551552</v>
      </c>
      <c r="AP481" s="10">
        <f t="shared" si="174"/>
        <v>21669.706752</v>
      </c>
    </row>
    <row r="482" spans="1:42">
      <c r="A482" t="s">
        <v>1224</v>
      </c>
      <c r="B482" s="7">
        <v>45538</v>
      </c>
      <c r="C482" s="7">
        <v>45542</v>
      </c>
      <c r="D482" t="s">
        <v>206</v>
      </c>
      <c r="E482" t="s">
        <v>207</v>
      </c>
      <c r="F482" t="s">
        <v>375</v>
      </c>
      <c r="G482" t="s">
        <v>223</v>
      </c>
      <c r="H482" t="s">
        <v>216</v>
      </c>
      <c r="I482" t="s">
        <v>287</v>
      </c>
      <c r="J482" t="s">
        <v>191</v>
      </c>
      <c r="K482" t="s">
        <v>1225</v>
      </c>
      <c r="L482" s="10">
        <v>43.23</v>
      </c>
      <c r="M482" s="10">
        <v>94.78</v>
      </c>
      <c r="N482" s="17">
        <v>0.091</v>
      </c>
      <c r="O482">
        <v>55</v>
      </c>
      <c r="P482" t="str">
        <f t="shared" si="155"/>
        <v>Valid</v>
      </c>
      <c r="Q482" s="10">
        <f t="shared" si="156"/>
        <v>94.78</v>
      </c>
      <c r="R482" t="b">
        <f t="shared" si="157"/>
        <v>0</v>
      </c>
      <c r="S482" s="17">
        <f t="shared" si="158"/>
        <v>0.091</v>
      </c>
      <c r="T482">
        <f t="shared" si="159"/>
        <v>4</v>
      </c>
      <c r="U482" s="26">
        <f t="shared" si="160"/>
        <v>45542</v>
      </c>
      <c r="V482">
        <f t="shared" si="161"/>
        <v>4</v>
      </c>
      <c r="W482" s="10">
        <f t="shared" si="162"/>
        <v>520815.6261</v>
      </c>
      <c r="X482" s="10">
        <f t="shared" si="163"/>
        <v>5212.9</v>
      </c>
      <c r="Y482" s="10">
        <f t="shared" si="164"/>
        <v>515602.7261</v>
      </c>
      <c r="Z482" s="14">
        <f t="shared" si="168"/>
        <v>0.989990891711457</v>
      </c>
      <c r="AA482" t="s">
        <v>1592</v>
      </c>
      <c r="AB482" t="str">
        <f t="shared" si="165"/>
        <v>Q3-2024</v>
      </c>
      <c r="AC482" t="str">
        <f t="shared" si="166"/>
        <v>Asia → Japan → Tokyo</v>
      </c>
      <c r="AD482" t="str">
        <f t="shared" si="167"/>
        <v>Peripherals</v>
      </c>
      <c r="AE482" s="8" t="str">
        <f t="shared" si="154"/>
        <v>Medium</v>
      </c>
      <c r="AF482" t="str">
        <f t="shared" si="169"/>
        <v>JAPAN</v>
      </c>
      <c r="AG482" s="7">
        <v>44988</v>
      </c>
      <c r="AH482" t="str">
        <f t="shared" si="170"/>
        <v>Mar-2023</v>
      </c>
      <c r="AI482" s="9">
        <f t="shared" si="171"/>
        <v>45565</v>
      </c>
      <c r="AJ482">
        <f t="shared" si="175"/>
        <v>1</v>
      </c>
      <c r="AK482">
        <f t="shared" si="172"/>
        <v>0</v>
      </c>
      <c r="AL482" s="17">
        <f>MIN(N482,'Scenario Modelling'!$B$2)</f>
        <v>0.091</v>
      </c>
      <c r="AM482" s="10">
        <f>L482*(1+'Scenario Modelling'!$B$3)</f>
        <v>49.7145</v>
      </c>
      <c r="AN482">
        <f>O482*(1+'Scenario Modelling'!$B$4)</f>
        <v>66</v>
      </c>
      <c r="AO482" s="28">
        <f t="shared" si="173"/>
        <v>5686.23132</v>
      </c>
      <c r="AP482" s="10">
        <f t="shared" si="174"/>
        <v>2405.07432</v>
      </c>
    </row>
    <row r="483" spans="1:42">
      <c r="A483" t="s">
        <v>1226</v>
      </c>
      <c r="B483" s="7">
        <v>45899</v>
      </c>
      <c r="C483" s="7">
        <v>45903</v>
      </c>
      <c r="D483" t="s">
        <v>239</v>
      </c>
      <c r="E483" t="s">
        <v>251</v>
      </c>
      <c r="F483" t="s">
        <v>252</v>
      </c>
      <c r="G483" t="s">
        <v>223</v>
      </c>
      <c r="H483" t="s">
        <v>201</v>
      </c>
      <c r="I483" t="s">
        <v>190</v>
      </c>
      <c r="J483" t="s">
        <v>218</v>
      </c>
      <c r="K483" t="s">
        <v>1227</v>
      </c>
      <c r="L483" s="10">
        <v>1286.56</v>
      </c>
      <c r="M483" s="10">
        <v>2777.35</v>
      </c>
      <c r="N483" s="17">
        <v>0.132</v>
      </c>
      <c r="O483">
        <v>15</v>
      </c>
      <c r="P483" t="str">
        <f t="shared" si="155"/>
        <v>Valid</v>
      </c>
      <c r="Q483" s="10">
        <f t="shared" si="156"/>
        <v>2777.35</v>
      </c>
      <c r="R483" t="b">
        <f t="shared" si="157"/>
        <v>0</v>
      </c>
      <c r="S483" s="17">
        <f t="shared" si="158"/>
        <v>0.132</v>
      </c>
      <c r="T483">
        <f t="shared" si="159"/>
        <v>4</v>
      </c>
      <c r="U483" s="26">
        <f t="shared" si="160"/>
        <v>45903</v>
      </c>
      <c r="V483">
        <f t="shared" si="161"/>
        <v>4</v>
      </c>
      <c r="W483" s="10">
        <f t="shared" si="162"/>
        <v>4160525.847</v>
      </c>
      <c r="X483" s="10">
        <f t="shared" si="163"/>
        <v>41660.25</v>
      </c>
      <c r="Y483" s="10">
        <f t="shared" si="164"/>
        <v>4118865.597</v>
      </c>
      <c r="Z483" s="14">
        <f t="shared" si="168"/>
        <v>0.98998678255297</v>
      </c>
      <c r="AA483" t="s">
        <v>1590</v>
      </c>
      <c r="AB483" t="str">
        <f t="shared" si="165"/>
        <v>Q3-2025</v>
      </c>
      <c r="AC483" t="str">
        <f t="shared" si="166"/>
        <v>Europe → France → Marseille</v>
      </c>
      <c r="AD483" t="str">
        <f t="shared" si="167"/>
        <v>Devices</v>
      </c>
      <c r="AE483" s="8" t="str">
        <f t="shared" si="154"/>
        <v>High</v>
      </c>
      <c r="AF483" t="str">
        <f t="shared" si="169"/>
        <v>FRANCE</v>
      </c>
      <c r="AG483" s="7">
        <v>44936</v>
      </c>
      <c r="AH483" t="str">
        <f t="shared" si="170"/>
        <v>Jan-2023</v>
      </c>
      <c r="AI483" s="9">
        <f t="shared" si="171"/>
        <v>45900</v>
      </c>
      <c r="AJ483">
        <f t="shared" si="175"/>
        <v>1</v>
      </c>
      <c r="AK483">
        <f t="shared" si="172"/>
        <v>0</v>
      </c>
      <c r="AL483" s="17">
        <f>MIN(N483,'Scenario Modelling'!$B$2)</f>
        <v>0.132</v>
      </c>
      <c r="AM483" s="10">
        <f>L483*(1+'Scenario Modelling'!$B$3)</f>
        <v>1479.544</v>
      </c>
      <c r="AN483">
        <f>O483*(1+'Scenario Modelling'!$B$4)</f>
        <v>18</v>
      </c>
      <c r="AO483" s="28">
        <f t="shared" si="173"/>
        <v>43393.3164</v>
      </c>
      <c r="AP483" s="10">
        <f t="shared" si="174"/>
        <v>16761.5244</v>
      </c>
    </row>
    <row r="484" spans="1:42">
      <c r="A484" t="s">
        <v>1228</v>
      </c>
      <c r="B484" s="7">
        <v>45775</v>
      </c>
      <c r="C484" s="7">
        <v>45796</v>
      </c>
      <c r="D484" t="s">
        <v>239</v>
      </c>
      <c r="E484" t="s">
        <v>240</v>
      </c>
      <c r="F484" t="s">
        <v>241</v>
      </c>
      <c r="G484" t="s">
        <v>180</v>
      </c>
      <c r="H484" t="s">
        <v>216</v>
      </c>
      <c r="I484" t="s">
        <v>217</v>
      </c>
      <c r="J484" t="s">
        <v>203</v>
      </c>
      <c r="K484" t="s">
        <v>1229</v>
      </c>
      <c r="L484" s="10">
        <v>350.76</v>
      </c>
      <c r="M484" s="10">
        <v>492.18</v>
      </c>
      <c r="N484" s="17">
        <v>0.053</v>
      </c>
      <c r="O484">
        <v>11</v>
      </c>
      <c r="P484" t="str">
        <f t="shared" si="155"/>
        <v>Valid</v>
      </c>
      <c r="Q484" s="10">
        <f t="shared" si="156"/>
        <v>492.18</v>
      </c>
      <c r="R484" t="b">
        <f t="shared" si="157"/>
        <v>0</v>
      </c>
      <c r="S484" s="17">
        <f t="shared" si="158"/>
        <v>0.053</v>
      </c>
      <c r="T484">
        <f t="shared" si="159"/>
        <v>21</v>
      </c>
      <c r="U484" s="26">
        <f t="shared" si="160"/>
        <v>45796</v>
      </c>
      <c r="V484">
        <f t="shared" si="161"/>
        <v>21</v>
      </c>
      <c r="W484" s="10">
        <f t="shared" si="162"/>
        <v>541111.05906</v>
      </c>
      <c r="X484" s="10">
        <f t="shared" si="163"/>
        <v>5413.98</v>
      </c>
      <c r="Y484" s="10">
        <f t="shared" si="164"/>
        <v>535697.07906</v>
      </c>
      <c r="Z484" s="14">
        <f t="shared" si="168"/>
        <v>0.98999469718951</v>
      </c>
      <c r="AA484" t="s">
        <v>1578</v>
      </c>
      <c r="AB484" t="str">
        <f t="shared" si="165"/>
        <v>Q2-2025</v>
      </c>
      <c r="AC484" t="str">
        <f t="shared" si="166"/>
        <v>Europe → Germany → Berlin</v>
      </c>
      <c r="AD484" t="str">
        <f t="shared" si="167"/>
        <v>Devices</v>
      </c>
      <c r="AE484" s="8" t="str">
        <f t="shared" si="154"/>
        <v>High</v>
      </c>
      <c r="AF484" t="str">
        <f t="shared" si="169"/>
        <v>GERMANY</v>
      </c>
      <c r="AG484" s="7">
        <v>44948</v>
      </c>
      <c r="AH484" t="str">
        <f t="shared" si="170"/>
        <v>Jan-2023</v>
      </c>
      <c r="AI484" s="9">
        <f t="shared" si="171"/>
        <v>45777</v>
      </c>
      <c r="AJ484">
        <f t="shared" si="175"/>
        <v>0</v>
      </c>
      <c r="AK484">
        <f t="shared" si="172"/>
        <v>0</v>
      </c>
      <c r="AL484" s="17">
        <f>MIN(N484,'Scenario Modelling'!$B$2)</f>
        <v>0.053</v>
      </c>
      <c r="AM484" s="10">
        <f>L484*(1+'Scenario Modelling'!$B$3)</f>
        <v>403.374</v>
      </c>
      <c r="AN484">
        <f>O484*(1+'Scenario Modelling'!$B$4)</f>
        <v>13.2</v>
      </c>
      <c r="AO484" s="28">
        <f t="shared" si="173"/>
        <v>6152.446872</v>
      </c>
      <c r="AP484" s="10">
        <f t="shared" si="174"/>
        <v>827.910072</v>
      </c>
    </row>
    <row r="485" spans="1:42">
      <c r="A485" t="s">
        <v>1230</v>
      </c>
      <c r="B485" s="7">
        <v>45148</v>
      </c>
      <c r="C485" s="7">
        <v>45153</v>
      </c>
      <c r="D485" t="s">
        <v>213</v>
      </c>
      <c r="E485" t="s">
        <v>234</v>
      </c>
      <c r="F485" t="s">
        <v>235</v>
      </c>
      <c r="G485" t="s">
        <v>188</v>
      </c>
      <c r="H485" t="s">
        <v>259</v>
      </c>
      <c r="I485" t="s">
        <v>202</v>
      </c>
      <c r="J485" t="s">
        <v>196</v>
      </c>
      <c r="K485" t="s">
        <v>1231</v>
      </c>
      <c r="L485" s="10">
        <v>1307.52</v>
      </c>
      <c r="M485" s="10">
        <v>1921.65</v>
      </c>
      <c r="N485" s="17">
        <v>0.123</v>
      </c>
      <c r="O485">
        <v>13</v>
      </c>
      <c r="P485" t="str">
        <f t="shared" si="155"/>
        <v>Valid</v>
      </c>
      <c r="Q485" s="10">
        <f t="shared" si="156"/>
        <v>1921.65</v>
      </c>
      <c r="R485" t="b">
        <f t="shared" si="157"/>
        <v>0</v>
      </c>
      <c r="S485" s="17">
        <f t="shared" si="158"/>
        <v>0.123</v>
      </c>
      <c r="T485">
        <f t="shared" si="159"/>
        <v>5</v>
      </c>
      <c r="U485" s="26">
        <f t="shared" si="160"/>
        <v>45153</v>
      </c>
      <c r="V485">
        <f t="shared" si="161"/>
        <v>5</v>
      </c>
      <c r="W485" s="10">
        <f t="shared" si="162"/>
        <v>2495072.28165</v>
      </c>
      <c r="X485" s="10">
        <f t="shared" si="163"/>
        <v>24981.45</v>
      </c>
      <c r="Y485" s="10">
        <f t="shared" si="164"/>
        <v>2470090.83165</v>
      </c>
      <c r="Z485" s="14">
        <f t="shared" si="168"/>
        <v>0.989987684852368</v>
      </c>
      <c r="AA485" t="s">
        <v>1585</v>
      </c>
      <c r="AB485" t="str">
        <f t="shared" si="165"/>
        <v>Q3-2023</v>
      </c>
      <c r="AC485" t="str">
        <f t="shared" si="166"/>
        <v>Americas → Brazil → São Paulo</v>
      </c>
      <c r="AD485" t="str">
        <f t="shared" si="167"/>
        <v>Support</v>
      </c>
      <c r="AE485" s="8" t="str">
        <f t="shared" si="154"/>
        <v>Low</v>
      </c>
      <c r="AF485" t="str">
        <f t="shared" si="169"/>
        <v>BRAZIL</v>
      </c>
      <c r="AG485" s="7">
        <v>44955</v>
      </c>
      <c r="AH485" t="str">
        <f t="shared" si="170"/>
        <v>Jan-2023</v>
      </c>
      <c r="AI485" s="9">
        <f t="shared" si="171"/>
        <v>45169</v>
      </c>
      <c r="AJ485">
        <f t="shared" si="175"/>
        <v>1</v>
      </c>
      <c r="AK485">
        <f t="shared" si="172"/>
        <v>0</v>
      </c>
      <c r="AL485" s="17">
        <f>MIN(N485,'Scenario Modelling'!$B$2)</f>
        <v>0.123</v>
      </c>
      <c r="AM485" s="10">
        <f>L485*(1+'Scenario Modelling'!$B$3)</f>
        <v>1503.648</v>
      </c>
      <c r="AN485">
        <f>O485*(1+'Scenario Modelling'!$B$4)</f>
        <v>15.6</v>
      </c>
      <c r="AO485" s="28">
        <f t="shared" si="173"/>
        <v>26290.47798</v>
      </c>
      <c r="AP485" s="10">
        <f t="shared" si="174"/>
        <v>2833.56918</v>
      </c>
    </row>
    <row r="486" spans="1:42">
      <c r="A486" t="s">
        <v>1232</v>
      </c>
      <c r="B486" s="7">
        <v>45634</v>
      </c>
      <c r="C486" s="7">
        <v>45634</v>
      </c>
      <c r="D486" t="s">
        <v>239</v>
      </c>
      <c r="E486" t="s">
        <v>251</v>
      </c>
      <c r="F486" t="s">
        <v>299</v>
      </c>
      <c r="G486" t="s">
        <v>266</v>
      </c>
      <c r="H486" t="s">
        <v>181</v>
      </c>
      <c r="I486" t="s">
        <v>253</v>
      </c>
      <c r="J486" t="s">
        <v>183</v>
      </c>
      <c r="K486" t="s">
        <v>1233</v>
      </c>
      <c r="L486" s="10">
        <v>257.44</v>
      </c>
      <c r="M486" s="10">
        <v>290.33</v>
      </c>
      <c r="N486" s="17">
        <v>0.092</v>
      </c>
      <c r="O486">
        <v>23</v>
      </c>
      <c r="P486" t="str">
        <f t="shared" si="155"/>
        <v>Valid</v>
      </c>
      <c r="Q486" s="10">
        <f t="shared" si="156"/>
        <v>290.33</v>
      </c>
      <c r="R486" t="b">
        <f t="shared" si="157"/>
        <v>0</v>
      </c>
      <c r="S486" s="17">
        <f t="shared" si="158"/>
        <v>0.092</v>
      </c>
      <c r="T486">
        <f t="shared" si="159"/>
        <v>0</v>
      </c>
      <c r="U486" s="26">
        <f t="shared" si="160"/>
        <v>45634</v>
      </c>
      <c r="V486">
        <f t="shared" si="161"/>
        <v>0</v>
      </c>
      <c r="W486" s="10">
        <f t="shared" si="162"/>
        <v>667144.66172</v>
      </c>
      <c r="X486" s="10">
        <f t="shared" si="163"/>
        <v>6677.59</v>
      </c>
      <c r="Y486" s="10">
        <f t="shared" si="164"/>
        <v>660467.07172</v>
      </c>
      <c r="Z486" s="14">
        <f t="shared" si="168"/>
        <v>0.989990791528206</v>
      </c>
      <c r="AA486" t="s">
        <v>1565</v>
      </c>
      <c r="AB486" t="str">
        <f t="shared" si="165"/>
        <v>Q4-2024</v>
      </c>
      <c r="AC486" t="str">
        <f t="shared" si="166"/>
        <v>Europe → France → Lyon</v>
      </c>
      <c r="AD486" t="str">
        <f t="shared" si="167"/>
        <v>Support</v>
      </c>
      <c r="AE486" s="8" t="str">
        <f t="shared" si="154"/>
        <v>High</v>
      </c>
      <c r="AF486" t="str">
        <f t="shared" si="169"/>
        <v>FRANCE</v>
      </c>
      <c r="AG486" s="7">
        <v>44936</v>
      </c>
      <c r="AH486" t="str">
        <f t="shared" si="170"/>
        <v>Jan-2023</v>
      </c>
      <c r="AI486" s="9">
        <f t="shared" si="171"/>
        <v>45657</v>
      </c>
      <c r="AJ486">
        <f t="shared" si="175"/>
        <v>1</v>
      </c>
      <c r="AK486">
        <f t="shared" si="172"/>
        <v>0</v>
      </c>
      <c r="AL486" s="17">
        <f>MIN(N486,'Scenario Modelling'!$B$2)</f>
        <v>0.092</v>
      </c>
      <c r="AM486" s="10">
        <f>L486*(1+'Scenario Modelling'!$B$3)</f>
        <v>296.056</v>
      </c>
      <c r="AN486">
        <f>O486*(1+'Scenario Modelling'!$B$4)</f>
        <v>27.6</v>
      </c>
      <c r="AO486" s="28">
        <f t="shared" si="173"/>
        <v>7275.902064</v>
      </c>
      <c r="AP486" s="10">
        <f t="shared" si="174"/>
        <v>-895.243535999999</v>
      </c>
    </row>
    <row r="487" spans="1:42">
      <c r="A487" t="s">
        <v>1234</v>
      </c>
      <c r="B487" s="7">
        <v>45224</v>
      </c>
      <c r="C487" s="7">
        <v>45254</v>
      </c>
      <c r="D487" t="s">
        <v>239</v>
      </c>
      <c r="E487" t="s">
        <v>251</v>
      </c>
      <c r="F487" t="s">
        <v>378</v>
      </c>
      <c r="G487" t="s">
        <v>266</v>
      </c>
      <c r="H487" t="s">
        <v>216</v>
      </c>
      <c r="I487" t="s">
        <v>182</v>
      </c>
      <c r="J487" t="s">
        <v>203</v>
      </c>
      <c r="K487" t="s">
        <v>1235</v>
      </c>
      <c r="L487" s="10">
        <v>287.85</v>
      </c>
      <c r="M487" s="10">
        <v>602.92</v>
      </c>
      <c r="N487" s="17">
        <v>0.222</v>
      </c>
      <c r="O487">
        <v>11</v>
      </c>
      <c r="P487" t="str">
        <f t="shared" si="155"/>
        <v>Valid</v>
      </c>
      <c r="Q487" s="10">
        <f t="shared" si="156"/>
        <v>602.92</v>
      </c>
      <c r="R487" t="b">
        <f t="shared" si="157"/>
        <v>0</v>
      </c>
      <c r="S487" s="17">
        <f t="shared" si="158"/>
        <v>0.222</v>
      </c>
      <c r="T487">
        <f t="shared" si="159"/>
        <v>30</v>
      </c>
      <c r="U487" s="26">
        <f t="shared" si="160"/>
        <v>45254</v>
      </c>
      <c r="V487">
        <f t="shared" si="161"/>
        <v>30</v>
      </c>
      <c r="W487" s="10">
        <f t="shared" si="162"/>
        <v>661739.66936</v>
      </c>
      <c r="X487" s="10">
        <f t="shared" si="163"/>
        <v>6632.12</v>
      </c>
      <c r="Y487" s="10">
        <f t="shared" si="164"/>
        <v>655107.54936</v>
      </c>
      <c r="Z487" s="14">
        <f t="shared" si="168"/>
        <v>0.989977750606346</v>
      </c>
      <c r="AA487" t="s">
        <v>1595</v>
      </c>
      <c r="AB487" t="str">
        <f t="shared" si="165"/>
        <v>Q4-2023</v>
      </c>
      <c r="AC487" t="str">
        <f t="shared" si="166"/>
        <v>Europe → France → Paris</v>
      </c>
      <c r="AD487" t="str">
        <f t="shared" si="167"/>
        <v>Devices</v>
      </c>
      <c r="AE487" s="8" t="str">
        <f t="shared" si="154"/>
        <v>Low</v>
      </c>
      <c r="AF487" t="str">
        <f t="shared" si="169"/>
        <v>FRANCE</v>
      </c>
      <c r="AG487" s="7">
        <v>44936</v>
      </c>
      <c r="AH487" t="str">
        <f t="shared" si="170"/>
        <v>Jan-2023</v>
      </c>
      <c r="AI487" s="9">
        <f t="shared" si="171"/>
        <v>45230</v>
      </c>
      <c r="AJ487">
        <f t="shared" si="175"/>
        <v>0</v>
      </c>
      <c r="AK487">
        <f t="shared" si="172"/>
        <v>1</v>
      </c>
      <c r="AL487" s="17">
        <f>MIN(N487,'Scenario Modelling'!$B$2)</f>
        <v>0.222</v>
      </c>
      <c r="AM487" s="10">
        <f>L487*(1+'Scenario Modelling'!$B$3)</f>
        <v>331.0275</v>
      </c>
      <c r="AN487">
        <f>O487*(1+'Scenario Modelling'!$B$4)</f>
        <v>13.2</v>
      </c>
      <c r="AO487" s="28">
        <f t="shared" si="173"/>
        <v>6191.747232</v>
      </c>
      <c r="AP487" s="10">
        <f t="shared" si="174"/>
        <v>1822.184232</v>
      </c>
    </row>
    <row r="488" spans="1:42">
      <c r="A488" t="s">
        <v>1236</v>
      </c>
      <c r="B488" s="7">
        <v>45613</v>
      </c>
      <c r="C488" s="7">
        <v>45624</v>
      </c>
      <c r="D488" t="s">
        <v>213</v>
      </c>
      <c r="E488" t="s">
        <v>214</v>
      </c>
      <c r="F488" t="s">
        <v>1591</v>
      </c>
      <c r="G488" t="s">
        <v>209</v>
      </c>
      <c r="H488" t="s">
        <v>216</v>
      </c>
      <c r="I488" t="s">
        <v>236</v>
      </c>
      <c r="J488" t="s">
        <v>191</v>
      </c>
      <c r="K488" t="s">
        <v>1237</v>
      </c>
      <c r="L488" s="10">
        <v>1008.16</v>
      </c>
      <c r="M488" s="10">
        <v>2077.5</v>
      </c>
      <c r="N488" s="17">
        <v>0.074</v>
      </c>
      <c r="O488">
        <v>15</v>
      </c>
      <c r="P488" t="str">
        <f t="shared" si="155"/>
        <v>Valid</v>
      </c>
      <c r="Q488" s="10">
        <f t="shared" si="156"/>
        <v>2077.5</v>
      </c>
      <c r="R488" t="b">
        <f t="shared" si="157"/>
        <v>0</v>
      </c>
      <c r="S488" s="17">
        <f t="shared" si="158"/>
        <v>0.074</v>
      </c>
      <c r="T488">
        <f t="shared" si="159"/>
        <v>11</v>
      </c>
      <c r="U488" s="26">
        <f t="shared" si="160"/>
        <v>45624</v>
      </c>
      <c r="V488">
        <f t="shared" si="161"/>
        <v>11</v>
      </c>
      <c r="W488" s="10">
        <f t="shared" si="162"/>
        <v>3113943.975</v>
      </c>
      <c r="X488" s="10">
        <f t="shared" si="163"/>
        <v>31162.5</v>
      </c>
      <c r="Y488" s="10">
        <f t="shared" si="164"/>
        <v>3082781.475</v>
      </c>
      <c r="Z488" s="14">
        <f t="shared" si="168"/>
        <v>0.989992594519945</v>
      </c>
      <c r="AA488" t="s">
        <v>1577</v>
      </c>
      <c r="AB488" t="str">
        <f t="shared" si="165"/>
        <v>Q4-2024</v>
      </c>
      <c r="AC488" t="str">
        <f t="shared" si="166"/>
        <v>Americas → Canada → Unknown City </v>
      </c>
      <c r="AD488" t="str">
        <f t="shared" si="167"/>
        <v>Peripherals</v>
      </c>
      <c r="AE488" s="8" t="str">
        <f t="shared" si="154"/>
        <v>High</v>
      </c>
      <c r="AF488" t="str">
        <f t="shared" si="169"/>
        <v>CANADA</v>
      </c>
      <c r="AG488" s="7">
        <v>44928</v>
      </c>
      <c r="AH488" t="str">
        <f t="shared" si="170"/>
        <v>Jan-2023</v>
      </c>
      <c r="AI488" s="9">
        <f t="shared" si="171"/>
        <v>45626</v>
      </c>
      <c r="AJ488">
        <f t="shared" si="175"/>
        <v>0</v>
      </c>
      <c r="AK488">
        <f t="shared" si="172"/>
        <v>0</v>
      </c>
      <c r="AL488" s="17">
        <f>MIN(N488,'Scenario Modelling'!$B$2)</f>
        <v>0.074</v>
      </c>
      <c r="AM488" s="10">
        <f>L488*(1+'Scenario Modelling'!$B$3)</f>
        <v>1159.384</v>
      </c>
      <c r="AN488">
        <f>O488*(1+'Scenario Modelling'!$B$4)</f>
        <v>18</v>
      </c>
      <c r="AO488" s="28">
        <f t="shared" si="173"/>
        <v>34627.77</v>
      </c>
      <c r="AP488" s="10">
        <f t="shared" si="174"/>
        <v>13758.858</v>
      </c>
    </row>
    <row r="489" spans="1:42">
      <c r="A489" t="s">
        <v>1238</v>
      </c>
      <c r="B489" s="7">
        <v>45424</v>
      </c>
      <c r="C489" s="7">
        <v>45436</v>
      </c>
      <c r="D489" t="s">
        <v>239</v>
      </c>
      <c r="E489" t="s">
        <v>269</v>
      </c>
      <c r="F489" t="s">
        <v>389</v>
      </c>
      <c r="G489" t="s">
        <v>188</v>
      </c>
      <c r="H489" t="s">
        <v>201</v>
      </c>
      <c r="I489" t="s">
        <v>256</v>
      </c>
      <c r="J489" t="s">
        <v>191</v>
      </c>
      <c r="K489" t="s">
        <v>1239</v>
      </c>
      <c r="L489" s="10">
        <v>111.02</v>
      </c>
      <c r="M489" s="10">
        <v>172.88</v>
      </c>
      <c r="N489" s="17">
        <v>0.197</v>
      </c>
      <c r="O489">
        <v>29</v>
      </c>
      <c r="P489" t="str">
        <f t="shared" si="155"/>
        <v>Valid</v>
      </c>
      <c r="Q489" s="10">
        <f t="shared" si="156"/>
        <v>172.88</v>
      </c>
      <c r="R489" t="b">
        <f t="shared" si="157"/>
        <v>0</v>
      </c>
      <c r="S489" s="17">
        <f t="shared" si="158"/>
        <v>0.197</v>
      </c>
      <c r="T489">
        <f t="shared" si="159"/>
        <v>12</v>
      </c>
      <c r="U489" s="26">
        <f t="shared" si="160"/>
        <v>45436</v>
      </c>
      <c r="V489">
        <f t="shared" si="161"/>
        <v>12</v>
      </c>
      <c r="W489" s="10">
        <f t="shared" si="162"/>
        <v>500364.33656</v>
      </c>
      <c r="X489" s="10">
        <f t="shared" si="163"/>
        <v>5013.52</v>
      </c>
      <c r="Y489" s="10">
        <f t="shared" si="164"/>
        <v>495350.81656</v>
      </c>
      <c r="Z489" s="14">
        <f t="shared" si="168"/>
        <v>0.989980261114395</v>
      </c>
      <c r="AA489" t="s">
        <v>1566</v>
      </c>
      <c r="AB489" t="str">
        <f t="shared" si="165"/>
        <v>Q2-2024</v>
      </c>
      <c r="AC489" t="str">
        <f t="shared" si="166"/>
        <v>Europe → United Kingdom → Manchester</v>
      </c>
      <c r="AD489" t="str">
        <f t="shared" si="167"/>
        <v>Peripherals</v>
      </c>
      <c r="AE489" s="8" t="str">
        <f t="shared" si="154"/>
        <v>Medium</v>
      </c>
      <c r="AF489" t="str">
        <f t="shared" si="169"/>
        <v>UNITED KINGDOM</v>
      </c>
      <c r="AG489" s="7">
        <v>44945</v>
      </c>
      <c r="AH489" t="str">
        <f t="shared" si="170"/>
        <v>Jan-2023</v>
      </c>
      <c r="AI489" s="9">
        <f t="shared" si="171"/>
        <v>45443</v>
      </c>
      <c r="AJ489">
        <f t="shared" si="175"/>
        <v>0</v>
      </c>
      <c r="AK489">
        <f t="shared" si="172"/>
        <v>0</v>
      </c>
      <c r="AL489" s="17">
        <f>MIN(N489,'Scenario Modelling'!$B$2)</f>
        <v>0.197</v>
      </c>
      <c r="AM489" s="10">
        <f>L489*(1+'Scenario Modelling'!$B$3)</f>
        <v>127.673</v>
      </c>
      <c r="AN489">
        <f>O489*(1+'Scenario Modelling'!$B$4)</f>
        <v>34.8</v>
      </c>
      <c r="AO489" s="28">
        <f t="shared" si="173"/>
        <v>4831.027872</v>
      </c>
      <c r="AP489" s="10">
        <f t="shared" si="174"/>
        <v>388.007472</v>
      </c>
    </row>
    <row r="490" spans="1:42">
      <c r="A490" t="s">
        <v>1240</v>
      </c>
      <c r="B490" s="7">
        <v>45792</v>
      </c>
      <c r="C490" s="7">
        <v>45813</v>
      </c>
      <c r="D490" t="s">
        <v>206</v>
      </c>
      <c r="E490" t="s">
        <v>207</v>
      </c>
      <c r="F490" t="s">
        <v>208</v>
      </c>
      <c r="G490" t="s">
        <v>266</v>
      </c>
      <c r="H490" t="s">
        <v>259</v>
      </c>
      <c r="I490" t="s">
        <v>253</v>
      </c>
      <c r="J490" t="s">
        <v>203</v>
      </c>
      <c r="K490" t="s">
        <v>1241</v>
      </c>
      <c r="L490" s="10">
        <v>1466.5</v>
      </c>
      <c r="M490" s="10">
        <v>2778.74</v>
      </c>
      <c r="N490" s="17">
        <v>0.135</v>
      </c>
      <c r="O490">
        <v>4</v>
      </c>
      <c r="P490" t="str">
        <f t="shared" si="155"/>
        <v>Valid</v>
      </c>
      <c r="Q490" s="10">
        <f t="shared" si="156"/>
        <v>2778.74</v>
      </c>
      <c r="R490" t="b">
        <f t="shared" si="157"/>
        <v>0</v>
      </c>
      <c r="S490" s="17">
        <f t="shared" si="158"/>
        <v>0.135</v>
      </c>
      <c r="T490">
        <f t="shared" si="159"/>
        <v>21</v>
      </c>
      <c r="U490" s="26">
        <f t="shared" si="160"/>
        <v>45813</v>
      </c>
      <c r="V490">
        <f t="shared" si="161"/>
        <v>21</v>
      </c>
      <c r="W490" s="10">
        <f t="shared" si="162"/>
        <v>1109995.4804</v>
      </c>
      <c r="X490" s="10">
        <f t="shared" si="163"/>
        <v>11114.96</v>
      </c>
      <c r="Y490" s="10">
        <f t="shared" si="164"/>
        <v>1098880.5204</v>
      </c>
      <c r="Z490" s="14">
        <f t="shared" si="168"/>
        <v>0.989986481750363</v>
      </c>
      <c r="AA490" t="s">
        <v>1567</v>
      </c>
      <c r="AB490" t="str">
        <f t="shared" si="165"/>
        <v>Q2-2025</v>
      </c>
      <c r="AC490" t="str">
        <f t="shared" si="166"/>
        <v>Asia → Japan → Osaka</v>
      </c>
      <c r="AD490" t="str">
        <f t="shared" si="167"/>
        <v>Devices</v>
      </c>
      <c r="AE490" s="8" t="str">
        <f t="shared" si="154"/>
        <v>High</v>
      </c>
      <c r="AF490" t="str">
        <f t="shared" si="169"/>
        <v>JAPAN</v>
      </c>
      <c r="AG490" s="7">
        <v>44988</v>
      </c>
      <c r="AH490" t="str">
        <f t="shared" si="170"/>
        <v>Mar-2023</v>
      </c>
      <c r="AI490" s="9">
        <f t="shared" si="171"/>
        <v>45808</v>
      </c>
      <c r="AJ490">
        <f t="shared" si="175"/>
        <v>0</v>
      </c>
      <c r="AK490">
        <f t="shared" si="172"/>
        <v>0</v>
      </c>
      <c r="AL490" s="17">
        <f>MIN(N490,'Scenario Modelling'!$B$2)</f>
        <v>0.135</v>
      </c>
      <c r="AM490" s="10">
        <f>L490*(1+'Scenario Modelling'!$B$3)</f>
        <v>1686.475</v>
      </c>
      <c r="AN490">
        <f>O490*(1+'Scenario Modelling'!$B$4)</f>
        <v>4.8</v>
      </c>
      <c r="AO490" s="28">
        <f t="shared" si="173"/>
        <v>11537.32848</v>
      </c>
      <c r="AP490" s="10">
        <f t="shared" si="174"/>
        <v>3442.24848</v>
      </c>
    </row>
    <row r="491" spans="1:42">
      <c r="A491" t="s">
        <v>1242</v>
      </c>
      <c r="B491" s="7">
        <v>45403</v>
      </c>
      <c r="C491" s="7">
        <v>45431</v>
      </c>
      <c r="D491" t="s">
        <v>177</v>
      </c>
      <c r="E491" t="s">
        <v>186</v>
      </c>
      <c r="F491" t="s">
        <v>199</v>
      </c>
      <c r="G491" t="s">
        <v>180</v>
      </c>
      <c r="H491" t="s">
        <v>216</v>
      </c>
      <c r="I491" t="s">
        <v>236</v>
      </c>
      <c r="J491" t="s">
        <v>242</v>
      </c>
      <c r="K491" t="s">
        <v>1243</v>
      </c>
      <c r="L491" s="10">
        <v>187.22</v>
      </c>
      <c r="M491" s="10">
        <v>309.47</v>
      </c>
      <c r="N491" s="17">
        <v>0</v>
      </c>
      <c r="O491">
        <v>5</v>
      </c>
      <c r="P491" t="str">
        <f t="shared" si="155"/>
        <v>Valid</v>
      </c>
      <c r="Q491" s="10">
        <f t="shared" si="156"/>
        <v>309.47</v>
      </c>
      <c r="R491" t="b">
        <f t="shared" si="157"/>
        <v>0</v>
      </c>
      <c r="S491" s="17">
        <f t="shared" si="158"/>
        <v>0</v>
      </c>
      <c r="T491">
        <f t="shared" si="159"/>
        <v>28</v>
      </c>
      <c r="U491" s="26">
        <f t="shared" si="160"/>
        <v>45431</v>
      </c>
      <c r="V491">
        <f t="shared" si="161"/>
        <v>28</v>
      </c>
      <c r="W491" s="10">
        <f t="shared" si="162"/>
        <v>154735</v>
      </c>
      <c r="X491" s="10">
        <f t="shared" si="163"/>
        <v>1547.35</v>
      </c>
      <c r="Y491" s="10">
        <f t="shared" si="164"/>
        <v>153187.65</v>
      </c>
      <c r="Z491" s="14">
        <f t="shared" si="168"/>
        <v>0.99</v>
      </c>
      <c r="AA491" t="s">
        <v>1580</v>
      </c>
      <c r="AB491" t="str">
        <f t="shared" si="165"/>
        <v>Q2-2024</v>
      </c>
      <c r="AC491" t="str">
        <f t="shared" si="166"/>
        <v>Africa → Nigeria → Lagos</v>
      </c>
      <c r="AD491" t="str">
        <f t="shared" si="167"/>
        <v>Support</v>
      </c>
      <c r="AE491" s="8" t="str">
        <f t="shared" si="154"/>
        <v>Medium</v>
      </c>
      <c r="AF491" t="str">
        <f t="shared" si="169"/>
        <v>NIGERIA</v>
      </c>
      <c r="AG491" s="7">
        <v>44941</v>
      </c>
      <c r="AH491" t="str">
        <f t="shared" si="170"/>
        <v>Jan-2023</v>
      </c>
      <c r="AI491" s="9">
        <f t="shared" si="171"/>
        <v>45412</v>
      </c>
      <c r="AJ491">
        <f t="shared" si="175"/>
        <v>0</v>
      </c>
      <c r="AK491">
        <f t="shared" si="172"/>
        <v>0</v>
      </c>
      <c r="AL491" s="17">
        <f>MIN(N491,'Scenario Modelling'!$B$2)</f>
        <v>0</v>
      </c>
      <c r="AM491" s="10">
        <f>L491*(1+'Scenario Modelling'!$B$3)</f>
        <v>215.303</v>
      </c>
      <c r="AN491">
        <f>O491*(1+'Scenario Modelling'!$B$4)</f>
        <v>6</v>
      </c>
      <c r="AO491" s="28">
        <f t="shared" si="173"/>
        <v>1856.82</v>
      </c>
      <c r="AP491" s="10">
        <f t="shared" si="174"/>
        <v>565.002</v>
      </c>
    </row>
    <row r="492" spans="1:42">
      <c r="A492" t="s">
        <v>1244</v>
      </c>
      <c r="B492" s="7">
        <v>45523</v>
      </c>
      <c r="C492" s="7">
        <v>45542</v>
      </c>
      <c r="D492" t="s">
        <v>239</v>
      </c>
      <c r="E492" t="s">
        <v>251</v>
      </c>
      <c r="F492" t="s">
        <v>299</v>
      </c>
      <c r="G492" t="s">
        <v>180</v>
      </c>
      <c r="H492" t="s">
        <v>259</v>
      </c>
      <c r="I492" t="s">
        <v>190</v>
      </c>
      <c r="J492" t="s">
        <v>183</v>
      </c>
      <c r="K492" t="s">
        <v>1245</v>
      </c>
      <c r="L492" s="10">
        <v>297.59</v>
      </c>
      <c r="M492" s="10">
        <v>666.41</v>
      </c>
      <c r="N492" s="17">
        <v>0</v>
      </c>
      <c r="O492">
        <v>10</v>
      </c>
      <c r="P492" t="str">
        <f t="shared" si="155"/>
        <v>Valid</v>
      </c>
      <c r="Q492" s="10">
        <f t="shared" si="156"/>
        <v>666.41</v>
      </c>
      <c r="R492" t="b">
        <f t="shared" si="157"/>
        <v>0</v>
      </c>
      <c r="S492" s="17">
        <f t="shared" si="158"/>
        <v>0</v>
      </c>
      <c r="T492">
        <f t="shared" si="159"/>
        <v>19</v>
      </c>
      <c r="U492" s="26">
        <f t="shared" si="160"/>
        <v>45542</v>
      </c>
      <c r="V492">
        <f t="shared" si="161"/>
        <v>19</v>
      </c>
      <c r="W492" s="10">
        <f t="shared" si="162"/>
        <v>666410</v>
      </c>
      <c r="X492" s="10">
        <f t="shared" si="163"/>
        <v>6664.1</v>
      </c>
      <c r="Y492" s="10">
        <f t="shared" si="164"/>
        <v>659745.9</v>
      </c>
      <c r="Z492" s="14">
        <f t="shared" si="168"/>
        <v>0.99</v>
      </c>
      <c r="AA492" t="s">
        <v>1581</v>
      </c>
      <c r="AB492" t="str">
        <f t="shared" si="165"/>
        <v>Q3-2024</v>
      </c>
      <c r="AC492" t="str">
        <f t="shared" si="166"/>
        <v>Europe → France → Lyon</v>
      </c>
      <c r="AD492" t="str">
        <f t="shared" si="167"/>
        <v>Support</v>
      </c>
      <c r="AE492" s="8" t="str">
        <f t="shared" si="154"/>
        <v>Medium</v>
      </c>
      <c r="AF492" t="str">
        <f t="shared" si="169"/>
        <v>FRANCE</v>
      </c>
      <c r="AG492" s="7">
        <v>44936</v>
      </c>
      <c r="AH492" t="str">
        <f t="shared" si="170"/>
        <v>Jan-2023</v>
      </c>
      <c r="AI492" s="9">
        <f t="shared" si="171"/>
        <v>45535</v>
      </c>
      <c r="AJ492">
        <f t="shared" si="175"/>
        <v>0</v>
      </c>
      <c r="AK492">
        <f t="shared" si="172"/>
        <v>0</v>
      </c>
      <c r="AL492" s="17">
        <f>MIN(N492,'Scenario Modelling'!$B$2)</f>
        <v>0</v>
      </c>
      <c r="AM492" s="10">
        <f>L492*(1+'Scenario Modelling'!$B$3)</f>
        <v>342.2285</v>
      </c>
      <c r="AN492">
        <f>O492*(1+'Scenario Modelling'!$B$4)</f>
        <v>12</v>
      </c>
      <c r="AO492" s="28">
        <f t="shared" si="173"/>
        <v>7996.92</v>
      </c>
      <c r="AP492" s="10">
        <f t="shared" si="174"/>
        <v>3890.178</v>
      </c>
    </row>
    <row r="493" spans="1:42">
      <c r="A493" t="s">
        <v>1246</v>
      </c>
      <c r="B493" s="7">
        <v>45861</v>
      </c>
      <c r="C493" s="7">
        <v>45888</v>
      </c>
      <c r="D493" t="s">
        <v>206</v>
      </c>
      <c r="E493" t="s">
        <v>207</v>
      </c>
      <c r="F493" t="s">
        <v>392</v>
      </c>
      <c r="G493" t="s">
        <v>209</v>
      </c>
      <c r="H493" t="s">
        <v>201</v>
      </c>
      <c r="I493" t="s">
        <v>217</v>
      </c>
      <c r="J493" t="s">
        <v>242</v>
      </c>
      <c r="K493" t="s">
        <v>1247</v>
      </c>
      <c r="L493" s="10">
        <v>896.09</v>
      </c>
      <c r="M493" s="10">
        <v>744.27</v>
      </c>
      <c r="N493" s="17">
        <v>0.083</v>
      </c>
      <c r="O493">
        <v>11</v>
      </c>
      <c r="P493" t="str">
        <f t="shared" si="155"/>
        <v>Valid</v>
      </c>
      <c r="Q493" s="10">
        <f t="shared" si="156"/>
        <v>744.27</v>
      </c>
      <c r="R493" t="b">
        <f t="shared" si="157"/>
        <v>0</v>
      </c>
      <c r="S493" s="17">
        <f t="shared" si="158"/>
        <v>0.083</v>
      </c>
      <c r="T493">
        <f t="shared" si="159"/>
        <v>27</v>
      </c>
      <c r="U493" s="26">
        <f t="shared" si="160"/>
        <v>45888</v>
      </c>
      <c r="V493">
        <f t="shared" si="161"/>
        <v>27</v>
      </c>
      <c r="W493" s="10">
        <f t="shared" si="162"/>
        <v>818017.48149</v>
      </c>
      <c r="X493" s="10">
        <f t="shared" si="163"/>
        <v>8186.97</v>
      </c>
      <c r="Y493" s="10">
        <f t="shared" si="164"/>
        <v>809830.51149</v>
      </c>
      <c r="Z493" s="14">
        <f t="shared" si="168"/>
        <v>0.989991693105277</v>
      </c>
      <c r="AA493" t="s">
        <v>1572</v>
      </c>
      <c r="AB493" t="str">
        <f t="shared" si="165"/>
        <v>Q3-2025</v>
      </c>
      <c r="AC493" t="str">
        <f t="shared" si="166"/>
        <v>Asia → Japan → Nagoya</v>
      </c>
      <c r="AD493" t="str">
        <f t="shared" si="167"/>
        <v>Support</v>
      </c>
      <c r="AE493" s="8" t="str">
        <f t="shared" si="154"/>
        <v>High</v>
      </c>
      <c r="AF493" t="str">
        <f t="shared" si="169"/>
        <v>JAPAN</v>
      </c>
      <c r="AG493" s="7">
        <v>44988</v>
      </c>
      <c r="AH493" t="str">
        <f t="shared" si="170"/>
        <v>Mar-2023</v>
      </c>
      <c r="AI493" s="9">
        <f t="shared" si="171"/>
        <v>45869</v>
      </c>
      <c r="AJ493">
        <f t="shared" si="175"/>
        <v>0</v>
      </c>
      <c r="AK493">
        <f t="shared" si="172"/>
        <v>0</v>
      </c>
      <c r="AL493" s="17">
        <f>MIN(N493,'Scenario Modelling'!$B$2)</f>
        <v>0.083</v>
      </c>
      <c r="AM493" s="10">
        <f>L493*(1+'Scenario Modelling'!$B$3)</f>
        <v>1030.5035</v>
      </c>
      <c r="AN493">
        <f>O493*(1+'Scenario Modelling'!$B$4)</f>
        <v>13.2</v>
      </c>
      <c r="AO493" s="28">
        <f t="shared" si="173"/>
        <v>9008.941788</v>
      </c>
      <c r="AP493" s="10">
        <f t="shared" si="174"/>
        <v>-4593.704412</v>
      </c>
    </row>
    <row r="494" spans="1:42">
      <c r="A494" t="s">
        <v>1248</v>
      </c>
      <c r="B494" s="7">
        <v>45352</v>
      </c>
      <c r="C494" s="7">
        <v>45351</v>
      </c>
      <c r="D494" t="s">
        <v>213</v>
      </c>
      <c r="E494" t="s">
        <v>234</v>
      </c>
      <c r="F494" t="s">
        <v>235</v>
      </c>
      <c r="G494" t="s">
        <v>200</v>
      </c>
      <c r="H494" t="s">
        <v>259</v>
      </c>
      <c r="I494" t="s">
        <v>195</v>
      </c>
      <c r="J494" t="s">
        <v>203</v>
      </c>
      <c r="K494" t="s">
        <v>1249</v>
      </c>
      <c r="L494" s="10">
        <v>5.34</v>
      </c>
      <c r="M494" s="10">
        <v>12.69</v>
      </c>
      <c r="N494" s="17">
        <v>0.132</v>
      </c>
      <c r="O494">
        <v>10</v>
      </c>
      <c r="P494" t="str">
        <f t="shared" si="155"/>
        <v>Valid</v>
      </c>
      <c r="Q494" s="10">
        <f t="shared" si="156"/>
        <v>12.69</v>
      </c>
      <c r="R494" t="b">
        <f t="shared" si="157"/>
        <v>0</v>
      </c>
      <c r="S494" s="17">
        <f t="shared" si="158"/>
        <v>0.132</v>
      </c>
      <c r="T494">
        <f t="shared" si="159"/>
        <v>-1</v>
      </c>
      <c r="U494" s="26">
        <f t="shared" si="160"/>
        <v>45359</v>
      </c>
      <c r="V494">
        <f t="shared" si="161"/>
        <v>7</v>
      </c>
      <c r="W494" s="10">
        <f t="shared" si="162"/>
        <v>12673.2492</v>
      </c>
      <c r="X494" s="10">
        <f t="shared" si="163"/>
        <v>126.9</v>
      </c>
      <c r="Y494" s="10">
        <f t="shared" si="164"/>
        <v>12546.3492</v>
      </c>
      <c r="Z494" s="14">
        <f t="shared" si="168"/>
        <v>0.98998678255297</v>
      </c>
      <c r="AA494" t="s">
        <v>1560</v>
      </c>
      <c r="AB494" t="str">
        <f t="shared" si="165"/>
        <v>Q1-2024</v>
      </c>
      <c r="AC494" t="str">
        <f t="shared" si="166"/>
        <v>Americas → Brazil → São Paulo</v>
      </c>
      <c r="AD494" t="str">
        <f t="shared" si="167"/>
        <v>Devices</v>
      </c>
      <c r="AE494" s="8" t="str">
        <f t="shared" si="154"/>
        <v>Medium</v>
      </c>
      <c r="AF494" t="str">
        <f t="shared" si="169"/>
        <v>BRAZIL</v>
      </c>
      <c r="AG494" s="7">
        <v>44955</v>
      </c>
      <c r="AH494" t="str">
        <f t="shared" si="170"/>
        <v>Jan-2023</v>
      </c>
      <c r="AI494" s="9">
        <f t="shared" si="171"/>
        <v>45382</v>
      </c>
      <c r="AJ494">
        <f t="shared" si="175"/>
        <v>1</v>
      </c>
      <c r="AK494">
        <f t="shared" si="172"/>
        <v>0</v>
      </c>
      <c r="AL494" s="17">
        <f>MIN(N494,'Scenario Modelling'!$B$2)</f>
        <v>0.132</v>
      </c>
      <c r="AM494" s="10">
        <f>L494*(1+'Scenario Modelling'!$B$3)</f>
        <v>6.141</v>
      </c>
      <c r="AN494">
        <f>O494*(1+'Scenario Modelling'!$B$4)</f>
        <v>12</v>
      </c>
      <c r="AO494" s="28">
        <f t="shared" si="173"/>
        <v>132.17904</v>
      </c>
      <c r="AP494" s="10">
        <f t="shared" si="174"/>
        <v>58.48704</v>
      </c>
    </row>
    <row r="495" spans="1:42">
      <c r="A495" t="s">
        <v>1250</v>
      </c>
      <c r="B495" s="7">
        <v>45439</v>
      </c>
      <c r="C495" s="7">
        <v>45460</v>
      </c>
      <c r="D495" t="s">
        <v>206</v>
      </c>
      <c r="E495" t="s">
        <v>221</v>
      </c>
      <c r="F495" t="s">
        <v>302</v>
      </c>
      <c r="G495" t="s">
        <v>223</v>
      </c>
      <c r="H495" t="s">
        <v>189</v>
      </c>
      <c r="I495" t="s">
        <v>253</v>
      </c>
      <c r="J495" t="s">
        <v>242</v>
      </c>
      <c r="K495" t="s">
        <v>1251</v>
      </c>
      <c r="L495" s="10">
        <v>465.02</v>
      </c>
      <c r="M495" s="10">
        <v>651.56</v>
      </c>
      <c r="N495" s="17">
        <v>0.042</v>
      </c>
      <c r="O495">
        <v>19</v>
      </c>
      <c r="P495" t="str">
        <f t="shared" si="155"/>
        <v>Valid</v>
      </c>
      <c r="Q495" s="10">
        <f t="shared" si="156"/>
        <v>651.56</v>
      </c>
      <c r="R495" t="b">
        <f t="shared" si="157"/>
        <v>0</v>
      </c>
      <c r="S495" s="17">
        <f t="shared" si="158"/>
        <v>0.042</v>
      </c>
      <c r="T495">
        <f t="shared" si="159"/>
        <v>21</v>
      </c>
      <c r="U495" s="26">
        <f t="shared" si="160"/>
        <v>45460</v>
      </c>
      <c r="V495">
        <f t="shared" si="161"/>
        <v>21</v>
      </c>
      <c r="W495" s="10">
        <f t="shared" si="162"/>
        <v>1237444.05512</v>
      </c>
      <c r="X495" s="10">
        <f t="shared" si="163"/>
        <v>12379.64</v>
      </c>
      <c r="Y495" s="10">
        <f t="shared" si="164"/>
        <v>1225064.41512</v>
      </c>
      <c r="Z495" s="14">
        <f t="shared" si="168"/>
        <v>0.989995798235259</v>
      </c>
      <c r="AA495" t="s">
        <v>1566</v>
      </c>
      <c r="AB495" t="str">
        <f t="shared" si="165"/>
        <v>Q2-2024</v>
      </c>
      <c r="AC495" t="str">
        <f t="shared" si="166"/>
        <v>Asia → India → Delhi</v>
      </c>
      <c r="AD495" t="str">
        <f t="shared" si="167"/>
        <v>Support</v>
      </c>
      <c r="AE495" s="8" t="str">
        <f t="shared" si="154"/>
        <v>Medium</v>
      </c>
      <c r="AF495" t="str">
        <f t="shared" si="169"/>
        <v>INDIA</v>
      </c>
      <c r="AG495" s="7">
        <v>44955</v>
      </c>
      <c r="AH495" t="str">
        <f t="shared" si="170"/>
        <v>Jan-2023</v>
      </c>
      <c r="AI495" s="9">
        <f t="shared" si="171"/>
        <v>45443</v>
      </c>
      <c r="AJ495">
        <f t="shared" si="175"/>
        <v>0</v>
      </c>
      <c r="AK495">
        <f t="shared" si="172"/>
        <v>0</v>
      </c>
      <c r="AL495" s="17">
        <f>MIN(N495,'Scenario Modelling'!$B$2)</f>
        <v>0.042</v>
      </c>
      <c r="AM495" s="10">
        <f>L495*(1+'Scenario Modelling'!$B$3)</f>
        <v>534.773</v>
      </c>
      <c r="AN495">
        <f>O495*(1+'Scenario Modelling'!$B$4)</f>
        <v>22.8</v>
      </c>
      <c r="AO495" s="28">
        <f t="shared" si="173"/>
        <v>14231.634144</v>
      </c>
      <c r="AP495" s="10">
        <f t="shared" si="174"/>
        <v>2038.809744</v>
      </c>
    </row>
    <row r="496" spans="1:42">
      <c r="A496" t="s">
        <v>1252</v>
      </c>
      <c r="B496" s="7">
        <v>45508</v>
      </c>
      <c r="C496" s="7">
        <v>45521</v>
      </c>
      <c r="D496" t="s">
        <v>213</v>
      </c>
      <c r="E496" t="s">
        <v>283</v>
      </c>
      <c r="F496" t="s">
        <v>487</v>
      </c>
      <c r="G496" t="s">
        <v>209</v>
      </c>
      <c r="H496" t="s">
        <v>181</v>
      </c>
      <c r="I496" t="s">
        <v>306</v>
      </c>
      <c r="J496" t="s">
        <v>225</v>
      </c>
      <c r="K496" t="s">
        <v>1253</v>
      </c>
      <c r="L496" s="10">
        <v>352.79</v>
      </c>
      <c r="M496" s="10">
        <v>754.22</v>
      </c>
      <c r="N496" s="17">
        <v>0.113</v>
      </c>
      <c r="O496">
        <v>7</v>
      </c>
      <c r="P496" t="str">
        <f t="shared" si="155"/>
        <v>Valid</v>
      </c>
      <c r="Q496" s="10">
        <f t="shared" si="156"/>
        <v>754.22</v>
      </c>
      <c r="R496" t="b">
        <f t="shared" si="157"/>
        <v>0</v>
      </c>
      <c r="S496" s="17">
        <f t="shared" si="158"/>
        <v>0.113</v>
      </c>
      <c r="T496">
        <f t="shared" si="159"/>
        <v>13</v>
      </c>
      <c r="U496" s="26">
        <f t="shared" si="160"/>
        <v>45521</v>
      </c>
      <c r="V496">
        <f t="shared" si="161"/>
        <v>13</v>
      </c>
      <c r="W496" s="10">
        <f t="shared" si="162"/>
        <v>527357.41198</v>
      </c>
      <c r="X496" s="10">
        <f t="shared" si="163"/>
        <v>5279.54</v>
      </c>
      <c r="Y496" s="10">
        <f t="shared" si="164"/>
        <v>522077.87198</v>
      </c>
      <c r="Z496" s="14">
        <f t="shared" si="168"/>
        <v>0.989988687216555</v>
      </c>
      <c r="AA496" t="s">
        <v>1581</v>
      </c>
      <c r="AB496" t="str">
        <f t="shared" si="165"/>
        <v>Q3-2024</v>
      </c>
      <c r="AC496" t="str">
        <f t="shared" si="166"/>
        <v>Americas → USA → Austin</v>
      </c>
      <c r="AD496" t="str">
        <f t="shared" si="167"/>
        <v>Peripherals</v>
      </c>
      <c r="AE496" s="8" t="str">
        <f t="shared" si="154"/>
        <v>Medium</v>
      </c>
      <c r="AF496" t="str">
        <f t="shared" si="169"/>
        <v>USA</v>
      </c>
      <c r="AG496" s="7">
        <v>44939</v>
      </c>
      <c r="AH496" t="str">
        <f t="shared" si="170"/>
        <v>Jan-2023</v>
      </c>
      <c r="AI496" s="9">
        <f t="shared" si="171"/>
        <v>45535</v>
      </c>
      <c r="AJ496">
        <f t="shared" si="175"/>
        <v>0</v>
      </c>
      <c r="AK496">
        <f t="shared" si="172"/>
        <v>0</v>
      </c>
      <c r="AL496" s="17">
        <f>MIN(N496,'Scenario Modelling'!$B$2)</f>
        <v>0.113</v>
      </c>
      <c r="AM496" s="10">
        <f>L496*(1+'Scenario Modelling'!$B$3)</f>
        <v>405.7085</v>
      </c>
      <c r="AN496">
        <f>O496*(1+'Scenario Modelling'!$B$4)</f>
        <v>8.4</v>
      </c>
      <c r="AO496" s="28">
        <f t="shared" si="173"/>
        <v>5619.542376</v>
      </c>
      <c r="AP496" s="10">
        <f t="shared" si="174"/>
        <v>2211.590976</v>
      </c>
    </row>
    <row r="497" spans="1:42">
      <c r="A497" t="s">
        <v>1254</v>
      </c>
      <c r="B497" s="7">
        <v>45097</v>
      </c>
      <c r="C497" s="7">
        <v>45111</v>
      </c>
      <c r="D497" t="s">
        <v>213</v>
      </c>
      <c r="E497" t="s">
        <v>234</v>
      </c>
      <c r="F497" t="s">
        <v>248</v>
      </c>
      <c r="G497" t="s">
        <v>200</v>
      </c>
      <c r="H497" t="s">
        <v>259</v>
      </c>
      <c r="I497" t="s">
        <v>182</v>
      </c>
      <c r="J497" t="s">
        <v>196</v>
      </c>
      <c r="K497" t="s">
        <v>1255</v>
      </c>
      <c r="L497" s="10">
        <v>1292.86</v>
      </c>
      <c r="M497" s="10">
        <v>2981.01</v>
      </c>
      <c r="N497" s="17">
        <v>0.142</v>
      </c>
      <c r="O497">
        <v>12</v>
      </c>
      <c r="P497" t="str">
        <f t="shared" si="155"/>
        <v>Valid</v>
      </c>
      <c r="Q497" s="10">
        <f t="shared" si="156"/>
        <v>2981.01</v>
      </c>
      <c r="R497" t="b">
        <f t="shared" si="157"/>
        <v>0</v>
      </c>
      <c r="S497" s="17">
        <f t="shared" si="158"/>
        <v>0.142</v>
      </c>
      <c r="T497">
        <f t="shared" si="159"/>
        <v>14</v>
      </c>
      <c r="U497" s="26">
        <f t="shared" si="160"/>
        <v>45111</v>
      </c>
      <c r="V497">
        <f t="shared" si="161"/>
        <v>14</v>
      </c>
      <c r="W497" s="10">
        <f t="shared" si="162"/>
        <v>3572132.35896</v>
      </c>
      <c r="X497" s="10">
        <f t="shared" si="163"/>
        <v>35772.12</v>
      </c>
      <c r="Y497" s="10">
        <f t="shared" si="164"/>
        <v>3536360.23896</v>
      </c>
      <c r="Z497" s="14">
        <f t="shared" si="168"/>
        <v>0.989985779807326</v>
      </c>
      <c r="AA497" t="s">
        <v>1583</v>
      </c>
      <c r="AB497" t="str">
        <f t="shared" si="165"/>
        <v>Q2-2023</v>
      </c>
      <c r="AC497" t="str">
        <f t="shared" si="166"/>
        <v>Americas → Brazil → Brasília</v>
      </c>
      <c r="AD497" t="str">
        <f t="shared" si="167"/>
        <v>Support</v>
      </c>
      <c r="AE497" s="8" t="str">
        <f t="shared" si="154"/>
        <v>Low</v>
      </c>
      <c r="AF497" t="str">
        <f t="shared" si="169"/>
        <v>BRAZIL</v>
      </c>
      <c r="AG497" s="7">
        <v>44955</v>
      </c>
      <c r="AH497" t="str">
        <f t="shared" si="170"/>
        <v>Jan-2023</v>
      </c>
      <c r="AI497" s="9">
        <f t="shared" si="171"/>
        <v>45107</v>
      </c>
      <c r="AJ497">
        <f t="shared" si="175"/>
        <v>0</v>
      </c>
      <c r="AK497">
        <f t="shared" si="172"/>
        <v>0</v>
      </c>
      <c r="AL497" s="17">
        <f>MIN(N497,'Scenario Modelling'!$B$2)</f>
        <v>0.142</v>
      </c>
      <c r="AM497" s="10">
        <f>L497*(1+'Scenario Modelling'!$B$3)</f>
        <v>1486.789</v>
      </c>
      <c r="AN497">
        <f>O497*(1+'Scenario Modelling'!$B$4)</f>
        <v>14.4</v>
      </c>
      <c r="AO497" s="28">
        <f t="shared" si="173"/>
        <v>36830.974752</v>
      </c>
      <c r="AP497" s="10">
        <f t="shared" si="174"/>
        <v>15421.213152</v>
      </c>
    </row>
    <row r="498" spans="1:42">
      <c r="A498" t="s">
        <v>1256</v>
      </c>
      <c r="B498" s="7">
        <v>45544</v>
      </c>
      <c r="C498" s="7">
        <v>45548</v>
      </c>
      <c r="D498" t="s">
        <v>239</v>
      </c>
      <c r="E498" t="s">
        <v>269</v>
      </c>
      <c r="F498" t="s">
        <v>313</v>
      </c>
      <c r="G498" t="s">
        <v>209</v>
      </c>
      <c r="H498" t="s">
        <v>201</v>
      </c>
      <c r="I498" t="s">
        <v>245</v>
      </c>
      <c r="J498" t="s">
        <v>196</v>
      </c>
      <c r="K498" t="s">
        <v>1257</v>
      </c>
      <c r="L498" s="10">
        <v>1133.08</v>
      </c>
      <c r="M498" s="10">
        <v>976.17</v>
      </c>
      <c r="N498" s="17">
        <v>0.042</v>
      </c>
      <c r="O498">
        <v>27</v>
      </c>
      <c r="P498" t="str">
        <f t="shared" si="155"/>
        <v>Valid</v>
      </c>
      <c r="Q498" s="10">
        <f t="shared" si="156"/>
        <v>976.17</v>
      </c>
      <c r="R498" t="b">
        <f t="shared" si="157"/>
        <v>0</v>
      </c>
      <c r="S498" s="17">
        <f t="shared" si="158"/>
        <v>0.042</v>
      </c>
      <c r="T498">
        <f t="shared" si="159"/>
        <v>4</v>
      </c>
      <c r="U498" s="26">
        <f t="shared" si="160"/>
        <v>45548</v>
      </c>
      <c r="V498">
        <f t="shared" si="161"/>
        <v>4</v>
      </c>
      <c r="W498" s="10">
        <f t="shared" si="162"/>
        <v>2634552.02322</v>
      </c>
      <c r="X498" s="10">
        <f t="shared" si="163"/>
        <v>26356.59</v>
      </c>
      <c r="Y498" s="10">
        <f t="shared" si="164"/>
        <v>2608195.43322</v>
      </c>
      <c r="Z498" s="14">
        <f t="shared" si="168"/>
        <v>0.989995798235259</v>
      </c>
      <c r="AA498" t="s">
        <v>1592</v>
      </c>
      <c r="AB498" t="str">
        <f t="shared" si="165"/>
        <v>Q3-2024</v>
      </c>
      <c r="AC498" t="str">
        <f t="shared" si="166"/>
        <v>Europe → United Kingdom → London</v>
      </c>
      <c r="AD498" t="str">
        <f t="shared" si="167"/>
        <v>Support</v>
      </c>
      <c r="AE498" s="8" t="str">
        <f t="shared" si="154"/>
        <v>Medium</v>
      </c>
      <c r="AF498" t="str">
        <f t="shared" si="169"/>
        <v>UNITED KINGDOM</v>
      </c>
      <c r="AG498" s="7">
        <v>44945</v>
      </c>
      <c r="AH498" t="str">
        <f t="shared" si="170"/>
        <v>Jan-2023</v>
      </c>
      <c r="AI498" s="9">
        <f t="shared" si="171"/>
        <v>45565</v>
      </c>
      <c r="AJ498">
        <f t="shared" si="175"/>
        <v>1</v>
      </c>
      <c r="AK498">
        <f t="shared" si="172"/>
        <v>0</v>
      </c>
      <c r="AL498" s="17">
        <f>MIN(N498,'Scenario Modelling'!$B$2)</f>
        <v>0.042</v>
      </c>
      <c r="AM498" s="10">
        <f>L498*(1+'Scenario Modelling'!$B$3)</f>
        <v>1303.042</v>
      </c>
      <c r="AN498">
        <f>O498*(1+'Scenario Modelling'!$B$4)</f>
        <v>32.4</v>
      </c>
      <c r="AO498" s="28">
        <f t="shared" si="173"/>
        <v>30299.535864</v>
      </c>
      <c r="AP498" s="10">
        <f t="shared" si="174"/>
        <v>-11919.024936</v>
      </c>
    </row>
    <row r="499" spans="1:42">
      <c r="A499" t="s">
        <v>1258</v>
      </c>
      <c r="B499" s="7">
        <v>45224</v>
      </c>
      <c r="C499" s="7">
        <v>45227</v>
      </c>
      <c r="D499" t="s">
        <v>213</v>
      </c>
      <c r="E499" t="s">
        <v>234</v>
      </c>
      <c r="F499" t="s">
        <v>248</v>
      </c>
      <c r="G499" t="s">
        <v>180</v>
      </c>
      <c r="H499" t="s">
        <v>216</v>
      </c>
      <c r="I499" t="s">
        <v>210</v>
      </c>
      <c r="J499" t="s">
        <v>242</v>
      </c>
      <c r="K499" t="s">
        <v>1259</v>
      </c>
      <c r="L499" s="10">
        <v>509.31</v>
      </c>
      <c r="M499" s="10">
        <v>1145.9</v>
      </c>
      <c r="N499" s="17">
        <v>0.057</v>
      </c>
      <c r="O499">
        <v>8</v>
      </c>
      <c r="P499" t="str">
        <f t="shared" si="155"/>
        <v>Valid</v>
      </c>
      <c r="Q499" s="10">
        <f t="shared" si="156"/>
        <v>1145.9</v>
      </c>
      <c r="R499" t="b">
        <f t="shared" si="157"/>
        <v>0</v>
      </c>
      <c r="S499" s="17">
        <f t="shared" si="158"/>
        <v>0.057</v>
      </c>
      <c r="T499">
        <f t="shared" si="159"/>
        <v>3</v>
      </c>
      <c r="U499" s="26">
        <f t="shared" si="160"/>
        <v>45227</v>
      </c>
      <c r="V499">
        <f t="shared" si="161"/>
        <v>3</v>
      </c>
      <c r="W499" s="10">
        <f t="shared" si="162"/>
        <v>916197.4696</v>
      </c>
      <c r="X499" s="10">
        <f t="shared" si="163"/>
        <v>9167.2</v>
      </c>
      <c r="Y499" s="10">
        <f t="shared" si="164"/>
        <v>907030.2696</v>
      </c>
      <c r="Z499" s="14">
        <f t="shared" si="168"/>
        <v>0.989994296749147</v>
      </c>
      <c r="AA499" t="s">
        <v>1595</v>
      </c>
      <c r="AB499" t="str">
        <f t="shared" si="165"/>
        <v>Q4-2023</v>
      </c>
      <c r="AC499" t="str">
        <f t="shared" si="166"/>
        <v>Americas → Brazil → Brasília</v>
      </c>
      <c r="AD499" t="str">
        <f t="shared" si="167"/>
        <v>Support</v>
      </c>
      <c r="AE499" s="8" t="str">
        <f t="shared" si="154"/>
        <v>Low</v>
      </c>
      <c r="AF499" t="str">
        <f t="shared" si="169"/>
        <v>BRAZIL</v>
      </c>
      <c r="AG499" s="7">
        <v>44955</v>
      </c>
      <c r="AH499" t="str">
        <f t="shared" si="170"/>
        <v>Jan-2023</v>
      </c>
      <c r="AI499" s="9">
        <f t="shared" si="171"/>
        <v>45230</v>
      </c>
      <c r="AJ499">
        <f t="shared" si="175"/>
        <v>1</v>
      </c>
      <c r="AK499">
        <f t="shared" si="172"/>
        <v>0</v>
      </c>
      <c r="AL499" s="17">
        <f>MIN(N499,'Scenario Modelling'!$B$2)</f>
        <v>0.057</v>
      </c>
      <c r="AM499" s="10">
        <f>L499*(1+'Scenario Modelling'!$B$3)</f>
        <v>585.7065</v>
      </c>
      <c r="AN499">
        <f>O499*(1+'Scenario Modelling'!$B$4)</f>
        <v>9.6</v>
      </c>
      <c r="AO499" s="28">
        <f t="shared" si="173"/>
        <v>10373.60352</v>
      </c>
      <c r="AP499" s="10">
        <f t="shared" si="174"/>
        <v>4750.82112</v>
      </c>
    </row>
    <row r="500" spans="1:42">
      <c r="A500" t="s">
        <v>1260</v>
      </c>
      <c r="B500" s="7">
        <v>45908</v>
      </c>
      <c r="C500" s="7">
        <v>45935</v>
      </c>
      <c r="D500" t="s">
        <v>213</v>
      </c>
      <c r="E500" t="s">
        <v>234</v>
      </c>
      <c r="F500" t="s">
        <v>386</v>
      </c>
      <c r="G500" t="s">
        <v>188</v>
      </c>
      <c r="H500" t="s">
        <v>189</v>
      </c>
      <c r="I500" t="s">
        <v>182</v>
      </c>
      <c r="J500" t="s">
        <v>225</v>
      </c>
      <c r="K500" t="s">
        <v>1261</v>
      </c>
      <c r="L500" s="10">
        <v>660.78</v>
      </c>
      <c r="M500" s="10">
        <v>1630.39</v>
      </c>
      <c r="N500" s="17">
        <v>0.218</v>
      </c>
      <c r="O500">
        <v>13</v>
      </c>
      <c r="P500" t="str">
        <f t="shared" si="155"/>
        <v>Valid</v>
      </c>
      <c r="Q500" s="10">
        <f t="shared" si="156"/>
        <v>1630.39</v>
      </c>
      <c r="R500" t="b">
        <f t="shared" si="157"/>
        <v>0</v>
      </c>
      <c r="S500" s="17">
        <f t="shared" si="158"/>
        <v>0.218</v>
      </c>
      <c r="T500">
        <f t="shared" si="159"/>
        <v>27</v>
      </c>
      <c r="U500" s="26">
        <f t="shared" si="160"/>
        <v>45935</v>
      </c>
      <c r="V500">
        <f t="shared" si="161"/>
        <v>27</v>
      </c>
      <c r="W500" s="10">
        <f t="shared" si="162"/>
        <v>2114886.47474</v>
      </c>
      <c r="X500" s="10">
        <f t="shared" si="163"/>
        <v>21195.07</v>
      </c>
      <c r="Y500" s="10">
        <f t="shared" si="164"/>
        <v>2093691.40474</v>
      </c>
      <c r="Z500" s="14">
        <f t="shared" si="168"/>
        <v>0.989978152372171</v>
      </c>
      <c r="AA500" t="s">
        <v>1570</v>
      </c>
      <c r="AB500" t="str">
        <f t="shared" si="165"/>
        <v>Q3-2025</v>
      </c>
      <c r="AC500" t="str">
        <f t="shared" si="166"/>
        <v>Americas → Brazil → Rio de Janeiro</v>
      </c>
      <c r="AD500" t="str">
        <f t="shared" si="167"/>
        <v>Peripherals</v>
      </c>
      <c r="AE500" s="8" t="str">
        <f t="shared" si="154"/>
        <v>High</v>
      </c>
      <c r="AF500" t="str">
        <f t="shared" si="169"/>
        <v>BRAZIL</v>
      </c>
      <c r="AG500" s="7">
        <v>44955</v>
      </c>
      <c r="AH500" t="str">
        <f t="shared" si="170"/>
        <v>Jan-2023</v>
      </c>
      <c r="AI500" s="9">
        <f t="shared" si="171"/>
        <v>45930</v>
      </c>
      <c r="AJ500">
        <f t="shared" si="175"/>
        <v>0</v>
      </c>
      <c r="AK500">
        <f t="shared" si="172"/>
        <v>1</v>
      </c>
      <c r="AL500" s="17">
        <f>MIN(N500,'Scenario Modelling'!$B$2)</f>
        <v>0.218</v>
      </c>
      <c r="AM500" s="10">
        <f>L500*(1+'Scenario Modelling'!$B$3)</f>
        <v>759.897</v>
      </c>
      <c r="AN500">
        <f>O500*(1+'Scenario Modelling'!$B$4)</f>
        <v>15.6</v>
      </c>
      <c r="AO500" s="28">
        <f t="shared" si="173"/>
        <v>19889.453688</v>
      </c>
      <c r="AP500" s="10">
        <f t="shared" si="174"/>
        <v>8035.060488</v>
      </c>
    </row>
    <row r="501" spans="1:42">
      <c r="A501" t="s">
        <v>1262</v>
      </c>
      <c r="B501" s="7">
        <v>45048</v>
      </c>
      <c r="C501" s="7">
        <v>45062</v>
      </c>
      <c r="D501" t="s">
        <v>206</v>
      </c>
      <c r="E501" t="s">
        <v>221</v>
      </c>
      <c r="F501" t="s">
        <v>222</v>
      </c>
      <c r="G501" t="s">
        <v>200</v>
      </c>
      <c r="H501" t="s">
        <v>181</v>
      </c>
      <c r="I501" t="s">
        <v>210</v>
      </c>
      <c r="J501" t="s">
        <v>225</v>
      </c>
      <c r="K501" t="s">
        <v>1263</v>
      </c>
      <c r="L501" s="10">
        <v>475.37</v>
      </c>
      <c r="M501" s="10">
        <v>963.73</v>
      </c>
      <c r="N501" s="17">
        <v>0.041</v>
      </c>
      <c r="O501">
        <v>22</v>
      </c>
      <c r="P501" t="str">
        <f t="shared" si="155"/>
        <v>Valid</v>
      </c>
      <c r="Q501" s="10">
        <f t="shared" si="156"/>
        <v>963.73</v>
      </c>
      <c r="R501" t="b">
        <f t="shared" si="157"/>
        <v>0</v>
      </c>
      <c r="S501" s="17">
        <f t="shared" si="158"/>
        <v>0.041</v>
      </c>
      <c r="T501">
        <f t="shared" si="159"/>
        <v>14</v>
      </c>
      <c r="U501" s="26">
        <f t="shared" si="160"/>
        <v>45062</v>
      </c>
      <c r="V501">
        <f t="shared" si="161"/>
        <v>14</v>
      </c>
      <c r="W501" s="10">
        <f t="shared" si="162"/>
        <v>2119336.71554</v>
      </c>
      <c r="X501" s="10">
        <f t="shared" si="163"/>
        <v>21202.06</v>
      </c>
      <c r="Y501" s="10">
        <f t="shared" si="164"/>
        <v>2098134.65554</v>
      </c>
      <c r="Z501" s="14">
        <f t="shared" si="168"/>
        <v>0.98999589831831</v>
      </c>
      <c r="AA501" t="s">
        <v>1574</v>
      </c>
      <c r="AB501" t="str">
        <f t="shared" si="165"/>
        <v>Q2-2023</v>
      </c>
      <c r="AC501" t="str">
        <f t="shared" si="166"/>
        <v>Asia → India → Bengaluru</v>
      </c>
      <c r="AD501" t="str">
        <f t="shared" si="167"/>
        <v>Peripherals</v>
      </c>
      <c r="AE501" s="8" t="str">
        <f t="shared" si="154"/>
        <v>Low</v>
      </c>
      <c r="AF501" t="str">
        <f t="shared" si="169"/>
        <v>INDIA</v>
      </c>
      <c r="AG501" s="7">
        <v>44955</v>
      </c>
      <c r="AH501" t="str">
        <f t="shared" si="170"/>
        <v>Jan-2023</v>
      </c>
      <c r="AI501" s="9">
        <f t="shared" si="171"/>
        <v>45077</v>
      </c>
      <c r="AJ501">
        <f t="shared" si="175"/>
        <v>0</v>
      </c>
      <c r="AK501">
        <f t="shared" si="172"/>
        <v>0</v>
      </c>
      <c r="AL501" s="17">
        <f>MIN(N501,'Scenario Modelling'!$B$2)</f>
        <v>0.041</v>
      </c>
      <c r="AM501" s="10">
        <f>L501*(1+'Scenario Modelling'!$B$3)</f>
        <v>546.6755</v>
      </c>
      <c r="AN501">
        <f>O501*(1+'Scenario Modelling'!$B$4)</f>
        <v>26.4</v>
      </c>
      <c r="AO501" s="28">
        <f t="shared" si="173"/>
        <v>24399.330648</v>
      </c>
      <c r="AP501" s="10">
        <f t="shared" si="174"/>
        <v>9967.097448</v>
      </c>
    </row>
    <row r="502" spans="1:42">
      <c r="A502" t="s">
        <v>1264</v>
      </c>
      <c r="B502" s="7">
        <v>45408</v>
      </c>
      <c r="C502" s="7">
        <v>45406</v>
      </c>
      <c r="D502" t="s">
        <v>239</v>
      </c>
      <c r="E502" t="s">
        <v>269</v>
      </c>
      <c r="F502" t="s">
        <v>313</v>
      </c>
      <c r="G502" t="s">
        <v>200</v>
      </c>
      <c r="H502" t="s">
        <v>216</v>
      </c>
      <c r="I502" t="s">
        <v>287</v>
      </c>
      <c r="J502" t="s">
        <v>203</v>
      </c>
      <c r="K502" t="s">
        <v>1265</v>
      </c>
      <c r="L502" s="10">
        <v>1232.77</v>
      </c>
      <c r="M502" s="10">
        <v>891.73</v>
      </c>
      <c r="N502" s="17">
        <v>0.167</v>
      </c>
      <c r="O502">
        <v>10</v>
      </c>
      <c r="P502" t="str">
        <f t="shared" si="155"/>
        <v>Valid</v>
      </c>
      <c r="Q502" s="10">
        <f t="shared" si="156"/>
        <v>891.73</v>
      </c>
      <c r="R502" t="b">
        <f t="shared" si="157"/>
        <v>0</v>
      </c>
      <c r="S502" s="17">
        <f t="shared" si="158"/>
        <v>0.167</v>
      </c>
      <c r="T502">
        <f t="shared" si="159"/>
        <v>-2</v>
      </c>
      <c r="U502" s="26">
        <f t="shared" si="160"/>
        <v>45415</v>
      </c>
      <c r="V502">
        <f t="shared" si="161"/>
        <v>7</v>
      </c>
      <c r="W502" s="10">
        <f t="shared" si="162"/>
        <v>890240.8109</v>
      </c>
      <c r="X502" s="10">
        <f t="shared" si="163"/>
        <v>8917.3</v>
      </c>
      <c r="Y502" s="10">
        <f t="shared" si="164"/>
        <v>881323.5109</v>
      </c>
      <c r="Z502" s="14">
        <f t="shared" si="168"/>
        <v>0.989983272064347</v>
      </c>
      <c r="AA502" t="s">
        <v>1580</v>
      </c>
      <c r="AB502" t="str">
        <f t="shared" si="165"/>
        <v>Q2-2024</v>
      </c>
      <c r="AC502" t="str">
        <f t="shared" si="166"/>
        <v>Europe → United Kingdom → London</v>
      </c>
      <c r="AD502" t="str">
        <f t="shared" si="167"/>
        <v>Devices</v>
      </c>
      <c r="AE502" s="8" t="str">
        <f t="shared" ref="AE502:AE565" si="176">IF(B502&lt;=PERCENTILE($B$2:$B$632,0.33),"Low",IF(B502&lt;=PERCENTILE($B$2:$B$632,0.66),"Medium","High"))</f>
        <v>Medium</v>
      </c>
      <c r="AF502" t="str">
        <f t="shared" si="169"/>
        <v>UNITED KINGDOM</v>
      </c>
      <c r="AG502" s="7">
        <v>44945</v>
      </c>
      <c r="AH502" t="str">
        <f t="shared" si="170"/>
        <v>Jan-2023</v>
      </c>
      <c r="AI502" s="9">
        <f t="shared" si="171"/>
        <v>45412</v>
      </c>
      <c r="AJ502">
        <f t="shared" si="175"/>
        <v>1</v>
      </c>
      <c r="AK502">
        <f t="shared" si="172"/>
        <v>0</v>
      </c>
      <c r="AL502" s="17">
        <f>MIN(N502,'Scenario Modelling'!$B$2)</f>
        <v>0.167</v>
      </c>
      <c r="AM502" s="10">
        <f>L502*(1+'Scenario Modelling'!$B$3)</f>
        <v>1417.6855</v>
      </c>
      <c r="AN502">
        <f>O502*(1+'Scenario Modelling'!$B$4)</f>
        <v>12</v>
      </c>
      <c r="AO502" s="28">
        <f t="shared" si="173"/>
        <v>8913.73308</v>
      </c>
      <c r="AP502" s="10">
        <f t="shared" si="174"/>
        <v>-8098.49292</v>
      </c>
    </row>
    <row r="503" spans="1:42">
      <c r="A503" t="s">
        <v>1266</v>
      </c>
      <c r="B503" s="7">
        <v>44980</v>
      </c>
      <c r="C503" s="7">
        <v>45003</v>
      </c>
      <c r="D503" t="s">
        <v>206</v>
      </c>
      <c r="E503" t="s">
        <v>277</v>
      </c>
      <c r="F503" t="s">
        <v>499</v>
      </c>
      <c r="G503" t="s">
        <v>188</v>
      </c>
      <c r="H503" t="s">
        <v>216</v>
      </c>
      <c r="I503" t="s">
        <v>256</v>
      </c>
      <c r="J503" t="s">
        <v>191</v>
      </c>
      <c r="K503" t="s">
        <v>1267</v>
      </c>
      <c r="L503" s="10">
        <v>770.11</v>
      </c>
      <c r="M503" s="10">
        <v>1667.82</v>
      </c>
      <c r="N503" s="17">
        <v>0.069</v>
      </c>
      <c r="O503">
        <v>7</v>
      </c>
      <c r="P503" t="str">
        <f t="shared" si="155"/>
        <v>Valid</v>
      </c>
      <c r="Q503" s="10">
        <f t="shared" si="156"/>
        <v>1667.82</v>
      </c>
      <c r="R503" t="b">
        <f t="shared" si="157"/>
        <v>0</v>
      </c>
      <c r="S503" s="17">
        <f t="shared" si="158"/>
        <v>0.069</v>
      </c>
      <c r="T503">
        <f t="shared" si="159"/>
        <v>23</v>
      </c>
      <c r="U503" s="26">
        <f t="shared" si="160"/>
        <v>45003</v>
      </c>
      <c r="V503">
        <f t="shared" si="161"/>
        <v>23</v>
      </c>
      <c r="W503" s="10">
        <f t="shared" si="162"/>
        <v>1166668.44294</v>
      </c>
      <c r="X503" s="10">
        <f t="shared" si="163"/>
        <v>11674.74</v>
      </c>
      <c r="Y503" s="10">
        <f t="shared" si="164"/>
        <v>1154993.70294</v>
      </c>
      <c r="Z503" s="14">
        <f t="shared" si="168"/>
        <v>0.989993095235713</v>
      </c>
      <c r="AA503" t="s">
        <v>1562</v>
      </c>
      <c r="AB503" t="str">
        <f t="shared" si="165"/>
        <v>Q1-2023</v>
      </c>
      <c r="AC503" t="str">
        <f t="shared" si="166"/>
        <v>Asia → China → Beijing</v>
      </c>
      <c r="AD503" t="str">
        <f t="shared" si="167"/>
        <v>Peripherals</v>
      </c>
      <c r="AE503" s="8" t="str">
        <f t="shared" si="176"/>
        <v>Low</v>
      </c>
      <c r="AF503" t="str">
        <f t="shared" si="169"/>
        <v>CHINA</v>
      </c>
      <c r="AG503" s="7">
        <v>44938</v>
      </c>
      <c r="AH503" t="str">
        <f t="shared" si="170"/>
        <v>Jan-2023</v>
      </c>
      <c r="AI503" s="9">
        <f t="shared" si="171"/>
        <v>44985</v>
      </c>
      <c r="AJ503">
        <f t="shared" si="175"/>
        <v>0</v>
      </c>
      <c r="AK503">
        <f t="shared" si="172"/>
        <v>0</v>
      </c>
      <c r="AL503" s="17">
        <f>MIN(N503,'Scenario Modelling'!$B$2)</f>
        <v>0.069</v>
      </c>
      <c r="AM503" s="10">
        <f>L503*(1+'Scenario Modelling'!$B$3)</f>
        <v>885.6265</v>
      </c>
      <c r="AN503">
        <f>O503*(1+'Scenario Modelling'!$B$4)</f>
        <v>8.4</v>
      </c>
      <c r="AO503" s="28">
        <f t="shared" si="173"/>
        <v>13043.019528</v>
      </c>
      <c r="AP503" s="10">
        <f t="shared" si="174"/>
        <v>5603.756928</v>
      </c>
    </row>
    <row r="504" spans="1:42">
      <c r="A504" t="s">
        <v>1268</v>
      </c>
      <c r="B504" s="7">
        <v>45740</v>
      </c>
      <c r="C504" s="7">
        <v>45741</v>
      </c>
      <c r="D504" t="s">
        <v>206</v>
      </c>
      <c r="E504" t="s">
        <v>277</v>
      </c>
      <c r="F504" t="s">
        <v>499</v>
      </c>
      <c r="G504" t="s">
        <v>200</v>
      </c>
      <c r="H504" t="s">
        <v>189</v>
      </c>
      <c r="I504" t="s">
        <v>202</v>
      </c>
      <c r="J504" t="s">
        <v>196</v>
      </c>
      <c r="K504" t="s">
        <v>1269</v>
      </c>
      <c r="L504" s="10">
        <v>1133.03</v>
      </c>
      <c r="M504" s="10">
        <v>1921.51</v>
      </c>
      <c r="N504" s="17">
        <v>0.101</v>
      </c>
      <c r="O504">
        <v>5</v>
      </c>
      <c r="P504" t="str">
        <f t="shared" si="155"/>
        <v>Valid</v>
      </c>
      <c r="Q504" s="10">
        <f t="shared" si="156"/>
        <v>1921.51</v>
      </c>
      <c r="R504" t="b">
        <f t="shared" si="157"/>
        <v>0</v>
      </c>
      <c r="S504" s="17">
        <f t="shared" si="158"/>
        <v>0.101</v>
      </c>
      <c r="T504">
        <f t="shared" si="159"/>
        <v>1</v>
      </c>
      <c r="U504" s="26">
        <f t="shared" si="160"/>
        <v>45741</v>
      </c>
      <c r="V504">
        <f t="shared" si="161"/>
        <v>1</v>
      </c>
      <c r="W504" s="10">
        <f t="shared" si="162"/>
        <v>959784.63745</v>
      </c>
      <c r="X504" s="10">
        <f t="shared" si="163"/>
        <v>9607.55</v>
      </c>
      <c r="Y504" s="10">
        <f t="shared" si="164"/>
        <v>950177.08745</v>
      </c>
      <c r="Z504" s="14">
        <f t="shared" si="168"/>
        <v>0.989989889788687</v>
      </c>
      <c r="AA504" t="s">
        <v>1563</v>
      </c>
      <c r="AB504" t="str">
        <f t="shared" si="165"/>
        <v>Q1-2025</v>
      </c>
      <c r="AC504" t="str">
        <f t="shared" si="166"/>
        <v>Asia → China → Beijing</v>
      </c>
      <c r="AD504" t="str">
        <f t="shared" si="167"/>
        <v>Support</v>
      </c>
      <c r="AE504" s="8" t="str">
        <f t="shared" si="176"/>
        <v>High</v>
      </c>
      <c r="AF504" t="str">
        <f t="shared" si="169"/>
        <v>CHINA</v>
      </c>
      <c r="AG504" s="7">
        <v>44938</v>
      </c>
      <c r="AH504" t="str">
        <f t="shared" si="170"/>
        <v>Jan-2023</v>
      </c>
      <c r="AI504" s="9">
        <f t="shared" si="171"/>
        <v>45747</v>
      </c>
      <c r="AJ504">
        <f t="shared" si="175"/>
        <v>1</v>
      </c>
      <c r="AK504">
        <f t="shared" si="172"/>
        <v>0</v>
      </c>
      <c r="AL504" s="17">
        <f>MIN(N504,'Scenario Modelling'!$B$2)</f>
        <v>0.101</v>
      </c>
      <c r="AM504" s="10">
        <f>L504*(1+'Scenario Modelling'!$B$3)</f>
        <v>1302.9845</v>
      </c>
      <c r="AN504">
        <f>O504*(1+'Scenario Modelling'!$B$4)</f>
        <v>6</v>
      </c>
      <c r="AO504" s="28">
        <f t="shared" si="173"/>
        <v>10364.62494</v>
      </c>
      <c r="AP504" s="10">
        <f t="shared" si="174"/>
        <v>2546.71794</v>
      </c>
    </row>
    <row r="505" spans="1:42">
      <c r="A505" t="s">
        <v>1270</v>
      </c>
      <c r="B505" s="7">
        <v>45726</v>
      </c>
      <c r="C505" s="7">
        <v>45743</v>
      </c>
      <c r="D505" t="s">
        <v>213</v>
      </c>
      <c r="E505" t="s">
        <v>234</v>
      </c>
      <c r="F505" t="s">
        <v>386</v>
      </c>
      <c r="G505" t="s">
        <v>266</v>
      </c>
      <c r="H505" t="s">
        <v>259</v>
      </c>
      <c r="I505" t="s">
        <v>245</v>
      </c>
      <c r="J505" t="s">
        <v>196</v>
      </c>
      <c r="K505" t="s">
        <v>1271</v>
      </c>
      <c r="L505" s="10">
        <v>996.73</v>
      </c>
      <c r="M505" s="10">
        <v>1217.43</v>
      </c>
      <c r="N505" s="17">
        <v>0.07</v>
      </c>
      <c r="O505">
        <v>9</v>
      </c>
      <c r="P505" t="str">
        <f t="shared" si="155"/>
        <v>Valid</v>
      </c>
      <c r="Q505" s="10">
        <f t="shared" si="156"/>
        <v>1217.43</v>
      </c>
      <c r="R505" t="b">
        <f t="shared" si="157"/>
        <v>0</v>
      </c>
      <c r="S505" s="17">
        <f t="shared" si="158"/>
        <v>0.07</v>
      </c>
      <c r="T505">
        <f t="shared" si="159"/>
        <v>17</v>
      </c>
      <c r="U505" s="26">
        <f t="shared" si="160"/>
        <v>45743</v>
      </c>
      <c r="V505">
        <f t="shared" si="161"/>
        <v>17</v>
      </c>
      <c r="W505" s="10">
        <f t="shared" si="162"/>
        <v>1094920.0191</v>
      </c>
      <c r="X505" s="10">
        <f t="shared" si="163"/>
        <v>10956.87</v>
      </c>
      <c r="Y505" s="10">
        <f t="shared" si="164"/>
        <v>1083963.1491</v>
      </c>
      <c r="Z505" s="14">
        <f t="shared" si="168"/>
        <v>0.989992995096567</v>
      </c>
      <c r="AA505" t="s">
        <v>1563</v>
      </c>
      <c r="AB505" t="str">
        <f t="shared" si="165"/>
        <v>Q1-2025</v>
      </c>
      <c r="AC505" t="str">
        <f t="shared" si="166"/>
        <v>Americas → Brazil → Rio de Janeiro</v>
      </c>
      <c r="AD505" t="str">
        <f t="shared" si="167"/>
        <v>Support</v>
      </c>
      <c r="AE505" s="8" t="str">
        <f t="shared" si="176"/>
        <v>High</v>
      </c>
      <c r="AF505" t="str">
        <f t="shared" si="169"/>
        <v>BRAZIL</v>
      </c>
      <c r="AG505" s="7">
        <v>44955</v>
      </c>
      <c r="AH505" t="str">
        <f t="shared" si="170"/>
        <v>Jan-2023</v>
      </c>
      <c r="AI505" s="9">
        <f t="shared" si="171"/>
        <v>45747</v>
      </c>
      <c r="AJ505">
        <f t="shared" si="175"/>
        <v>0</v>
      </c>
      <c r="AK505">
        <f t="shared" si="172"/>
        <v>0</v>
      </c>
      <c r="AL505" s="17">
        <f>MIN(N505,'Scenario Modelling'!$B$2)</f>
        <v>0.07</v>
      </c>
      <c r="AM505" s="10">
        <f>L505*(1+'Scenario Modelling'!$B$3)</f>
        <v>1146.2395</v>
      </c>
      <c r="AN505">
        <f>O505*(1+'Scenario Modelling'!$B$4)</f>
        <v>10.8</v>
      </c>
      <c r="AO505" s="28">
        <f t="shared" si="173"/>
        <v>12227.86692</v>
      </c>
      <c r="AP505" s="10">
        <f t="shared" si="174"/>
        <v>-151.519679999998</v>
      </c>
    </row>
    <row r="506" spans="1:42">
      <c r="A506" t="s">
        <v>1272</v>
      </c>
      <c r="B506" s="7">
        <v>45387</v>
      </c>
      <c r="C506" s="7">
        <v>45391</v>
      </c>
      <c r="D506" t="s">
        <v>177</v>
      </c>
      <c r="E506" t="s">
        <v>186</v>
      </c>
      <c r="F506" t="s">
        <v>199</v>
      </c>
      <c r="G506" t="s">
        <v>200</v>
      </c>
      <c r="H506" t="s">
        <v>259</v>
      </c>
      <c r="I506" t="s">
        <v>256</v>
      </c>
      <c r="J506" t="s">
        <v>183</v>
      </c>
      <c r="K506" t="s">
        <v>1273</v>
      </c>
      <c r="L506" s="10">
        <v>395.07</v>
      </c>
      <c r="M506" s="10">
        <v>970.27</v>
      </c>
      <c r="N506" s="17">
        <v>0.123</v>
      </c>
      <c r="O506">
        <v>38</v>
      </c>
      <c r="P506" t="str">
        <f t="shared" si="155"/>
        <v>Valid</v>
      </c>
      <c r="Q506" s="10">
        <f t="shared" si="156"/>
        <v>970.27</v>
      </c>
      <c r="R506" t="b">
        <f t="shared" si="157"/>
        <v>0</v>
      </c>
      <c r="S506" s="17">
        <f t="shared" si="158"/>
        <v>0.123</v>
      </c>
      <c r="T506">
        <f t="shared" si="159"/>
        <v>4</v>
      </c>
      <c r="U506" s="26">
        <f t="shared" si="160"/>
        <v>45391</v>
      </c>
      <c r="V506">
        <f t="shared" si="161"/>
        <v>4</v>
      </c>
      <c r="W506" s="10">
        <f t="shared" si="162"/>
        <v>3682490.95802</v>
      </c>
      <c r="X506" s="10">
        <f t="shared" si="163"/>
        <v>36870.26</v>
      </c>
      <c r="Y506" s="10">
        <f t="shared" si="164"/>
        <v>3645620.69802</v>
      </c>
      <c r="Z506" s="14">
        <f t="shared" si="168"/>
        <v>0.989987684852368</v>
      </c>
      <c r="AA506" t="s">
        <v>1580</v>
      </c>
      <c r="AB506" t="str">
        <f t="shared" si="165"/>
        <v>Q2-2024</v>
      </c>
      <c r="AC506" t="str">
        <f t="shared" si="166"/>
        <v>Africa → Nigeria → Lagos</v>
      </c>
      <c r="AD506" t="str">
        <f t="shared" si="167"/>
        <v>Support</v>
      </c>
      <c r="AE506" s="8" t="str">
        <f t="shared" si="176"/>
        <v>Medium</v>
      </c>
      <c r="AF506" t="str">
        <f t="shared" si="169"/>
        <v>NIGERIA</v>
      </c>
      <c r="AG506" s="7">
        <v>44941</v>
      </c>
      <c r="AH506" t="str">
        <f t="shared" si="170"/>
        <v>Jan-2023</v>
      </c>
      <c r="AI506" s="9">
        <f t="shared" si="171"/>
        <v>45412</v>
      </c>
      <c r="AJ506">
        <f t="shared" si="175"/>
        <v>1</v>
      </c>
      <c r="AK506">
        <f t="shared" si="172"/>
        <v>0</v>
      </c>
      <c r="AL506" s="17">
        <f>MIN(N506,'Scenario Modelling'!$B$2)</f>
        <v>0.123</v>
      </c>
      <c r="AM506" s="10">
        <f>L506*(1+'Scenario Modelling'!$B$3)</f>
        <v>454.3305</v>
      </c>
      <c r="AN506">
        <f>O506*(1+'Scenario Modelling'!$B$4)</f>
        <v>45.6</v>
      </c>
      <c r="AO506" s="28">
        <f t="shared" si="173"/>
        <v>38802.261624</v>
      </c>
      <c r="AP506" s="10">
        <f t="shared" si="174"/>
        <v>18084.790824</v>
      </c>
    </row>
    <row r="507" spans="1:42">
      <c r="A507" t="s">
        <v>1274</v>
      </c>
      <c r="B507" s="7">
        <v>45774</v>
      </c>
      <c r="C507" s="7">
        <v>45794</v>
      </c>
      <c r="D507" t="s">
        <v>213</v>
      </c>
      <c r="E507" t="s">
        <v>283</v>
      </c>
      <c r="F507" t="s">
        <v>487</v>
      </c>
      <c r="G507" t="s">
        <v>180</v>
      </c>
      <c r="H507" t="s">
        <v>259</v>
      </c>
      <c r="I507" t="s">
        <v>287</v>
      </c>
      <c r="J507" t="s">
        <v>203</v>
      </c>
      <c r="K507" t="s">
        <v>1275</v>
      </c>
      <c r="L507" s="10">
        <v>932.26</v>
      </c>
      <c r="M507" s="10">
        <v>1624.67</v>
      </c>
      <c r="N507" s="17">
        <v>0.235</v>
      </c>
      <c r="O507">
        <v>28</v>
      </c>
      <c r="P507" t="str">
        <f t="shared" si="155"/>
        <v>Valid</v>
      </c>
      <c r="Q507" s="10">
        <f t="shared" si="156"/>
        <v>1624.67</v>
      </c>
      <c r="R507" t="b">
        <f t="shared" si="157"/>
        <v>0</v>
      </c>
      <c r="S507" s="17">
        <f t="shared" si="158"/>
        <v>0.235</v>
      </c>
      <c r="T507">
        <f t="shared" si="159"/>
        <v>20</v>
      </c>
      <c r="U507" s="26">
        <f t="shared" si="160"/>
        <v>45794</v>
      </c>
      <c r="V507">
        <f t="shared" si="161"/>
        <v>20</v>
      </c>
      <c r="W507" s="10">
        <f t="shared" si="162"/>
        <v>4538385.6714</v>
      </c>
      <c r="X507" s="10">
        <f t="shared" si="163"/>
        <v>45490.76</v>
      </c>
      <c r="Y507" s="10">
        <f t="shared" si="164"/>
        <v>4492894.9114</v>
      </c>
      <c r="Z507" s="14">
        <f t="shared" si="168"/>
        <v>0.989976444644916</v>
      </c>
      <c r="AA507" t="s">
        <v>1578</v>
      </c>
      <c r="AB507" t="str">
        <f t="shared" si="165"/>
        <v>Q2-2025</v>
      </c>
      <c r="AC507" t="str">
        <f t="shared" si="166"/>
        <v>Americas → USA → Austin</v>
      </c>
      <c r="AD507" t="str">
        <f t="shared" si="167"/>
        <v>Devices</v>
      </c>
      <c r="AE507" s="8" t="str">
        <f t="shared" si="176"/>
        <v>High</v>
      </c>
      <c r="AF507" t="str">
        <f t="shared" si="169"/>
        <v>USA</v>
      </c>
      <c r="AG507" s="7">
        <v>44939</v>
      </c>
      <c r="AH507" t="str">
        <f t="shared" si="170"/>
        <v>Jan-2023</v>
      </c>
      <c r="AI507" s="9">
        <f t="shared" si="171"/>
        <v>45777</v>
      </c>
      <c r="AJ507">
        <f t="shared" si="175"/>
        <v>0</v>
      </c>
      <c r="AK507">
        <f t="shared" si="172"/>
        <v>1</v>
      </c>
      <c r="AL507" s="17">
        <f>MIN(N507,'Scenario Modelling'!$B$2)</f>
        <v>0.235</v>
      </c>
      <c r="AM507" s="10">
        <f>L507*(1+'Scenario Modelling'!$B$3)</f>
        <v>1072.099</v>
      </c>
      <c r="AN507">
        <f>O507*(1+'Scenario Modelling'!$B$4)</f>
        <v>33.6</v>
      </c>
      <c r="AO507" s="28">
        <f t="shared" si="173"/>
        <v>41760.51768</v>
      </c>
      <c r="AP507" s="10">
        <f t="shared" si="174"/>
        <v>5737.99128</v>
      </c>
    </row>
    <row r="508" spans="1:42">
      <c r="A508" t="s">
        <v>1276</v>
      </c>
      <c r="B508" s="7">
        <v>45589</v>
      </c>
      <c r="C508" s="7">
        <v>45593</v>
      </c>
      <c r="D508" t="s">
        <v>206</v>
      </c>
      <c r="E508" t="s">
        <v>277</v>
      </c>
      <c r="F508" t="s">
        <v>323</v>
      </c>
      <c r="G508" t="s">
        <v>223</v>
      </c>
      <c r="H508" t="s">
        <v>216</v>
      </c>
      <c r="I508" t="s">
        <v>195</v>
      </c>
      <c r="J508" t="s">
        <v>196</v>
      </c>
      <c r="K508" t="s">
        <v>1277</v>
      </c>
      <c r="L508" s="10">
        <v>1331.77</v>
      </c>
      <c r="M508" s="10">
        <v>2606.11</v>
      </c>
      <c r="N508" s="17">
        <v>0.02</v>
      </c>
      <c r="O508">
        <v>6</v>
      </c>
      <c r="P508" t="str">
        <f t="shared" si="155"/>
        <v>Valid</v>
      </c>
      <c r="Q508" s="10">
        <f t="shared" si="156"/>
        <v>2606.11</v>
      </c>
      <c r="R508" t="b">
        <f t="shared" si="157"/>
        <v>0</v>
      </c>
      <c r="S508" s="17">
        <f t="shared" si="158"/>
        <v>0.02</v>
      </c>
      <c r="T508">
        <f t="shared" si="159"/>
        <v>4</v>
      </c>
      <c r="U508" s="26">
        <f t="shared" si="160"/>
        <v>45593</v>
      </c>
      <c r="V508">
        <f t="shared" si="161"/>
        <v>4</v>
      </c>
      <c r="W508" s="10">
        <f t="shared" si="162"/>
        <v>1563353.2668</v>
      </c>
      <c r="X508" s="10">
        <f t="shared" si="163"/>
        <v>15636.66</v>
      </c>
      <c r="Y508" s="10">
        <f t="shared" si="164"/>
        <v>1547716.6068</v>
      </c>
      <c r="Z508" s="14">
        <f t="shared" si="168"/>
        <v>0.98999799959992</v>
      </c>
      <c r="AA508" t="s">
        <v>1561</v>
      </c>
      <c r="AB508" t="str">
        <f t="shared" si="165"/>
        <v>Q4-2024</v>
      </c>
      <c r="AC508" t="str">
        <f t="shared" si="166"/>
        <v>Asia → China → Shanghai</v>
      </c>
      <c r="AD508" t="str">
        <f t="shared" si="167"/>
        <v>Support</v>
      </c>
      <c r="AE508" s="8" t="str">
        <f t="shared" si="176"/>
        <v>High</v>
      </c>
      <c r="AF508" t="str">
        <f t="shared" si="169"/>
        <v>CHINA</v>
      </c>
      <c r="AG508" s="7">
        <v>44938</v>
      </c>
      <c r="AH508" t="str">
        <f t="shared" si="170"/>
        <v>Jan-2023</v>
      </c>
      <c r="AI508" s="9">
        <f t="shared" si="171"/>
        <v>45596</v>
      </c>
      <c r="AJ508">
        <f t="shared" si="175"/>
        <v>1</v>
      </c>
      <c r="AK508">
        <f t="shared" si="172"/>
        <v>0</v>
      </c>
      <c r="AL508" s="17">
        <f>MIN(N508,'Scenario Modelling'!$B$2)</f>
        <v>0.02</v>
      </c>
      <c r="AM508" s="10">
        <f>L508*(1+'Scenario Modelling'!$B$3)</f>
        <v>1531.5355</v>
      </c>
      <c r="AN508">
        <f>O508*(1+'Scenario Modelling'!$B$4)</f>
        <v>7.2</v>
      </c>
      <c r="AO508" s="28">
        <f t="shared" si="173"/>
        <v>18388.71216</v>
      </c>
      <c r="AP508" s="10">
        <f t="shared" si="174"/>
        <v>7361.65656</v>
      </c>
    </row>
    <row r="509" spans="1:42">
      <c r="A509" t="s">
        <v>1278</v>
      </c>
      <c r="B509" s="7">
        <v>45029</v>
      </c>
      <c r="C509" s="7">
        <v>45036</v>
      </c>
      <c r="D509" t="s">
        <v>239</v>
      </c>
      <c r="E509" t="s">
        <v>251</v>
      </c>
      <c r="F509" t="s">
        <v>299</v>
      </c>
      <c r="G509" t="s">
        <v>223</v>
      </c>
      <c r="H509" t="s">
        <v>189</v>
      </c>
      <c r="I509" t="s">
        <v>236</v>
      </c>
      <c r="J509" t="s">
        <v>218</v>
      </c>
      <c r="K509" t="s">
        <v>1279</v>
      </c>
      <c r="L509" s="10">
        <v>227.02</v>
      </c>
      <c r="M509" s="10">
        <v>434.72</v>
      </c>
      <c r="N509" s="17">
        <v>0.098</v>
      </c>
      <c r="O509">
        <v>10</v>
      </c>
      <c r="P509" t="str">
        <f t="shared" si="155"/>
        <v>Valid</v>
      </c>
      <c r="Q509" s="10">
        <f t="shared" si="156"/>
        <v>434.72</v>
      </c>
      <c r="R509" t="b">
        <f t="shared" si="157"/>
        <v>0</v>
      </c>
      <c r="S509" s="17">
        <f t="shared" si="158"/>
        <v>0.098</v>
      </c>
      <c r="T509">
        <f t="shared" si="159"/>
        <v>7</v>
      </c>
      <c r="U509" s="26">
        <f t="shared" si="160"/>
        <v>45036</v>
      </c>
      <c r="V509">
        <f t="shared" si="161"/>
        <v>7</v>
      </c>
      <c r="W509" s="10">
        <f t="shared" si="162"/>
        <v>434293.9744</v>
      </c>
      <c r="X509" s="10">
        <f t="shared" si="163"/>
        <v>4347.2</v>
      </c>
      <c r="Y509" s="10">
        <f t="shared" si="164"/>
        <v>429946.7744</v>
      </c>
      <c r="Z509" s="14">
        <f t="shared" si="168"/>
        <v>0.989990190386579</v>
      </c>
      <c r="AA509" t="s">
        <v>1571</v>
      </c>
      <c r="AB509" t="str">
        <f t="shared" si="165"/>
        <v>Q2-2023</v>
      </c>
      <c r="AC509" t="str">
        <f t="shared" si="166"/>
        <v>Europe → France → Lyon</v>
      </c>
      <c r="AD509" t="str">
        <f t="shared" si="167"/>
        <v>Devices</v>
      </c>
      <c r="AE509" s="8" t="str">
        <f t="shared" si="176"/>
        <v>Low</v>
      </c>
      <c r="AF509" t="str">
        <f t="shared" si="169"/>
        <v>FRANCE</v>
      </c>
      <c r="AG509" s="7">
        <v>44936</v>
      </c>
      <c r="AH509" t="str">
        <f t="shared" si="170"/>
        <v>Jan-2023</v>
      </c>
      <c r="AI509" s="9">
        <f t="shared" si="171"/>
        <v>45046</v>
      </c>
      <c r="AJ509">
        <f t="shared" si="175"/>
        <v>1</v>
      </c>
      <c r="AK509">
        <f t="shared" si="172"/>
        <v>0</v>
      </c>
      <c r="AL509" s="17">
        <f>MIN(N509,'Scenario Modelling'!$B$2)</f>
        <v>0.098</v>
      </c>
      <c r="AM509" s="10">
        <f>L509*(1+'Scenario Modelling'!$B$3)</f>
        <v>261.073</v>
      </c>
      <c r="AN509">
        <f>O509*(1+'Scenario Modelling'!$B$4)</f>
        <v>12</v>
      </c>
      <c r="AO509" s="28">
        <f t="shared" si="173"/>
        <v>4705.40928</v>
      </c>
      <c r="AP509" s="10">
        <f t="shared" si="174"/>
        <v>1572.53328</v>
      </c>
    </row>
    <row r="510" spans="1:42">
      <c r="A510" t="s">
        <v>1280</v>
      </c>
      <c r="B510" s="7">
        <v>45608</v>
      </c>
      <c r="C510" s="7">
        <v>45617</v>
      </c>
      <c r="D510" t="s">
        <v>206</v>
      </c>
      <c r="E510" t="s">
        <v>221</v>
      </c>
      <c r="F510" t="s">
        <v>381</v>
      </c>
      <c r="G510" t="s">
        <v>180</v>
      </c>
      <c r="H510" t="s">
        <v>259</v>
      </c>
      <c r="I510" t="s">
        <v>253</v>
      </c>
      <c r="J510" t="s">
        <v>218</v>
      </c>
      <c r="K510" t="s">
        <v>1281</v>
      </c>
      <c r="L510" s="10">
        <v>903.41</v>
      </c>
      <c r="M510" s="10">
        <v>1860.41</v>
      </c>
      <c r="N510" s="17">
        <v>0.108</v>
      </c>
      <c r="O510">
        <v>5</v>
      </c>
      <c r="P510" t="str">
        <f t="shared" si="155"/>
        <v>Valid</v>
      </c>
      <c r="Q510" s="10">
        <f t="shared" si="156"/>
        <v>1860.41</v>
      </c>
      <c r="R510" t="b">
        <f t="shared" si="157"/>
        <v>0</v>
      </c>
      <c r="S510" s="17">
        <f t="shared" si="158"/>
        <v>0.108</v>
      </c>
      <c r="T510">
        <f t="shared" si="159"/>
        <v>9</v>
      </c>
      <c r="U510" s="26">
        <f t="shared" si="160"/>
        <v>45617</v>
      </c>
      <c r="V510">
        <f t="shared" si="161"/>
        <v>9</v>
      </c>
      <c r="W510" s="10">
        <f t="shared" si="162"/>
        <v>929200.3786</v>
      </c>
      <c r="X510" s="10">
        <f t="shared" si="163"/>
        <v>9302.05</v>
      </c>
      <c r="Y510" s="10">
        <f t="shared" si="164"/>
        <v>919898.3286</v>
      </c>
      <c r="Z510" s="14">
        <f t="shared" si="168"/>
        <v>0.989989188323389</v>
      </c>
      <c r="AA510" t="s">
        <v>1577</v>
      </c>
      <c r="AB510" t="str">
        <f t="shared" si="165"/>
        <v>Q4-2024</v>
      </c>
      <c r="AC510" t="str">
        <f t="shared" si="166"/>
        <v>Asia → India → Mumbai</v>
      </c>
      <c r="AD510" t="str">
        <f t="shared" si="167"/>
        <v>Devices</v>
      </c>
      <c r="AE510" s="8" t="str">
        <f t="shared" si="176"/>
        <v>High</v>
      </c>
      <c r="AF510" t="str">
        <f t="shared" si="169"/>
        <v>INDIA</v>
      </c>
      <c r="AG510" s="7">
        <v>44955</v>
      </c>
      <c r="AH510" t="str">
        <f t="shared" si="170"/>
        <v>Jan-2023</v>
      </c>
      <c r="AI510" s="9">
        <f t="shared" si="171"/>
        <v>45626</v>
      </c>
      <c r="AJ510">
        <f t="shared" si="175"/>
        <v>0</v>
      </c>
      <c r="AK510">
        <f t="shared" si="172"/>
        <v>0</v>
      </c>
      <c r="AL510" s="17">
        <f>MIN(N510,'Scenario Modelling'!$B$2)</f>
        <v>0.108</v>
      </c>
      <c r="AM510" s="10">
        <f>L510*(1+'Scenario Modelling'!$B$3)</f>
        <v>1038.9215</v>
      </c>
      <c r="AN510">
        <f>O510*(1+'Scenario Modelling'!$B$4)</f>
        <v>6</v>
      </c>
      <c r="AO510" s="28">
        <f t="shared" si="173"/>
        <v>9956.91432</v>
      </c>
      <c r="AP510" s="10">
        <f t="shared" si="174"/>
        <v>3723.38532</v>
      </c>
    </row>
    <row r="511" spans="1:42">
      <c r="A511" t="s">
        <v>1282</v>
      </c>
      <c r="B511" s="7">
        <v>45056</v>
      </c>
      <c r="C511" s="7">
        <v>45060</v>
      </c>
      <c r="D511" t="s">
        <v>206</v>
      </c>
      <c r="E511" t="s">
        <v>221</v>
      </c>
      <c r="F511" t="s">
        <v>302</v>
      </c>
      <c r="G511" t="s">
        <v>200</v>
      </c>
      <c r="H511" t="s">
        <v>216</v>
      </c>
      <c r="I511" t="s">
        <v>182</v>
      </c>
      <c r="J511" t="s">
        <v>225</v>
      </c>
      <c r="K511" t="s">
        <v>1283</v>
      </c>
      <c r="L511" s="10">
        <v>622.6</v>
      </c>
      <c r="M511" s="10">
        <v>833.69</v>
      </c>
      <c r="N511" s="17">
        <v>0.209</v>
      </c>
      <c r="O511">
        <v>14</v>
      </c>
      <c r="P511" t="str">
        <f t="shared" si="155"/>
        <v>Valid</v>
      </c>
      <c r="Q511" s="10">
        <f t="shared" si="156"/>
        <v>833.69</v>
      </c>
      <c r="R511" t="b">
        <f t="shared" si="157"/>
        <v>0</v>
      </c>
      <c r="S511" s="17">
        <f t="shared" si="158"/>
        <v>0.209</v>
      </c>
      <c r="T511">
        <f t="shared" si="159"/>
        <v>4</v>
      </c>
      <c r="U511" s="26">
        <f t="shared" si="160"/>
        <v>45060</v>
      </c>
      <c r="V511">
        <f t="shared" si="161"/>
        <v>4</v>
      </c>
      <c r="W511" s="10">
        <f t="shared" si="162"/>
        <v>1164726.62306</v>
      </c>
      <c r="X511" s="10">
        <f t="shared" si="163"/>
        <v>11671.66</v>
      </c>
      <c r="Y511" s="10">
        <f t="shared" si="164"/>
        <v>1153054.96306</v>
      </c>
      <c r="Z511" s="14">
        <f t="shared" si="168"/>
        <v>0.989979056227516</v>
      </c>
      <c r="AA511" t="s">
        <v>1574</v>
      </c>
      <c r="AB511" t="str">
        <f t="shared" si="165"/>
        <v>Q2-2023</v>
      </c>
      <c r="AC511" t="str">
        <f t="shared" si="166"/>
        <v>Asia → India → Delhi</v>
      </c>
      <c r="AD511" t="str">
        <f t="shared" si="167"/>
        <v>Peripherals</v>
      </c>
      <c r="AE511" s="8" t="str">
        <f t="shared" si="176"/>
        <v>Low</v>
      </c>
      <c r="AF511" t="str">
        <f t="shared" si="169"/>
        <v>INDIA</v>
      </c>
      <c r="AG511" s="7">
        <v>44955</v>
      </c>
      <c r="AH511" t="str">
        <f t="shared" si="170"/>
        <v>Jan-2023</v>
      </c>
      <c r="AI511" s="9">
        <f t="shared" si="171"/>
        <v>45077</v>
      </c>
      <c r="AJ511">
        <f t="shared" si="175"/>
        <v>1</v>
      </c>
      <c r="AK511">
        <f t="shared" si="172"/>
        <v>1</v>
      </c>
      <c r="AL511" s="17">
        <f>MIN(N511,'Scenario Modelling'!$B$2)</f>
        <v>0.209</v>
      </c>
      <c r="AM511" s="10">
        <f>L511*(1+'Scenario Modelling'!$B$3)</f>
        <v>715.99</v>
      </c>
      <c r="AN511">
        <f>O511*(1+'Scenario Modelling'!$B$4)</f>
        <v>16.8</v>
      </c>
      <c r="AO511" s="28">
        <f t="shared" si="173"/>
        <v>11078.739672</v>
      </c>
      <c r="AP511" s="10">
        <f t="shared" si="174"/>
        <v>-949.892328</v>
      </c>
    </row>
    <row r="512" spans="1:42">
      <c r="A512" t="s">
        <v>1284</v>
      </c>
      <c r="B512" s="7">
        <v>45353</v>
      </c>
      <c r="C512" s="7">
        <v>45374</v>
      </c>
      <c r="D512" t="s">
        <v>213</v>
      </c>
      <c r="E512" t="s">
        <v>283</v>
      </c>
      <c r="F512" t="s">
        <v>284</v>
      </c>
      <c r="G512" t="s">
        <v>223</v>
      </c>
      <c r="H512" t="s">
        <v>189</v>
      </c>
      <c r="I512" t="s">
        <v>245</v>
      </c>
      <c r="J512" t="s">
        <v>183</v>
      </c>
      <c r="K512" t="s">
        <v>1285</v>
      </c>
      <c r="L512" s="10">
        <v>225.01</v>
      </c>
      <c r="M512" s="10">
        <v>333.48</v>
      </c>
      <c r="N512" s="17">
        <v>0.119</v>
      </c>
      <c r="O512">
        <v>12</v>
      </c>
      <c r="P512" t="str">
        <f t="shared" si="155"/>
        <v>Valid</v>
      </c>
      <c r="Q512" s="10">
        <f t="shared" si="156"/>
        <v>333.48</v>
      </c>
      <c r="R512" t="b">
        <f t="shared" si="157"/>
        <v>0</v>
      </c>
      <c r="S512" s="17">
        <f t="shared" si="158"/>
        <v>0.119</v>
      </c>
      <c r="T512">
        <f t="shared" si="159"/>
        <v>21</v>
      </c>
      <c r="U512" s="26">
        <f t="shared" si="160"/>
        <v>45374</v>
      </c>
      <c r="V512">
        <f t="shared" si="161"/>
        <v>21</v>
      </c>
      <c r="W512" s="10">
        <f t="shared" si="162"/>
        <v>399699.79056</v>
      </c>
      <c r="X512" s="10">
        <f t="shared" si="163"/>
        <v>4001.76</v>
      </c>
      <c r="Y512" s="10">
        <f t="shared" si="164"/>
        <v>395698.03056</v>
      </c>
      <c r="Z512" s="14">
        <f t="shared" si="168"/>
        <v>0.989988085822128</v>
      </c>
      <c r="AA512" t="s">
        <v>1560</v>
      </c>
      <c r="AB512" t="str">
        <f t="shared" si="165"/>
        <v>Q1-2024</v>
      </c>
      <c r="AC512" t="str">
        <f t="shared" si="166"/>
        <v>Americas → USA → Chicago</v>
      </c>
      <c r="AD512" t="str">
        <f t="shared" si="167"/>
        <v>Support</v>
      </c>
      <c r="AE512" s="8" t="str">
        <f t="shared" si="176"/>
        <v>Medium</v>
      </c>
      <c r="AF512" t="str">
        <f t="shared" si="169"/>
        <v>USA</v>
      </c>
      <c r="AG512" s="7">
        <v>44939</v>
      </c>
      <c r="AH512" t="str">
        <f t="shared" si="170"/>
        <v>Jan-2023</v>
      </c>
      <c r="AI512" s="9">
        <f t="shared" si="171"/>
        <v>45382</v>
      </c>
      <c r="AJ512">
        <f t="shared" si="175"/>
        <v>0</v>
      </c>
      <c r="AK512">
        <f t="shared" si="172"/>
        <v>0</v>
      </c>
      <c r="AL512" s="17">
        <f>MIN(N512,'Scenario Modelling'!$B$2)</f>
        <v>0.119</v>
      </c>
      <c r="AM512" s="10">
        <f>L512*(1+'Scenario Modelling'!$B$3)</f>
        <v>258.7615</v>
      </c>
      <c r="AN512">
        <f>O512*(1+'Scenario Modelling'!$B$4)</f>
        <v>14.4</v>
      </c>
      <c r="AO512" s="28">
        <f t="shared" si="173"/>
        <v>4230.660672</v>
      </c>
      <c r="AP512" s="10">
        <f t="shared" si="174"/>
        <v>504.495072000001</v>
      </c>
    </row>
    <row r="513" spans="1:42">
      <c r="A513" t="s">
        <v>1286</v>
      </c>
      <c r="B513" s="7">
        <v>45575</v>
      </c>
      <c r="C513" s="7">
        <v>45576</v>
      </c>
      <c r="D513" t="s">
        <v>239</v>
      </c>
      <c r="E513" t="s">
        <v>269</v>
      </c>
      <c r="F513" t="s">
        <v>389</v>
      </c>
      <c r="G513" t="s">
        <v>200</v>
      </c>
      <c r="H513" t="s">
        <v>216</v>
      </c>
      <c r="I513" t="s">
        <v>210</v>
      </c>
      <c r="J513" t="s">
        <v>183</v>
      </c>
      <c r="K513" t="s">
        <v>1287</v>
      </c>
      <c r="L513" s="10">
        <v>1389.46</v>
      </c>
      <c r="M513" s="10">
        <v>1784.7</v>
      </c>
      <c r="N513" s="17">
        <v>0.146</v>
      </c>
      <c r="O513">
        <v>33</v>
      </c>
      <c r="P513" t="str">
        <f t="shared" si="155"/>
        <v>Valid</v>
      </c>
      <c r="Q513" s="10">
        <f t="shared" si="156"/>
        <v>1784.7</v>
      </c>
      <c r="R513" t="b">
        <f t="shared" si="157"/>
        <v>0</v>
      </c>
      <c r="S513" s="17">
        <f t="shared" si="158"/>
        <v>0.146</v>
      </c>
      <c r="T513">
        <f t="shared" si="159"/>
        <v>1</v>
      </c>
      <c r="U513" s="26">
        <f t="shared" si="160"/>
        <v>45576</v>
      </c>
      <c r="V513">
        <f t="shared" si="161"/>
        <v>1</v>
      </c>
      <c r="W513" s="10">
        <f t="shared" si="162"/>
        <v>5880911.3154</v>
      </c>
      <c r="X513" s="10">
        <f t="shared" si="163"/>
        <v>58895.1</v>
      </c>
      <c r="Y513" s="10">
        <f t="shared" si="164"/>
        <v>5822016.2154</v>
      </c>
      <c r="Z513" s="14">
        <f t="shared" si="168"/>
        <v>0.989985378652833</v>
      </c>
      <c r="AA513" t="s">
        <v>1561</v>
      </c>
      <c r="AB513" t="str">
        <f t="shared" si="165"/>
        <v>Q4-2024</v>
      </c>
      <c r="AC513" t="str">
        <f t="shared" si="166"/>
        <v>Europe → United Kingdom → Manchester</v>
      </c>
      <c r="AD513" t="str">
        <f t="shared" si="167"/>
        <v>Support</v>
      </c>
      <c r="AE513" s="8" t="str">
        <f t="shared" si="176"/>
        <v>Medium</v>
      </c>
      <c r="AF513" t="str">
        <f t="shared" si="169"/>
        <v>UNITED KINGDOM</v>
      </c>
      <c r="AG513" s="7">
        <v>44945</v>
      </c>
      <c r="AH513" t="str">
        <f t="shared" si="170"/>
        <v>Jan-2023</v>
      </c>
      <c r="AI513" s="9">
        <f t="shared" si="171"/>
        <v>45596</v>
      </c>
      <c r="AJ513">
        <f t="shared" si="175"/>
        <v>1</v>
      </c>
      <c r="AK513">
        <f t="shared" si="172"/>
        <v>0</v>
      </c>
      <c r="AL513" s="17">
        <f>MIN(N513,'Scenario Modelling'!$B$2)</f>
        <v>0.146</v>
      </c>
      <c r="AM513" s="10">
        <f>L513*(1+'Scenario Modelling'!$B$3)</f>
        <v>1597.879</v>
      </c>
      <c r="AN513">
        <f>O513*(1+'Scenario Modelling'!$B$4)</f>
        <v>39.6</v>
      </c>
      <c r="AO513" s="28">
        <f t="shared" si="173"/>
        <v>60355.69848</v>
      </c>
      <c r="AP513" s="10">
        <f t="shared" si="174"/>
        <v>-2920.30991999999</v>
      </c>
    </row>
    <row r="514" spans="1:42">
      <c r="A514" t="s">
        <v>1288</v>
      </c>
      <c r="B514" s="7">
        <v>45078</v>
      </c>
      <c r="C514" s="7">
        <v>45085</v>
      </c>
      <c r="D514" t="s">
        <v>239</v>
      </c>
      <c r="E514" t="s">
        <v>240</v>
      </c>
      <c r="F514" t="s">
        <v>496</v>
      </c>
      <c r="G514" t="s">
        <v>209</v>
      </c>
      <c r="H514" t="s">
        <v>189</v>
      </c>
      <c r="I514" t="s">
        <v>236</v>
      </c>
      <c r="J514" t="s">
        <v>203</v>
      </c>
      <c r="K514" t="s">
        <v>1289</v>
      </c>
      <c r="L514" s="10">
        <v>804.17</v>
      </c>
      <c r="M514" s="10">
        <v>1072.29</v>
      </c>
      <c r="N514" s="17">
        <v>0.032</v>
      </c>
      <c r="O514">
        <v>5</v>
      </c>
      <c r="P514" t="str">
        <f t="shared" ref="P514:P577" si="177">IF(M514&gt;0,"Valid")</f>
        <v>Valid</v>
      </c>
      <c r="Q514" s="10">
        <f t="shared" ref="Q514:Q577" si="178">ABS(M514)</f>
        <v>1072.29</v>
      </c>
      <c r="R514" t="b">
        <f t="shared" ref="R514:R577" si="179">IF(N514&gt;30%,"Excess")</f>
        <v>0</v>
      </c>
      <c r="S514" s="17">
        <f t="shared" ref="S514:S577" si="180">IF(R514="Excess",30%,N514)</f>
        <v>0.032</v>
      </c>
      <c r="T514">
        <f t="shared" ref="T514:T577" si="181">(C514-B514)</f>
        <v>7</v>
      </c>
      <c r="U514" s="26">
        <f t="shared" ref="U514:U577" si="182">IF(C514&lt;B514,B514+7,C514)</f>
        <v>45085</v>
      </c>
      <c r="V514">
        <f t="shared" ref="V514:V577" si="183">(U514-B514)</f>
        <v>7</v>
      </c>
      <c r="W514" s="10">
        <f t="shared" ref="W514:W577" si="184">(Q514*O514*(100-S514))</f>
        <v>535973.4336</v>
      </c>
      <c r="X514" s="10">
        <f t="shared" ref="X514:X577" si="185">(Q514*O514)</f>
        <v>5361.45</v>
      </c>
      <c r="Y514" s="10">
        <f t="shared" ref="Y514:Y577" si="186">W514-X514</f>
        <v>530611.9836</v>
      </c>
      <c r="Z514" s="14">
        <f t="shared" si="168"/>
        <v>0.989996798975672</v>
      </c>
      <c r="AA514" t="s">
        <v>1583</v>
      </c>
      <c r="AB514" t="str">
        <f t="shared" ref="AB514:AB577" si="187">"Q"&amp;ROUNDUP(MONTH(B514)/3,0)&amp;"-"&amp;YEAR(B514)</f>
        <v>Q2-2023</v>
      </c>
      <c r="AC514" t="str">
        <f t="shared" ref="AC514:AC577" si="188">D514&amp;" → "&amp;E514&amp;" → "&amp;F514</f>
        <v>Europe → Germany → Frankfurt</v>
      </c>
      <c r="AD514" t="str">
        <f t="shared" ref="AD514:AD577" si="189">IF(OR(J514="Laptops",J514="Phones"),"Devices",IF(OR(J514="Monitors",J514="Printers"),"Peripherals","Support"))</f>
        <v>Devices</v>
      </c>
      <c r="AE514" s="8" t="str">
        <f t="shared" si="176"/>
        <v>Low</v>
      </c>
      <c r="AF514" t="str">
        <f t="shared" si="169"/>
        <v>GERMANY</v>
      </c>
      <c r="AG514" s="7">
        <v>44948</v>
      </c>
      <c r="AH514" t="str">
        <f t="shared" si="170"/>
        <v>Jan-2023</v>
      </c>
      <c r="AI514" s="9">
        <f t="shared" si="171"/>
        <v>45107</v>
      </c>
      <c r="AJ514">
        <f t="shared" si="175"/>
        <v>1</v>
      </c>
      <c r="AK514">
        <f t="shared" si="172"/>
        <v>0</v>
      </c>
      <c r="AL514" s="17">
        <f>MIN(N514,'Scenario Modelling'!$B$2)</f>
        <v>0.032</v>
      </c>
      <c r="AM514" s="10">
        <f>L514*(1+'Scenario Modelling'!$B$3)</f>
        <v>924.7955</v>
      </c>
      <c r="AN514">
        <f>O514*(1+'Scenario Modelling'!$B$4)</f>
        <v>6</v>
      </c>
      <c r="AO514" s="28">
        <f t="shared" si="173"/>
        <v>6227.86032</v>
      </c>
      <c r="AP514" s="10">
        <f t="shared" si="174"/>
        <v>679.08732</v>
      </c>
    </row>
    <row r="515" spans="1:42">
      <c r="A515" t="s">
        <v>1290</v>
      </c>
      <c r="B515" s="7">
        <v>45661</v>
      </c>
      <c r="C515" s="7">
        <v>45662</v>
      </c>
      <c r="D515" t="s">
        <v>206</v>
      </c>
      <c r="E515" t="s">
        <v>221</v>
      </c>
      <c r="F515" t="s">
        <v>302</v>
      </c>
      <c r="G515" t="s">
        <v>188</v>
      </c>
      <c r="H515" t="s">
        <v>181</v>
      </c>
      <c r="I515" t="s">
        <v>195</v>
      </c>
      <c r="J515" t="s">
        <v>183</v>
      </c>
      <c r="K515" t="s">
        <v>1291</v>
      </c>
      <c r="L515" s="10">
        <v>1428.33</v>
      </c>
      <c r="M515" s="10">
        <v>3028.05</v>
      </c>
      <c r="N515" s="17">
        <v>0</v>
      </c>
      <c r="O515">
        <v>11</v>
      </c>
      <c r="P515" t="str">
        <f t="shared" si="177"/>
        <v>Valid</v>
      </c>
      <c r="Q515" s="10">
        <f t="shared" si="178"/>
        <v>3028.05</v>
      </c>
      <c r="R515" t="b">
        <f t="shared" si="179"/>
        <v>0</v>
      </c>
      <c r="S515" s="17">
        <f t="shared" si="180"/>
        <v>0</v>
      </c>
      <c r="T515">
        <f t="shared" si="181"/>
        <v>1</v>
      </c>
      <c r="U515" s="26">
        <f t="shared" si="182"/>
        <v>45662</v>
      </c>
      <c r="V515">
        <f t="shared" si="183"/>
        <v>1</v>
      </c>
      <c r="W515" s="10">
        <f t="shared" si="184"/>
        <v>3330855</v>
      </c>
      <c r="X515" s="10">
        <f t="shared" si="185"/>
        <v>33308.55</v>
      </c>
      <c r="Y515" s="10">
        <f t="shared" si="186"/>
        <v>3297546.45</v>
      </c>
      <c r="Z515" s="14">
        <f t="shared" ref="Z515:Z578" si="190">Y515/W515</f>
        <v>0.99</v>
      </c>
      <c r="AA515" t="s">
        <v>1569</v>
      </c>
      <c r="AB515" t="str">
        <f t="shared" si="187"/>
        <v>Q1-2025</v>
      </c>
      <c r="AC515" t="str">
        <f t="shared" si="188"/>
        <v>Asia → India → Delhi</v>
      </c>
      <c r="AD515" t="str">
        <f t="shared" si="189"/>
        <v>Support</v>
      </c>
      <c r="AE515" s="8" t="str">
        <f t="shared" si="176"/>
        <v>High</v>
      </c>
      <c r="AF515" t="str">
        <f t="shared" ref="AF515:AF578" si="191">UPPER(TRIM(CLEAN(SUBSTITUTE(E515,CHAR(160),""))))</f>
        <v>INDIA</v>
      </c>
      <c r="AG515" s="7">
        <v>44955</v>
      </c>
      <c r="AH515" t="str">
        <f t="shared" ref="AH515:AH578" si="192">TEXT(AG515,"MMM-YYYY")</f>
        <v>Jan-2023</v>
      </c>
      <c r="AI515" s="9">
        <f t="shared" ref="AI515:AI578" si="193">EOMONTH(B515,0)</f>
        <v>45688</v>
      </c>
      <c r="AJ515">
        <f t="shared" si="175"/>
        <v>1</v>
      </c>
      <c r="AK515">
        <f t="shared" ref="AK515:AK578" si="194">IF(N515&gt;20%,1,0)</f>
        <v>0</v>
      </c>
      <c r="AL515" s="17">
        <f>MIN(N515,'Scenario Modelling'!$B$2)</f>
        <v>0</v>
      </c>
      <c r="AM515" s="10">
        <f>L515*(1+'Scenario Modelling'!$B$3)</f>
        <v>1642.5795</v>
      </c>
      <c r="AN515">
        <f>O515*(1+'Scenario Modelling'!$B$4)</f>
        <v>13.2</v>
      </c>
      <c r="AO515" s="28">
        <f t="shared" ref="AO515:AO578" si="195">AN515*M515*(1-AL515)</f>
        <v>39970.26</v>
      </c>
      <c r="AP515" s="10">
        <f t="shared" ref="AP515:AP578" si="196">(M515*(1-AL515)-AM515)*AN515</f>
        <v>18288.2106</v>
      </c>
    </row>
    <row r="516" spans="1:42">
      <c r="A516" t="s">
        <v>1292</v>
      </c>
      <c r="B516" s="7">
        <v>45874</v>
      </c>
      <c r="C516" s="7">
        <v>45897</v>
      </c>
      <c r="D516" t="s">
        <v>206</v>
      </c>
      <c r="E516" t="s">
        <v>221</v>
      </c>
      <c r="F516" t="s">
        <v>381</v>
      </c>
      <c r="G516" t="s">
        <v>200</v>
      </c>
      <c r="H516" t="s">
        <v>216</v>
      </c>
      <c r="I516" t="s">
        <v>287</v>
      </c>
      <c r="J516" t="s">
        <v>218</v>
      </c>
      <c r="K516" t="s">
        <v>1293</v>
      </c>
      <c r="L516" s="10">
        <v>638.54</v>
      </c>
      <c r="M516" s="10">
        <v>987.24</v>
      </c>
      <c r="N516" s="17">
        <v>0</v>
      </c>
      <c r="O516">
        <v>11</v>
      </c>
      <c r="P516" t="str">
        <f t="shared" si="177"/>
        <v>Valid</v>
      </c>
      <c r="Q516" s="10">
        <f t="shared" si="178"/>
        <v>987.24</v>
      </c>
      <c r="R516" t="b">
        <f t="shared" si="179"/>
        <v>0</v>
      </c>
      <c r="S516" s="17">
        <f t="shared" si="180"/>
        <v>0</v>
      </c>
      <c r="T516">
        <f t="shared" si="181"/>
        <v>23</v>
      </c>
      <c r="U516" s="26">
        <f t="shared" si="182"/>
        <v>45897</v>
      </c>
      <c r="V516">
        <f t="shared" si="183"/>
        <v>23</v>
      </c>
      <c r="W516" s="10">
        <f t="shared" si="184"/>
        <v>1085964</v>
      </c>
      <c r="X516" s="10">
        <f t="shared" si="185"/>
        <v>10859.64</v>
      </c>
      <c r="Y516" s="10">
        <f t="shared" si="186"/>
        <v>1075104.36</v>
      </c>
      <c r="Z516" s="14">
        <f t="shared" si="190"/>
        <v>0.99</v>
      </c>
      <c r="AA516" t="s">
        <v>1590</v>
      </c>
      <c r="AB516" t="str">
        <f t="shared" si="187"/>
        <v>Q3-2025</v>
      </c>
      <c r="AC516" t="str">
        <f t="shared" si="188"/>
        <v>Asia → India → Mumbai</v>
      </c>
      <c r="AD516" t="str">
        <f t="shared" si="189"/>
        <v>Devices</v>
      </c>
      <c r="AE516" s="8" t="str">
        <f t="shared" si="176"/>
        <v>High</v>
      </c>
      <c r="AF516" t="str">
        <f t="shared" si="191"/>
        <v>INDIA</v>
      </c>
      <c r="AG516" s="7">
        <v>44955</v>
      </c>
      <c r="AH516" t="str">
        <f t="shared" si="192"/>
        <v>Jan-2023</v>
      </c>
      <c r="AI516" s="9">
        <f t="shared" si="193"/>
        <v>45900</v>
      </c>
      <c r="AJ516">
        <f t="shared" ref="AJ516:AJ579" si="197">IF(V516&lt;=7,1,0)</f>
        <v>0</v>
      </c>
      <c r="AK516">
        <f t="shared" si="194"/>
        <v>0</v>
      </c>
      <c r="AL516" s="17">
        <f>MIN(N516,'Scenario Modelling'!$B$2)</f>
        <v>0</v>
      </c>
      <c r="AM516" s="10">
        <f>L516*(1+'Scenario Modelling'!$B$3)</f>
        <v>734.321</v>
      </c>
      <c r="AN516">
        <f>O516*(1+'Scenario Modelling'!$B$4)</f>
        <v>13.2</v>
      </c>
      <c r="AO516" s="28">
        <f t="shared" si="195"/>
        <v>13031.568</v>
      </c>
      <c r="AP516" s="10">
        <f t="shared" si="196"/>
        <v>3338.5308</v>
      </c>
    </row>
    <row r="517" spans="1:42">
      <c r="A517" t="s">
        <v>1294</v>
      </c>
      <c r="B517" s="7">
        <v>45199</v>
      </c>
      <c r="C517" s="7">
        <v>45229</v>
      </c>
      <c r="D517" t="s">
        <v>206</v>
      </c>
      <c r="E517" t="s">
        <v>207</v>
      </c>
      <c r="F517" t="s">
        <v>375</v>
      </c>
      <c r="G517" t="s">
        <v>266</v>
      </c>
      <c r="H517" t="s">
        <v>189</v>
      </c>
      <c r="I517" t="s">
        <v>306</v>
      </c>
      <c r="J517" t="s">
        <v>191</v>
      </c>
      <c r="K517" t="s">
        <v>1295</v>
      </c>
      <c r="L517" s="10">
        <v>649.13</v>
      </c>
      <c r="M517" s="10">
        <v>975.43</v>
      </c>
      <c r="N517" s="17">
        <v>0.157</v>
      </c>
      <c r="O517">
        <v>27</v>
      </c>
      <c r="P517" t="str">
        <f t="shared" si="177"/>
        <v>Valid</v>
      </c>
      <c r="Q517" s="10">
        <f t="shared" si="178"/>
        <v>975.43</v>
      </c>
      <c r="R517" t="b">
        <f t="shared" si="179"/>
        <v>0</v>
      </c>
      <c r="S517" s="17">
        <f t="shared" si="180"/>
        <v>0.157</v>
      </c>
      <c r="T517">
        <f t="shared" si="181"/>
        <v>30</v>
      </c>
      <c r="U517" s="26">
        <f t="shared" si="182"/>
        <v>45229</v>
      </c>
      <c r="V517">
        <f t="shared" si="183"/>
        <v>30</v>
      </c>
      <c r="W517" s="10">
        <f t="shared" si="184"/>
        <v>2629526.15223</v>
      </c>
      <c r="X517" s="10">
        <f t="shared" si="185"/>
        <v>26336.61</v>
      </c>
      <c r="Y517" s="10">
        <f t="shared" si="186"/>
        <v>2603189.54223</v>
      </c>
      <c r="Z517" s="14">
        <f t="shared" si="190"/>
        <v>0.98998427531224</v>
      </c>
      <c r="AA517" t="s">
        <v>1588</v>
      </c>
      <c r="AB517" t="str">
        <f t="shared" si="187"/>
        <v>Q3-2023</v>
      </c>
      <c r="AC517" t="str">
        <f t="shared" si="188"/>
        <v>Asia → Japan → Tokyo</v>
      </c>
      <c r="AD517" t="str">
        <f t="shared" si="189"/>
        <v>Peripherals</v>
      </c>
      <c r="AE517" s="8" t="str">
        <f t="shared" si="176"/>
        <v>Low</v>
      </c>
      <c r="AF517" t="str">
        <f t="shared" si="191"/>
        <v>JAPAN</v>
      </c>
      <c r="AG517" s="7">
        <v>44988</v>
      </c>
      <c r="AH517" t="str">
        <f t="shared" si="192"/>
        <v>Mar-2023</v>
      </c>
      <c r="AI517" s="9">
        <f t="shared" si="193"/>
        <v>45199</v>
      </c>
      <c r="AJ517">
        <f t="shared" si="197"/>
        <v>0</v>
      </c>
      <c r="AK517">
        <f t="shared" si="194"/>
        <v>0</v>
      </c>
      <c r="AL517" s="17">
        <f>MIN(N517,'Scenario Modelling'!$B$2)</f>
        <v>0.157</v>
      </c>
      <c r="AM517" s="10">
        <f>L517*(1+'Scenario Modelling'!$B$3)</f>
        <v>746.4995</v>
      </c>
      <c r="AN517">
        <f>O517*(1+'Scenario Modelling'!$B$4)</f>
        <v>32.4</v>
      </c>
      <c r="AO517" s="28">
        <f t="shared" si="195"/>
        <v>26642.114676</v>
      </c>
      <c r="AP517" s="10">
        <f t="shared" si="196"/>
        <v>2455.530876</v>
      </c>
    </row>
    <row r="518" spans="1:42">
      <c r="A518" t="s">
        <v>1296</v>
      </c>
      <c r="B518" s="7">
        <v>45794</v>
      </c>
      <c r="C518" s="7">
        <v>45807</v>
      </c>
      <c r="D518" t="s">
        <v>177</v>
      </c>
      <c r="E518" t="s">
        <v>186</v>
      </c>
      <c r="F518" t="s">
        <v>199</v>
      </c>
      <c r="G518" t="s">
        <v>209</v>
      </c>
      <c r="H518" t="s">
        <v>216</v>
      </c>
      <c r="I518" t="s">
        <v>245</v>
      </c>
      <c r="J518" t="s">
        <v>242</v>
      </c>
      <c r="K518" t="s">
        <v>1297</v>
      </c>
      <c r="L518" s="10">
        <v>66.4</v>
      </c>
      <c r="M518" s="10">
        <v>141.43</v>
      </c>
      <c r="N518" s="17">
        <v>0.107</v>
      </c>
      <c r="O518">
        <v>8</v>
      </c>
      <c r="P518" t="str">
        <f t="shared" si="177"/>
        <v>Valid</v>
      </c>
      <c r="Q518" s="10">
        <f t="shared" si="178"/>
        <v>141.43</v>
      </c>
      <c r="R518" t="b">
        <f t="shared" si="179"/>
        <v>0</v>
      </c>
      <c r="S518" s="17">
        <f t="shared" si="180"/>
        <v>0.107</v>
      </c>
      <c r="T518">
        <f t="shared" si="181"/>
        <v>13</v>
      </c>
      <c r="U518" s="26">
        <f t="shared" si="182"/>
        <v>45807</v>
      </c>
      <c r="V518">
        <f t="shared" si="183"/>
        <v>13</v>
      </c>
      <c r="W518" s="10">
        <f t="shared" si="184"/>
        <v>113022.93592</v>
      </c>
      <c r="X518" s="10">
        <f t="shared" si="185"/>
        <v>1131.44</v>
      </c>
      <c r="Y518" s="10">
        <f t="shared" si="186"/>
        <v>111891.49592</v>
      </c>
      <c r="Z518" s="14">
        <f t="shared" si="190"/>
        <v>0.989989288538736</v>
      </c>
      <c r="AA518" t="s">
        <v>1567</v>
      </c>
      <c r="AB518" t="str">
        <f t="shared" si="187"/>
        <v>Q2-2025</v>
      </c>
      <c r="AC518" t="str">
        <f t="shared" si="188"/>
        <v>Africa → Nigeria → Lagos</v>
      </c>
      <c r="AD518" t="str">
        <f t="shared" si="189"/>
        <v>Support</v>
      </c>
      <c r="AE518" s="8" t="str">
        <f t="shared" si="176"/>
        <v>High</v>
      </c>
      <c r="AF518" t="str">
        <f t="shared" si="191"/>
        <v>NIGERIA</v>
      </c>
      <c r="AG518" s="7">
        <v>44941</v>
      </c>
      <c r="AH518" t="str">
        <f t="shared" si="192"/>
        <v>Jan-2023</v>
      </c>
      <c r="AI518" s="9">
        <f t="shared" si="193"/>
        <v>45808</v>
      </c>
      <c r="AJ518">
        <f t="shared" si="197"/>
        <v>0</v>
      </c>
      <c r="AK518">
        <f t="shared" si="194"/>
        <v>0</v>
      </c>
      <c r="AL518" s="17">
        <f>MIN(N518,'Scenario Modelling'!$B$2)</f>
        <v>0.107</v>
      </c>
      <c r="AM518" s="10">
        <f>L518*(1+'Scenario Modelling'!$B$3)</f>
        <v>76.36</v>
      </c>
      <c r="AN518">
        <f>O518*(1+'Scenario Modelling'!$B$4)</f>
        <v>9.6</v>
      </c>
      <c r="AO518" s="28">
        <f t="shared" si="195"/>
        <v>1212.451104</v>
      </c>
      <c r="AP518" s="10">
        <f t="shared" si="196"/>
        <v>479.395104</v>
      </c>
    </row>
    <row r="519" spans="1:42">
      <c r="A519" t="s">
        <v>1298</v>
      </c>
      <c r="B519" s="7">
        <v>45413</v>
      </c>
      <c r="C519" s="7">
        <v>45438</v>
      </c>
      <c r="D519" t="s">
        <v>239</v>
      </c>
      <c r="E519" t="s">
        <v>240</v>
      </c>
      <c r="F519" t="s">
        <v>241</v>
      </c>
      <c r="G519" t="s">
        <v>200</v>
      </c>
      <c r="H519" t="s">
        <v>181</v>
      </c>
      <c r="I519" t="s">
        <v>217</v>
      </c>
      <c r="J519" t="s">
        <v>196</v>
      </c>
      <c r="K519" t="s">
        <v>1299</v>
      </c>
      <c r="L519" s="10">
        <v>930.71</v>
      </c>
      <c r="M519" s="10">
        <v>1625.42</v>
      </c>
      <c r="N519" s="17">
        <v>0.138</v>
      </c>
      <c r="O519">
        <v>7</v>
      </c>
      <c r="P519" t="str">
        <f t="shared" si="177"/>
        <v>Valid</v>
      </c>
      <c r="Q519" s="10">
        <f t="shared" si="178"/>
        <v>1625.42</v>
      </c>
      <c r="R519" t="b">
        <f t="shared" si="179"/>
        <v>0</v>
      </c>
      <c r="S519" s="17">
        <f t="shared" si="180"/>
        <v>0.138</v>
      </c>
      <c r="T519">
        <f t="shared" si="181"/>
        <v>25</v>
      </c>
      <c r="U519" s="26">
        <f t="shared" si="182"/>
        <v>45438</v>
      </c>
      <c r="V519">
        <f t="shared" si="183"/>
        <v>25</v>
      </c>
      <c r="W519" s="10">
        <f t="shared" si="184"/>
        <v>1136223.84428</v>
      </c>
      <c r="X519" s="10">
        <f t="shared" si="185"/>
        <v>11377.94</v>
      </c>
      <c r="Y519" s="10">
        <f t="shared" si="186"/>
        <v>1124845.90428</v>
      </c>
      <c r="Z519" s="14">
        <f t="shared" si="190"/>
        <v>0.989986180929683</v>
      </c>
      <c r="AA519" t="s">
        <v>1566</v>
      </c>
      <c r="AB519" t="str">
        <f t="shared" si="187"/>
        <v>Q2-2024</v>
      </c>
      <c r="AC519" t="str">
        <f t="shared" si="188"/>
        <v>Europe → Germany → Berlin</v>
      </c>
      <c r="AD519" t="str">
        <f t="shared" si="189"/>
        <v>Support</v>
      </c>
      <c r="AE519" s="8" t="str">
        <f t="shared" si="176"/>
        <v>Medium</v>
      </c>
      <c r="AF519" t="str">
        <f t="shared" si="191"/>
        <v>GERMANY</v>
      </c>
      <c r="AG519" s="7">
        <v>44948</v>
      </c>
      <c r="AH519" t="str">
        <f t="shared" si="192"/>
        <v>Jan-2023</v>
      </c>
      <c r="AI519" s="9">
        <f t="shared" si="193"/>
        <v>45443</v>
      </c>
      <c r="AJ519">
        <f t="shared" si="197"/>
        <v>0</v>
      </c>
      <c r="AK519">
        <f t="shared" si="194"/>
        <v>0</v>
      </c>
      <c r="AL519" s="17">
        <f>MIN(N519,'Scenario Modelling'!$B$2)</f>
        <v>0.138</v>
      </c>
      <c r="AM519" s="10">
        <f>L519*(1+'Scenario Modelling'!$B$3)</f>
        <v>1070.3165</v>
      </c>
      <c r="AN519">
        <f>O519*(1+'Scenario Modelling'!$B$4)</f>
        <v>8.4</v>
      </c>
      <c r="AO519" s="28">
        <f t="shared" si="195"/>
        <v>11769.341136</v>
      </c>
      <c r="AP519" s="10">
        <f t="shared" si="196"/>
        <v>2778.682536</v>
      </c>
    </row>
    <row r="520" spans="1:42">
      <c r="A520" t="s">
        <v>1300</v>
      </c>
      <c r="B520" s="7">
        <v>45047</v>
      </c>
      <c r="C520" s="7">
        <v>45064</v>
      </c>
      <c r="D520" t="s">
        <v>177</v>
      </c>
      <c r="E520" t="s">
        <v>186</v>
      </c>
      <c r="F520" t="s">
        <v>187</v>
      </c>
      <c r="G520" t="s">
        <v>180</v>
      </c>
      <c r="H520" t="s">
        <v>259</v>
      </c>
      <c r="I520" t="s">
        <v>245</v>
      </c>
      <c r="J520" t="s">
        <v>183</v>
      </c>
      <c r="K520" t="s">
        <v>1301</v>
      </c>
      <c r="L520" s="10">
        <v>327.97</v>
      </c>
      <c r="M520" s="10">
        <v>299.94</v>
      </c>
      <c r="N520" s="17">
        <v>0.049</v>
      </c>
      <c r="O520">
        <v>3</v>
      </c>
      <c r="P520" t="str">
        <f t="shared" si="177"/>
        <v>Valid</v>
      </c>
      <c r="Q520" s="10">
        <f t="shared" si="178"/>
        <v>299.94</v>
      </c>
      <c r="R520" t="b">
        <f t="shared" si="179"/>
        <v>0</v>
      </c>
      <c r="S520" s="17">
        <f t="shared" si="180"/>
        <v>0.049</v>
      </c>
      <c r="T520">
        <f t="shared" si="181"/>
        <v>17</v>
      </c>
      <c r="U520" s="26">
        <f t="shared" si="182"/>
        <v>45064</v>
      </c>
      <c r="V520">
        <f t="shared" si="183"/>
        <v>17</v>
      </c>
      <c r="W520" s="10">
        <f t="shared" si="184"/>
        <v>89937.90882</v>
      </c>
      <c r="X520" s="10">
        <f t="shared" si="185"/>
        <v>899.82</v>
      </c>
      <c r="Y520" s="10">
        <f t="shared" si="186"/>
        <v>89038.08882</v>
      </c>
      <c r="Z520" s="14">
        <f t="shared" si="190"/>
        <v>0.989995097597823</v>
      </c>
      <c r="AA520" t="s">
        <v>1574</v>
      </c>
      <c r="AB520" t="str">
        <f t="shared" si="187"/>
        <v>Q2-2023</v>
      </c>
      <c r="AC520" t="str">
        <f t="shared" si="188"/>
        <v>Africa → Nigeria → Port Harcourt</v>
      </c>
      <c r="AD520" t="str">
        <f t="shared" si="189"/>
        <v>Support</v>
      </c>
      <c r="AE520" s="8" t="str">
        <f t="shared" si="176"/>
        <v>Low</v>
      </c>
      <c r="AF520" t="str">
        <f t="shared" si="191"/>
        <v>NIGERIA</v>
      </c>
      <c r="AG520" s="7">
        <v>44941</v>
      </c>
      <c r="AH520" t="str">
        <f t="shared" si="192"/>
        <v>Jan-2023</v>
      </c>
      <c r="AI520" s="9">
        <f t="shared" si="193"/>
        <v>45077</v>
      </c>
      <c r="AJ520">
        <f t="shared" si="197"/>
        <v>0</v>
      </c>
      <c r="AK520">
        <f t="shared" si="194"/>
        <v>0</v>
      </c>
      <c r="AL520" s="17">
        <f>MIN(N520,'Scenario Modelling'!$B$2)</f>
        <v>0.049</v>
      </c>
      <c r="AM520" s="10">
        <f>L520*(1+'Scenario Modelling'!$B$3)</f>
        <v>377.1655</v>
      </c>
      <c r="AN520">
        <f>O520*(1+'Scenario Modelling'!$B$4)</f>
        <v>3.6</v>
      </c>
      <c r="AO520" s="28">
        <f t="shared" si="195"/>
        <v>1026.874584</v>
      </c>
      <c r="AP520" s="10">
        <f t="shared" si="196"/>
        <v>-330.921216</v>
      </c>
    </row>
    <row r="521" spans="1:42">
      <c r="A521" t="s">
        <v>1302</v>
      </c>
      <c r="B521" s="7">
        <v>45482</v>
      </c>
      <c r="C521" s="7">
        <v>45512</v>
      </c>
      <c r="D521" t="s">
        <v>239</v>
      </c>
      <c r="E521" t="s">
        <v>251</v>
      </c>
      <c r="F521" t="s">
        <v>252</v>
      </c>
      <c r="G521" t="s">
        <v>180</v>
      </c>
      <c r="H521" t="s">
        <v>259</v>
      </c>
      <c r="I521" t="s">
        <v>190</v>
      </c>
      <c r="J521" t="s">
        <v>183</v>
      </c>
      <c r="K521" t="s">
        <v>1303</v>
      </c>
      <c r="L521" s="10">
        <v>1062.38</v>
      </c>
      <c r="M521" s="10">
        <v>1503.96</v>
      </c>
      <c r="N521" s="17">
        <v>0.18</v>
      </c>
      <c r="O521">
        <v>6</v>
      </c>
      <c r="P521" t="str">
        <f t="shared" si="177"/>
        <v>Valid</v>
      </c>
      <c r="Q521" s="10">
        <f t="shared" si="178"/>
        <v>1503.96</v>
      </c>
      <c r="R521" t="b">
        <f t="shared" si="179"/>
        <v>0</v>
      </c>
      <c r="S521" s="17">
        <f t="shared" si="180"/>
        <v>0.18</v>
      </c>
      <c r="T521">
        <f t="shared" si="181"/>
        <v>30</v>
      </c>
      <c r="U521" s="26">
        <f t="shared" si="182"/>
        <v>45512</v>
      </c>
      <c r="V521">
        <f t="shared" si="183"/>
        <v>30</v>
      </c>
      <c r="W521" s="10">
        <f t="shared" si="184"/>
        <v>900751.7232</v>
      </c>
      <c r="X521" s="10">
        <f t="shared" si="185"/>
        <v>9023.76</v>
      </c>
      <c r="Y521" s="10">
        <f t="shared" si="186"/>
        <v>891727.9632</v>
      </c>
      <c r="Z521" s="14">
        <f t="shared" si="190"/>
        <v>0.989981967541575</v>
      </c>
      <c r="AA521" t="s">
        <v>1573</v>
      </c>
      <c r="AB521" t="str">
        <f t="shared" si="187"/>
        <v>Q3-2024</v>
      </c>
      <c r="AC521" t="str">
        <f t="shared" si="188"/>
        <v>Europe → France → Marseille</v>
      </c>
      <c r="AD521" t="str">
        <f t="shared" si="189"/>
        <v>Support</v>
      </c>
      <c r="AE521" s="8" t="str">
        <f t="shared" si="176"/>
        <v>Medium</v>
      </c>
      <c r="AF521" t="str">
        <f t="shared" si="191"/>
        <v>FRANCE</v>
      </c>
      <c r="AG521" s="7">
        <v>44936</v>
      </c>
      <c r="AH521" t="str">
        <f t="shared" si="192"/>
        <v>Jan-2023</v>
      </c>
      <c r="AI521" s="9">
        <f t="shared" si="193"/>
        <v>45504</v>
      </c>
      <c r="AJ521">
        <f t="shared" si="197"/>
        <v>0</v>
      </c>
      <c r="AK521">
        <f t="shared" si="194"/>
        <v>0</v>
      </c>
      <c r="AL521" s="17">
        <f>MIN(N521,'Scenario Modelling'!$B$2)</f>
        <v>0.18</v>
      </c>
      <c r="AM521" s="10">
        <f>L521*(1+'Scenario Modelling'!$B$3)</f>
        <v>1221.737</v>
      </c>
      <c r="AN521">
        <f>O521*(1+'Scenario Modelling'!$B$4)</f>
        <v>7.2</v>
      </c>
      <c r="AO521" s="28">
        <f t="shared" si="195"/>
        <v>8879.37984</v>
      </c>
      <c r="AP521" s="10">
        <f t="shared" si="196"/>
        <v>82.8734399999996</v>
      </c>
    </row>
    <row r="522" spans="1:42">
      <c r="A522" t="s">
        <v>1304</v>
      </c>
      <c r="B522" s="7">
        <v>45056</v>
      </c>
      <c r="C522" s="7">
        <v>45073</v>
      </c>
      <c r="D522" t="s">
        <v>206</v>
      </c>
      <c r="E522" t="s">
        <v>221</v>
      </c>
      <c r="F522" t="s">
        <v>381</v>
      </c>
      <c r="G522" t="s">
        <v>209</v>
      </c>
      <c r="H522" t="s">
        <v>181</v>
      </c>
      <c r="I522" t="s">
        <v>271</v>
      </c>
      <c r="J522" t="s">
        <v>218</v>
      </c>
      <c r="K522" t="s">
        <v>1305</v>
      </c>
      <c r="L522" s="10">
        <v>1286.16</v>
      </c>
      <c r="M522" s="10">
        <v>3101.11</v>
      </c>
      <c r="N522" s="17">
        <v>0.1</v>
      </c>
      <c r="O522">
        <v>23</v>
      </c>
      <c r="P522" t="str">
        <f t="shared" si="177"/>
        <v>Valid</v>
      </c>
      <c r="Q522" s="10">
        <f t="shared" si="178"/>
        <v>3101.11</v>
      </c>
      <c r="R522" t="b">
        <f t="shared" si="179"/>
        <v>0</v>
      </c>
      <c r="S522" s="17">
        <f t="shared" si="180"/>
        <v>0.1</v>
      </c>
      <c r="T522">
        <f t="shared" si="181"/>
        <v>17</v>
      </c>
      <c r="U522" s="26">
        <f t="shared" si="182"/>
        <v>45073</v>
      </c>
      <c r="V522">
        <f t="shared" si="183"/>
        <v>17</v>
      </c>
      <c r="W522" s="10">
        <f t="shared" si="184"/>
        <v>7125420.447</v>
      </c>
      <c r="X522" s="10">
        <f t="shared" si="185"/>
        <v>71325.53</v>
      </c>
      <c r="Y522" s="10">
        <f t="shared" si="186"/>
        <v>7054094.917</v>
      </c>
      <c r="Z522" s="14">
        <f t="shared" si="190"/>
        <v>0.98998998998999</v>
      </c>
      <c r="AA522" t="s">
        <v>1574</v>
      </c>
      <c r="AB522" t="str">
        <f t="shared" si="187"/>
        <v>Q2-2023</v>
      </c>
      <c r="AC522" t="str">
        <f t="shared" si="188"/>
        <v>Asia → India → Mumbai</v>
      </c>
      <c r="AD522" t="str">
        <f t="shared" si="189"/>
        <v>Devices</v>
      </c>
      <c r="AE522" s="8" t="str">
        <f t="shared" si="176"/>
        <v>Low</v>
      </c>
      <c r="AF522" t="str">
        <f t="shared" si="191"/>
        <v>INDIA</v>
      </c>
      <c r="AG522" s="7">
        <v>44955</v>
      </c>
      <c r="AH522" t="str">
        <f t="shared" si="192"/>
        <v>Jan-2023</v>
      </c>
      <c r="AI522" s="9">
        <f t="shared" si="193"/>
        <v>45077</v>
      </c>
      <c r="AJ522">
        <f t="shared" si="197"/>
        <v>0</v>
      </c>
      <c r="AK522">
        <f t="shared" si="194"/>
        <v>0</v>
      </c>
      <c r="AL522" s="17">
        <f>MIN(N522,'Scenario Modelling'!$B$2)</f>
        <v>0.1</v>
      </c>
      <c r="AM522" s="10">
        <f>L522*(1+'Scenario Modelling'!$B$3)</f>
        <v>1479.084</v>
      </c>
      <c r="AN522">
        <f>O522*(1+'Scenario Modelling'!$B$4)</f>
        <v>27.6</v>
      </c>
      <c r="AO522" s="28">
        <f t="shared" si="195"/>
        <v>77031.5724</v>
      </c>
      <c r="AP522" s="10">
        <f t="shared" si="196"/>
        <v>36208.854</v>
      </c>
    </row>
    <row r="523" spans="1:42">
      <c r="A523" t="s">
        <v>1306</v>
      </c>
      <c r="B523" s="7">
        <v>45482</v>
      </c>
      <c r="C523" s="7">
        <v>45485</v>
      </c>
      <c r="D523" t="s">
        <v>206</v>
      </c>
      <c r="E523" t="s">
        <v>277</v>
      </c>
      <c r="F523" t="s">
        <v>323</v>
      </c>
      <c r="G523" t="s">
        <v>223</v>
      </c>
      <c r="H523" t="s">
        <v>181</v>
      </c>
      <c r="I523" t="s">
        <v>306</v>
      </c>
      <c r="J523" t="s">
        <v>242</v>
      </c>
      <c r="K523" t="s">
        <v>1307</v>
      </c>
      <c r="L523" s="10">
        <v>748.39</v>
      </c>
      <c r="M523" s="10">
        <v>979.42</v>
      </c>
      <c r="N523" s="17">
        <v>0</v>
      </c>
      <c r="O523">
        <v>23</v>
      </c>
      <c r="P523" t="str">
        <f t="shared" si="177"/>
        <v>Valid</v>
      </c>
      <c r="Q523" s="10">
        <f t="shared" si="178"/>
        <v>979.42</v>
      </c>
      <c r="R523" t="b">
        <f t="shared" si="179"/>
        <v>0</v>
      </c>
      <c r="S523" s="17">
        <f t="shared" si="180"/>
        <v>0</v>
      </c>
      <c r="T523">
        <f t="shared" si="181"/>
        <v>3</v>
      </c>
      <c r="U523" s="26">
        <f t="shared" si="182"/>
        <v>45485</v>
      </c>
      <c r="V523">
        <f t="shared" si="183"/>
        <v>3</v>
      </c>
      <c r="W523" s="10">
        <f t="shared" si="184"/>
        <v>2252666</v>
      </c>
      <c r="X523" s="10">
        <f t="shared" si="185"/>
        <v>22526.66</v>
      </c>
      <c r="Y523" s="10">
        <f t="shared" si="186"/>
        <v>2230139.34</v>
      </c>
      <c r="Z523" s="14">
        <f t="shared" si="190"/>
        <v>0.99</v>
      </c>
      <c r="AA523" t="s">
        <v>1573</v>
      </c>
      <c r="AB523" t="str">
        <f t="shared" si="187"/>
        <v>Q3-2024</v>
      </c>
      <c r="AC523" t="str">
        <f t="shared" si="188"/>
        <v>Asia → China → Shanghai</v>
      </c>
      <c r="AD523" t="str">
        <f t="shared" si="189"/>
        <v>Support</v>
      </c>
      <c r="AE523" s="8" t="str">
        <f t="shared" si="176"/>
        <v>Medium</v>
      </c>
      <c r="AF523" t="str">
        <f t="shared" si="191"/>
        <v>CHINA</v>
      </c>
      <c r="AG523" s="7">
        <v>44938</v>
      </c>
      <c r="AH523" t="str">
        <f t="shared" si="192"/>
        <v>Jan-2023</v>
      </c>
      <c r="AI523" s="9">
        <f t="shared" si="193"/>
        <v>45504</v>
      </c>
      <c r="AJ523">
        <f t="shared" si="197"/>
        <v>1</v>
      </c>
      <c r="AK523">
        <f t="shared" si="194"/>
        <v>0</v>
      </c>
      <c r="AL523" s="17">
        <f>MIN(N523,'Scenario Modelling'!$B$2)</f>
        <v>0</v>
      </c>
      <c r="AM523" s="10">
        <f>L523*(1+'Scenario Modelling'!$B$3)</f>
        <v>860.6485</v>
      </c>
      <c r="AN523">
        <f>O523*(1+'Scenario Modelling'!$B$4)</f>
        <v>27.6</v>
      </c>
      <c r="AO523" s="28">
        <f t="shared" si="195"/>
        <v>27031.992</v>
      </c>
      <c r="AP523" s="10">
        <f t="shared" si="196"/>
        <v>3278.0934</v>
      </c>
    </row>
    <row r="524" spans="1:42">
      <c r="A524" t="s">
        <v>1308</v>
      </c>
      <c r="B524" s="7">
        <v>45406</v>
      </c>
      <c r="C524" s="7">
        <v>45422</v>
      </c>
      <c r="D524" t="s">
        <v>177</v>
      </c>
      <c r="E524" t="s">
        <v>178</v>
      </c>
      <c r="F524" t="s">
        <v>179</v>
      </c>
      <c r="G524" t="s">
        <v>200</v>
      </c>
      <c r="H524" t="s">
        <v>189</v>
      </c>
      <c r="I524" t="s">
        <v>287</v>
      </c>
      <c r="J524" t="s">
        <v>225</v>
      </c>
      <c r="K524" t="s">
        <v>1309</v>
      </c>
      <c r="L524" s="10">
        <v>513.31</v>
      </c>
      <c r="M524" s="10">
        <v>1186.26</v>
      </c>
      <c r="N524" s="17">
        <v>0.094</v>
      </c>
      <c r="O524">
        <v>15</v>
      </c>
      <c r="P524" t="str">
        <f t="shared" si="177"/>
        <v>Valid</v>
      </c>
      <c r="Q524" s="10">
        <f t="shared" si="178"/>
        <v>1186.26</v>
      </c>
      <c r="R524" t="b">
        <f t="shared" si="179"/>
        <v>0</v>
      </c>
      <c r="S524" s="17">
        <f t="shared" si="180"/>
        <v>0.094</v>
      </c>
      <c r="T524">
        <f t="shared" si="181"/>
        <v>16</v>
      </c>
      <c r="U524" s="26">
        <f t="shared" si="182"/>
        <v>45422</v>
      </c>
      <c r="V524">
        <f t="shared" si="183"/>
        <v>16</v>
      </c>
      <c r="W524" s="10">
        <f t="shared" si="184"/>
        <v>1777717.3734</v>
      </c>
      <c r="X524" s="10">
        <f t="shared" si="185"/>
        <v>17793.9</v>
      </c>
      <c r="Y524" s="10">
        <f t="shared" si="186"/>
        <v>1759923.4734</v>
      </c>
      <c r="Z524" s="14">
        <f t="shared" si="190"/>
        <v>0.989990591155686</v>
      </c>
      <c r="AA524" t="s">
        <v>1580</v>
      </c>
      <c r="AB524" t="str">
        <f t="shared" si="187"/>
        <v>Q2-2024</v>
      </c>
      <c r="AC524" t="str">
        <f t="shared" si="188"/>
        <v>Africa → Kenya → Kisumu</v>
      </c>
      <c r="AD524" t="str">
        <f t="shared" si="189"/>
        <v>Peripherals</v>
      </c>
      <c r="AE524" s="8" t="str">
        <f t="shared" si="176"/>
        <v>Medium</v>
      </c>
      <c r="AF524" t="str">
        <f t="shared" si="191"/>
        <v>KENYA</v>
      </c>
      <c r="AG524" s="7">
        <v>44946</v>
      </c>
      <c r="AH524" t="str">
        <f t="shared" si="192"/>
        <v>Jan-2023</v>
      </c>
      <c r="AI524" s="9">
        <f t="shared" si="193"/>
        <v>45412</v>
      </c>
      <c r="AJ524">
        <f t="shared" si="197"/>
        <v>0</v>
      </c>
      <c r="AK524">
        <f t="shared" si="194"/>
        <v>0</v>
      </c>
      <c r="AL524" s="17">
        <f>MIN(N524,'Scenario Modelling'!$B$2)</f>
        <v>0.094</v>
      </c>
      <c r="AM524" s="10">
        <f>L524*(1+'Scenario Modelling'!$B$3)</f>
        <v>590.3065</v>
      </c>
      <c r="AN524">
        <f>O524*(1+'Scenario Modelling'!$B$4)</f>
        <v>18</v>
      </c>
      <c r="AO524" s="28">
        <f t="shared" si="195"/>
        <v>19345.52808</v>
      </c>
      <c r="AP524" s="10">
        <f t="shared" si="196"/>
        <v>8720.01108</v>
      </c>
    </row>
    <row r="525" spans="1:42">
      <c r="A525" t="s">
        <v>1310</v>
      </c>
      <c r="B525" s="7">
        <v>45304</v>
      </c>
      <c r="C525" s="7">
        <v>45306</v>
      </c>
      <c r="D525" t="s">
        <v>213</v>
      </c>
      <c r="E525" t="s">
        <v>283</v>
      </c>
      <c r="F525" t="s">
        <v>328</v>
      </c>
      <c r="G525" t="s">
        <v>200</v>
      </c>
      <c r="H525" t="s">
        <v>259</v>
      </c>
      <c r="I525" t="s">
        <v>224</v>
      </c>
      <c r="J525" t="s">
        <v>183</v>
      </c>
      <c r="K525" t="s">
        <v>1311</v>
      </c>
      <c r="L525" s="10">
        <v>1061.37</v>
      </c>
      <c r="M525" s="10">
        <v>1938.33</v>
      </c>
      <c r="N525" s="17">
        <v>0.17</v>
      </c>
      <c r="O525">
        <v>4</v>
      </c>
      <c r="P525" t="str">
        <f t="shared" si="177"/>
        <v>Valid</v>
      </c>
      <c r="Q525" s="10">
        <f t="shared" si="178"/>
        <v>1938.33</v>
      </c>
      <c r="R525" t="b">
        <f t="shared" si="179"/>
        <v>0</v>
      </c>
      <c r="S525" s="17">
        <f t="shared" si="180"/>
        <v>0.17</v>
      </c>
      <c r="T525">
        <f t="shared" si="181"/>
        <v>2</v>
      </c>
      <c r="U525" s="26">
        <f t="shared" si="182"/>
        <v>45306</v>
      </c>
      <c r="V525">
        <f t="shared" si="183"/>
        <v>2</v>
      </c>
      <c r="W525" s="10">
        <f t="shared" si="184"/>
        <v>774013.9356</v>
      </c>
      <c r="X525" s="10">
        <f t="shared" si="185"/>
        <v>7753.32</v>
      </c>
      <c r="Y525" s="10">
        <f t="shared" si="186"/>
        <v>766260.6156</v>
      </c>
      <c r="Z525" s="14">
        <f t="shared" si="190"/>
        <v>0.989982971050786</v>
      </c>
      <c r="AA525" t="s">
        <v>1568</v>
      </c>
      <c r="AB525" t="str">
        <f t="shared" si="187"/>
        <v>Q1-2024</v>
      </c>
      <c r="AC525" t="str">
        <f t="shared" si="188"/>
        <v>Americas → USA → San Francisco</v>
      </c>
      <c r="AD525" t="str">
        <f t="shared" si="189"/>
        <v>Support</v>
      </c>
      <c r="AE525" s="8" t="str">
        <f t="shared" si="176"/>
        <v>Medium</v>
      </c>
      <c r="AF525" t="str">
        <f t="shared" si="191"/>
        <v>USA</v>
      </c>
      <c r="AG525" s="7">
        <v>44939</v>
      </c>
      <c r="AH525" t="str">
        <f t="shared" si="192"/>
        <v>Jan-2023</v>
      </c>
      <c r="AI525" s="9">
        <f t="shared" si="193"/>
        <v>45322</v>
      </c>
      <c r="AJ525">
        <f t="shared" si="197"/>
        <v>1</v>
      </c>
      <c r="AK525">
        <f t="shared" si="194"/>
        <v>0</v>
      </c>
      <c r="AL525" s="17">
        <f>MIN(N525,'Scenario Modelling'!$B$2)</f>
        <v>0.17</v>
      </c>
      <c r="AM525" s="10">
        <f>L525*(1+'Scenario Modelling'!$B$3)</f>
        <v>1220.5755</v>
      </c>
      <c r="AN525">
        <f>O525*(1+'Scenario Modelling'!$B$4)</f>
        <v>4.8</v>
      </c>
      <c r="AO525" s="28">
        <f t="shared" si="195"/>
        <v>7722.30672</v>
      </c>
      <c r="AP525" s="10">
        <f t="shared" si="196"/>
        <v>1863.54432</v>
      </c>
    </row>
    <row r="526" spans="1:42">
      <c r="A526" t="s">
        <v>1312</v>
      </c>
      <c r="B526" s="7">
        <v>45398</v>
      </c>
      <c r="C526" s="7">
        <v>45409</v>
      </c>
      <c r="D526" t="s">
        <v>177</v>
      </c>
      <c r="E526" t="s">
        <v>178</v>
      </c>
      <c r="F526" t="s">
        <v>296</v>
      </c>
      <c r="G526" t="s">
        <v>266</v>
      </c>
      <c r="H526" t="s">
        <v>189</v>
      </c>
      <c r="I526" t="s">
        <v>306</v>
      </c>
      <c r="J526" t="s">
        <v>191</v>
      </c>
      <c r="K526" t="s">
        <v>1313</v>
      </c>
      <c r="L526" s="10">
        <v>401.3</v>
      </c>
      <c r="M526" s="10">
        <v>826.47</v>
      </c>
      <c r="N526" s="17">
        <v>0.225</v>
      </c>
      <c r="O526">
        <v>13</v>
      </c>
      <c r="P526" t="str">
        <f t="shared" si="177"/>
        <v>Valid</v>
      </c>
      <c r="Q526" s="10">
        <f t="shared" si="178"/>
        <v>826.47</v>
      </c>
      <c r="R526" t="b">
        <f t="shared" si="179"/>
        <v>0</v>
      </c>
      <c r="S526" s="17">
        <f t="shared" si="180"/>
        <v>0.225</v>
      </c>
      <c r="T526">
        <f t="shared" si="181"/>
        <v>11</v>
      </c>
      <c r="U526" s="26">
        <f t="shared" si="182"/>
        <v>45409</v>
      </c>
      <c r="V526">
        <f t="shared" si="183"/>
        <v>11</v>
      </c>
      <c r="W526" s="10">
        <f t="shared" si="184"/>
        <v>1071993.57525</v>
      </c>
      <c r="X526" s="10">
        <f t="shared" si="185"/>
        <v>10744.11</v>
      </c>
      <c r="Y526" s="10">
        <f t="shared" si="186"/>
        <v>1061249.46525</v>
      </c>
      <c r="Z526" s="14">
        <f t="shared" si="190"/>
        <v>0.989977449260837</v>
      </c>
      <c r="AA526" t="s">
        <v>1580</v>
      </c>
      <c r="AB526" t="str">
        <f t="shared" si="187"/>
        <v>Q2-2024</v>
      </c>
      <c r="AC526" t="str">
        <f t="shared" si="188"/>
        <v>Africa → Kenya → Nakuru</v>
      </c>
      <c r="AD526" t="str">
        <f t="shared" si="189"/>
        <v>Peripherals</v>
      </c>
      <c r="AE526" s="8" t="str">
        <f t="shared" si="176"/>
        <v>Medium</v>
      </c>
      <c r="AF526" t="str">
        <f t="shared" si="191"/>
        <v>KENYA</v>
      </c>
      <c r="AG526" s="7">
        <v>44946</v>
      </c>
      <c r="AH526" t="str">
        <f t="shared" si="192"/>
        <v>Jan-2023</v>
      </c>
      <c r="AI526" s="9">
        <f t="shared" si="193"/>
        <v>45412</v>
      </c>
      <c r="AJ526">
        <f t="shared" si="197"/>
        <v>0</v>
      </c>
      <c r="AK526">
        <f t="shared" si="194"/>
        <v>1</v>
      </c>
      <c r="AL526" s="17">
        <f>MIN(N526,'Scenario Modelling'!$B$2)</f>
        <v>0.225</v>
      </c>
      <c r="AM526" s="10">
        <f>L526*(1+'Scenario Modelling'!$B$3)</f>
        <v>461.495</v>
      </c>
      <c r="AN526">
        <f>O526*(1+'Scenario Modelling'!$B$4)</f>
        <v>15.6</v>
      </c>
      <c r="AO526" s="28">
        <f t="shared" si="195"/>
        <v>9992.0223</v>
      </c>
      <c r="AP526" s="10">
        <f t="shared" si="196"/>
        <v>2792.7003</v>
      </c>
    </row>
    <row r="527" spans="1:42">
      <c r="A527" t="s">
        <v>1314</v>
      </c>
      <c r="B527" s="7">
        <v>45695</v>
      </c>
      <c r="C527" s="7">
        <v>45704</v>
      </c>
      <c r="D527" t="s">
        <v>177</v>
      </c>
      <c r="E527" t="s">
        <v>186</v>
      </c>
      <c r="F527" t="s">
        <v>199</v>
      </c>
      <c r="G527" t="s">
        <v>223</v>
      </c>
      <c r="H527" t="s">
        <v>216</v>
      </c>
      <c r="I527" t="s">
        <v>182</v>
      </c>
      <c r="J527" t="s">
        <v>191</v>
      </c>
      <c r="K527" t="s">
        <v>1315</v>
      </c>
      <c r="L527" s="10">
        <v>90.68</v>
      </c>
      <c r="M527" s="10">
        <v>118.17</v>
      </c>
      <c r="N527" s="17">
        <v>0.135</v>
      </c>
      <c r="O527">
        <v>21</v>
      </c>
      <c r="P527" t="str">
        <f t="shared" si="177"/>
        <v>Valid</v>
      </c>
      <c r="Q527" s="10">
        <f t="shared" si="178"/>
        <v>118.17</v>
      </c>
      <c r="R527" t="b">
        <f t="shared" si="179"/>
        <v>0</v>
      </c>
      <c r="S527" s="17">
        <f t="shared" si="180"/>
        <v>0.135</v>
      </c>
      <c r="T527">
        <f t="shared" si="181"/>
        <v>9</v>
      </c>
      <c r="U527" s="26">
        <f t="shared" si="182"/>
        <v>45704</v>
      </c>
      <c r="V527">
        <f t="shared" si="183"/>
        <v>9</v>
      </c>
      <c r="W527" s="10">
        <f t="shared" si="184"/>
        <v>247821.98805</v>
      </c>
      <c r="X527" s="10">
        <f t="shared" si="185"/>
        <v>2481.57</v>
      </c>
      <c r="Y527" s="10">
        <f t="shared" si="186"/>
        <v>245340.41805</v>
      </c>
      <c r="Z527" s="14">
        <f t="shared" si="190"/>
        <v>0.989986481750363</v>
      </c>
      <c r="AA527" t="s">
        <v>1586</v>
      </c>
      <c r="AB527" t="str">
        <f t="shared" si="187"/>
        <v>Q1-2025</v>
      </c>
      <c r="AC527" t="str">
        <f t="shared" si="188"/>
        <v>Africa → Nigeria → Lagos</v>
      </c>
      <c r="AD527" t="str">
        <f t="shared" si="189"/>
        <v>Peripherals</v>
      </c>
      <c r="AE527" s="8" t="str">
        <f t="shared" si="176"/>
        <v>High</v>
      </c>
      <c r="AF527" t="str">
        <f t="shared" si="191"/>
        <v>NIGERIA</v>
      </c>
      <c r="AG527" s="7">
        <v>44941</v>
      </c>
      <c r="AH527" t="str">
        <f t="shared" si="192"/>
        <v>Jan-2023</v>
      </c>
      <c r="AI527" s="9">
        <f t="shared" si="193"/>
        <v>45716</v>
      </c>
      <c r="AJ527">
        <f t="shared" si="197"/>
        <v>0</v>
      </c>
      <c r="AK527">
        <f t="shared" si="194"/>
        <v>0</v>
      </c>
      <c r="AL527" s="17">
        <f>MIN(N527,'Scenario Modelling'!$B$2)</f>
        <v>0.135</v>
      </c>
      <c r="AM527" s="10">
        <f>L527*(1+'Scenario Modelling'!$B$3)</f>
        <v>104.282</v>
      </c>
      <c r="AN527">
        <f>O527*(1+'Scenario Modelling'!$B$4)</f>
        <v>25.2</v>
      </c>
      <c r="AO527" s="28">
        <f t="shared" si="195"/>
        <v>2575.86966</v>
      </c>
      <c r="AP527" s="10">
        <f t="shared" si="196"/>
        <v>-52.0367399999999</v>
      </c>
    </row>
    <row r="528" spans="1:42">
      <c r="A528" t="s">
        <v>1316</v>
      </c>
      <c r="B528" s="7">
        <v>44938</v>
      </c>
      <c r="C528" s="7">
        <v>44952</v>
      </c>
      <c r="D528" t="s">
        <v>206</v>
      </c>
      <c r="E528" t="s">
        <v>277</v>
      </c>
      <c r="F528" t="s">
        <v>278</v>
      </c>
      <c r="G528" t="s">
        <v>200</v>
      </c>
      <c r="H528" t="s">
        <v>181</v>
      </c>
      <c r="I528" t="s">
        <v>271</v>
      </c>
      <c r="J528" t="s">
        <v>191</v>
      </c>
      <c r="K528" t="s">
        <v>1317</v>
      </c>
      <c r="L528" s="10">
        <v>1083.09</v>
      </c>
      <c r="M528" s="10">
        <v>1425.87</v>
      </c>
      <c r="N528" s="17">
        <v>0</v>
      </c>
      <c r="O528">
        <v>8</v>
      </c>
      <c r="P528" t="str">
        <f t="shared" si="177"/>
        <v>Valid</v>
      </c>
      <c r="Q528" s="10">
        <f t="shared" si="178"/>
        <v>1425.87</v>
      </c>
      <c r="R528" t="b">
        <f t="shared" si="179"/>
        <v>0</v>
      </c>
      <c r="S528" s="17">
        <f t="shared" si="180"/>
        <v>0</v>
      </c>
      <c r="T528">
        <f t="shared" si="181"/>
        <v>14</v>
      </c>
      <c r="U528" s="26">
        <f t="shared" si="182"/>
        <v>44952</v>
      </c>
      <c r="V528">
        <f t="shared" si="183"/>
        <v>14</v>
      </c>
      <c r="W528" s="10">
        <f t="shared" si="184"/>
        <v>1140696</v>
      </c>
      <c r="X528" s="10">
        <f t="shared" si="185"/>
        <v>11406.96</v>
      </c>
      <c r="Y528" s="10">
        <f t="shared" si="186"/>
        <v>1129289.04</v>
      </c>
      <c r="Z528" s="14">
        <f t="shared" si="190"/>
        <v>0.99</v>
      </c>
      <c r="AA528" t="s">
        <v>1564</v>
      </c>
      <c r="AB528" t="str">
        <f t="shared" si="187"/>
        <v>Q1-2023</v>
      </c>
      <c r="AC528" t="str">
        <f t="shared" si="188"/>
        <v>Asia → China → Shenzhen</v>
      </c>
      <c r="AD528" t="str">
        <f t="shared" si="189"/>
        <v>Peripherals</v>
      </c>
      <c r="AE528" s="8" t="str">
        <f t="shared" si="176"/>
        <v>Low</v>
      </c>
      <c r="AF528" t="str">
        <f t="shared" si="191"/>
        <v>CHINA</v>
      </c>
      <c r="AG528" s="7">
        <v>44938</v>
      </c>
      <c r="AH528" t="str">
        <f t="shared" si="192"/>
        <v>Jan-2023</v>
      </c>
      <c r="AI528" s="9">
        <f t="shared" si="193"/>
        <v>44957</v>
      </c>
      <c r="AJ528">
        <f t="shared" si="197"/>
        <v>0</v>
      </c>
      <c r="AK528">
        <f t="shared" si="194"/>
        <v>0</v>
      </c>
      <c r="AL528" s="17">
        <f>MIN(N528,'Scenario Modelling'!$B$2)</f>
        <v>0</v>
      </c>
      <c r="AM528" s="10">
        <f>L528*(1+'Scenario Modelling'!$B$3)</f>
        <v>1245.5535</v>
      </c>
      <c r="AN528">
        <f>O528*(1+'Scenario Modelling'!$B$4)</f>
        <v>9.6</v>
      </c>
      <c r="AO528" s="28">
        <f t="shared" si="195"/>
        <v>13688.352</v>
      </c>
      <c r="AP528" s="10">
        <f t="shared" si="196"/>
        <v>1731.0384</v>
      </c>
    </row>
    <row r="529" spans="1:42">
      <c r="A529" t="s">
        <v>1318</v>
      </c>
      <c r="B529" s="7">
        <v>45448</v>
      </c>
      <c r="C529" s="7">
        <v>45466</v>
      </c>
      <c r="D529" t="s">
        <v>177</v>
      </c>
      <c r="E529" t="s">
        <v>178</v>
      </c>
      <c r="F529" t="s">
        <v>194</v>
      </c>
      <c r="G529" t="s">
        <v>209</v>
      </c>
      <c r="H529" t="s">
        <v>216</v>
      </c>
      <c r="I529" t="s">
        <v>306</v>
      </c>
      <c r="J529" t="s">
        <v>218</v>
      </c>
      <c r="K529" t="s">
        <v>1319</v>
      </c>
      <c r="L529" s="10">
        <v>1208.74</v>
      </c>
      <c r="M529" s="10">
        <v>1594.78</v>
      </c>
      <c r="N529" s="17">
        <v>0.059</v>
      </c>
      <c r="O529">
        <v>39</v>
      </c>
      <c r="P529" t="str">
        <f t="shared" si="177"/>
        <v>Valid</v>
      </c>
      <c r="Q529" s="10">
        <f t="shared" si="178"/>
        <v>1594.78</v>
      </c>
      <c r="R529" t="b">
        <f t="shared" si="179"/>
        <v>0</v>
      </c>
      <c r="S529" s="17">
        <f t="shared" si="180"/>
        <v>0.059</v>
      </c>
      <c r="T529">
        <f t="shared" si="181"/>
        <v>18</v>
      </c>
      <c r="U529" s="26">
        <f t="shared" si="182"/>
        <v>45466</v>
      </c>
      <c r="V529">
        <f t="shared" si="183"/>
        <v>18</v>
      </c>
      <c r="W529" s="10">
        <f t="shared" si="184"/>
        <v>6215972.41122</v>
      </c>
      <c r="X529" s="10">
        <f t="shared" si="185"/>
        <v>62196.42</v>
      </c>
      <c r="Y529" s="10">
        <f t="shared" si="186"/>
        <v>6153775.99122</v>
      </c>
      <c r="Z529" s="14">
        <f t="shared" si="190"/>
        <v>0.989994096516945</v>
      </c>
      <c r="AA529" t="s">
        <v>1576</v>
      </c>
      <c r="AB529" t="str">
        <f t="shared" si="187"/>
        <v>Q2-2024</v>
      </c>
      <c r="AC529" t="str">
        <f t="shared" si="188"/>
        <v>Africa → Kenya → Nairobi</v>
      </c>
      <c r="AD529" t="str">
        <f t="shared" si="189"/>
        <v>Devices</v>
      </c>
      <c r="AE529" s="8" t="str">
        <f t="shared" si="176"/>
        <v>Medium</v>
      </c>
      <c r="AF529" t="str">
        <f t="shared" si="191"/>
        <v>KENYA</v>
      </c>
      <c r="AG529" s="7">
        <v>44946</v>
      </c>
      <c r="AH529" t="str">
        <f t="shared" si="192"/>
        <v>Jan-2023</v>
      </c>
      <c r="AI529" s="9">
        <f t="shared" si="193"/>
        <v>45473</v>
      </c>
      <c r="AJ529">
        <f t="shared" si="197"/>
        <v>0</v>
      </c>
      <c r="AK529">
        <f t="shared" si="194"/>
        <v>0</v>
      </c>
      <c r="AL529" s="17">
        <f>MIN(N529,'Scenario Modelling'!$B$2)</f>
        <v>0.059</v>
      </c>
      <c r="AM529" s="10">
        <f>L529*(1+'Scenario Modelling'!$B$3)</f>
        <v>1390.051</v>
      </c>
      <c r="AN529">
        <f>O529*(1+'Scenario Modelling'!$B$4)</f>
        <v>46.8</v>
      </c>
      <c r="AO529" s="28">
        <f t="shared" si="195"/>
        <v>70232.197464</v>
      </c>
      <c r="AP529" s="10">
        <f t="shared" si="196"/>
        <v>5177.81066400001</v>
      </c>
    </row>
    <row r="530" spans="1:42">
      <c r="A530" t="s">
        <v>1320</v>
      </c>
      <c r="B530" s="7">
        <v>45162</v>
      </c>
      <c r="C530" s="7">
        <v>45189</v>
      </c>
      <c r="D530" t="s">
        <v>177</v>
      </c>
      <c r="E530" t="s">
        <v>309</v>
      </c>
      <c r="F530" t="s">
        <v>333</v>
      </c>
      <c r="G530" t="s">
        <v>223</v>
      </c>
      <c r="H530" t="s">
        <v>201</v>
      </c>
      <c r="I530" t="s">
        <v>271</v>
      </c>
      <c r="J530" t="s">
        <v>191</v>
      </c>
      <c r="K530" t="s">
        <v>1321</v>
      </c>
      <c r="L530" s="10">
        <v>1399.64</v>
      </c>
      <c r="M530" s="10">
        <v>3342.11</v>
      </c>
      <c r="N530" s="17">
        <v>0</v>
      </c>
      <c r="O530">
        <v>10</v>
      </c>
      <c r="P530" t="str">
        <f t="shared" si="177"/>
        <v>Valid</v>
      </c>
      <c r="Q530" s="10">
        <f t="shared" si="178"/>
        <v>3342.11</v>
      </c>
      <c r="R530" t="b">
        <f t="shared" si="179"/>
        <v>0</v>
      </c>
      <c r="S530" s="17">
        <f t="shared" si="180"/>
        <v>0</v>
      </c>
      <c r="T530">
        <f t="shared" si="181"/>
        <v>27</v>
      </c>
      <c r="U530" s="26">
        <f t="shared" si="182"/>
        <v>45189</v>
      </c>
      <c r="V530">
        <f t="shared" si="183"/>
        <v>27</v>
      </c>
      <c r="W530" s="10">
        <f t="shared" si="184"/>
        <v>3342110</v>
      </c>
      <c r="X530" s="10">
        <f t="shared" si="185"/>
        <v>33421.1</v>
      </c>
      <c r="Y530" s="10">
        <f t="shared" si="186"/>
        <v>3308688.9</v>
      </c>
      <c r="Z530" s="14">
        <f t="shared" si="190"/>
        <v>0.99</v>
      </c>
      <c r="AA530" t="s">
        <v>1585</v>
      </c>
      <c r="AB530" t="str">
        <f t="shared" si="187"/>
        <v>Q3-2023</v>
      </c>
      <c r="AC530" t="str">
        <f t="shared" si="188"/>
        <v>Africa → South Africa → Durban</v>
      </c>
      <c r="AD530" t="str">
        <f t="shared" si="189"/>
        <v>Peripherals</v>
      </c>
      <c r="AE530" s="8" t="str">
        <f t="shared" si="176"/>
        <v>Low</v>
      </c>
      <c r="AF530" t="str">
        <f t="shared" si="191"/>
        <v>SOUTH AFRICA</v>
      </c>
      <c r="AG530" s="7">
        <v>44933</v>
      </c>
      <c r="AH530" t="str">
        <f t="shared" si="192"/>
        <v>Jan-2023</v>
      </c>
      <c r="AI530" s="9">
        <f t="shared" si="193"/>
        <v>45169</v>
      </c>
      <c r="AJ530">
        <f t="shared" si="197"/>
        <v>0</v>
      </c>
      <c r="AK530">
        <f t="shared" si="194"/>
        <v>0</v>
      </c>
      <c r="AL530" s="17">
        <f>MIN(N530,'Scenario Modelling'!$B$2)</f>
        <v>0</v>
      </c>
      <c r="AM530" s="10">
        <f>L530*(1+'Scenario Modelling'!$B$3)</f>
        <v>1609.586</v>
      </c>
      <c r="AN530">
        <f>O530*(1+'Scenario Modelling'!$B$4)</f>
        <v>12</v>
      </c>
      <c r="AO530" s="28">
        <f t="shared" si="195"/>
        <v>40105.32</v>
      </c>
      <c r="AP530" s="10">
        <f t="shared" si="196"/>
        <v>20790.288</v>
      </c>
    </row>
    <row r="531" spans="1:42">
      <c r="A531" t="s">
        <v>1322</v>
      </c>
      <c r="B531" s="7">
        <v>45316</v>
      </c>
      <c r="C531" s="7">
        <v>45330</v>
      </c>
      <c r="D531" t="s">
        <v>206</v>
      </c>
      <c r="E531" t="s">
        <v>207</v>
      </c>
      <c r="F531" t="s">
        <v>208</v>
      </c>
      <c r="G531" t="s">
        <v>209</v>
      </c>
      <c r="H531" t="s">
        <v>201</v>
      </c>
      <c r="I531" t="s">
        <v>195</v>
      </c>
      <c r="J531" t="s">
        <v>196</v>
      </c>
      <c r="K531" t="s">
        <v>1323</v>
      </c>
      <c r="L531" s="10">
        <v>937.16</v>
      </c>
      <c r="M531" s="10">
        <v>1069.77</v>
      </c>
      <c r="N531" s="17">
        <v>0.038</v>
      </c>
      <c r="O531">
        <v>9</v>
      </c>
      <c r="P531" t="str">
        <f t="shared" si="177"/>
        <v>Valid</v>
      </c>
      <c r="Q531" s="10">
        <f t="shared" si="178"/>
        <v>1069.77</v>
      </c>
      <c r="R531" t="b">
        <f t="shared" si="179"/>
        <v>0</v>
      </c>
      <c r="S531" s="17">
        <f t="shared" si="180"/>
        <v>0.038</v>
      </c>
      <c r="T531">
        <f t="shared" si="181"/>
        <v>14</v>
      </c>
      <c r="U531" s="26">
        <f t="shared" si="182"/>
        <v>45330</v>
      </c>
      <c r="V531">
        <f t="shared" si="183"/>
        <v>14</v>
      </c>
      <c r="W531" s="10">
        <f t="shared" si="184"/>
        <v>962427.13866</v>
      </c>
      <c r="X531" s="10">
        <f t="shared" si="185"/>
        <v>9627.93</v>
      </c>
      <c r="Y531" s="10">
        <f t="shared" si="186"/>
        <v>952799.20866</v>
      </c>
      <c r="Z531" s="14">
        <f t="shared" si="190"/>
        <v>0.989996198555451</v>
      </c>
      <c r="AA531" t="s">
        <v>1568</v>
      </c>
      <c r="AB531" t="str">
        <f t="shared" si="187"/>
        <v>Q1-2024</v>
      </c>
      <c r="AC531" t="str">
        <f t="shared" si="188"/>
        <v>Asia → Japan → Osaka</v>
      </c>
      <c r="AD531" t="str">
        <f t="shared" si="189"/>
        <v>Support</v>
      </c>
      <c r="AE531" s="8" t="str">
        <f t="shared" si="176"/>
        <v>Medium</v>
      </c>
      <c r="AF531" t="str">
        <f t="shared" si="191"/>
        <v>JAPAN</v>
      </c>
      <c r="AG531" s="7">
        <v>44988</v>
      </c>
      <c r="AH531" t="str">
        <f t="shared" si="192"/>
        <v>Mar-2023</v>
      </c>
      <c r="AI531" s="9">
        <f t="shared" si="193"/>
        <v>45322</v>
      </c>
      <c r="AJ531">
        <f t="shared" si="197"/>
        <v>0</v>
      </c>
      <c r="AK531">
        <f t="shared" si="194"/>
        <v>0</v>
      </c>
      <c r="AL531" s="17">
        <f>MIN(N531,'Scenario Modelling'!$B$2)</f>
        <v>0.038</v>
      </c>
      <c r="AM531" s="10">
        <f>L531*(1+'Scenario Modelling'!$B$3)</f>
        <v>1077.734</v>
      </c>
      <c r="AN531">
        <f>O531*(1+'Scenario Modelling'!$B$4)</f>
        <v>10.8</v>
      </c>
      <c r="AO531" s="28">
        <f t="shared" si="195"/>
        <v>11114.482392</v>
      </c>
      <c r="AP531" s="10">
        <f t="shared" si="196"/>
        <v>-525.044808</v>
      </c>
    </row>
    <row r="532" spans="1:42">
      <c r="A532" t="s">
        <v>1324</v>
      </c>
      <c r="B532" s="7">
        <v>45727</v>
      </c>
      <c r="C532" s="7">
        <v>45742</v>
      </c>
      <c r="D532" t="s">
        <v>239</v>
      </c>
      <c r="E532" t="s">
        <v>240</v>
      </c>
      <c r="F532" t="s">
        <v>241</v>
      </c>
      <c r="G532" t="s">
        <v>223</v>
      </c>
      <c r="H532" t="s">
        <v>189</v>
      </c>
      <c r="I532" t="s">
        <v>195</v>
      </c>
      <c r="J532" t="s">
        <v>203</v>
      </c>
      <c r="K532" t="s">
        <v>1325</v>
      </c>
      <c r="L532" s="10">
        <v>116.97</v>
      </c>
      <c r="M532" s="10">
        <v>140.82</v>
      </c>
      <c r="N532" s="17">
        <v>0.122</v>
      </c>
      <c r="O532">
        <v>5</v>
      </c>
      <c r="P532" t="str">
        <f t="shared" si="177"/>
        <v>Valid</v>
      </c>
      <c r="Q532" s="10">
        <f t="shared" si="178"/>
        <v>140.82</v>
      </c>
      <c r="R532" t="b">
        <f t="shared" si="179"/>
        <v>0</v>
      </c>
      <c r="S532" s="17">
        <f t="shared" si="180"/>
        <v>0.122</v>
      </c>
      <c r="T532">
        <f t="shared" si="181"/>
        <v>15</v>
      </c>
      <c r="U532" s="26">
        <f t="shared" si="182"/>
        <v>45742</v>
      </c>
      <c r="V532">
        <f t="shared" si="183"/>
        <v>15</v>
      </c>
      <c r="W532" s="10">
        <f t="shared" si="184"/>
        <v>70324.0998</v>
      </c>
      <c r="X532" s="10">
        <f t="shared" si="185"/>
        <v>704.1</v>
      </c>
      <c r="Y532" s="10">
        <f t="shared" si="186"/>
        <v>69619.9998</v>
      </c>
      <c r="Z532" s="14">
        <f t="shared" si="190"/>
        <v>0.989987785097819</v>
      </c>
      <c r="AA532" t="s">
        <v>1563</v>
      </c>
      <c r="AB532" t="str">
        <f t="shared" si="187"/>
        <v>Q1-2025</v>
      </c>
      <c r="AC532" t="str">
        <f t="shared" si="188"/>
        <v>Europe → Germany → Berlin</v>
      </c>
      <c r="AD532" t="str">
        <f t="shared" si="189"/>
        <v>Devices</v>
      </c>
      <c r="AE532" s="8" t="str">
        <f t="shared" si="176"/>
        <v>High</v>
      </c>
      <c r="AF532" t="str">
        <f t="shared" si="191"/>
        <v>GERMANY</v>
      </c>
      <c r="AG532" s="7">
        <v>44948</v>
      </c>
      <c r="AH532" t="str">
        <f t="shared" si="192"/>
        <v>Jan-2023</v>
      </c>
      <c r="AI532" s="9">
        <f t="shared" si="193"/>
        <v>45747</v>
      </c>
      <c r="AJ532">
        <f t="shared" si="197"/>
        <v>0</v>
      </c>
      <c r="AK532">
        <f t="shared" si="194"/>
        <v>0</v>
      </c>
      <c r="AL532" s="17">
        <f>MIN(N532,'Scenario Modelling'!$B$2)</f>
        <v>0.122</v>
      </c>
      <c r="AM532" s="10">
        <f>L532*(1+'Scenario Modelling'!$B$3)</f>
        <v>134.5155</v>
      </c>
      <c r="AN532">
        <f>O532*(1+'Scenario Modelling'!$B$4)</f>
        <v>6</v>
      </c>
      <c r="AO532" s="28">
        <f t="shared" si="195"/>
        <v>741.83976</v>
      </c>
      <c r="AP532" s="10">
        <f t="shared" si="196"/>
        <v>-65.2532399999999</v>
      </c>
    </row>
    <row r="533" spans="1:42">
      <c r="A533" t="s">
        <v>1326</v>
      </c>
      <c r="B533" s="7">
        <v>45769</v>
      </c>
      <c r="C533" s="7">
        <v>45789</v>
      </c>
      <c r="D533" t="s">
        <v>239</v>
      </c>
      <c r="E533" t="s">
        <v>251</v>
      </c>
      <c r="F533" t="s">
        <v>299</v>
      </c>
      <c r="G533" t="s">
        <v>266</v>
      </c>
      <c r="H533" t="s">
        <v>201</v>
      </c>
      <c r="I533" t="s">
        <v>256</v>
      </c>
      <c r="J533" t="s">
        <v>225</v>
      </c>
      <c r="K533" t="s">
        <v>1327</v>
      </c>
      <c r="L533" s="10">
        <v>59.51</v>
      </c>
      <c r="M533" s="10">
        <v>67.04</v>
      </c>
      <c r="N533" s="17">
        <v>0.114</v>
      </c>
      <c r="O533">
        <v>9</v>
      </c>
      <c r="P533" t="str">
        <f t="shared" si="177"/>
        <v>Valid</v>
      </c>
      <c r="Q533" s="10">
        <f t="shared" si="178"/>
        <v>67.04</v>
      </c>
      <c r="R533" t="b">
        <f t="shared" si="179"/>
        <v>0</v>
      </c>
      <c r="S533" s="17">
        <f t="shared" si="180"/>
        <v>0.114</v>
      </c>
      <c r="T533">
        <f t="shared" si="181"/>
        <v>20</v>
      </c>
      <c r="U533" s="26">
        <f t="shared" si="182"/>
        <v>45789</v>
      </c>
      <c r="V533">
        <f t="shared" si="183"/>
        <v>20</v>
      </c>
      <c r="W533" s="10">
        <f t="shared" si="184"/>
        <v>60267.21696</v>
      </c>
      <c r="X533" s="10">
        <f t="shared" si="185"/>
        <v>603.36</v>
      </c>
      <c r="Y533" s="10">
        <f t="shared" si="186"/>
        <v>59663.85696</v>
      </c>
      <c r="Z533" s="14">
        <f t="shared" si="190"/>
        <v>0.989988586989168</v>
      </c>
      <c r="AA533" t="s">
        <v>1578</v>
      </c>
      <c r="AB533" t="str">
        <f t="shared" si="187"/>
        <v>Q2-2025</v>
      </c>
      <c r="AC533" t="str">
        <f t="shared" si="188"/>
        <v>Europe → France → Lyon</v>
      </c>
      <c r="AD533" t="str">
        <f t="shared" si="189"/>
        <v>Peripherals</v>
      </c>
      <c r="AE533" s="8" t="str">
        <f t="shared" si="176"/>
        <v>High</v>
      </c>
      <c r="AF533" t="str">
        <f t="shared" si="191"/>
        <v>FRANCE</v>
      </c>
      <c r="AG533" s="7">
        <v>44936</v>
      </c>
      <c r="AH533" t="str">
        <f t="shared" si="192"/>
        <v>Jan-2023</v>
      </c>
      <c r="AI533" s="9">
        <f t="shared" si="193"/>
        <v>45777</v>
      </c>
      <c r="AJ533">
        <f t="shared" si="197"/>
        <v>0</v>
      </c>
      <c r="AK533">
        <f t="shared" si="194"/>
        <v>0</v>
      </c>
      <c r="AL533" s="17">
        <f>MIN(N533,'Scenario Modelling'!$B$2)</f>
        <v>0.114</v>
      </c>
      <c r="AM533" s="10">
        <f>L533*(1+'Scenario Modelling'!$B$3)</f>
        <v>68.4365</v>
      </c>
      <c r="AN533">
        <f>O533*(1+'Scenario Modelling'!$B$4)</f>
        <v>10.8</v>
      </c>
      <c r="AO533" s="28">
        <f t="shared" si="195"/>
        <v>641.492352</v>
      </c>
      <c r="AP533" s="10">
        <f t="shared" si="196"/>
        <v>-97.6218479999999</v>
      </c>
    </row>
    <row r="534" spans="1:42">
      <c r="A534" t="s">
        <v>1328</v>
      </c>
      <c r="B534" s="7">
        <v>45155</v>
      </c>
      <c r="C534" s="7">
        <v>45172</v>
      </c>
      <c r="D534" t="s">
        <v>177</v>
      </c>
      <c r="E534" t="s">
        <v>309</v>
      </c>
      <c r="F534" t="s">
        <v>333</v>
      </c>
      <c r="G534" t="s">
        <v>266</v>
      </c>
      <c r="H534" t="s">
        <v>181</v>
      </c>
      <c r="I534" t="s">
        <v>236</v>
      </c>
      <c r="J534" t="s">
        <v>203</v>
      </c>
      <c r="K534" t="s">
        <v>1329</v>
      </c>
      <c r="L534" s="10">
        <v>676.37</v>
      </c>
      <c r="M534" s="10">
        <v>1276.67</v>
      </c>
      <c r="N534" s="17">
        <v>0.066</v>
      </c>
      <c r="O534">
        <v>10</v>
      </c>
      <c r="P534" t="str">
        <f t="shared" si="177"/>
        <v>Valid</v>
      </c>
      <c r="Q534" s="10">
        <f t="shared" si="178"/>
        <v>1276.67</v>
      </c>
      <c r="R534" t="b">
        <f t="shared" si="179"/>
        <v>0</v>
      </c>
      <c r="S534" s="17">
        <f t="shared" si="180"/>
        <v>0.066</v>
      </c>
      <c r="T534">
        <f t="shared" si="181"/>
        <v>17</v>
      </c>
      <c r="U534" s="26">
        <f t="shared" si="182"/>
        <v>45172</v>
      </c>
      <c r="V534">
        <f t="shared" si="183"/>
        <v>17</v>
      </c>
      <c r="W534" s="10">
        <f t="shared" si="184"/>
        <v>1275827.3978</v>
      </c>
      <c r="X534" s="10">
        <f t="shared" si="185"/>
        <v>12766.7</v>
      </c>
      <c r="Y534" s="10">
        <f t="shared" si="186"/>
        <v>1263060.6978</v>
      </c>
      <c r="Z534" s="14">
        <f t="shared" si="190"/>
        <v>0.989993395641123</v>
      </c>
      <c r="AA534" t="s">
        <v>1585</v>
      </c>
      <c r="AB534" t="str">
        <f t="shared" si="187"/>
        <v>Q3-2023</v>
      </c>
      <c r="AC534" t="str">
        <f t="shared" si="188"/>
        <v>Africa → South Africa → Durban</v>
      </c>
      <c r="AD534" t="str">
        <f t="shared" si="189"/>
        <v>Devices</v>
      </c>
      <c r="AE534" s="8" t="str">
        <f t="shared" si="176"/>
        <v>Low</v>
      </c>
      <c r="AF534" t="str">
        <f t="shared" si="191"/>
        <v>SOUTH AFRICA</v>
      </c>
      <c r="AG534" s="7">
        <v>44933</v>
      </c>
      <c r="AH534" t="str">
        <f t="shared" si="192"/>
        <v>Jan-2023</v>
      </c>
      <c r="AI534" s="9">
        <f t="shared" si="193"/>
        <v>45169</v>
      </c>
      <c r="AJ534">
        <f t="shared" si="197"/>
        <v>0</v>
      </c>
      <c r="AK534">
        <f t="shared" si="194"/>
        <v>0</v>
      </c>
      <c r="AL534" s="17">
        <f>MIN(N534,'Scenario Modelling'!$B$2)</f>
        <v>0.066</v>
      </c>
      <c r="AM534" s="10">
        <f>L534*(1+'Scenario Modelling'!$B$3)</f>
        <v>777.8255</v>
      </c>
      <c r="AN534">
        <f>O534*(1+'Scenario Modelling'!$B$4)</f>
        <v>12</v>
      </c>
      <c r="AO534" s="28">
        <f t="shared" si="195"/>
        <v>14308.91736</v>
      </c>
      <c r="AP534" s="10">
        <f t="shared" si="196"/>
        <v>4975.01136</v>
      </c>
    </row>
    <row r="535" spans="1:42">
      <c r="A535" t="s">
        <v>1330</v>
      </c>
      <c r="B535" s="7">
        <v>45832</v>
      </c>
      <c r="C535" s="7">
        <v>45852</v>
      </c>
      <c r="D535" t="s">
        <v>177</v>
      </c>
      <c r="E535" t="s">
        <v>309</v>
      </c>
      <c r="F535" t="s">
        <v>310</v>
      </c>
      <c r="G535" t="s">
        <v>266</v>
      </c>
      <c r="H535" t="s">
        <v>201</v>
      </c>
      <c r="I535" t="s">
        <v>190</v>
      </c>
      <c r="J535" t="s">
        <v>218</v>
      </c>
      <c r="K535" t="s">
        <v>1331</v>
      </c>
      <c r="L535" s="10">
        <v>1151.06</v>
      </c>
      <c r="M535" s="10">
        <v>2821.36</v>
      </c>
      <c r="N535" s="17">
        <v>0.248</v>
      </c>
      <c r="O535">
        <v>20</v>
      </c>
      <c r="P535" t="str">
        <f t="shared" si="177"/>
        <v>Valid</v>
      </c>
      <c r="Q535" s="10">
        <f t="shared" si="178"/>
        <v>2821.36</v>
      </c>
      <c r="R535" t="b">
        <f t="shared" si="179"/>
        <v>0</v>
      </c>
      <c r="S535" s="17">
        <f t="shared" si="180"/>
        <v>0.248</v>
      </c>
      <c r="T535">
        <f t="shared" si="181"/>
        <v>20</v>
      </c>
      <c r="U535" s="26">
        <f t="shared" si="182"/>
        <v>45852</v>
      </c>
      <c r="V535">
        <f t="shared" si="183"/>
        <v>20</v>
      </c>
      <c r="W535" s="10">
        <f t="shared" si="184"/>
        <v>5628726.0544</v>
      </c>
      <c r="X535" s="10">
        <f t="shared" si="185"/>
        <v>56427.2</v>
      </c>
      <c r="Y535" s="10">
        <f t="shared" si="186"/>
        <v>5572298.8544</v>
      </c>
      <c r="Z535" s="14">
        <f t="shared" si="190"/>
        <v>0.989975138343091</v>
      </c>
      <c r="AA535" t="s">
        <v>1575</v>
      </c>
      <c r="AB535" t="str">
        <f t="shared" si="187"/>
        <v>Q2-2025</v>
      </c>
      <c r="AC535" t="str">
        <f t="shared" si="188"/>
        <v>Africa → South Africa → Johannesburg</v>
      </c>
      <c r="AD535" t="str">
        <f t="shared" si="189"/>
        <v>Devices</v>
      </c>
      <c r="AE535" s="8" t="str">
        <f t="shared" si="176"/>
        <v>High</v>
      </c>
      <c r="AF535" t="str">
        <f t="shared" si="191"/>
        <v>SOUTH AFRICA</v>
      </c>
      <c r="AG535" s="7">
        <v>44933</v>
      </c>
      <c r="AH535" t="str">
        <f t="shared" si="192"/>
        <v>Jan-2023</v>
      </c>
      <c r="AI535" s="9">
        <f t="shared" si="193"/>
        <v>45838</v>
      </c>
      <c r="AJ535">
        <f t="shared" si="197"/>
        <v>0</v>
      </c>
      <c r="AK535">
        <f t="shared" si="194"/>
        <v>1</v>
      </c>
      <c r="AL535" s="17">
        <f>MIN(N535,'Scenario Modelling'!$B$2)</f>
        <v>0.248</v>
      </c>
      <c r="AM535" s="10">
        <f>L535*(1+'Scenario Modelling'!$B$3)</f>
        <v>1323.719</v>
      </c>
      <c r="AN535">
        <f>O535*(1+'Scenario Modelling'!$B$4)</f>
        <v>24</v>
      </c>
      <c r="AO535" s="28">
        <f t="shared" si="195"/>
        <v>50919.90528</v>
      </c>
      <c r="AP535" s="10">
        <f t="shared" si="196"/>
        <v>19150.64928</v>
      </c>
    </row>
    <row r="536" spans="1:42">
      <c r="A536" t="s">
        <v>1332</v>
      </c>
      <c r="B536" s="7">
        <v>45667</v>
      </c>
      <c r="C536" s="7">
        <v>45694</v>
      </c>
      <c r="D536" t="s">
        <v>213</v>
      </c>
      <c r="E536" t="s">
        <v>234</v>
      </c>
      <c r="F536" t="s">
        <v>248</v>
      </c>
      <c r="G536" t="s">
        <v>200</v>
      </c>
      <c r="H536" t="s">
        <v>181</v>
      </c>
      <c r="I536" t="s">
        <v>217</v>
      </c>
      <c r="J536" t="s">
        <v>218</v>
      </c>
      <c r="K536" t="s">
        <v>1333</v>
      </c>
      <c r="L536" s="10">
        <v>725.62</v>
      </c>
      <c r="M536" s="10">
        <v>1559.19</v>
      </c>
      <c r="N536" s="17">
        <v>0.19</v>
      </c>
      <c r="O536">
        <v>12</v>
      </c>
      <c r="P536" t="str">
        <f t="shared" si="177"/>
        <v>Valid</v>
      </c>
      <c r="Q536" s="10">
        <f t="shared" si="178"/>
        <v>1559.19</v>
      </c>
      <c r="R536" t="b">
        <f t="shared" si="179"/>
        <v>0</v>
      </c>
      <c r="S536" s="17">
        <f t="shared" si="180"/>
        <v>0.19</v>
      </c>
      <c r="T536">
        <f t="shared" si="181"/>
        <v>27</v>
      </c>
      <c r="U536" s="26">
        <f t="shared" si="182"/>
        <v>45694</v>
      </c>
      <c r="V536">
        <f t="shared" si="183"/>
        <v>27</v>
      </c>
      <c r="W536" s="10">
        <f t="shared" si="184"/>
        <v>1867473.0468</v>
      </c>
      <c r="X536" s="10">
        <f t="shared" si="185"/>
        <v>18710.28</v>
      </c>
      <c r="Y536" s="10">
        <f t="shared" si="186"/>
        <v>1848762.7668</v>
      </c>
      <c r="Z536" s="14">
        <f t="shared" si="190"/>
        <v>0.989980963831279</v>
      </c>
      <c r="AA536" t="s">
        <v>1569</v>
      </c>
      <c r="AB536" t="str">
        <f t="shared" si="187"/>
        <v>Q1-2025</v>
      </c>
      <c r="AC536" t="str">
        <f t="shared" si="188"/>
        <v>Americas → Brazil → Brasília</v>
      </c>
      <c r="AD536" t="str">
        <f t="shared" si="189"/>
        <v>Devices</v>
      </c>
      <c r="AE536" s="8" t="str">
        <f t="shared" si="176"/>
        <v>High</v>
      </c>
      <c r="AF536" t="str">
        <f t="shared" si="191"/>
        <v>BRAZIL</v>
      </c>
      <c r="AG536" s="7">
        <v>44955</v>
      </c>
      <c r="AH536" t="str">
        <f t="shared" si="192"/>
        <v>Jan-2023</v>
      </c>
      <c r="AI536" s="9">
        <f t="shared" si="193"/>
        <v>45688</v>
      </c>
      <c r="AJ536">
        <f t="shared" si="197"/>
        <v>0</v>
      </c>
      <c r="AK536">
        <f t="shared" si="194"/>
        <v>0</v>
      </c>
      <c r="AL536" s="17">
        <f>MIN(N536,'Scenario Modelling'!$B$2)</f>
        <v>0.19</v>
      </c>
      <c r="AM536" s="10">
        <f>L536*(1+'Scenario Modelling'!$B$3)</f>
        <v>834.463</v>
      </c>
      <c r="AN536">
        <f>O536*(1+'Scenario Modelling'!$B$4)</f>
        <v>14.4</v>
      </c>
      <c r="AO536" s="28">
        <f t="shared" si="195"/>
        <v>18186.39216</v>
      </c>
      <c r="AP536" s="10">
        <f t="shared" si="196"/>
        <v>6170.12496</v>
      </c>
    </row>
    <row r="537" spans="1:42">
      <c r="A537" t="s">
        <v>1334</v>
      </c>
      <c r="B537" s="7">
        <v>45108</v>
      </c>
      <c r="C537" s="7">
        <v>45118</v>
      </c>
      <c r="D537" t="s">
        <v>239</v>
      </c>
      <c r="E537" t="s">
        <v>251</v>
      </c>
      <c r="F537" t="s">
        <v>378</v>
      </c>
      <c r="G537" t="s">
        <v>180</v>
      </c>
      <c r="H537" t="s">
        <v>259</v>
      </c>
      <c r="I537" t="s">
        <v>245</v>
      </c>
      <c r="J537" t="s">
        <v>196</v>
      </c>
      <c r="K537" t="s">
        <v>1335</v>
      </c>
      <c r="L537" s="10">
        <v>479.5</v>
      </c>
      <c r="M537" s="10">
        <v>656.66</v>
      </c>
      <c r="N537" s="17">
        <v>0.149</v>
      </c>
      <c r="O537">
        <v>14</v>
      </c>
      <c r="P537" t="str">
        <f t="shared" si="177"/>
        <v>Valid</v>
      </c>
      <c r="Q537" s="10">
        <f t="shared" si="178"/>
        <v>656.66</v>
      </c>
      <c r="R537" t="b">
        <f t="shared" si="179"/>
        <v>0</v>
      </c>
      <c r="S537" s="17">
        <f t="shared" si="180"/>
        <v>0.149</v>
      </c>
      <c r="T537">
        <f t="shared" si="181"/>
        <v>10</v>
      </c>
      <c r="U537" s="26">
        <f t="shared" si="182"/>
        <v>45118</v>
      </c>
      <c r="V537">
        <f t="shared" si="183"/>
        <v>10</v>
      </c>
      <c r="W537" s="10">
        <f t="shared" si="184"/>
        <v>917954.20724</v>
      </c>
      <c r="X537" s="10">
        <f t="shared" si="185"/>
        <v>9193.24</v>
      </c>
      <c r="Y537" s="10">
        <f t="shared" si="186"/>
        <v>908760.96724</v>
      </c>
      <c r="Z537" s="14">
        <f t="shared" si="190"/>
        <v>0.989985077765871</v>
      </c>
      <c r="AA537" t="s">
        <v>1584</v>
      </c>
      <c r="AB537" t="str">
        <f t="shared" si="187"/>
        <v>Q3-2023</v>
      </c>
      <c r="AC537" t="str">
        <f t="shared" si="188"/>
        <v>Europe → France → Paris</v>
      </c>
      <c r="AD537" t="str">
        <f t="shared" si="189"/>
        <v>Support</v>
      </c>
      <c r="AE537" s="8" t="str">
        <f t="shared" si="176"/>
        <v>Low</v>
      </c>
      <c r="AF537" t="str">
        <f t="shared" si="191"/>
        <v>FRANCE</v>
      </c>
      <c r="AG537" s="7">
        <v>44936</v>
      </c>
      <c r="AH537" t="str">
        <f t="shared" si="192"/>
        <v>Jan-2023</v>
      </c>
      <c r="AI537" s="9">
        <f t="shared" si="193"/>
        <v>45138</v>
      </c>
      <c r="AJ537">
        <f t="shared" si="197"/>
        <v>0</v>
      </c>
      <c r="AK537">
        <f t="shared" si="194"/>
        <v>0</v>
      </c>
      <c r="AL537" s="17">
        <f>MIN(N537,'Scenario Modelling'!$B$2)</f>
        <v>0.149</v>
      </c>
      <c r="AM537" s="10">
        <f>L537*(1+'Scenario Modelling'!$B$3)</f>
        <v>551.425</v>
      </c>
      <c r="AN537">
        <f>O537*(1+'Scenario Modelling'!$B$4)</f>
        <v>16.8</v>
      </c>
      <c r="AO537" s="28">
        <f t="shared" si="195"/>
        <v>9388.136688</v>
      </c>
      <c r="AP537" s="10">
        <f t="shared" si="196"/>
        <v>124.196688</v>
      </c>
    </row>
    <row r="538" spans="1:42">
      <c r="A538" t="s">
        <v>1336</v>
      </c>
      <c r="B538" s="7">
        <v>45520</v>
      </c>
      <c r="C538" s="7">
        <v>45530</v>
      </c>
      <c r="D538" t="s">
        <v>213</v>
      </c>
      <c r="E538" t="s">
        <v>283</v>
      </c>
      <c r="F538" t="s">
        <v>284</v>
      </c>
      <c r="G538" t="s">
        <v>180</v>
      </c>
      <c r="H538" t="s">
        <v>216</v>
      </c>
      <c r="I538" t="s">
        <v>210</v>
      </c>
      <c r="J538" t="s">
        <v>218</v>
      </c>
      <c r="K538" t="s">
        <v>1039</v>
      </c>
      <c r="L538" s="10">
        <v>1291.7</v>
      </c>
      <c r="M538" s="10">
        <v>2657.84</v>
      </c>
      <c r="N538" s="17">
        <v>0.087</v>
      </c>
      <c r="O538">
        <v>21</v>
      </c>
      <c r="P538" t="str">
        <f t="shared" si="177"/>
        <v>Valid</v>
      </c>
      <c r="Q538" s="10">
        <f t="shared" si="178"/>
        <v>2657.84</v>
      </c>
      <c r="R538" t="b">
        <f t="shared" si="179"/>
        <v>0</v>
      </c>
      <c r="S538" s="17">
        <f t="shared" si="180"/>
        <v>0.087</v>
      </c>
      <c r="T538">
        <f t="shared" si="181"/>
        <v>10</v>
      </c>
      <c r="U538" s="26">
        <f t="shared" si="182"/>
        <v>45530</v>
      </c>
      <c r="V538">
        <f t="shared" si="183"/>
        <v>10</v>
      </c>
      <c r="W538" s="10">
        <f t="shared" si="184"/>
        <v>5576608.12632</v>
      </c>
      <c r="X538" s="10">
        <f t="shared" si="185"/>
        <v>55814.64</v>
      </c>
      <c r="Y538" s="10">
        <f t="shared" si="186"/>
        <v>5520793.48632</v>
      </c>
      <c r="Z538" s="14">
        <f t="shared" si="190"/>
        <v>0.989991292424409</v>
      </c>
      <c r="AA538" t="s">
        <v>1581</v>
      </c>
      <c r="AB538" t="str">
        <f t="shared" si="187"/>
        <v>Q3-2024</v>
      </c>
      <c r="AC538" t="str">
        <f t="shared" si="188"/>
        <v>Americas → USA → Chicago</v>
      </c>
      <c r="AD538" t="str">
        <f t="shared" si="189"/>
        <v>Devices</v>
      </c>
      <c r="AE538" s="8" t="str">
        <f t="shared" si="176"/>
        <v>Medium</v>
      </c>
      <c r="AF538" t="str">
        <f t="shared" si="191"/>
        <v>USA</v>
      </c>
      <c r="AG538" s="7">
        <v>44939</v>
      </c>
      <c r="AH538" t="str">
        <f t="shared" si="192"/>
        <v>Jan-2023</v>
      </c>
      <c r="AI538" s="9">
        <f t="shared" si="193"/>
        <v>45535</v>
      </c>
      <c r="AJ538">
        <f t="shared" si="197"/>
        <v>0</v>
      </c>
      <c r="AK538">
        <f t="shared" si="194"/>
        <v>0</v>
      </c>
      <c r="AL538" s="17">
        <f>MIN(N538,'Scenario Modelling'!$B$2)</f>
        <v>0.087</v>
      </c>
      <c r="AM538" s="10">
        <f>L538*(1+'Scenario Modelling'!$B$3)</f>
        <v>1485.455</v>
      </c>
      <c r="AN538">
        <f>O538*(1+'Scenario Modelling'!$B$4)</f>
        <v>25.2</v>
      </c>
      <c r="AO538" s="28">
        <f t="shared" si="195"/>
        <v>61150.519584</v>
      </c>
      <c r="AP538" s="10">
        <f t="shared" si="196"/>
        <v>23717.053584</v>
      </c>
    </row>
    <row r="539" spans="1:42">
      <c r="A539" t="s">
        <v>1337</v>
      </c>
      <c r="B539" s="7">
        <v>45114</v>
      </c>
      <c r="C539" s="7">
        <v>45120</v>
      </c>
      <c r="D539" t="s">
        <v>177</v>
      </c>
      <c r="E539" t="s">
        <v>309</v>
      </c>
      <c r="F539" t="s">
        <v>419</v>
      </c>
      <c r="G539" t="s">
        <v>223</v>
      </c>
      <c r="H539" t="s">
        <v>201</v>
      </c>
      <c r="I539" t="s">
        <v>217</v>
      </c>
      <c r="J539" t="s">
        <v>242</v>
      </c>
      <c r="K539" t="s">
        <v>1338</v>
      </c>
      <c r="L539" s="10">
        <v>612.59</v>
      </c>
      <c r="M539" s="10">
        <v>1424.74</v>
      </c>
      <c r="N539" s="17">
        <v>0.044</v>
      </c>
      <c r="O539">
        <v>15</v>
      </c>
      <c r="P539" t="str">
        <f t="shared" si="177"/>
        <v>Valid</v>
      </c>
      <c r="Q539" s="10">
        <f t="shared" si="178"/>
        <v>1424.74</v>
      </c>
      <c r="R539" t="b">
        <f t="shared" si="179"/>
        <v>0</v>
      </c>
      <c r="S539" s="17">
        <f t="shared" si="180"/>
        <v>0.044</v>
      </c>
      <c r="T539">
        <f t="shared" si="181"/>
        <v>6</v>
      </c>
      <c r="U539" s="26">
        <f t="shared" si="182"/>
        <v>45120</v>
      </c>
      <c r="V539">
        <f t="shared" si="183"/>
        <v>6</v>
      </c>
      <c r="W539" s="10">
        <f t="shared" si="184"/>
        <v>2136169.6716</v>
      </c>
      <c r="X539" s="10">
        <f t="shared" si="185"/>
        <v>21371.1</v>
      </c>
      <c r="Y539" s="10">
        <f t="shared" si="186"/>
        <v>2114798.5716</v>
      </c>
      <c r="Z539" s="14">
        <f t="shared" si="190"/>
        <v>0.989995598063148</v>
      </c>
      <c r="AA539" t="s">
        <v>1584</v>
      </c>
      <c r="AB539" t="str">
        <f t="shared" si="187"/>
        <v>Q3-2023</v>
      </c>
      <c r="AC539" t="str">
        <f t="shared" si="188"/>
        <v>Africa → South Africa → Cape Town</v>
      </c>
      <c r="AD539" t="str">
        <f t="shared" si="189"/>
        <v>Support</v>
      </c>
      <c r="AE539" s="8" t="str">
        <f t="shared" si="176"/>
        <v>Low</v>
      </c>
      <c r="AF539" t="str">
        <f t="shared" si="191"/>
        <v>SOUTH AFRICA</v>
      </c>
      <c r="AG539" s="7">
        <v>44933</v>
      </c>
      <c r="AH539" t="str">
        <f t="shared" si="192"/>
        <v>Jan-2023</v>
      </c>
      <c r="AI539" s="9">
        <f t="shared" si="193"/>
        <v>45138</v>
      </c>
      <c r="AJ539">
        <f t="shared" si="197"/>
        <v>1</v>
      </c>
      <c r="AK539">
        <f t="shared" si="194"/>
        <v>0</v>
      </c>
      <c r="AL539" s="17">
        <f>MIN(N539,'Scenario Modelling'!$B$2)</f>
        <v>0.044</v>
      </c>
      <c r="AM539" s="10">
        <f>L539*(1+'Scenario Modelling'!$B$3)</f>
        <v>704.4785</v>
      </c>
      <c r="AN539">
        <f>O539*(1+'Scenario Modelling'!$B$4)</f>
        <v>18</v>
      </c>
      <c r="AO539" s="28">
        <f t="shared" si="195"/>
        <v>24516.92592</v>
      </c>
      <c r="AP539" s="10">
        <f t="shared" si="196"/>
        <v>11836.31292</v>
      </c>
    </row>
    <row r="540" spans="1:42">
      <c r="A540" t="s">
        <v>1339</v>
      </c>
      <c r="B540" s="7">
        <v>45288</v>
      </c>
      <c r="C540" s="7">
        <v>45292</v>
      </c>
      <c r="D540" t="s">
        <v>177</v>
      </c>
      <c r="E540" t="s">
        <v>309</v>
      </c>
      <c r="F540" t="s">
        <v>419</v>
      </c>
      <c r="G540" t="s">
        <v>188</v>
      </c>
      <c r="H540" t="s">
        <v>216</v>
      </c>
      <c r="I540" t="s">
        <v>236</v>
      </c>
      <c r="J540" t="s">
        <v>191</v>
      </c>
      <c r="K540" t="s">
        <v>1340</v>
      </c>
      <c r="L540" s="10">
        <v>1141.8</v>
      </c>
      <c r="M540" s="10">
        <v>2318.74</v>
      </c>
      <c r="N540" s="17">
        <v>0.107</v>
      </c>
      <c r="O540">
        <v>32</v>
      </c>
      <c r="P540" t="str">
        <f t="shared" si="177"/>
        <v>Valid</v>
      </c>
      <c r="Q540" s="10">
        <f t="shared" si="178"/>
        <v>2318.74</v>
      </c>
      <c r="R540" t="b">
        <f t="shared" si="179"/>
        <v>0</v>
      </c>
      <c r="S540" s="17">
        <f t="shared" si="180"/>
        <v>0.107</v>
      </c>
      <c r="T540">
        <f t="shared" si="181"/>
        <v>4</v>
      </c>
      <c r="U540" s="26">
        <f t="shared" si="182"/>
        <v>45292</v>
      </c>
      <c r="V540">
        <f t="shared" si="183"/>
        <v>4</v>
      </c>
      <c r="W540" s="10">
        <f t="shared" si="184"/>
        <v>7412028.63424</v>
      </c>
      <c r="X540" s="10">
        <f t="shared" si="185"/>
        <v>74199.68</v>
      </c>
      <c r="Y540" s="10">
        <f t="shared" si="186"/>
        <v>7337828.95424</v>
      </c>
      <c r="Z540" s="14">
        <f t="shared" si="190"/>
        <v>0.989989288538736</v>
      </c>
      <c r="AA540" t="s">
        <v>1587</v>
      </c>
      <c r="AB540" t="str">
        <f t="shared" si="187"/>
        <v>Q4-2023</v>
      </c>
      <c r="AC540" t="str">
        <f t="shared" si="188"/>
        <v>Africa → South Africa → Cape Town</v>
      </c>
      <c r="AD540" t="str">
        <f t="shared" si="189"/>
        <v>Peripherals</v>
      </c>
      <c r="AE540" s="8" t="str">
        <f t="shared" si="176"/>
        <v>Medium</v>
      </c>
      <c r="AF540" t="str">
        <f t="shared" si="191"/>
        <v>SOUTH AFRICA</v>
      </c>
      <c r="AG540" s="7">
        <v>44933</v>
      </c>
      <c r="AH540" t="str">
        <f t="shared" si="192"/>
        <v>Jan-2023</v>
      </c>
      <c r="AI540" s="9">
        <f t="shared" si="193"/>
        <v>45291</v>
      </c>
      <c r="AJ540">
        <f t="shared" si="197"/>
        <v>1</v>
      </c>
      <c r="AK540">
        <f t="shared" si="194"/>
        <v>0</v>
      </c>
      <c r="AL540" s="17">
        <f>MIN(N540,'Scenario Modelling'!$B$2)</f>
        <v>0.107</v>
      </c>
      <c r="AM540" s="10">
        <f>L540*(1+'Scenario Modelling'!$B$3)</f>
        <v>1313.07</v>
      </c>
      <c r="AN540">
        <f>O540*(1+'Scenario Modelling'!$B$4)</f>
        <v>38.4</v>
      </c>
      <c r="AO540" s="28">
        <f t="shared" si="195"/>
        <v>79512.377088</v>
      </c>
      <c r="AP540" s="10">
        <f t="shared" si="196"/>
        <v>29090.489088</v>
      </c>
    </row>
    <row r="541" spans="1:42">
      <c r="A541" t="s">
        <v>1341</v>
      </c>
      <c r="B541" s="7">
        <v>44952</v>
      </c>
      <c r="C541" s="7">
        <v>44972</v>
      </c>
      <c r="D541" t="s">
        <v>239</v>
      </c>
      <c r="E541" t="s">
        <v>240</v>
      </c>
      <c r="F541" t="s">
        <v>241</v>
      </c>
      <c r="G541" t="s">
        <v>223</v>
      </c>
      <c r="H541" t="s">
        <v>189</v>
      </c>
      <c r="I541" t="s">
        <v>229</v>
      </c>
      <c r="J541" t="s">
        <v>196</v>
      </c>
      <c r="K541" t="s">
        <v>1342</v>
      </c>
      <c r="L541" s="10">
        <v>492.62</v>
      </c>
      <c r="M541" s="10">
        <v>366.7</v>
      </c>
      <c r="N541" s="17">
        <v>0.089</v>
      </c>
      <c r="O541">
        <v>10</v>
      </c>
      <c r="P541" t="str">
        <f t="shared" si="177"/>
        <v>Valid</v>
      </c>
      <c r="Q541" s="10">
        <f t="shared" si="178"/>
        <v>366.7</v>
      </c>
      <c r="R541" t="b">
        <f t="shared" si="179"/>
        <v>0</v>
      </c>
      <c r="S541" s="17">
        <f t="shared" si="180"/>
        <v>0.089</v>
      </c>
      <c r="T541">
        <f t="shared" si="181"/>
        <v>20</v>
      </c>
      <c r="U541" s="26">
        <f t="shared" si="182"/>
        <v>44972</v>
      </c>
      <c r="V541">
        <f t="shared" si="183"/>
        <v>20</v>
      </c>
      <c r="W541" s="10">
        <f t="shared" si="184"/>
        <v>366373.637</v>
      </c>
      <c r="X541" s="10">
        <f t="shared" si="185"/>
        <v>3667</v>
      </c>
      <c r="Y541" s="10">
        <f t="shared" si="186"/>
        <v>362706.637</v>
      </c>
      <c r="Z541" s="14">
        <f t="shared" si="190"/>
        <v>0.989991092071944</v>
      </c>
      <c r="AA541" t="s">
        <v>1564</v>
      </c>
      <c r="AB541" t="str">
        <f t="shared" si="187"/>
        <v>Q1-2023</v>
      </c>
      <c r="AC541" t="str">
        <f t="shared" si="188"/>
        <v>Europe → Germany → Berlin</v>
      </c>
      <c r="AD541" t="str">
        <f t="shared" si="189"/>
        <v>Support</v>
      </c>
      <c r="AE541" s="8" t="str">
        <f t="shared" si="176"/>
        <v>Low</v>
      </c>
      <c r="AF541" t="str">
        <f t="shared" si="191"/>
        <v>GERMANY</v>
      </c>
      <c r="AG541" s="7">
        <v>44948</v>
      </c>
      <c r="AH541" t="str">
        <f t="shared" si="192"/>
        <v>Jan-2023</v>
      </c>
      <c r="AI541" s="9">
        <f t="shared" si="193"/>
        <v>44957</v>
      </c>
      <c r="AJ541">
        <f t="shared" si="197"/>
        <v>0</v>
      </c>
      <c r="AK541">
        <f t="shared" si="194"/>
        <v>0</v>
      </c>
      <c r="AL541" s="17">
        <f>MIN(N541,'Scenario Modelling'!$B$2)</f>
        <v>0.089</v>
      </c>
      <c r="AM541" s="10">
        <f>L541*(1+'Scenario Modelling'!$B$3)</f>
        <v>566.513</v>
      </c>
      <c r="AN541">
        <f>O541*(1+'Scenario Modelling'!$B$4)</f>
        <v>12</v>
      </c>
      <c r="AO541" s="28">
        <f t="shared" si="195"/>
        <v>4008.7644</v>
      </c>
      <c r="AP541" s="10">
        <f t="shared" si="196"/>
        <v>-2789.3916</v>
      </c>
    </row>
    <row r="542" spans="1:42">
      <c r="A542" t="s">
        <v>1343</v>
      </c>
      <c r="B542" s="7">
        <v>45115</v>
      </c>
      <c r="C542" s="7">
        <v>45116</v>
      </c>
      <c r="D542" t="s">
        <v>177</v>
      </c>
      <c r="E542" t="s">
        <v>178</v>
      </c>
      <c r="F542" t="s">
        <v>194</v>
      </c>
      <c r="G542" t="s">
        <v>209</v>
      </c>
      <c r="H542" t="s">
        <v>189</v>
      </c>
      <c r="I542" t="s">
        <v>306</v>
      </c>
      <c r="J542" t="s">
        <v>218</v>
      </c>
      <c r="K542" t="s">
        <v>1344</v>
      </c>
      <c r="L542" s="10">
        <v>1258.72</v>
      </c>
      <c r="M542" s="10">
        <v>2797.41</v>
      </c>
      <c r="N542" s="17">
        <v>0</v>
      </c>
      <c r="O542">
        <v>7</v>
      </c>
      <c r="P542" t="str">
        <f t="shared" si="177"/>
        <v>Valid</v>
      </c>
      <c r="Q542" s="10">
        <f t="shared" si="178"/>
        <v>2797.41</v>
      </c>
      <c r="R542" t="b">
        <f t="shared" si="179"/>
        <v>0</v>
      </c>
      <c r="S542" s="17">
        <f t="shared" si="180"/>
        <v>0</v>
      </c>
      <c r="T542">
        <f t="shared" si="181"/>
        <v>1</v>
      </c>
      <c r="U542" s="26">
        <f t="shared" si="182"/>
        <v>45116</v>
      </c>
      <c r="V542">
        <f t="shared" si="183"/>
        <v>1</v>
      </c>
      <c r="W542" s="10">
        <f t="shared" si="184"/>
        <v>1958187</v>
      </c>
      <c r="X542" s="10">
        <f t="shared" si="185"/>
        <v>19581.87</v>
      </c>
      <c r="Y542" s="10">
        <f t="shared" si="186"/>
        <v>1938605.13</v>
      </c>
      <c r="Z542" s="14">
        <f t="shared" si="190"/>
        <v>0.99</v>
      </c>
      <c r="AA542" t="s">
        <v>1584</v>
      </c>
      <c r="AB542" t="str">
        <f t="shared" si="187"/>
        <v>Q3-2023</v>
      </c>
      <c r="AC542" t="str">
        <f t="shared" si="188"/>
        <v>Africa → Kenya → Nairobi</v>
      </c>
      <c r="AD542" t="str">
        <f t="shared" si="189"/>
        <v>Devices</v>
      </c>
      <c r="AE542" s="8" t="str">
        <f t="shared" si="176"/>
        <v>Low</v>
      </c>
      <c r="AF542" t="str">
        <f t="shared" si="191"/>
        <v>KENYA</v>
      </c>
      <c r="AG542" s="7">
        <v>44946</v>
      </c>
      <c r="AH542" t="str">
        <f t="shared" si="192"/>
        <v>Jan-2023</v>
      </c>
      <c r="AI542" s="9">
        <f t="shared" si="193"/>
        <v>45138</v>
      </c>
      <c r="AJ542">
        <f t="shared" si="197"/>
        <v>1</v>
      </c>
      <c r="AK542">
        <f t="shared" si="194"/>
        <v>0</v>
      </c>
      <c r="AL542" s="17">
        <f>MIN(N542,'Scenario Modelling'!$B$2)</f>
        <v>0</v>
      </c>
      <c r="AM542" s="10">
        <f>L542*(1+'Scenario Modelling'!$B$3)</f>
        <v>1447.528</v>
      </c>
      <c r="AN542">
        <f>O542*(1+'Scenario Modelling'!$B$4)</f>
        <v>8.4</v>
      </c>
      <c r="AO542" s="28">
        <f t="shared" si="195"/>
        <v>23498.244</v>
      </c>
      <c r="AP542" s="10">
        <f t="shared" si="196"/>
        <v>11339.0088</v>
      </c>
    </row>
    <row r="543" spans="1:42">
      <c r="A543" t="s">
        <v>1345</v>
      </c>
      <c r="B543" s="7">
        <v>45450</v>
      </c>
      <c r="C543" s="7">
        <v>45452</v>
      </c>
      <c r="D543" t="s">
        <v>206</v>
      </c>
      <c r="E543" t="s">
        <v>277</v>
      </c>
      <c r="F543" t="s">
        <v>323</v>
      </c>
      <c r="G543" t="s">
        <v>180</v>
      </c>
      <c r="H543" t="s">
        <v>181</v>
      </c>
      <c r="I543" t="s">
        <v>229</v>
      </c>
      <c r="J543" t="s">
        <v>225</v>
      </c>
      <c r="K543" t="s">
        <v>1346</v>
      </c>
      <c r="L543" s="10">
        <v>1370.28</v>
      </c>
      <c r="M543" s="10">
        <v>2209.66</v>
      </c>
      <c r="N543" s="17">
        <v>0.133</v>
      </c>
      <c r="O543">
        <v>16</v>
      </c>
      <c r="P543" t="str">
        <f t="shared" si="177"/>
        <v>Valid</v>
      </c>
      <c r="Q543" s="10">
        <f t="shared" si="178"/>
        <v>2209.66</v>
      </c>
      <c r="R543" t="b">
        <f t="shared" si="179"/>
        <v>0</v>
      </c>
      <c r="S543" s="17">
        <f t="shared" si="180"/>
        <v>0.133</v>
      </c>
      <c r="T543">
        <f t="shared" si="181"/>
        <v>2</v>
      </c>
      <c r="U543" s="26">
        <f t="shared" si="182"/>
        <v>45452</v>
      </c>
      <c r="V543">
        <f t="shared" si="183"/>
        <v>2</v>
      </c>
      <c r="W543" s="10">
        <f t="shared" si="184"/>
        <v>3530753.84352</v>
      </c>
      <c r="X543" s="10">
        <f t="shared" si="185"/>
        <v>35354.56</v>
      </c>
      <c r="Y543" s="10">
        <f t="shared" si="186"/>
        <v>3495399.28352</v>
      </c>
      <c r="Z543" s="14">
        <f t="shared" si="190"/>
        <v>0.989986682287442</v>
      </c>
      <c r="AA543" t="s">
        <v>1576</v>
      </c>
      <c r="AB543" t="str">
        <f t="shared" si="187"/>
        <v>Q2-2024</v>
      </c>
      <c r="AC543" t="str">
        <f t="shared" si="188"/>
        <v>Asia → China → Shanghai</v>
      </c>
      <c r="AD543" t="str">
        <f t="shared" si="189"/>
        <v>Peripherals</v>
      </c>
      <c r="AE543" s="8" t="str">
        <f t="shared" si="176"/>
        <v>Medium</v>
      </c>
      <c r="AF543" t="str">
        <f t="shared" si="191"/>
        <v>CHINA</v>
      </c>
      <c r="AG543" s="7">
        <v>44938</v>
      </c>
      <c r="AH543" t="str">
        <f t="shared" si="192"/>
        <v>Jan-2023</v>
      </c>
      <c r="AI543" s="9">
        <f t="shared" si="193"/>
        <v>45473</v>
      </c>
      <c r="AJ543">
        <f t="shared" si="197"/>
        <v>1</v>
      </c>
      <c r="AK543">
        <f t="shared" si="194"/>
        <v>0</v>
      </c>
      <c r="AL543" s="17">
        <f>MIN(N543,'Scenario Modelling'!$B$2)</f>
        <v>0.133</v>
      </c>
      <c r="AM543" s="10">
        <f>L543*(1+'Scenario Modelling'!$B$3)</f>
        <v>1575.822</v>
      </c>
      <c r="AN543">
        <f>O543*(1+'Scenario Modelling'!$B$4)</f>
        <v>19.2</v>
      </c>
      <c r="AO543" s="28">
        <f t="shared" si="195"/>
        <v>36782.884224</v>
      </c>
      <c r="AP543" s="10">
        <f t="shared" si="196"/>
        <v>6527.101824</v>
      </c>
    </row>
    <row r="544" spans="1:42">
      <c r="A544" t="s">
        <v>1347</v>
      </c>
      <c r="B544" s="7">
        <v>44968</v>
      </c>
      <c r="C544" s="7">
        <v>44969</v>
      </c>
      <c r="D544" t="s">
        <v>177</v>
      </c>
      <c r="E544" t="s">
        <v>186</v>
      </c>
      <c r="F544" t="s">
        <v>187</v>
      </c>
      <c r="G544" t="s">
        <v>200</v>
      </c>
      <c r="H544" t="s">
        <v>259</v>
      </c>
      <c r="I544" t="s">
        <v>306</v>
      </c>
      <c r="J544" t="s">
        <v>242</v>
      </c>
      <c r="K544" t="s">
        <v>1348</v>
      </c>
      <c r="L544" s="10">
        <v>944.61</v>
      </c>
      <c r="M544" s="10">
        <v>839.04</v>
      </c>
      <c r="N544" s="17">
        <v>0.059</v>
      </c>
      <c r="O544">
        <v>6</v>
      </c>
      <c r="P544" t="str">
        <f t="shared" si="177"/>
        <v>Valid</v>
      </c>
      <c r="Q544" s="10">
        <f t="shared" si="178"/>
        <v>839.04</v>
      </c>
      <c r="R544" t="b">
        <f t="shared" si="179"/>
        <v>0</v>
      </c>
      <c r="S544" s="17">
        <f t="shared" si="180"/>
        <v>0.059</v>
      </c>
      <c r="T544">
        <f t="shared" si="181"/>
        <v>1</v>
      </c>
      <c r="U544" s="26">
        <f t="shared" si="182"/>
        <v>44969</v>
      </c>
      <c r="V544">
        <f t="shared" si="183"/>
        <v>1</v>
      </c>
      <c r="W544" s="10">
        <f t="shared" si="184"/>
        <v>503126.97984</v>
      </c>
      <c r="X544" s="10">
        <f t="shared" si="185"/>
        <v>5034.24</v>
      </c>
      <c r="Y544" s="10">
        <f t="shared" si="186"/>
        <v>498092.73984</v>
      </c>
      <c r="Z544" s="14">
        <f t="shared" si="190"/>
        <v>0.989994096516945</v>
      </c>
      <c r="AA544" t="s">
        <v>1562</v>
      </c>
      <c r="AB544" t="str">
        <f t="shared" si="187"/>
        <v>Q1-2023</v>
      </c>
      <c r="AC544" t="str">
        <f t="shared" si="188"/>
        <v>Africa → Nigeria → Port Harcourt</v>
      </c>
      <c r="AD544" t="str">
        <f t="shared" si="189"/>
        <v>Support</v>
      </c>
      <c r="AE544" s="8" t="str">
        <f t="shared" si="176"/>
        <v>Low</v>
      </c>
      <c r="AF544" t="str">
        <f t="shared" si="191"/>
        <v>NIGERIA</v>
      </c>
      <c r="AG544" s="7">
        <v>44941</v>
      </c>
      <c r="AH544" t="str">
        <f t="shared" si="192"/>
        <v>Jan-2023</v>
      </c>
      <c r="AI544" s="9">
        <f t="shared" si="193"/>
        <v>44985</v>
      </c>
      <c r="AJ544">
        <f t="shared" si="197"/>
        <v>1</v>
      </c>
      <c r="AK544">
        <f t="shared" si="194"/>
        <v>0</v>
      </c>
      <c r="AL544" s="17">
        <f>MIN(N544,'Scenario Modelling'!$B$2)</f>
        <v>0.059</v>
      </c>
      <c r="AM544" s="10">
        <f>L544*(1+'Scenario Modelling'!$B$3)</f>
        <v>1086.3015</v>
      </c>
      <c r="AN544">
        <f>O544*(1+'Scenario Modelling'!$B$4)</f>
        <v>7.2</v>
      </c>
      <c r="AO544" s="28">
        <f t="shared" si="195"/>
        <v>5684.663808</v>
      </c>
      <c r="AP544" s="10">
        <f t="shared" si="196"/>
        <v>-2136.706992</v>
      </c>
    </row>
    <row r="545" spans="1:42">
      <c r="A545" t="s">
        <v>1349</v>
      </c>
      <c r="B545" s="7">
        <v>45108</v>
      </c>
      <c r="C545" s="7">
        <v>45115</v>
      </c>
      <c r="D545" t="s">
        <v>239</v>
      </c>
      <c r="E545" t="s">
        <v>240</v>
      </c>
      <c r="F545" t="s">
        <v>496</v>
      </c>
      <c r="G545" t="s">
        <v>223</v>
      </c>
      <c r="H545" t="s">
        <v>216</v>
      </c>
      <c r="I545" t="s">
        <v>287</v>
      </c>
      <c r="J545" t="s">
        <v>218</v>
      </c>
      <c r="K545" t="s">
        <v>1350</v>
      </c>
      <c r="L545" s="10">
        <v>460.21</v>
      </c>
      <c r="M545" s="10">
        <v>1139.15</v>
      </c>
      <c r="N545" s="17">
        <v>0.115</v>
      </c>
      <c r="O545">
        <v>14</v>
      </c>
      <c r="P545" t="str">
        <f t="shared" si="177"/>
        <v>Valid</v>
      </c>
      <c r="Q545" s="10">
        <f t="shared" si="178"/>
        <v>1139.15</v>
      </c>
      <c r="R545" t="b">
        <f t="shared" si="179"/>
        <v>0</v>
      </c>
      <c r="S545" s="17">
        <f t="shared" si="180"/>
        <v>0.115</v>
      </c>
      <c r="T545">
        <f t="shared" si="181"/>
        <v>7</v>
      </c>
      <c r="U545" s="26">
        <f t="shared" si="182"/>
        <v>45115</v>
      </c>
      <c r="V545">
        <f t="shared" si="183"/>
        <v>7</v>
      </c>
      <c r="W545" s="10">
        <f t="shared" si="184"/>
        <v>1592975.9685</v>
      </c>
      <c r="X545" s="10">
        <f t="shared" si="185"/>
        <v>15948.1</v>
      </c>
      <c r="Y545" s="10">
        <f t="shared" si="186"/>
        <v>1577027.8685</v>
      </c>
      <c r="Z545" s="14">
        <f t="shared" si="190"/>
        <v>0.989988486759774</v>
      </c>
      <c r="AA545" t="s">
        <v>1584</v>
      </c>
      <c r="AB545" t="str">
        <f t="shared" si="187"/>
        <v>Q3-2023</v>
      </c>
      <c r="AC545" t="str">
        <f t="shared" si="188"/>
        <v>Europe → Germany → Frankfurt</v>
      </c>
      <c r="AD545" t="str">
        <f t="shared" si="189"/>
        <v>Devices</v>
      </c>
      <c r="AE545" s="8" t="str">
        <f t="shared" si="176"/>
        <v>Low</v>
      </c>
      <c r="AF545" t="str">
        <f t="shared" si="191"/>
        <v>GERMANY</v>
      </c>
      <c r="AG545" s="7">
        <v>44948</v>
      </c>
      <c r="AH545" t="str">
        <f t="shared" si="192"/>
        <v>Jan-2023</v>
      </c>
      <c r="AI545" s="9">
        <f t="shared" si="193"/>
        <v>45138</v>
      </c>
      <c r="AJ545">
        <f t="shared" si="197"/>
        <v>1</v>
      </c>
      <c r="AK545">
        <f t="shared" si="194"/>
        <v>0</v>
      </c>
      <c r="AL545" s="17">
        <f>MIN(N545,'Scenario Modelling'!$B$2)</f>
        <v>0.115</v>
      </c>
      <c r="AM545" s="10">
        <f>L545*(1+'Scenario Modelling'!$B$3)</f>
        <v>529.2415</v>
      </c>
      <c r="AN545">
        <f>O545*(1+'Scenario Modelling'!$B$4)</f>
        <v>16.8</v>
      </c>
      <c r="AO545" s="28">
        <f t="shared" si="195"/>
        <v>16936.8822</v>
      </c>
      <c r="AP545" s="10">
        <f t="shared" si="196"/>
        <v>8045.625</v>
      </c>
    </row>
    <row r="546" spans="1:42">
      <c r="A546" t="s">
        <v>1351</v>
      </c>
      <c r="B546" s="7">
        <v>45889</v>
      </c>
      <c r="C546" s="7">
        <v>45895</v>
      </c>
      <c r="D546" t="s">
        <v>213</v>
      </c>
      <c r="E546" t="s">
        <v>283</v>
      </c>
      <c r="F546" t="s">
        <v>548</v>
      </c>
      <c r="G546" t="s">
        <v>180</v>
      </c>
      <c r="H546" t="s">
        <v>181</v>
      </c>
      <c r="I546" t="s">
        <v>271</v>
      </c>
      <c r="J546" t="s">
        <v>196</v>
      </c>
      <c r="K546" t="s">
        <v>1352</v>
      </c>
      <c r="L546" s="10">
        <v>1304.95</v>
      </c>
      <c r="M546" s="10">
        <v>1712.03</v>
      </c>
      <c r="N546" s="17">
        <v>0.212</v>
      </c>
      <c r="O546">
        <v>8</v>
      </c>
      <c r="P546" t="str">
        <f t="shared" si="177"/>
        <v>Valid</v>
      </c>
      <c r="Q546" s="10">
        <f t="shared" si="178"/>
        <v>1712.03</v>
      </c>
      <c r="R546" t="b">
        <f t="shared" si="179"/>
        <v>0</v>
      </c>
      <c r="S546" s="17">
        <f t="shared" si="180"/>
        <v>0.212</v>
      </c>
      <c r="T546">
        <f t="shared" si="181"/>
        <v>6</v>
      </c>
      <c r="U546" s="26">
        <f t="shared" si="182"/>
        <v>45895</v>
      </c>
      <c r="V546">
        <f t="shared" si="183"/>
        <v>6</v>
      </c>
      <c r="W546" s="10">
        <f t="shared" si="184"/>
        <v>1366720.39712</v>
      </c>
      <c r="X546" s="10">
        <f t="shared" si="185"/>
        <v>13696.24</v>
      </c>
      <c r="Y546" s="10">
        <f t="shared" si="186"/>
        <v>1353024.15712</v>
      </c>
      <c r="Z546" s="14">
        <f t="shared" si="190"/>
        <v>0.989978754960516</v>
      </c>
      <c r="AA546" t="s">
        <v>1590</v>
      </c>
      <c r="AB546" t="str">
        <f t="shared" si="187"/>
        <v>Q3-2025</v>
      </c>
      <c r="AC546" t="str">
        <f t="shared" si="188"/>
        <v>Americas → USA → New York</v>
      </c>
      <c r="AD546" t="str">
        <f t="shared" si="189"/>
        <v>Support</v>
      </c>
      <c r="AE546" s="8" t="str">
        <f t="shared" si="176"/>
        <v>High</v>
      </c>
      <c r="AF546" t="str">
        <f t="shared" si="191"/>
        <v>USA</v>
      </c>
      <c r="AG546" s="7">
        <v>44939</v>
      </c>
      <c r="AH546" t="str">
        <f t="shared" si="192"/>
        <v>Jan-2023</v>
      </c>
      <c r="AI546" s="9">
        <f t="shared" si="193"/>
        <v>45900</v>
      </c>
      <c r="AJ546">
        <f t="shared" si="197"/>
        <v>1</v>
      </c>
      <c r="AK546">
        <f t="shared" si="194"/>
        <v>1</v>
      </c>
      <c r="AL546" s="17">
        <f>MIN(N546,'Scenario Modelling'!$B$2)</f>
        <v>0.212</v>
      </c>
      <c r="AM546" s="10">
        <f>L546*(1+'Scenario Modelling'!$B$3)</f>
        <v>1500.6925</v>
      </c>
      <c r="AN546">
        <f>O546*(1+'Scenario Modelling'!$B$4)</f>
        <v>9.6</v>
      </c>
      <c r="AO546" s="28">
        <f t="shared" si="195"/>
        <v>12951.164544</v>
      </c>
      <c r="AP546" s="10">
        <f t="shared" si="196"/>
        <v>-1455.483456</v>
      </c>
    </row>
    <row r="547" spans="1:42">
      <c r="A547" t="s">
        <v>1353</v>
      </c>
      <c r="B547" s="7">
        <v>45355</v>
      </c>
      <c r="C547" s="7">
        <v>45367</v>
      </c>
      <c r="D547" t="s">
        <v>177</v>
      </c>
      <c r="E547" t="s">
        <v>309</v>
      </c>
      <c r="F547" t="s">
        <v>310</v>
      </c>
      <c r="G547" t="s">
        <v>266</v>
      </c>
      <c r="H547" t="s">
        <v>216</v>
      </c>
      <c r="I547" t="s">
        <v>271</v>
      </c>
      <c r="J547" t="s">
        <v>225</v>
      </c>
      <c r="K547" t="s">
        <v>1354</v>
      </c>
      <c r="L547" s="10">
        <v>441.08</v>
      </c>
      <c r="M547" s="10">
        <v>1054.29</v>
      </c>
      <c r="N547" s="17">
        <v>0.237</v>
      </c>
      <c r="O547">
        <v>6</v>
      </c>
      <c r="P547" t="str">
        <f t="shared" si="177"/>
        <v>Valid</v>
      </c>
      <c r="Q547" s="10">
        <f t="shared" si="178"/>
        <v>1054.29</v>
      </c>
      <c r="R547" t="b">
        <f t="shared" si="179"/>
        <v>0</v>
      </c>
      <c r="S547" s="17">
        <f t="shared" si="180"/>
        <v>0.237</v>
      </c>
      <c r="T547">
        <f t="shared" si="181"/>
        <v>12</v>
      </c>
      <c r="U547" s="26">
        <f t="shared" si="182"/>
        <v>45367</v>
      </c>
      <c r="V547">
        <f t="shared" si="183"/>
        <v>12</v>
      </c>
      <c r="W547" s="10">
        <f t="shared" si="184"/>
        <v>631074.79962</v>
      </c>
      <c r="X547" s="10">
        <f t="shared" si="185"/>
        <v>6325.74</v>
      </c>
      <c r="Y547" s="10">
        <f t="shared" si="186"/>
        <v>624749.05962</v>
      </c>
      <c r="Z547" s="14">
        <f t="shared" si="190"/>
        <v>0.989976243697563</v>
      </c>
      <c r="AA547" t="s">
        <v>1560</v>
      </c>
      <c r="AB547" t="str">
        <f t="shared" si="187"/>
        <v>Q1-2024</v>
      </c>
      <c r="AC547" t="str">
        <f t="shared" si="188"/>
        <v>Africa → South Africa → Johannesburg</v>
      </c>
      <c r="AD547" t="str">
        <f t="shared" si="189"/>
        <v>Peripherals</v>
      </c>
      <c r="AE547" s="8" t="str">
        <f t="shared" si="176"/>
        <v>Medium</v>
      </c>
      <c r="AF547" t="str">
        <f t="shared" si="191"/>
        <v>SOUTH AFRICA</v>
      </c>
      <c r="AG547" s="7">
        <v>44933</v>
      </c>
      <c r="AH547" t="str">
        <f t="shared" si="192"/>
        <v>Jan-2023</v>
      </c>
      <c r="AI547" s="9">
        <f t="shared" si="193"/>
        <v>45382</v>
      </c>
      <c r="AJ547">
        <f t="shared" si="197"/>
        <v>0</v>
      </c>
      <c r="AK547">
        <f t="shared" si="194"/>
        <v>1</v>
      </c>
      <c r="AL547" s="17">
        <f>MIN(N547,'Scenario Modelling'!$B$2)</f>
        <v>0.237</v>
      </c>
      <c r="AM547" s="10">
        <f>L547*(1+'Scenario Modelling'!$B$3)</f>
        <v>507.242</v>
      </c>
      <c r="AN547">
        <f>O547*(1+'Scenario Modelling'!$B$4)</f>
        <v>7.2</v>
      </c>
      <c r="AO547" s="28">
        <f t="shared" si="195"/>
        <v>5791.847544</v>
      </c>
      <c r="AP547" s="10">
        <f t="shared" si="196"/>
        <v>2139.705144</v>
      </c>
    </row>
    <row r="548" spans="1:42">
      <c r="A548" t="s">
        <v>1355</v>
      </c>
      <c r="B548" s="7">
        <v>45177</v>
      </c>
      <c r="C548" s="7">
        <v>45201</v>
      </c>
      <c r="D548" t="s">
        <v>213</v>
      </c>
      <c r="E548" t="s">
        <v>214</v>
      </c>
      <c r="F548" t="s">
        <v>215</v>
      </c>
      <c r="G548" t="s">
        <v>188</v>
      </c>
      <c r="H548" t="s">
        <v>259</v>
      </c>
      <c r="I548" t="s">
        <v>236</v>
      </c>
      <c r="J548" t="s">
        <v>242</v>
      </c>
      <c r="K548" t="s">
        <v>1356</v>
      </c>
      <c r="L548" s="10">
        <v>1299.03</v>
      </c>
      <c r="M548" s="10">
        <v>2451.22</v>
      </c>
      <c r="N548" s="17">
        <v>0.208</v>
      </c>
      <c r="O548">
        <v>8</v>
      </c>
      <c r="P548" t="str">
        <f t="shared" si="177"/>
        <v>Valid</v>
      </c>
      <c r="Q548" s="10">
        <f t="shared" si="178"/>
        <v>2451.22</v>
      </c>
      <c r="R548" t="b">
        <f t="shared" si="179"/>
        <v>0</v>
      </c>
      <c r="S548" s="17">
        <f t="shared" si="180"/>
        <v>0.208</v>
      </c>
      <c r="T548">
        <f t="shared" si="181"/>
        <v>24</v>
      </c>
      <c r="U548" s="26">
        <f t="shared" si="182"/>
        <v>45201</v>
      </c>
      <c r="V548">
        <f t="shared" si="183"/>
        <v>24</v>
      </c>
      <c r="W548" s="10">
        <f t="shared" si="184"/>
        <v>1956897.16992</v>
      </c>
      <c r="X548" s="10">
        <f t="shared" si="185"/>
        <v>19609.76</v>
      </c>
      <c r="Y548" s="10">
        <f t="shared" si="186"/>
        <v>1937287.40992</v>
      </c>
      <c r="Z548" s="14">
        <f t="shared" si="190"/>
        <v>0.989979156645823</v>
      </c>
      <c r="AA548" t="s">
        <v>1588</v>
      </c>
      <c r="AB548" t="str">
        <f t="shared" si="187"/>
        <v>Q3-2023</v>
      </c>
      <c r="AC548" t="str">
        <f t="shared" si="188"/>
        <v>Americas → Canada → Toronto</v>
      </c>
      <c r="AD548" t="str">
        <f t="shared" si="189"/>
        <v>Support</v>
      </c>
      <c r="AE548" s="8" t="str">
        <f t="shared" si="176"/>
        <v>Low</v>
      </c>
      <c r="AF548" t="str">
        <f t="shared" si="191"/>
        <v>CANADA</v>
      </c>
      <c r="AG548" s="7">
        <v>44928</v>
      </c>
      <c r="AH548" t="str">
        <f t="shared" si="192"/>
        <v>Jan-2023</v>
      </c>
      <c r="AI548" s="9">
        <f t="shared" si="193"/>
        <v>45199</v>
      </c>
      <c r="AJ548">
        <f t="shared" si="197"/>
        <v>0</v>
      </c>
      <c r="AK548">
        <f t="shared" si="194"/>
        <v>1</v>
      </c>
      <c r="AL548" s="17">
        <f>MIN(N548,'Scenario Modelling'!$B$2)</f>
        <v>0.208</v>
      </c>
      <c r="AM548" s="10">
        <f>L548*(1+'Scenario Modelling'!$B$3)</f>
        <v>1493.8845</v>
      </c>
      <c r="AN548">
        <f>O548*(1+'Scenario Modelling'!$B$4)</f>
        <v>9.6</v>
      </c>
      <c r="AO548" s="28">
        <f t="shared" si="195"/>
        <v>18637.115904</v>
      </c>
      <c r="AP548" s="10">
        <f t="shared" si="196"/>
        <v>4295.824704</v>
      </c>
    </row>
    <row r="549" spans="1:42">
      <c r="A549" t="s">
        <v>1357</v>
      </c>
      <c r="B549" s="7">
        <v>44985</v>
      </c>
      <c r="C549" s="7">
        <v>44991</v>
      </c>
      <c r="D549" t="s">
        <v>239</v>
      </c>
      <c r="E549" t="s">
        <v>240</v>
      </c>
      <c r="F549" t="s">
        <v>496</v>
      </c>
      <c r="G549" t="s">
        <v>223</v>
      </c>
      <c r="H549" t="s">
        <v>201</v>
      </c>
      <c r="I549" t="s">
        <v>306</v>
      </c>
      <c r="J549" t="s">
        <v>191</v>
      </c>
      <c r="K549" t="s">
        <v>1358</v>
      </c>
      <c r="L549" s="10">
        <v>880.02</v>
      </c>
      <c r="M549" s="10">
        <v>1251.21</v>
      </c>
      <c r="N549" s="17">
        <v>0.123</v>
      </c>
      <c r="O549">
        <v>29</v>
      </c>
      <c r="P549" t="str">
        <f t="shared" si="177"/>
        <v>Valid</v>
      </c>
      <c r="Q549" s="10">
        <f t="shared" si="178"/>
        <v>1251.21</v>
      </c>
      <c r="R549" t="b">
        <f t="shared" si="179"/>
        <v>0</v>
      </c>
      <c r="S549" s="17">
        <f t="shared" si="180"/>
        <v>0.123</v>
      </c>
      <c r="T549">
        <f t="shared" si="181"/>
        <v>6</v>
      </c>
      <c r="U549" s="26">
        <f t="shared" si="182"/>
        <v>44991</v>
      </c>
      <c r="V549">
        <f t="shared" si="183"/>
        <v>6</v>
      </c>
      <c r="W549" s="10">
        <f t="shared" si="184"/>
        <v>3624045.93393</v>
      </c>
      <c r="X549" s="10">
        <f t="shared" si="185"/>
        <v>36285.09</v>
      </c>
      <c r="Y549" s="10">
        <f t="shared" si="186"/>
        <v>3587760.84393</v>
      </c>
      <c r="Z549" s="14">
        <f t="shared" si="190"/>
        <v>0.989987684852368</v>
      </c>
      <c r="AA549" t="s">
        <v>1562</v>
      </c>
      <c r="AB549" t="str">
        <f t="shared" si="187"/>
        <v>Q1-2023</v>
      </c>
      <c r="AC549" t="str">
        <f t="shared" si="188"/>
        <v>Europe → Germany → Frankfurt</v>
      </c>
      <c r="AD549" t="str">
        <f t="shared" si="189"/>
        <v>Peripherals</v>
      </c>
      <c r="AE549" s="8" t="str">
        <f t="shared" si="176"/>
        <v>Low</v>
      </c>
      <c r="AF549" t="str">
        <f t="shared" si="191"/>
        <v>GERMANY</v>
      </c>
      <c r="AG549" s="7">
        <v>44948</v>
      </c>
      <c r="AH549" t="str">
        <f t="shared" si="192"/>
        <v>Jan-2023</v>
      </c>
      <c r="AI549" s="9">
        <f t="shared" si="193"/>
        <v>44985</v>
      </c>
      <c r="AJ549">
        <f t="shared" si="197"/>
        <v>1</v>
      </c>
      <c r="AK549">
        <f t="shared" si="194"/>
        <v>0</v>
      </c>
      <c r="AL549" s="17">
        <f>MIN(N549,'Scenario Modelling'!$B$2)</f>
        <v>0.123</v>
      </c>
      <c r="AM549" s="10">
        <f>L549*(1+'Scenario Modelling'!$B$3)</f>
        <v>1012.023</v>
      </c>
      <c r="AN549">
        <f>O549*(1+'Scenario Modelling'!$B$4)</f>
        <v>34.8</v>
      </c>
      <c r="AO549" s="28">
        <f t="shared" si="195"/>
        <v>38186.428716</v>
      </c>
      <c r="AP549" s="10">
        <f t="shared" si="196"/>
        <v>2968.028316</v>
      </c>
    </row>
    <row r="550" spans="1:42">
      <c r="A550" t="s">
        <v>1359</v>
      </c>
      <c r="B550" s="7">
        <v>45486</v>
      </c>
      <c r="C550" s="7">
        <v>45507</v>
      </c>
      <c r="D550" t="s">
        <v>213</v>
      </c>
      <c r="E550" t="s">
        <v>234</v>
      </c>
      <c r="F550" t="s">
        <v>386</v>
      </c>
      <c r="G550" t="s">
        <v>180</v>
      </c>
      <c r="H550" t="s">
        <v>201</v>
      </c>
      <c r="I550" t="s">
        <v>271</v>
      </c>
      <c r="J550" t="s">
        <v>225</v>
      </c>
      <c r="K550" t="s">
        <v>1360</v>
      </c>
      <c r="L550" s="10">
        <v>702.98</v>
      </c>
      <c r="M550" s="10">
        <v>1104.8</v>
      </c>
      <c r="N550" s="17">
        <v>0.175</v>
      </c>
      <c r="O550">
        <v>12</v>
      </c>
      <c r="P550" t="str">
        <f t="shared" si="177"/>
        <v>Valid</v>
      </c>
      <c r="Q550" s="10">
        <f t="shared" si="178"/>
        <v>1104.8</v>
      </c>
      <c r="R550" t="b">
        <f t="shared" si="179"/>
        <v>0</v>
      </c>
      <c r="S550" s="17">
        <f t="shared" si="180"/>
        <v>0.175</v>
      </c>
      <c r="T550">
        <f t="shared" si="181"/>
        <v>21</v>
      </c>
      <c r="U550" s="26">
        <f t="shared" si="182"/>
        <v>45507</v>
      </c>
      <c r="V550">
        <f t="shared" si="183"/>
        <v>21</v>
      </c>
      <c r="W550" s="10">
        <f t="shared" si="184"/>
        <v>1323439.92</v>
      </c>
      <c r="X550" s="10">
        <f t="shared" si="185"/>
        <v>13257.6</v>
      </c>
      <c r="Y550" s="10">
        <f t="shared" si="186"/>
        <v>1310182.32</v>
      </c>
      <c r="Z550" s="14">
        <f t="shared" si="190"/>
        <v>0.989982469321312</v>
      </c>
      <c r="AA550" t="s">
        <v>1573</v>
      </c>
      <c r="AB550" t="str">
        <f t="shared" si="187"/>
        <v>Q3-2024</v>
      </c>
      <c r="AC550" t="str">
        <f t="shared" si="188"/>
        <v>Americas → Brazil → Rio de Janeiro</v>
      </c>
      <c r="AD550" t="str">
        <f t="shared" si="189"/>
        <v>Peripherals</v>
      </c>
      <c r="AE550" s="8" t="str">
        <f t="shared" si="176"/>
        <v>Medium</v>
      </c>
      <c r="AF550" t="str">
        <f t="shared" si="191"/>
        <v>BRAZIL</v>
      </c>
      <c r="AG550" s="7">
        <v>44955</v>
      </c>
      <c r="AH550" t="str">
        <f t="shared" si="192"/>
        <v>Jan-2023</v>
      </c>
      <c r="AI550" s="9">
        <f t="shared" si="193"/>
        <v>45504</v>
      </c>
      <c r="AJ550">
        <f t="shared" si="197"/>
        <v>0</v>
      </c>
      <c r="AK550">
        <f t="shared" si="194"/>
        <v>0</v>
      </c>
      <c r="AL550" s="17">
        <f>MIN(N550,'Scenario Modelling'!$B$2)</f>
        <v>0.175</v>
      </c>
      <c r="AM550" s="10">
        <f>L550*(1+'Scenario Modelling'!$B$3)</f>
        <v>808.427</v>
      </c>
      <c r="AN550">
        <f>O550*(1+'Scenario Modelling'!$B$4)</f>
        <v>14.4</v>
      </c>
      <c r="AO550" s="28">
        <f t="shared" si="195"/>
        <v>13125.024</v>
      </c>
      <c r="AP550" s="10">
        <f t="shared" si="196"/>
        <v>1483.6752</v>
      </c>
    </row>
    <row r="551" spans="1:42">
      <c r="A551" t="s">
        <v>1361</v>
      </c>
      <c r="B551" s="7">
        <v>45633</v>
      </c>
      <c r="C551" s="7">
        <v>45652</v>
      </c>
      <c r="D551" t="s">
        <v>239</v>
      </c>
      <c r="E551" t="s">
        <v>269</v>
      </c>
      <c r="F551" t="s">
        <v>313</v>
      </c>
      <c r="G551" t="s">
        <v>266</v>
      </c>
      <c r="H551" t="s">
        <v>189</v>
      </c>
      <c r="I551" t="s">
        <v>306</v>
      </c>
      <c r="J551" t="s">
        <v>196</v>
      </c>
      <c r="K551" t="s">
        <v>1362</v>
      </c>
      <c r="L551" s="10">
        <v>1035.24</v>
      </c>
      <c r="M551" s="10">
        <v>2383.41</v>
      </c>
      <c r="N551" s="17">
        <v>0.17</v>
      </c>
      <c r="O551">
        <v>15</v>
      </c>
      <c r="P551" t="str">
        <f t="shared" si="177"/>
        <v>Valid</v>
      </c>
      <c r="Q551" s="10">
        <f t="shared" si="178"/>
        <v>2383.41</v>
      </c>
      <c r="R551" t="b">
        <f t="shared" si="179"/>
        <v>0</v>
      </c>
      <c r="S551" s="17">
        <f t="shared" si="180"/>
        <v>0.17</v>
      </c>
      <c r="T551">
        <f t="shared" si="181"/>
        <v>19</v>
      </c>
      <c r="U551" s="26">
        <f t="shared" si="182"/>
        <v>45652</v>
      </c>
      <c r="V551">
        <f t="shared" si="183"/>
        <v>19</v>
      </c>
      <c r="W551" s="10">
        <f t="shared" si="184"/>
        <v>3569037.3045</v>
      </c>
      <c r="X551" s="10">
        <f t="shared" si="185"/>
        <v>35751.15</v>
      </c>
      <c r="Y551" s="10">
        <f t="shared" si="186"/>
        <v>3533286.1545</v>
      </c>
      <c r="Z551" s="14">
        <f t="shared" si="190"/>
        <v>0.989982971050786</v>
      </c>
      <c r="AA551" t="s">
        <v>1565</v>
      </c>
      <c r="AB551" t="str">
        <f t="shared" si="187"/>
        <v>Q4-2024</v>
      </c>
      <c r="AC551" t="str">
        <f t="shared" si="188"/>
        <v>Europe → United Kingdom → London</v>
      </c>
      <c r="AD551" t="str">
        <f t="shared" si="189"/>
        <v>Support</v>
      </c>
      <c r="AE551" s="8" t="str">
        <f t="shared" si="176"/>
        <v>High</v>
      </c>
      <c r="AF551" t="str">
        <f t="shared" si="191"/>
        <v>UNITED KINGDOM</v>
      </c>
      <c r="AG551" s="7">
        <v>44945</v>
      </c>
      <c r="AH551" t="str">
        <f t="shared" si="192"/>
        <v>Jan-2023</v>
      </c>
      <c r="AI551" s="9">
        <f t="shared" si="193"/>
        <v>45657</v>
      </c>
      <c r="AJ551">
        <f t="shared" si="197"/>
        <v>0</v>
      </c>
      <c r="AK551">
        <f t="shared" si="194"/>
        <v>0</v>
      </c>
      <c r="AL551" s="17">
        <f>MIN(N551,'Scenario Modelling'!$B$2)</f>
        <v>0.17</v>
      </c>
      <c r="AM551" s="10">
        <f>L551*(1+'Scenario Modelling'!$B$3)</f>
        <v>1190.526</v>
      </c>
      <c r="AN551">
        <f>O551*(1+'Scenario Modelling'!$B$4)</f>
        <v>18</v>
      </c>
      <c r="AO551" s="28">
        <f t="shared" si="195"/>
        <v>35608.1454</v>
      </c>
      <c r="AP551" s="10">
        <f t="shared" si="196"/>
        <v>14178.6774</v>
      </c>
    </row>
    <row r="552" spans="1:42">
      <c r="A552" t="s">
        <v>1363</v>
      </c>
      <c r="B552" s="7">
        <v>45875</v>
      </c>
      <c r="C552" s="7">
        <v>45892</v>
      </c>
      <c r="D552" t="s">
        <v>213</v>
      </c>
      <c r="E552" t="s">
        <v>234</v>
      </c>
      <c r="F552" t="s">
        <v>248</v>
      </c>
      <c r="G552" t="s">
        <v>209</v>
      </c>
      <c r="H552" t="s">
        <v>216</v>
      </c>
      <c r="I552" t="s">
        <v>236</v>
      </c>
      <c r="J552" t="s">
        <v>225</v>
      </c>
      <c r="K552" t="s">
        <v>1364</v>
      </c>
      <c r="L552" s="10">
        <v>86.64</v>
      </c>
      <c r="M552" s="10">
        <v>213.06</v>
      </c>
      <c r="N552" s="17">
        <v>0.212</v>
      </c>
      <c r="O552">
        <v>11</v>
      </c>
      <c r="P552" t="str">
        <f t="shared" si="177"/>
        <v>Valid</v>
      </c>
      <c r="Q552" s="10">
        <f t="shared" si="178"/>
        <v>213.06</v>
      </c>
      <c r="R552" t="b">
        <f t="shared" si="179"/>
        <v>0</v>
      </c>
      <c r="S552" s="17">
        <f t="shared" si="180"/>
        <v>0.212</v>
      </c>
      <c r="T552">
        <f t="shared" si="181"/>
        <v>17</v>
      </c>
      <c r="U552" s="26">
        <f t="shared" si="182"/>
        <v>45892</v>
      </c>
      <c r="V552">
        <f t="shared" si="183"/>
        <v>17</v>
      </c>
      <c r="W552" s="10">
        <f t="shared" si="184"/>
        <v>233869.14408</v>
      </c>
      <c r="X552" s="10">
        <f t="shared" si="185"/>
        <v>2343.66</v>
      </c>
      <c r="Y552" s="10">
        <f t="shared" si="186"/>
        <v>231525.48408</v>
      </c>
      <c r="Z552" s="14">
        <f t="shared" si="190"/>
        <v>0.989978754960516</v>
      </c>
      <c r="AA552" t="s">
        <v>1590</v>
      </c>
      <c r="AB552" t="str">
        <f t="shared" si="187"/>
        <v>Q3-2025</v>
      </c>
      <c r="AC552" t="str">
        <f t="shared" si="188"/>
        <v>Americas → Brazil → Brasília</v>
      </c>
      <c r="AD552" t="str">
        <f t="shared" si="189"/>
        <v>Peripherals</v>
      </c>
      <c r="AE552" s="8" t="str">
        <f t="shared" si="176"/>
        <v>High</v>
      </c>
      <c r="AF552" t="str">
        <f t="shared" si="191"/>
        <v>BRAZIL</v>
      </c>
      <c r="AG552" s="7">
        <v>44955</v>
      </c>
      <c r="AH552" t="str">
        <f t="shared" si="192"/>
        <v>Jan-2023</v>
      </c>
      <c r="AI552" s="9">
        <f t="shared" si="193"/>
        <v>45900</v>
      </c>
      <c r="AJ552">
        <f t="shared" si="197"/>
        <v>0</v>
      </c>
      <c r="AK552">
        <f t="shared" si="194"/>
        <v>1</v>
      </c>
      <c r="AL552" s="17">
        <f>MIN(N552,'Scenario Modelling'!$B$2)</f>
        <v>0.212</v>
      </c>
      <c r="AM552" s="10">
        <f>L552*(1+'Scenario Modelling'!$B$3)</f>
        <v>99.636</v>
      </c>
      <c r="AN552">
        <f>O552*(1+'Scenario Modelling'!$B$4)</f>
        <v>13.2</v>
      </c>
      <c r="AO552" s="28">
        <f t="shared" si="195"/>
        <v>2216.164896</v>
      </c>
      <c r="AP552" s="10">
        <f t="shared" si="196"/>
        <v>900.969696</v>
      </c>
    </row>
    <row r="553" spans="1:42">
      <c r="A553" t="s">
        <v>1365</v>
      </c>
      <c r="B553" s="7">
        <v>44988</v>
      </c>
      <c r="C553" s="7">
        <v>45005</v>
      </c>
      <c r="D553" t="s">
        <v>206</v>
      </c>
      <c r="E553" t="s">
        <v>207</v>
      </c>
      <c r="F553" t="s">
        <v>392</v>
      </c>
      <c r="G553" t="s">
        <v>223</v>
      </c>
      <c r="H553" t="s">
        <v>189</v>
      </c>
      <c r="I553" t="s">
        <v>306</v>
      </c>
      <c r="J553" t="s">
        <v>196</v>
      </c>
      <c r="K553" t="s">
        <v>1366</v>
      </c>
      <c r="L553" s="10">
        <v>1171.17</v>
      </c>
      <c r="M553" s="10">
        <v>2030.64</v>
      </c>
      <c r="N553" s="17">
        <v>0.157</v>
      </c>
      <c r="O553">
        <v>11</v>
      </c>
      <c r="P553" t="str">
        <f t="shared" si="177"/>
        <v>Valid</v>
      </c>
      <c r="Q553" s="10">
        <f t="shared" si="178"/>
        <v>2030.64</v>
      </c>
      <c r="R553" t="b">
        <f t="shared" si="179"/>
        <v>0</v>
      </c>
      <c r="S553" s="17">
        <f t="shared" si="180"/>
        <v>0.157</v>
      </c>
      <c r="T553">
        <f t="shared" si="181"/>
        <v>17</v>
      </c>
      <c r="U553" s="26">
        <f t="shared" si="182"/>
        <v>45005</v>
      </c>
      <c r="V553">
        <f t="shared" si="183"/>
        <v>17</v>
      </c>
      <c r="W553" s="10">
        <f t="shared" si="184"/>
        <v>2230197.08472</v>
      </c>
      <c r="X553" s="10">
        <f t="shared" si="185"/>
        <v>22337.04</v>
      </c>
      <c r="Y553" s="10">
        <f t="shared" si="186"/>
        <v>2207860.04472</v>
      </c>
      <c r="Z553" s="14">
        <f t="shared" si="190"/>
        <v>0.98998427531224</v>
      </c>
      <c r="AA553" t="s">
        <v>1582</v>
      </c>
      <c r="AB553" t="str">
        <f t="shared" si="187"/>
        <v>Q1-2023</v>
      </c>
      <c r="AC553" t="str">
        <f t="shared" si="188"/>
        <v>Asia → Japan → Nagoya</v>
      </c>
      <c r="AD553" t="str">
        <f t="shared" si="189"/>
        <v>Support</v>
      </c>
      <c r="AE553" s="8" t="str">
        <f t="shared" si="176"/>
        <v>Low</v>
      </c>
      <c r="AF553" t="str">
        <f t="shared" si="191"/>
        <v>JAPAN</v>
      </c>
      <c r="AG553" s="7">
        <v>44988</v>
      </c>
      <c r="AH553" t="str">
        <f t="shared" si="192"/>
        <v>Mar-2023</v>
      </c>
      <c r="AI553" s="9">
        <f t="shared" si="193"/>
        <v>45016</v>
      </c>
      <c r="AJ553">
        <f t="shared" si="197"/>
        <v>0</v>
      </c>
      <c r="AK553">
        <f t="shared" si="194"/>
        <v>0</v>
      </c>
      <c r="AL553" s="17">
        <f>MIN(N553,'Scenario Modelling'!$B$2)</f>
        <v>0.157</v>
      </c>
      <c r="AM553" s="10">
        <f>L553*(1+'Scenario Modelling'!$B$3)</f>
        <v>1346.8455</v>
      </c>
      <c r="AN553">
        <f>O553*(1+'Scenario Modelling'!$B$4)</f>
        <v>13.2</v>
      </c>
      <c r="AO553" s="28">
        <f t="shared" si="195"/>
        <v>22596.149664</v>
      </c>
      <c r="AP553" s="10">
        <f t="shared" si="196"/>
        <v>4817.789064</v>
      </c>
    </row>
    <row r="554" spans="1:42">
      <c r="A554" t="s">
        <v>1367</v>
      </c>
      <c r="B554" s="7">
        <v>45704</v>
      </c>
      <c r="C554" s="7">
        <v>45733</v>
      </c>
      <c r="D554" t="s">
        <v>239</v>
      </c>
      <c r="E554" t="s">
        <v>240</v>
      </c>
      <c r="F554" t="s">
        <v>320</v>
      </c>
      <c r="G554" t="s">
        <v>209</v>
      </c>
      <c r="H554" t="s">
        <v>181</v>
      </c>
      <c r="I554" t="s">
        <v>210</v>
      </c>
      <c r="J554" t="s">
        <v>242</v>
      </c>
      <c r="K554" t="s">
        <v>1368</v>
      </c>
      <c r="L554" s="10">
        <v>730.42</v>
      </c>
      <c r="M554" s="10">
        <v>956.7</v>
      </c>
      <c r="N554" s="17">
        <v>0.042</v>
      </c>
      <c r="O554">
        <v>22</v>
      </c>
      <c r="P554" t="str">
        <f t="shared" si="177"/>
        <v>Valid</v>
      </c>
      <c r="Q554" s="10">
        <f t="shared" si="178"/>
        <v>956.7</v>
      </c>
      <c r="R554" t="b">
        <f t="shared" si="179"/>
        <v>0</v>
      </c>
      <c r="S554" s="17">
        <f t="shared" si="180"/>
        <v>0.042</v>
      </c>
      <c r="T554">
        <f t="shared" si="181"/>
        <v>29</v>
      </c>
      <c r="U554" s="26">
        <f t="shared" si="182"/>
        <v>45733</v>
      </c>
      <c r="V554">
        <f t="shared" si="183"/>
        <v>29</v>
      </c>
      <c r="W554" s="10">
        <f t="shared" si="184"/>
        <v>2103856.0092</v>
      </c>
      <c r="X554" s="10">
        <f t="shared" si="185"/>
        <v>21047.4</v>
      </c>
      <c r="Y554" s="10">
        <f t="shared" si="186"/>
        <v>2082808.6092</v>
      </c>
      <c r="Z554" s="14">
        <f t="shared" si="190"/>
        <v>0.989995798235259</v>
      </c>
      <c r="AA554" t="s">
        <v>1586</v>
      </c>
      <c r="AB554" t="str">
        <f t="shared" si="187"/>
        <v>Q1-2025</v>
      </c>
      <c r="AC554" t="str">
        <f t="shared" si="188"/>
        <v>Europe → Germany → Munich</v>
      </c>
      <c r="AD554" t="str">
        <f t="shared" si="189"/>
        <v>Support</v>
      </c>
      <c r="AE554" s="8" t="str">
        <f t="shared" si="176"/>
        <v>High</v>
      </c>
      <c r="AF554" t="str">
        <f t="shared" si="191"/>
        <v>GERMANY</v>
      </c>
      <c r="AG554" s="7">
        <v>44948</v>
      </c>
      <c r="AH554" t="str">
        <f t="shared" si="192"/>
        <v>Jan-2023</v>
      </c>
      <c r="AI554" s="9">
        <f t="shared" si="193"/>
        <v>45716</v>
      </c>
      <c r="AJ554">
        <f t="shared" si="197"/>
        <v>0</v>
      </c>
      <c r="AK554">
        <f t="shared" si="194"/>
        <v>0</v>
      </c>
      <c r="AL554" s="17">
        <f>MIN(N554,'Scenario Modelling'!$B$2)</f>
        <v>0.042</v>
      </c>
      <c r="AM554" s="10">
        <f>L554*(1+'Scenario Modelling'!$B$3)</f>
        <v>839.983</v>
      </c>
      <c r="AN554">
        <f>O554*(1+'Scenario Modelling'!$B$4)</f>
        <v>26.4</v>
      </c>
      <c r="AO554" s="28">
        <f t="shared" si="195"/>
        <v>24196.09104</v>
      </c>
      <c r="AP554" s="10">
        <f t="shared" si="196"/>
        <v>2020.53984</v>
      </c>
    </row>
    <row r="555" spans="1:42">
      <c r="A555" t="s">
        <v>1369</v>
      </c>
      <c r="B555" s="7">
        <v>45703</v>
      </c>
      <c r="C555" s="7">
        <v>45717</v>
      </c>
      <c r="D555" t="s">
        <v>177</v>
      </c>
      <c r="E555" t="s">
        <v>178</v>
      </c>
      <c r="F555" t="s">
        <v>274</v>
      </c>
      <c r="G555" t="s">
        <v>188</v>
      </c>
      <c r="H555" t="s">
        <v>259</v>
      </c>
      <c r="I555" t="s">
        <v>210</v>
      </c>
      <c r="J555" t="s">
        <v>242</v>
      </c>
      <c r="K555" t="s">
        <v>1370</v>
      </c>
      <c r="L555" s="10">
        <v>1162.86</v>
      </c>
      <c r="M555" s="10">
        <v>1447.68</v>
      </c>
      <c r="N555" s="17">
        <v>0.087</v>
      </c>
      <c r="O555">
        <v>12</v>
      </c>
      <c r="P555" t="str">
        <f t="shared" si="177"/>
        <v>Valid</v>
      </c>
      <c r="Q555" s="10">
        <f t="shared" si="178"/>
        <v>1447.68</v>
      </c>
      <c r="R555" t="b">
        <f t="shared" si="179"/>
        <v>0</v>
      </c>
      <c r="S555" s="17">
        <f t="shared" si="180"/>
        <v>0.087</v>
      </c>
      <c r="T555">
        <f t="shared" si="181"/>
        <v>14</v>
      </c>
      <c r="U555" s="26">
        <f t="shared" si="182"/>
        <v>45717</v>
      </c>
      <c r="V555">
        <f t="shared" si="183"/>
        <v>14</v>
      </c>
      <c r="W555" s="10">
        <f t="shared" si="184"/>
        <v>1735704.62208</v>
      </c>
      <c r="X555" s="10">
        <f t="shared" si="185"/>
        <v>17372.16</v>
      </c>
      <c r="Y555" s="10">
        <f t="shared" si="186"/>
        <v>1718332.46208</v>
      </c>
      <c r="Z555" s="14">
        <f t="shared" si="190"/>
        <v>0.989991292424409</v>
      </c>
      <c r="AA555" t="s">
        <v>1586</v>
      </c>
      <c r="AB555" t="str">
        <f t="shared" si="187"/>
        <v>Q1-2025</v>
      </c>
      <c r="AC555" t="str">
        <f t="shared" si="188"/>
        <v>Africa → Kenya → Mombasa</v>
      </c>
      <c r="AD555" t="str">
        <f t="shared" si="189"/>
        <v>Support</v>
      </c>
      <c r="AE555" s="8" t="str">
        <f t="shared" si="176"/>
        <v>High</v>
      </c>
      <c r="AF555" t="str">
        <f t="shared" si="191"/>
        <v>KENYA</v>
      </c>
      <c r="AG555" s="7">
        <v>44946</v>
      </c>
      <c r="AH555" t="str">
        <f t="shared" si="192"/>
        <v>Jan-2023</v>
      </c>
      <c r="AI555" s="9">
        <f t="shared" si="193"/>
        <v>45716</v>
      </c>
      <c r="AJ555">
        <f t="shared" si="197"/>
        <v>0</v>
      </c>
      <c r="AK555">
        <f t="shared" si="194"/>
        <v>0</v>
      </c>
      <c r="AL555" s="17">
        <f>MIN(N555,'Scenario Modelling'!$B$2)</f>
        <v>0.087</v>
      </c>
      <c r="AM555" s="10">
        <f>L555*(1+'Scenario Modelling'!$B$3)</f>
        <v>1337.289</v>
      </c>
      <c r="AN555">
        <f>O555*(1+'Scenario Modelling'!$B$4)</f>
        <v>14.4</v>
      </c>
      <c r="AO555" s="28">
        <f t="shared" si="195"/>
        <v>19032.938496</v>
      </c>
      <c r="AP555" s="10">
        <f t="shared" si="196"/>
        <v>-224.023103999994</v>
      </c>
    </row>
    <row r="556" spans="1:42">
      <c r="A556" t="s">
        <v>1371</v>
      </c>
      <c r="B556" s="7">
        <v>45535</v>
      </c>
      <c r="C556" s="7">
        <v>45561</v>
      </c>
      <c r="D556" t="s">
        <v>206</v>
      </c>
      <c r="E556" t="s">
        <v>207</v>
      </c>
      <c r="F556" t="s">
        <v>375</v>
      </c>
      <c r="G556" t="s">
        <v>188</v>
      </c>
      <c r="H556" t="s">
        <v>189</v>
      </c>
      <c r="I556" t="s">
        <v>195</v>
      </c>
      <c r="J556" t="s">
        <v>203</v>
      </c>
      <c r="K556" t="s">
        <v>1372</v>
      </c>
      <c r="L556" s="10">
        <v>1189.03</v>
      </c>
      <c r="M556" s="10">
        <v>2949.62</v>
      </c>
      <c r="N556" s="17">
        <v>0.125</v>
      </c>
      <c r="O556">
        <v>13</v>
      </c>
      <c r="P556" t="str">
        <f t="shared" si="177"/>
        <v>Valid</v>
      </c>
      <c r="Q556" s="10">
        <f t="shared" si="178"/>
        <v>2949.62</v>
      </c>
      <c r="R556" t="b">
        <f t="shared" si="179"/>
        <v>0</v>
      </c>
      <c r="S556" s="17">
        <f t="shared" si="180"/>
        <v>0.125</v>
      </c>
      <c r="T556">
        <f t="shared" si="181"/>
        <v>26</v>
      </c>
      <c r="U556" s="26">
        <f t="shared" si="182"/>
        <v>45561</v>
      </c>
      <c r="V556">
        <f t="shared" si="183"/>
        <v>26</v>
      </c>
      <c r="W556" s="10">
        <f t="shared" si="184"/>
        <v>3829712.8675</v>
      </c>
      <c r="X556" s="10">
        <f t="shared" si="185"/>
        <v>38345.06</v>
      </c>
      <c r="Y556" s="10">
        <f t="shared" si="186"/>
        <v>3791367.8075</v>
      </c>
      <c r="Z556" s="14">
        <f t="shared" si="190"/>
        <v>0.989987484355444</v>
      </c>
      <c r="AA556" t="s">
        <v>1581</v>
      </c>
      <c r="AB556" t="str">
        <f t="shared" si="187"/>
        <v>Q3-2024</v>
      </c>
      <c r="AC556" t="str">
        <f t="shared" si="188"/>
        <v>Asia → Japan → Tokyo</v>
      </c>
      <c r="AD556" t="str">
        <f t="shared" si="189"/>
        <v>Devices</v>
      </c>
      <c r="AE556" s="8" t="str">
        <f t="shared" si="176"/>
        <v>Medium</v>
      </c>
      <c r="AF556" t="str">
        <f t="shared" si="191"/>
        <v>JAPAN</v>
      </c>
      <c r="AG556" s="7">
        <v>44988</v>
      </c>
      <c r="AH556" t="str">
        <f t="shared" si="192"/>
        <v>Mar-2023</v>
      </c>
      <c r="AI556" s="9">
        <f t="shared" si="193"/>
        <v>45535</v>
      </c>
      <c r="AJ556">
        <f t="shared" si="197"/>
        <v>0</v>
      </c>
      <c r="AK556">
        <f t="shared" si="194"/>
        <v>0</v>
      </c>
      <c r="AL556" s="17">
        <f>MIN(N556,'Scenario Modelling'!$B$2)</f>
        <v>0.125</v>
      </c>
      <c r="AM556" s="10">
        <f>L556*(1+'Scenario Modelling'!$B$3)</f>
        <v>1367.3845</v>
      </c>
      <c r="AN556">
        <f>O556*(1+'Scenario Modelling'!$B$4)</f>
        <v>15.6</v>
      </c>
      <c r="AO556" s="28">
        <f t="shared" si="195"/>
        <v>40262.313</v>
      </c>
      <c r="AP556" s="10">
        <f t="shared" si="196"/>
        <v>18931.1148</v>
      </c>
    </row>
    <row r="557" spans="1:42">
      <c r="A557" t="s">
        <v>1373</v>
      </c>
      <c r="B557" s="7">
        <v>45053</v>
      </c>
      <c r="C557" s="7">
        <v>45066</v>
      </c>
      <c r="D557" t="s">
        <v>206</v>
      </c>
      <c r="E557" t="s">
        <v>221</v>
      </c>
      <c r="F557" t="s">
        <v>381</v>
      </c>
      <c r="G557" t="s">
        <v>266</v>
      </c>
      <c r="H557" t="s">
        <v>181</v>
      </c>
      <c r="I557" t="s">
        <v>306</v>
      </c>
      <c r="J557" t="s">
        <v>242</v>
      </c>
      <c r="K557" t="s">
        <v>1374</v>
      </c>
      <c r="L557" s="10">
        <v>1443.28</v>
      </c>
      <c r="M557" s="10">
        <v>2580.57</v>
      </c>
      <c r="N557" s="17">
        <v>0</v>
      </c>
      <c r="O557">
        <v>18</v>
      </c>
      <c r="P557" t="str">
        <f t="shared" si="177"/>
        <v>Valid</v>
      </c>
      <c r="Q557" s="10">
        <f t="shared" si="178"/>
        <v>2580.57</v>
      </c>
      <c r="R557" t="b">
        <f t="shared" si="179"/>
        <v>0</v>
      </c>
      <c r="S557" s="17">
        <f t="shared" si="180"/>
        <v>0</v>
      </c>
      <c r="T557">
        <f t="shared" si="181"/>
        <v>13</v>
      </c>
      <c r="U557" s="26">
        <f t="shared" si="182"/>
        <v>45066</v>
      </c>
      <c r="V557">
        <f t="shared" si="183"/>
        <v>13</v>
      </c>
      <c r="W557" s="10">
        <f t="shared" si="184"/>
        <v>4645026</v>
      </c>
      <c r="X557" s="10">
        <f t="shared" si="185"/>
        <v>46450.26</v>
      </c>
      <c r="Y557" s="10">
        <f t="shared" si="186"/>
        <v>4598575.74</v>
      </c>
      <c r="Z557" s="14">
        <f t="shared" si="190"/>
        <v>0.99</v>
      </c>
      <c r="AA557" t="s">
        <v>1574</v>
      </c>
      <c r="AB557" t="str">
        <f t="shared" si="187"/>
        <v>Q2-2023</v>
      </c>
      <c r="AC557" t="str">
        <f t="shared" si="188"/>
        <v>Asia → India → Mumbai</v>
      </c>
      <c r="AD557" t="str">
        <f t="shared" si="189"/>
        <v>Support</v>
      </c>
      <c r="AE557" s="8" t="str">
        <f t="shared" si="176"/>
        <v>Low</v>
      </c>
      <c r="AF557" t="str">
        <f t="shared" si="191"/>
        <v>INDIA</v>
      </c>
      <c r="AG557" s="7">
        <v>44955</v>
      </c>
      <c r="AH557" t="str">
        <f t="shared" si="192"/>
        <v>Jan-2023</v>
      </c>
      <c r="AI557" s="9">
        <f t="shared" si="193"/>
        <v>45077</v>
      </c>
      <c r="AJ557">
        <f t="shared" si="197"/>
        <v>0</v>
      </c>
      <c r="AK557">
        <f t="shared" si="194"/>
        <v>0</v>
      </c>
      <c r="AL557" s="17">
        <f>MIN(N557,'Scenario Modelling'!$B$2)</f>
        <v>0</v>
      </c>
      <c r="AM557" s="10">
        <f>L557*(1+'Scenario Modelling'!$B$3)</f>
        <v>1659.772</v>
      </c>
      <c r="AN557">
        <f>O557*(1+'Scenario Modelling'!$B$4)</f>
        <v>21.6</v>
      </c>
      <c r="AO557" s="28">
        <f t="shared" si="195"/>
        <v>55740.312</v>
      </c>
      <c r="AP557" s="10">
        <f t="shared" si="196"/>
        <v>19889.2368</v>
      </c>
    </row>
    <row r="558" spans="1:42">
      <c r="A558" t="s">
        <v>1375</v>
      </c>
      <c r="B558" s="7">
        <v>45791</v>
      </c>
      <c r="C558" s="7">
        <v>45789</v>
      </c>
      <c r="D558" t="s">
        <v>213</v>
      </c>
      <c r="E558" t="s">
        <v>214</v>
      </c>
      <c r="F558" t="s">
        <v>340</v>
      </c>
      <c r="G558" t="s">
        <v>200</v>
      </c>
      <c r="H558" t="s">
        <v>216</v>
      </c>
      <c r="I558" t="s">
        <v>245</v>
      </c>
      <c r="J558" t="s">
        <v>191</v>
      </c>
      <c r="K558" t="s">
        <v>1376</v>
      </c>
      <c r="L558" s="10">
        <v>883.5</v>
      </c>
      <c r="M558" s="10">
        <v>1978.91</v>
      </c>
      <c r="N558" s="17">
        <v>0.054</v>
      </c>
      <c r="O558">
        <v>27</v>
      </c>
      <c r="P558" t="str">
        <f t="shared" si="177"/>
        <v>Valid</v>
      </c>
      <c r="Q558" s="10">
        <f t="shared" si="178"/>
        <v>1978.91</v>
      </c>
      <c r="R558" t="b">
        <f t="shared" si="179"/>
        <v>0</v>
      </c>
      <c r="S558" s="17">
        <f t="shared" si="180"/>
        <v>0.054</v>
      </c>
      <c r="T558">
        <f t="shared" si="181"/>
        <v>-2</v>
      </c>
      <c r="U558" s="26">
        <f t="shared" si="182"/>
        <v>45798</v>
      </c>
      <c r="V558">
        <f t="shared" si="183"/>
        <v>7</v>
      </c>
      <c r="W558" s="10">
        <f t="shared" si="184"/>
        <v>5340171.74922</v>
      </c>
      <c r="X558" s="10">
        <f t="shared" si="185"/>
        <v>53430.57</v>
      </c>
      <c r="Y558" s="10">
        <f t="shared" si="186"/>
        <v>5286741.17922</v>
      </c>
      <c r="Z558" s="14">
        <f t="shared" si="190"/>
        <v>0.989994597082424</v>
      </c>
      <c r="AA558" t="s">
        <v>1567</v>
      </c>
      <c r="AB558" t="str">
        <f t="shared" si="187"/>
        <v>Q2-2025</v>
      </c>
      <c r="AC558" t="str">
        <f t="shared" si="188"/>
        <v>Americas → Canada → Vancouver</v>
      </c>
      <c r="AD558" t="str">
        <f t="shared" si="189"/>
        <v>Peripherals</v>
      </c>
      <c r="AE558" s="8" t="str">
        <f t="shared" si="176"/>
        <v>High</v>
      </c>
      <c r="AF558" t="str">
        <f t="shared" si="191"/>
        <v>CANADA</v>
      </c>
      <c r="AG558" s="7">
        <v>44928</v>
      </c>
      <c r="AH558" t="str">
        <f t="shared" si="192"/>
        <v>Jan-2023</v>
      </c>
      <c r="AI558" s="9">
        <f t="shared" si="193"/>
        <v>45808</v>
      </c>
      <c r="AJ558">
        <f t="shared" si="197"/>
        <v>1</v>
      </c>
      <c r="AK558">
        <f t="shared" si="194"/>
        <v>0</v>
      </c>
      <c r="AL558" s="17">
        <f>MIN(N558,'Scenario Modelling'!$B$2)</f>
        <v>0.054</v>
      </c>
      <c r="AM558" s="10">
        <f>L558*(1+'Scenario Modelling'!$B$3)</f>
        <v>1016.025</v>
      </c>
      <c r="AN558">
        <f>O558*(1+'Scenario Modelling'!$B$4)</f>
        <v>32.4</v>
      </c>
      <c r="AO558" s="28">
        <f t="shared" si="195"/>
        <v>60654.383064</v>
      </c>
      <c r="AP558" s="10">
        <f t="shared" si="196"/>
        <v>27735.173064</v>
      </c>
    </row>
    <row r="559" spans="1:42">
      <c r="A559" t="s">
        <v>1377</v>
      </c>
      <c r="B559" s="7">
        <v>45362</v>
      </c>
      <c r="C559" s="7">
        <v>45380</v>
      </c>
      <c r="D559" t="s">
        <v>213</v>
      </c>
      <c r="E559" t="s">
        <v>283</v>
      </c>
      <c r="F559" t="s">
        <v>548</v>
      </c>
      <c r="G559" t="s">
        <v>180</v>
      </c>
      <c r="H559" t="s">
        <v>181</v>
      </c>
      <c r="I559" t="s">
        <v>271</v>
      </c>
      <c r="J559" t="s">
        <v>225</v>
      </c>
      <c r="K559" t="s">
        <v>1378</v>
      </c>
      <c r="L559" s="10">
        <v>710.98</v>
      </c>
      <c r="M559" s="10">
        <v>1481.45</v>
      </c>
      <c r="N559" s="17">
        <v>0.211</v>
      </c>
      <c r="O559">
        <v>9</v>
      </c>
      <c r="P559" t="str">
        <f t="shared" si="177"/>
        <v>Valid</v>
      </c>
      <c r="Q559" s="10">
        <f t="shared" si="178"/>
        <v>1481.45</v>
      </c>
      <c r="R559" t="b">
        <f t="shared" si="179"/>
        <v>0</v>
      </c>
      <c r="S559" s="17">
        <f t="shared" si="180"/>
        <v>0.211</v>
      </c>
      <c r="T559">
        <f t="shared" si="181"/>
        <v>18</v>
      </c>
      <c r="U559" s="26">
        <f t="shared" si="182"/>
        <v>45380</v>
      </c>
      <c r="V559">
        <f t="shared" si="183"/>
        <v>18</v>
      </c>
      <c r="W559" s="10">
        <f t="shared" si="184"/>
        <v>1330491.72645</v>
      </c>
      <c r="X559" s="10">
        <f t="shared" si="185"/>
        <v>13333.05</v>
      </c>
      <c r="Y559" s="10">
        <f t="shared" si="186"/>
        <v>1317158.67645</v>
      </c>
      <c r="Z559" s="14">
        <f t="shared" si="190"/>
        <v>0.989978855384862</v>
      </c>
      <c r="AA559" t="s">
        <v>1560</v>
      </c>
      <c r="AB559" t="str">
        <f t="shared" si="187"/>
        <v>Q1-2024</v>
      </c>
      <c r="AC559" t="str">
        <f t="shared" si="188"/>
        <v>Americas → USA → New York</v>
      </c>
      <c r="AD559" t="str">
        <f t="shared" si="189"/>
        <v>Peripherals</v>
      </c>
      <c r="AE559" s="8" t="str">
        <f t="shared" si="176"/>
        <v>Medium</v>
      </c>
      <c r="AF559" t="str">
        <f t="shared" si="191"/>
        <v>USA</v>
      </c>
      <c r="AG559" s="7">
        <v>44939</v>
      </c>
      <c r="AH559" t="str">
        <f t="shared" si="192"/>
        <v>Jan-2023</v>
      </c>
      <c r="AI559" s="9">
        <f t="shared" si="193"/>
        <v>45382</v>
      </c>
      <c r="AJ559">
        <f t="shared" si="197"/>
        <v>0</v>
      </c>
      <c r="AK559">
        <f t="shared" si="194"/>
        <v>1</v>
      </c>
      <c r="AL559" s="17">
        <f>MIN(N559,'Scenario Modelling'!$B$2)</f>
        <v>0.211</v>
      </c>
      <c r="AM559" s="10">
        <f>L559*(1+'Scenario Modelling'!$B$3)</f>
        <v>817.627</v>
      </c>
      <c r="AN559">
        <f>O559*(1+'Scenario Modelling'!$B$4)</f>
        <v>10.8</v>
      </c>
      <c r="AO559" s="28">
        <f t="shared" si="195"/>
        <v>12623.73174</v>
      </c>
      <c r="AP559" s="10">
        <f t="shared" si="196"/>
        <v>3793.36014</v>
      </c>
    </row>
    <row r="560" spans="1:42">
      <c r="A560" t="s">
        <v>1379</v>
      </c>
      <c r="B560" s="7">
        <v>45430</v>
      </c>
      <c r="C560" s="7">
        <v>45434</v>
      </c>
      <c r="D560" t="s">
        <v>177</v>
      </c>
      <c r="E560" t="s">
        <v>178</v>
      </c>
      <c r="F560" t="s">
        <v>194</v>
      </c>
      <c r="G560" t="s">
        <v>180</v>
      </c>
      <c r="H560" t="s">
        <v>259</v>
      </c>
      <c r="I560" t="s">
        <v>253</v>
      </c>
      <c r="J560" t="s">
        <v>242</v>
      </c>
      <c r="K560" t="s">
        <v>1380</v>
      </c>
      <c r="L560" s="10">
        <v>857.42</v>
      </c>
      <c r="M560" s="10">
        <v>1658.92</v>
      </c>
      <c r="N560" s="17">
        <v>0.122</v>
      </c>
      <c r="O560">
        <v>9</v>
      </c>
      <c r="P560" t="str">
        <f t="shared" si="177"/>
        <v>Valid</v>
      </c>
      <c r="Q560" s="10">
        <f t="shared" si="178"/>
        <v>1658.92</v>
      </c>
      <c r="R560" t="b">
        <f t="shared" si="179"/>
        <v>0</v>
      </c>
      <c r="S560" s="17">
        <f t="shared" si="180"/>
        <v>0.122</v>
      </c>
      <c r="T560">
        <f t="shared" si="181"/>
        <v>4</v>
      </c>
      <c r="U560" s="26">
        <f t="shared" si="182"/>
        <v>45434</v>
      </c>
      <c r="V560">
        <f t="shared" si="183"/>
        <v>4</v>
      </c>
      <c r="W560" s="10">
        <f t="shared" si="184"/>
        <v>1491206.50584</v>
      </c>
      <c r="X560" s="10">
        <f t="shared" si="185"/>
        <v>14930.28</v>
      </c>
      <c r="Y560" s="10">
        <f t="shared" si="186"/>
        <v>1476276.22584</v>
      </c>
      <c r="Z560" s="14">
        <f t="shared" si="190"/>
        <v>0.989987785097819</v>
      </c>
      <c r="AA560" t="s">
        <v>1566</v>
      </c>
      <c r="AB560" t="str">
        <f t="shared" si="187"/>
        <v>Q2-2024</v>
      </c>
      <c r="AC560" t="str">
        <f t="shared" si="188"/>
        <v>Africa → Kenya → Nairobi</v>
      </c>
      <c r="AD560" t="str">
        <f t="shared" si="189"/>
        <v>Support</v>
      </c>
      <c r="AE560" s="8" t="str">
        <f t="shared" si="176"/>
        <v>Medium</v>
      </c>
      <c r="AF560" t="str">
        <f t="shared" si="191"/>
        <v>KENYA</v>
      </c>
      <c r="AG560" s="7">
        <v>44946</v>
      </c>
      <c r="AH560" t="str">
        <f t="shared" si="192"/>
        <v>Jan-2023</v>
      </c>
      <c r="AI560" s="9">
        <f t="shared" si="193"/>
        <v>45443</v>
      </c>
      <c r="AJ560">
        <f t="shared" si="197"/>
        <v>1</v>
      </c>
      <c r="AK560">
        <f t="shared" si="194"/>
        <v>0</v>
      </c>
      <c r="AL560" s="17">
        <f>MIN(N560,'Scenario Modelling'!$B$2)</f>
        <v>0.122</v>
      </c>
      <c r="AM560" s="10">
        <f>L560*(1+'Scenario Modelling'!$B$3)</f>
        <v>986.033</v>
      </c>
      <c r="AN560">
        <f>O560*(1+'Scenario Modelling'!$B$4)</f>
        <v>10.8</v>
      </c>
      <c r="AO560" s="28">
        <f t="shared" si="195"/>
        <v>15730.543008</v>
      </c>
      <c r="AP560" s="10">
        <f t="shared" si="196"/>
        <v>5081.386608</v>
      </c>
    </row>
    <row r="561" spans="1:42">
      <c r="A561" t="s">
        <v>1381</v>
      </c>
      <c r="B561" s="7">
        <v>45299</v>
      </c>
      <c r="C561" s="7">
        <v>45303</v>
      </c>
      <c r="D561" t="s">
        <v>206</v>
      </c>
      <c r="E561" t="s">
        <v>221</v>
      </c>
      <c r="F561" t="s">
        <v>222</v>
      </c>
      <c r="G561" t="s">
        <v>180</v>
      </c>
      <c r="H561" t="s">
        <v>259</v>
      </c>
      <c r="I561" t="s">
        <v>224</v>
      </c>
      <c r="J561" t="s">
        <v>191</v>
      </c>
      <c r="K561" t="s">
        <v>1382</v>
      </c>
      <c r="L561" s="10">
        <v>802.32</v>
      </c>
      <c r="M561" s="10">
        <v>602.34</v>
      </c>
      <c r="N561" s="17">
        <v>0.12</v>
      </c>
      <c r="O561">
        <v>25</v>
      </c>
      <c r="P561" t="str">
        <f t="shared" si="177"/>
        <v>Valid</v>
      </c>
      <c r="Q561" s="10">
        <f t="shared" si="178"/>
        <v>602.34</v>
      </c>
      <c r="R561" t="b">
        <f t="shared" si="179"/>
        <v>0</v>
      </c>
      <c r="S561" s="17">
        <f t="shared" si="180"/>
        <v>0.12</v>
      </c>
      <c r="T561">
        <f t="shared" si="181"/>
        <v>4</v>
      </c>
      <c r="U561" s="26">
        <f t="shared" si="182"/>
        <v>45303</v>
      </c>
      <c r="V561">
        <f t="shared" si="183"/>
        <v>4</v>
      </c>
      <c r="W561" s="10">
        <f t="shared" si="184"/>
        <v>1504042.98</v>
      </c>
      <c r="X561" s="10">
        <f t="shared" si="185"/>
        <v>15058.5</v>
      </c>
      <c r="Y561" s="10">
        <f t="shared" si="186"/>
        <v>1488984.48</v>
      </c>
      <c r="Z561" s="14">
        <f t="shared" si="190"/>
        <v>0.989987985582699</v>
      </c>
      <c r="AA561" t="s">
        <v>1568</v>
      </c>
      <c r="AB561" t="str">
        <f t="shared" si="187"/>
        <v>Q1-2024</v>
      </c>
      <c r="AC561" t="str">
        <f t="shared" si="188"/>
        <v>Asia → India → Bengaluru</v>
      </c>
      <c r="AD561" t="str">
        <f t="shared" si="189"/>
        <v>Peripherals</v>
      </c>
      <c r="AE561" s="8" t="str">
        <f t="shared" si="176"/>
        <v>Medium</v>
      </c>
      <c r="AF561" t="str">
        <f t="shared" si="191"/>
        <v>INDIA</v>
      </c>
      <c r="AG561" s="7">
        <v>44955</v>
      </c>
      <c r="AH561" t="str">
        <f t="shared" si="192"/>
        <v>Jan-2023</v>
      </c>
      <c r="AI561" s="9">
        <f t="shared" si="193"/>
        <v>45322</v>
      </c>
      <c r="AJ561">
        <f t="shared" si="197"/>
        <v>1</v>
      </c>
      <c r="AK561">
        <f t="shared" si="194"/>
        <v>0</v>
      </c>
      <c r="AL561" s="17">
        <f>MIN(N561,'Scenario Modelling'!$B$2)</f>
        <v>0.12</v>
      </c>
      <c r="AM561" s="10">
        <f>L561*(1+'Scenario Modelling'!$B$3)</f>
        <v>922.668</v>
      </c>
      <c r="AN561">
        <f>O561*(1+'Scenario Modelling'!$B$4)</f>
        <v>30</v>
      </c>
      <c r="AO561" s="28">
        <f t="shared" si="195"/>
        <v>15901.776</v>
      </c>
      <c r="AP561" s="10">
        <f t="shared" si="196"/>
        <v>-11778.264</v>
      </c>
    </row>
    <row r="562" spans="1:42">
      <c r="A562" t="s">
        <v>1383</v>
      </c>
      <c r="B562" s="7">
        <v>45590</v>
      </c>
      <c r="C562" s="7">
        <v>45601</v>
      </c>
      <c r="D562" t="s">
        <v>213</v>
      </c>
      <c r="E562" t="s">
        <v>283</v>
      </c>
      <c r="F562" t="s">
        <v>548</v>
      </c>
      <c r="G562" t="s">
        <v>180</v>
      </c>
      <c r="H562" t="s">
        <v>216</v>
      </c>
      <c r="I562" t="s">
        <v>287</v>
      </c>
      <c r="J562" t="s">
        <v>183</v>
      </c>
      <c r="K562" t="s">
        <v>1384</v>
      </c>
      <c r="L562" s="10">
        <v>446.66</v>
      </c>
      <c r="M562" s="10">
        <v>527.64</v>
      </c>
      <c r="N562" s="17">
        <v>0.145</v>
      </c>
      <c r="O562">
        <v>15</v>
      </c>
      <c r="P562" t="str">
        <f t="shared" si="177"/>
        <v>Valid</v>
      </c>
      <c r="Q562" s="10">
        <f t="shared" si="178"/>
        <v>527.64</v>
      </c>
      <c r="R562" t="b">
        <f t="shared" si="179"/>
        <v>0</v>
      </c>
      <c r="S562" s="17">
        <f t="shared" si="180"/>
        <v>0.145</v>
      </c>
      <c r="T562">
        <f t="shared" si="181"/>
        <v>11</v>
      </c>
      <c r="U562" s="26">
        <f t="shared" si="182"/>
        <v>45601</v>
      </c>
      <c r="V562">
        <f t="shared" si="183"/>
        <v>11</v>
      </c>
      <c r="W562" s="10">
        <f t="shared" si="184"/>
        <v>790312.383</v>
      </c>
      <c r="X562" s="10">
        <f t="shared" si="185"/>
        <v>7914.6</v>
      </c>
      <c r="Y562" s="10">
        <f t="shared" si="186"/>
        <v>782397.783</v>
      </c>
      <c r="Z562" s="14">
        <f t="shared" si="190"/>
        <v>0.98998547894447</v>
      </c>
      <c r="AA562" t="s">
        <v>1561</v>
      </c>
      <c r="AB562" t="str">
        <f t="shared" si="187"/>
        <v>Q4-2024</v>
      </c>
      <c r="AC562" t="str">
        <f t="shared" si="188"/>
        <v>Americas → USA → New York</v>
      </c>
      <c r="AD562" t="str">
        <f t="shared" si="189"/>
        <v>Support</v>
      </c>
      <c r="AE562" s="8" t="str">
        <f t="shared" si="176"/>
        <v>High</v>
      </c>
      <c r="AF562" t="str">
        <f t="shared" si="191"/>
        <v>USA</v>
      </c>
      <c r="AG562" s="7">
        <v>44939</v>
      </c>
      <c r="AH562" t="str">
        <f t="shared" si="192"/>
        <v>Jan-2023</v>
      </c>
      <c r="AI562" s="9">
        <f t="shared" si="193"/>
        <v>45596</v>
      </c>
      <c r="AJ562">
        <f t="shared" si="197"/>
        <v>0</v>
      </c>
      <c r="AK562">
        <f t="shared" si="194"/>
        <v>0</v>
      </c>
      <c r="AL562" s="17">
        <f>MIN(N562,'Scenario Modelling'!$B$2)</f>
        <v>0.145</v>
      </c>
      <c r="AM562" s="10">
        <f>L562*(1+'Scenario Modelling'!$B$3)</f>
        <v>513.659</v>
      </c>
      <c r="AN562">
        <f>O562*(1+'Scenario Modelling'!$B$4)</f>
        <v>18</v>
      </c>
      <c r="AO562" s="28">
        <f t="shared" si="195"/>
        <v>8120.3796</v>
      </c>
      <c r="AP562" s="10">
        <f t="shared" si="196"/>
        <v>-1125.4824</v>
      </c>
    </row>
    <row r="563" spans="1:42">
      <c r="A563" t="s">
        <v>1385</v>
      </c>
      <c r="B563" s="7">
        <v>45626</v>
      </c>
      <c r="C563" s="7">
        <v>45645</v>
      </c>
      <c r="D563" t="s">
        <v>177</v>
      </c>
      <c r="E563" t="s">
        <v>178</v>
      </c>
      <c r="F563" t="s">
        <v>179</v>
      </c>
      <c r="G563" t="s">
        <v>180</v>
      </c>
      <c r="H563" t="s">
        <v>189</v>
      </c>
      <c r="I563" t="s">
        <v>210</v>
      </c>
      <c r="J563" t="s">
        <v>203</v>
      </c>
      <c r="K563" t="s">
        <v>1386</v>
      </c>
      <c r="L563" s="10">
        <v>1195.98</v>
      </c>
      <c r="M563" s="10">
        <v>1841.9</v>
      </c>
      <c r="N563" s="17">
        <v>0.055</v>
      </c>
      <c r="O563">
        <v>19</v>
      </c>
      <c r="P563" t="str">
        <f t="shared" si="177"/>
        <v>Valid</v>
      </c>
      <c r="Q563" s="10">
        <f t="shared" si="178"/>
        <v>1841.9</v>
      </c>
      <c r="R563" t="b">
        <f t="shared" si="179"/>
        <v>0</v>
      </c>
      <c r="S563" s="17">
        <f t="shared" si="180"/>
        <v>0.055</v>
      </c>
      <c r="T563">
        <f t="shared" si="181"/>
        <v>19</v>
      </c>
      <c r="U563" s="26">
        <f t="shared" si="182"/>
        <v>45645</v>
      </c>
      <c r="V563">
        <f t="shared" si="183"/>
        <v>19</v>
      </c>
      <c r="W563" s="10">
        <f t="shared" si="184"/>
        <v>3497685.2145</v>
      </c>
      <c r="X563" s="10">
        <f t="shared" si="185"/>
        <v>34996.1</v>
      </c>
      <c r="Y563" s="10">
        <f t="shared" si="186"/>
        <v>3462689.1145</v>
      </c>
      <c r="Z563" s="14">
        <f t="shared" si="190"/>
        <v>0.989994496973335</v>
      </c>
      <c r="AA563" t="s">
        <v>1577</v>
      </c>
      <c r="AB563" t="str">
        <f t="shared" si="187"/>
        <v>Q4-2024</v>
      </c>
      <c r="AC563" t="str">
        <f t="shared" si="188"/>
        <v>Africa → Kenya → Kisumu</v>
      </c>
      <c r="AD563" t="str">
        <f t="shared" si="189"/>
        <v>Devices</v>
      </c>
      <c r="AE563" s="8" t="str">
        <f t="shared" si="176"/>
        <v>High</v>
      </c>
      <c r="AF563" t="str">
        <f t="shared" si="191"/>
        <v>KENYA</v>
      </c>
      <c r="AG563" s="7">
        <v>44946</v>
      </c>
      <c r="AH563" t="str">
        <f t="shared" si="192"/>
        <v>Jan-2023</v>
      </c>
      <c r="AI563" s="9">
        <f t="shared" si="193"/>
        <v>45626</v>
      </c>
      <c r="AJ563">
        <f t="shared" si="197"/>
        <v>0</v>
      </c>
      <c r="AK563">
        <f t="shared" si="194"/>
        <v>0</v>
      </c>
      <c r="AL563" s="17">
        <f>MIN(N563,'Scenario Modelling'!$B$2)</f>
        <v>0.055</v>
      </c>
      <c r="AM563" s="10">
        <f>L563*(1+'Scenario Modelling'!$B$3)</f>
        <v>1375.377</v>
      </c>
      <c r="AN563">
        <f>O563*(1+'Scenario Modelling'!$B$4)</f>
        <v>22.8</v>
      </c>
      <c r="AO563" s="28">
        <f t="shared" si="195"/>
        <v>39685.5774</v>
      </c>
      <c r="AP563" s="10">
        <f t="shared" si="196"/>
        <v>8326.9818</v>
      </c>
    </row>
    <row r="564" spans="1:42">
      <c r="A564" t="s">
        <v>1387</v>
      </c>
      <c r="B564" s="7">
        <v>45029</v>
      </c>
      <c r="C564" s="7">
        <v>45048</v>
      </c>
      <c r="D564" t="s">
        <v>213</v>
      </c>
      <c r="E564" t="s">
        <v>214</v>
      </c>
      <c r="F564" t="s">
        <v>305</v>
      </c>
      <c r="G564" t="s">
        <v>209</v>
      </c>
      <c r="H564" t="s">
        <v>216</v>
      </c>
      <c r="I564" t="s">
        <v>224</v>
      </c>
      <c r="J564" t="s">
        <v>225</v>
      </c>
      <c r="K564" t="s">
        <v>1388</v>
      </c>
      <c r="L564" s="10">
        <v>671.05</v>
      </c>
      <c r="M564" s="10">
        <v>1645.48</v>
      </c>
      <c r="N564" s="17">
        <v>0.137</v>
      </c>
      <c r="O564">
        <v>6</v>
      </c>
      <c r="P564" t="str">
        <f t="shared" si="177"/>
        <v>Valid</v>
      </c>
      <c r="Q564" s="10">
        <f t="shared" si="178"/>
        <v>1645.48</v>
      </c>
      <c r="R564" t="b">
        <f t="shared" si="179"/>
        <v>0</v>
      </c>
      <c r="S564" s="17">
        <f t="shared" si="180"/>
        <v>0.137</v>
      </c>
      <c r="T564">
        <f t="shared" si="181"/>
        <v>19</v>
      </c>
      <c r="U564" s="26">
        <f t="shared" si="182"/>
        <v>45048</v>
      </c>
      <c r="V564">
        <f t="shared" si="183"/>
        <v>19</v>
      </c>
      <c r="W564" s="10">
        <f t="shared" si="184"/>
        <v>985935.41544</v>
      </c>
      <c r="X564" s="10">
        <f t="shared" si="185"/>
        <v>9872.88</v>
      </c>
      <c r="Y564" s="10">
        <f t="shared" si="186"/>
        <v>976062.53544</v>
      </c>
      <c r="Z564" s="14">
        <f t="shared" si="190"/>
        <v>0.989986281205251</v>
      </c>
      <c r="AA564" t="s">
        <v>1571</v>
      </c>
      <c r="AB564" t="str">
        <f t="shared" si="187"/>
        <v>Q2-2023</v>
      </c>
      <c r="AC564" t="str">
        <f t="shared" si="188"/>
        <v>Americas → Canada → Montreal</v>
      </c>
      <c r="AD564" t="str">
        <f t="shared" si="189"/>
        <v>Peripherals</v>
      </c>
      <c r="AE564" s="8" t="str">
        <f t="shared" si="176"/>
        <v>Low</v>
      </c>
      <c r="AF564" t="str">
        <f t="shared" si="191"/>
        <v>CANADA</v>
      </c>
      <c r="AG564" s="7">
        <v>44928</v>
      </c>
      <c r="AH564" t="str">
        <f t="shared" si="192"/>
        <v>Jan-2023</v>
      </c>
      <c r="AI564" s="9">
        <f t="shared" si="193"/>
        <v>45046</v>
      </c>
      <c r="AJ564">
        <f t="shared" si="197"/>
        <v>0</v>
      </c>
      <c r="AK564">
        <f t="shared" si="194"/>
        <v>0</v>
      </c>
      <c r="AL564" s="17">
        <f>MIN(N564,'Scenario Modelling'!$B$2)</f>
        <v>0.137</v>
      </c>
      <c r="AM564" s="10">
        <f>L564*(1+'Scenario Modelling'!$B$3)</f>
        <v>771.7075</v>
      </c>
      <c r="AN564">
        <f>O564*(1+'Scenario Modelling'!$B$4)</f>
        <v>7.2</v>
      </c>
      <c r="AO564" s="28">
        <f t="shared" si="195"/>
        <v>10224.354528</v>
      </c>
      <c r="AP564" s="10">
        <f t="shared" si="196"/>
        <v>4668.060528</v>
      </c>
    </row>
    <row r="565" spans="1:42">
      <c r="A565" t="s">
        <v>1389</v>
      </c>
      <c r="B565" s="7">
        <v>45692</v>
      </c>
      <c r="C565" s="7">
        <v>45696</v>
      </c>
      <c r="D565" t="s">
        <v>239</v>
      </c>
      <c r="E565" t="s">
        <v>269</v>
      </c>
      <c r="F565" t="s">
        <v>389</v>
      </c>
      <c r="G565" t="s">
        <v>266</v>
      </c>
      <c r="H565" t="s">
        <v>201</v>
      </c>
      <c r="I565" t="s">
        <v>210</v>
      </c>
      <c r="J565" t="s">
        <v>196</v>
      </c>
      <c r="K565" t="s">
        <v>1390</v>
      </c>
      <c r="L565" s="10">
        <v>586.21</v>
      </c>
      <c r="M565" s="10">
        <v>727.22</v>
      </c>
      <c r="N565" s="17">
        <v>0.068</v>
      </c>
      <c r="O565">
        <v>15</v>
      </c>
      <c r="P565" t="str">
        <f t="shared" si="177"/>
        <v>Valid</v>
      </c>
      <c r="Q565" s="10">
        <f t="shared" si="178"/>
        <v>727.22</v>
      </c>
      <c r="R565" t="b">
        <f t="shared" si="179"/>
        <v>0</v>
      </c>
      <c r="S565" s="17">
        <f t="shared" si="180"/>
        <v>0.068</v>
      </c>
      <c r="T565">
        <f t="shared" si="181"/>
        <v>4</v>
      </c>
      <c r="U565" s="26">
        <f t="shared" si="182"/>
        <v>45696</v>
      </c>
      <c r="V565">
        <f t="shared" si="183"/>
        <v>4</v>
      </c>
      <c r="W565" s="10">
        <f t="shared" si="184"/>
        <v>1090088.2356</v>
      </c>
      <c r="X565" s="10">
        <f t="shared" si="185"/>
        <v>10908.3</v>
      </c>
      <c r="Y565" s="10">
        <f t="shared" si="186"/>
        <v>1079179.9356</v>
      </c>
      <c r="Z565" s="14">
        <f t="shared" si="190"/>
        <v>0.989993195372853</v>
      </c>
      <c r="AA565" t="s">
        <v>1586</v>
      </c>
      <c r="AB565" t="str">
        <f t="shared" si="187"/>
        <v>Q1-2025</v>
      </c>
      <c r="AC565" t="str">
        <f t="shared" si="188"/>
        <v>Europe → United Kingdom → Manchester</v>
      </c>
      <c r="AD565" t="str">
        <f t="shared" si="189"/>
        <v>Support</v>
      </c>
      <c r="AE565" s="8" t="str">
        <f t="shared" si="176"/>
        <v>High</v>
      </c>
      <c r="AF565" t="str">
        <f t="shared" si="191"/>
        <v>UNITED KINGDOM</v>
      </c>
      <c r="AG565" s="7">
        <v>44945</v>
      </c>
      <c r="AH565" t="str">
        <f t="shared" si="192"/>
        <v>Jan-2023</v>
      </c>
      <c r="AI565" s="9">
        <f t="shared" si="193"/>
        <v>45716</v>
      </c>
      <c r="AJ565">
        <f t="shared" si="197"/>
        <v>1</v>
      </c>
      <c r="AK565">
        <f t="shared" si="194"/>
        <v>0</v>
      </c>
      <c r="AL565" s="17">
        <f>MIN(N565,'Scenario Modelling'!$B$2)</f>
        <v>0.068</v>
      </c>
      <c r="AM565" s="10">
        <f>L565*(1+'Scenario Modelling'!$B$3)</f>
        <v>674.1415</v>
      </c>
      <c r="AN565">
        <f>O565*(1+'Scenario Modelling'!$B$4)</f>
        <v>18</v>
      </c>
      <c r="AO565" s="28">
        <f t="shared" si="195"/>
        <v>12199.84272</v>
      </c>
      <c r="AP565" s="10">
        <f t="shared" si="196"/>
        <v>65.2957200000012</v>
      </c>
    </row>
    <row r="566" spans="1:42">
      <c r="A566" t="s">
        <v>1391</v>
      </c>
      <c r="B566" s="7">
        <v>45315</v>
      </c>
      <c r="C566" s="7">
        <v>45326</v>
      </c>
      <c r="D566" t="s">
        <v>239</v>
      </c>
      <c r="E566" t="s">
        <v>269</v>
      </c>
      <c r="F566" t="s">
        <v>389</v>
      </c>
      <c r="G566" t="s">
        <v>209</v>
      </c>
      <c r="H566" t="s">
        <v>181</v>
      </c>
      <c r="I566" t="s">
        <v>217</v>
      </c>
      <c r="J566" t="s">
        <v>218</v>
      </c>
      <c r="K566" t="s">
        <v>1392</v>
      </c>
      <c r="L566" s="10">
        <v>525.34</v>
      </c>
      <c r="M566" s="10">
        <v>1233.79</v>
      </c>
      <c r="N566" s="17">
        <v>0.143</v>
      </c>
      <c r="O566">
        <v>4</v>
      </c>
      <c r="P566" t="str">
        <f t="shared" si="177"/>
        <v>Valid</v>
      </c>
      <c r="Q566" s="10">
        <f t="shared" si="178"/>
        <v>1233.79</v>
      </c>
      <c r="R566" t="b">
        <f t="shared" si="179"/>
        <v>0</v>
      </c>
      <c r="S566" s="17">
        <f t="shared" si="180"/>
        <v>0.143</v>
      </c>
      <c r="T566">
        <f t="shared" si="181"/>
        <v>11</v>
      </c>
      <c r="U566" s="26">
        <f t="shared" si="182"/>
        <v>45326</v>
      </c>
      <c r="V566">
        <f t="shared" si="183"/>
        <v>11</v>
      </c>
      <c r="W566" s="10">
        <f t="shared" si="184"/>
        <v>492810.27212</v>
      </c>
      <c r="X566" s="10">
        <f t="shared" si="185"/>
        <v>4935.16</v>
      </c>
      <c r="Y566" s="10">
        <f t="shared" si="186"/>
        <v>487875.11212</v>
      </c>
      <c r="Z566" s="14">
        <f t="shared" si="190"/>
        <v>0.989985679521716</v>
      </c>
      <c r="AA566" t="s">
        <v>1568</v>
      </c>
      <c r="AB566" t="str">
        <f t="shared" si="187"/>
        <v>Q1-2024</v>
      </c>
      <c r="AC566" t="str">
        <f t="shared" si="188"/>
        <v>Europe → United Kingdom → Manchester</v>
      </c>
      <c r="AD566" t="str">
        <f t="shared" si="189"/>
        <v>Devices</v>
      </c>
      <c r="AE566" s="8" t="str">
        <f t="shared" ref="AE566:AE629" si="198">IF(B566&lt;=PERCENTILE($B$2:$B$632,0.33),"Low",IF(B566&lt;=PERCENTILE($B$2:$B$632,0.66),"Medium","High"))</f>
        <v>Medium</v>
      </c>
      <c r="AF566" t="str">
        <f t="shared" si="191"/>
        <v>UNITED KINGDOM</v>
      </c>
      <c r="AG566" s="7">
        <v>44945</v>
      </c>
      <c r="AH566" t="str">
        <f t="shared" si="192"/>
        <v>Jan-2023</v>
      </c>
      <c r="AI566" s="9">
        <f t="shared" si="193"/>
        <v>45322</v>
      </c>
      <c r="AJ566">
        <f t="shared" si="197"/>
        <v>0</v>
      </c>
      <c r="AK566">
        <f t="shared" si="194"/>
        <v>0</v>
      </c>
      <c r="AL566" s="17">
        <f>MIN(N566,'Scenario Modelling'!$B$2)</f>
        <v>0.143</v>
      </c>
      <c r="AM566" s="10">
        <f>L566*(1+'Scenario Modelling'!$B$3)</f>
        <v>604.141</v>
      </c>
      <c r="AN566">
        <f>O566*(1+'Scenario Modelling'!$B$4)</f>
        <v>4.8</v>
      </c>
      <c r="AO566" s="28">
        <f t="shared" si="195"/>
        <v>5075.318544</v>
      </c>
      <c r="AP566" s="10">
        <f t="shared" si="196"/>
        <v>2175.441744</v>
      </c>
    </row>
    <row r="567" spans="1:42">
      <c r="A567" t="s">
        <v>1393</v>
      </c>
      <c r="B567" s="7">
        <v>45330</v>
      </c>
      <c r="C567" s="7">
        <v>45331</v>
      </c>
      <c r="D567" t="s">
        <v>177</v>
      </c>
      <c r="E567" t="s">
        <v>178</v>
      </c>
      <c r="F567" t="s">
        <v>274</v>
      </c>
      <c r="G567" t="s">
        <v>180</v>
      </c>
      <c r="H567" t="s">
        <v>259</v>
      </c>
      <c r="I567" t="s">
        <v>245</v>
      </c>
      <c r="J567" t="s">
        <v>183</v>
      </c>
      <c r="K567" t="s">
        <v>1394</v>
      </c>
      <c r="L567" s="10">
        <v>1233.52</v>
      </c>
      <c r="M567" s="10">
        <v>1543.76</v>
      </c>
      <c r="N567" s="17">
        <v>0.126</v>
      </c>
      <c r="O567">
        <v>13</v>
      </c>
      <c r="P567" t="str">
        <f t="shared" si="177"/>
        <v>Valid</v>
      </c>
      <c r="Q567" s="10">
        <f t="shared" si="178"/>
        <v>1543.76</v>
      </c>
      <c r="R567" t="b">
        <f t="shared" si="179"/>
        <v>0</v>
      </c>
      <c r="S567" s="17">
        <f t="shared" si="180"/>
        <v>0.126</v>
      </c>
      <c r="T567">
        <f t="shared" si="181"/>
        <v>1</v>
      </c>
      <c r="U567" s="26">
        <f t="shared" si="182"/>
        <v>45331</v>
      </c>
      <c r="V567">
        <f t="shared" si="183"/>
        <v>1</v>
      </c>
      <c r="W567" s="10">
        <f t="shared" si="184"/>
        <v>2004359.32112</v>
      </c>
      <c r="X567" s="10">
        <f t="shared" si="185"/>
        <v>20068.88</v>
      </c>
      <c r="Y567" s="10">
        <f t="shared" si="186"/>
        <v>1984290.44112</v>
      </c>
      <c r="Z567" s="14">
        <f t="shared" si="190"/>
        <v>0.989987384103971</v>
      </c>
      <c r="AA567" t="s">
        <v>1594</v>
      </c>
      <c r="AB567" t="str">
        <f t="shared" si="187"/>
        <v>Q1-2024</v>
      </c>
      <c r="AC567" t="str">
        <f t="shared" si="188"/>
        <v>Africa → Kenya → Mombasa</v>
      </c>
      <c r="AD567" t="str">
        <f t="shared" si="189"/>
        <v>Support</v>
      </c>
      <c r="AE567" s="8" t="str">
        <f t="shared" si="198"/>
        <v>Medium</v>
      </c>
      <c r="AF567" t="str">
        <f t="shared" si="191"/>
        <v>KENYA</v>
      </c>
      <c r="AG567" s="7">
        <v>44946</v>
      </c>
      <c r="AH567" t="str">
        <f t="shared" si="192"/>
        <v>Jan-2023</v>
      </c>
      <c r="AI567" s="9">
        <f t="shared" si="193"/>
        <v>45351</v>
      </c>
      <c r="AJ567">
        <f t="shared" si="197"/>
        <v>1</v>
      </c>
      <c r="AK567">
        <f t="shared" si="194"/>
        <v>0</v>
      </c>
      <c r="AL567" s="17">
        <f>MIN(N567,'Scenario Modelling'!$B$2)</f>
        <v>0.126</v>
      </c>
      <c r="AM567" s="10">
        <f>L567*(1+'Scenario Modelling'!$B$3)</f>
        <v>1418.548</v>
      </c>
      <c r="AN567">
        <f>O567*(1+'Scenario Modelling'!$B$4)</f>
        <v>15.6</v>
      </c>
      <c r="AO567" s="28">
        <f t="shared" si="195"/>
        <v>21048.241344</v>
      </c>
      <c r="AP567" s="10">
        <f t="shared" si="196"/>
        <v>-1081.107456</v>
      </c>
    </row>
    <row r="568" spans="1:42">
      <c r="A568" t="s">
        <v>1395</v>
      </c>
      <c r="B568" s="7">
        <v>45834</v>
      </c>
      <c r="C568" s="7">
        <v>45849</v>
      </c>
      <c r="D568" t="s">
        <v>177</v>
      </c>
      <c r="E568" t="s">
        <v>186</v>
      </c>
      <c r="F568" t="s">
        <v>187</v>
      </c>
      <c r="G568" t="s">
        <v>223</v>
      </c>
      <c r="H568" t="s">
        <v>189</v>
      </c>
      <c r="I568" t="s">
        <v>236</v>
      </c>
      <c r="J568" t="s">
        <v>218</v>
      </c>
      <c r="K568" t="s">
        <v>1396</v>
      </c>
      <c r="L568" s="10">
        <v>1170.15</v>
      </c>
      <c r="M568" s="10">
        <v>2115.19</v>
      </c>
      <c r="N568" s="17">
        <v>0.092</v>
      </c>
      <c r="O568">
        <v>23</v>
      </c>
      <c r="P568" t="str">
        <f t="shared" si="177"/>
        <v>Valid</v>
      </c>
      <c r="Q568" s="10">
        <f t="shared" si="178"/>
        <v>2115.19</v>
      </c>
      <c r="R568" t="b">
        <f t="shared" si="179"/>
        <v>0</v>
      </c>
      <c r="S568" s="17">
        <f t="shared" si="180"/>
        <v>0.092</v>
      </c>
      <c r="T568">
        <f t="shared" si="181"/>
        <v>15</v>
      </c>
      <c r="U568" s="26">
        <f t="shared" si="182"/>
        <v>45849</v>
      </c>
      <c r="V568">
        <f t="shared" si="183"/>
        <v>15</v>
      </c>
      <c r="W568" s="10">
        <f t="shared" si="184"/>
        <v>4860461.25796</v>
      </c>
      <c r="X568" s="10">
        <f t="shared" si="185"/>
        <v>48649.37</v>
      </c>
      <c r="Y568" s="10">
        <f t="shared" si="186"/>
        <v>4811811.88796</v>
      </c>
      <c r="Z568" s="14">
        <f t="shared" si="190"/>
        <v>0.989990791528206</v>
      </c>
      <c r="AA568" t="s">
        <v>1575</v>
      </c>
      <c r="AB568" t="str">
        <f t="shared" si="187"/>
        <v>Q2-2025</v>
      </c>
      <c r="AC568" t="str">
        <f t="shared" si="188"/>
        <v>Africa → Nigeria → Port Harcourt</v>
      </c>
      <c r="AD568" t="str">
        <f t="shared" si="189"/>
        <v>Devices</v>
      </c>
      <c r="AE568" s="8" t="str">
        <f t="shared" si="198"/>
        <v>High</v>
      </c>
      <c r="AF568" t="str">
        <f t="shared" si="191"/>
        <v>NIGERIA</v>
      </c>
      <c r="AG568" s="7">
        <v>44941</v>
      </c>
      <c r="AH568" t="str">
        <f t="shared" si="192"/>
        <v>Jan-2023</v>
      </c>
      <c r="AI568" s="9">
        <f t="shared" si="193"/>
        <v>45838</v>
      </c>
      <c r="AJ568">
        <f t="shared" si="197"/>
        <v>0</v>
      </c>
      <c r="AK568">
        <f t="shared" si="194"/>
        <v>0</v>
      </c>
      <c r="AL568" s="17">
        <f>MIN(N568,'Scenario Modelling'!$B$2)</f>
        <v>0.092</v>
      </c>
      <c r="AM568" s="10">
        <f>L568*(1+'Scenario Modelling'!$B$3)</f>
        <v>1345.6725</v>
      </c>
      <c r="AN568">
        <f>O568*(1+'Scenario Modelling'!$B$4)</f>
        <v>27.6</v>
      </c>
      <c r="AO568" s="28">
        <f t="shared" si="195"/>
        <v>53008.353552</v>
      </c>
      <c r="AP568" s="10">
        <f t="shared" si="196"/>
        <v>15867.792552</v>
      </c>
    </row>
    <row r="569" spans="1:42">
      <c r="A569" t="s">
        <v>1397</v>
      </c>
      <c r="B569" s="7">
        <v>45600</v>
      </c>
      <c r="C569" s="7">
        <v>45603</v>
      </c>
      <c r="D569" t="s">
        <v>239</v>
      </c>
      <c r="E569" t="s">
        <v>251</v>
      </c>
      <c r="F569" t="s">
        <v>299</v>
      </c>
      <c r="G569" t="s">
        <v>180</v>
      </c>
      <c r="H569" t="s">
        <v>189</v>
      </c>
      <c r="I569" t="s">
        <v>229</v>
      </c>
      <c r="J569" t="s">
        <v>225</v>
      </c>
      <c r="K569" t="s">
        <v>1398</v>
      </c>
      <c r="L569" s="10">
        <v>740.68</v>
      </c>
      <c r="M569" s="10">
        <v>1837.19</v>
      </c>
      <c r="N569" s="17">
        <v>0.197</v>
      </c>
      <c r="O569">
        <v>17</v>
      </c>
      <c r="P569" t="str">
        <f t="shared" si="177"/>
        <v>Valid</v>
      </c>
      <c r="Q569" s="10">
        <f t="shared" si="178"/>
        <v>1837.19</v>
      </c>
      <c r="R569" t="b">
        <f t="shared" si="179"/>
        <v>0</v>
      </c>
      <c r="S569" s="17">
        <f t="shared" si="180"/>
        <v>0.197</v>
      </c>
      <c r="T569">
        <f t="shared" si="181"/>
        <v>3</v>
      </c>
      <c r="U569" s="26">
        <f t="shared" si="182"/>
        <v>45603</v>
      </c>
      <c r="V569">
        <f t="shared" si="183"/>
        <v>3</v>
      </c>
      <c r="W569" s="10">
        <f t="shared" si="184"/>
        <v>3117070.25069</v>
      </c>
      <c r="X569" s="10">
        <f t="shared" si="185"/>
        <v>31232.23</v>
      </c>
      <c r="Y569" s="10">
        <f t="shared" si="186"/>
        <v>3085838.02069</v>
      </c>
      <c r="Z569" s="14">
        <f t="shared" si="190"/>
        <v>0.989980261114395</v>
      </c>
      <c r="AA569" t="s">
        <v>1577</v>
      </c>
      <c r="AB569" t="str">
        <f t="shared" si="187"/>
        <v>Q4-2024</v>
      </c>
      <c r="AC569" t="str">
        <f t="shared" si="188"/>
        <v>Europe → France → Lyon</v>
      </c>
      <c r="AD569" t="str">
        <f t="shared" si="189"/>
        <v>Peripherals</v>
      </c>
      <c r="AE569" s="8" t="str">
        <f t="shared" si="198"/>
        <v>High</v>
      </c>
      <c r="AF569" t="str">
        <f t="shared" si="191"/>
        <v>FRANCE</v>
      </c>
      <c r="AG569" s="7">
        <v>44936</v>
      </c>
      <c r="AH569" t="str">
        <f t="shared" si="192"/>
        <v>Jan-2023</v>
      </c>
      <c r="AI569" s="9">
        <f t="shared" si="193"/>
        <v>45626</v>
      </c>
      <c r="AJ569">
        <f t="shared" si="197"/>
        <v>1</v>
      </c>
      <c r="AK569">
        <f t="shared" si="194"/>
        <v>0</v>
      </c>
      <c r="AL569" s="17">
        <f>MIN(N569,'Scenario Modelling'!$B$2)</f>
        <v>0.197</v>
      </c>
      <c r="AM569" s="10">
        <f>L569*(1+'Scenario Modelling'!$B$3)</f>
        <v>851.782</v>
      </c>
      <c r="AN569">
        <f>O569*(1+'Scenario Modelling'!$B$4)</f>
        <v>20.4</v>
      </c>
      <c r="AO569" s="28">
        <f t="shared" si="195"/>
        <v>30095.376828</v>
      </c>
      <c r="AP569" s="10">
        <f t="shared" si="196"/>
        <v>12719.024028</v>
      </c>
    </row>
    <row r="570" spans="1:42">
      <c r="A570" t="s">
        <v>1399</v>
      </c>
      <c r="B570" s="7">
        <v>45342</v>
      </c>
      <c r="C570" s="7">
        <v>45342</v>
      </c>
      <c r="D570" t="s">
        <v>213</v>
      </c>
      <c r="E570" t="s">
        <v>283</v>
      </c>
      <c r="F570" t="s">
        <v>548</v>
      </c>
      <c r="G570" t="s">
        <v>266</v>
      </c>
      <c r="H570" t="s">
        <v>189</v>
      </c>
      <c r="I570" t="s">
        <v>182</v>
      </c>
      <c r="J570" t="s">
        <v>196</v>
      </c>
      <c r="K570" t="s">
        <v>1400</v>
      </c>
      <c r="L570" s="10">
        <v>1407.05</v>
      </c>
      <c r="M570" s="10">
        <v>2858.93</v>
      </c>
      <c r="N570" s="17">
        <v>0</v>
      </c>
      <c r="O570">
        <v>12</v>
      </c>
      <c r="P570" t="str">
        <f t="shared" si="177"/>
        <v>Valid</v>
      </c>
      <c r="Q570" s="10">
        <f t="shared" si="178"/>
        <v>2858.93</v>
      </c>
      <c r="R570" t="b">
        <f t="shared" si="179"/>
        <v>0</v>
      </c>
      <c r="S570" s="17">
        <f t="shared" si="180"/>
        <v>0</v>
      </c>
      <c r="T570">
        <f t="shared" si="181"/>
        <v>0</v>
      </c>
      <c r="U570" s="26">
        <f t="shared" si="182"/>
        <v>45342</v>
      </c>
      <c r="V570">
        <f t="shared" si="183"/>
        <v>0</v>
      </c>
      <c r="W570" s="10">
        <f t="shared" si="184"/>
        <v>3430716</v>
      </c>
      <c r="X570" s="10">
        <f t="shared" si="185"/>
        <v>34307.16</v>
      </c>
      <c r="Y570" s="10">
        <f t="shared" si="186"/>
        <v>3396408.84</v>
      </c>
      <c r="Z570" s="14">
        <f t="shared" si="190"/>
        <v>0.99</v>
      </c>
      <c r="AA570" t="s">
        <v>1594</v>
      </c>
      <c r="AB570" t="str">
        <f t="shared" si="187"/>
        <v>Q1-2024</v>
      </c>
      <c r="AC570" t="str">
        <f t="shared" si="188"/>
        <v>Americas → USA → New York</v>
      </c>
      <c r="AD570" t="str">
        <f t="shared" si="189"/>
        <v>Support</v>
      </c>
      <c r="AE570" s="8" t="str">
        <f t="shared" si="198"/>
        <v>Medium</v>
      </c>
      <c r="AF570" t="str">
        <f t="shared" si="191"/>
        <v>USA</v>
      </c>
      <c r="AG570" s="7">
        <v>44939</v>
      </c>
      <c r="AH570" t="str">
        <f t="shared" si="192"/>
        <v>Jan-2023</v>
      </c>
      <c r="AI570" s="9">
        <f t="shared" si="193"/>
        <v>45351</v>
      </c>
      <c r="AJ570">
        <f t="shared" si="197"/>
        <v>1</v>
      </c>
      <c r="AK570">
        <f t="shared" si="194"/>
        <v>0</v>
      </c>
      <c r="AL570" s="17">
        <f>MIN(N570,'Scenario Modelling'!$B$2)</f>
        <v>0</v>
      </c>
      <c r="AM570" s="10">
        <f>L570*(1+'Scenario Modelling'!$B$3)</f>
        <v>1618.1075</v>
      </c>
      <c r="AN570">
        <f>O570*(1+'Scenario Modelling'!$B$4)</f>
        <v>14.4</v>
      </c>
      <c r="AO570" s="28">
        <f t="shared" si="195"/>
        <v>41168.592</v>
      </c>
      <c r="AP570" s="10">
        <f t="shared" si="196"/>
        <v>17867.844</v>
      </c>
    </row>
    <row r="571" spans="1:42">
      <c r="A571" t="s">
        <v>1401</v>
      </c>
      <c r="B571" s="7">
        <v>45760</v>
      </c>
      <c r="C571" s="7">
        <v>45761</v>
      </c>
      <c r="D571" t="s">
        <v>206</v>
      </c>
      <c r="E571" t="s">
        <v>207</v>
      </c>
      <c r="F571" t="s">
        <v>208</v>
      </c>
      <c r="G571" t="s">
        <v>266</v>
      </c>
      <c r="H571" t="s">
        <v>189</v>
      </c>
      <c r="I571" t="s">
        <v>202</v>
      </c>
      <c r="J571" t="s">
        <v>183</v>
      </c>
      <c r="K571" t="s">
        <v>1402</v>
      </c>
      <c r="L571" s="10">
        <v>138.9</v>
      </c>
      <c r="M571" s="10">
        <v>289.92</v>
      </c>
      <c r="N571" s="17">
        <v>0.029</v>
      </c>
      <c r="O571">
        <v>12</v>
      </c>
      <c r="P571" t="str">
        <f t="shared" si="177"/>
        <v>Valid</v>
      </c>
      <c r="Q571" s="10">
        <f t="shared" si="178"/>
        <v>289.92</v>
      </c>
      <c r="R571" t="b">
        <f t="shared" si="179"/>
        <v>0</v>
      </c>
      <c r="S571" s="17">
        <f t="shared" si="180"/>
        <v>0.029</v>
      </c>
      <c r="T571">
        <f t="shared" si="181"/>
        <v>1</v>
      </c>
      <c r="U571" s="26">
        <f t="shared" si="182"/>
        <v>45761</v>
      </c>
      <c r="V571">
        <f t="shared" si="183"/>
        <v>1</v>
      </c>
      <c r="W571" s="10">
        <f t="shared" si="184"/>
        <v>347803.10784</v>
      </c>
      <c r="X571" s="10">
        <f t="shared" si="185"/>
        <v>3479.04</v>
      </c>
      <c r="Y571" s="10">
        <f t="shared" si="186"/>
        <v>344324.06784</v>
      </c>
      <c r="Z571" s="14">
        <f t="shared" si="190"/>
        <v>0.989997099158756</v>
      </c>
      <c r="AA571" t="s">
        <v>1578</v>
      </c>
      <c r="AB571" t="str">
        <f t="shared" si="187"/>
        <v>Q2-2025</v>
      </c>
      <c r="AC571" t="str">
        <f t="shared" si="188"/>
        <v>Asia → Japan → Osaka</v>
      </c>
      <c r="AD571" t="str">
        <f t="shared" si="189"/>
        <v>Support</v>
      </c>
      <c r="AE571" s="8" t="str">
        <f t="shared" si="198"/>
        <v>High</v>
      </c>
      <c r="AF571" t="str">
        <f t="shared" si="191"/>
        <v>JAPAN</v>
      </c>
      <c r="AG571" s="7">
        <v>44988</v>
      </c>
      <c r="AH571" t="str">
        <f t="shared" si="192"/>
        <v>Mar-2023</v>
      </c>
      <c r="AI571" s="9">
        <f t="shared" si="193"/>
        <v>45777</v>
      </c>
      <c r="AJ571">
        <f t="shared" si="197"/>
        <v>1</v>
      </c>
      <c r="AK571">
        <f t="shared" si="194"/>
        <v>0</v>
      </c>
      <c r="AL571" s="17">
        <f>MIN(N571,'Scenario Modelling'!$B$2)</f>
        <v>0.029</v>
      </c>
      <c r="AM571" s="10">
        <f>L571*(1+'Scenario Modelling'!$B$3)</f>
        <v>159.735</v>
      </c>
      <c r="AN571">
        <f>O571*(1+'Scenario Modelling'!$B$4)</f>
        <v>14.4</v>
      </c>
      <c r="AO571" s="28">
        <f t="shared" si="195"/>
        <v>4053.777408</v>
      </c>
      <c r="AP571" s="10">
        <f t="shared" si="196"/>
        <v>1753.593408</v>
      </c>
    </row>
    <row r="572" spans="1:42">
      <c r="A572" t="s">
        <v>1403</v>
      </c>
      <c r="B572" s="7">
        <v>45078</v>
      </c>
      <c r="C572" s="7">
        <v>45078</v>
      </c>
      <c r="D572" t="s">
        <v>206</v>
      </c>
      <c r="E572" t="s">
        <v>221</v>
      </c>
      <c r="F572" t="s">
        <v>222</v>
      </c>
      <c r="G572" t="s">
        <v>180</v>
      </c>
      <c r="H572" t="s">
        <v>181</v>
      </c>
      <c r="I572" t="s">
        <v>224</v>
      </c>
      <c r="J572" t="s">
        <v>242</v>
      </c>
      <c r="K572" t="s">
        <v>1404</v>
      </c>
      <c r="L572" s="10">
        <v>669.37</v>
      </c>
      <c r="M572" s="10">
        <v>997.2</v>
      </c>
      <c r="N572" s="17">
        <v>0.082</v>
      </c>
      <c r="O572">
        <v>5</v>
      </c>
      <c r="P572" t="str">
        <f t="shared" si="177"/>
        <v>Valid</v>
      </c>
      <c r="Q572" s="10">
        <f t="shared" si="178"/>
        <v>997.2</v>
      </c>
      <c r="R572" t="b">
        <f t="shared" si="179"/>
        <v>0</v>
      </c>
      <c r="S572" s="17">
        <f t="shared" si="180"/>
        <v>0.082</v>
      </c>
      <c r="T572">
        <f t="shared" si="181"/>
        <v>0</v>
      </c>
      <c r="U572" s="26">
        <f t="shared" si="182"/>
        <v>45078</v>
      </c>
      <c r="V572">
        <f t="shared" si="183"/>
        <v>0</v>
      </c>
      <c r="W572" s="10">
        <f t="shared" si="184"/>
        <v>498191.148</v>
      </c>
      <c r="X572" s="10">
        <f t="shared" si="185"/>
        <v>4986</v>
      </c>
      <c r="Y572" s="10">
        <f t="shared" si="186"/>
        <v>493205.148</v>
      </c>
      <c r="Z572" s="14">
        <f t="shared" si="190"/>
        <v>0.989991793270482</v>
      </c>
      <c r="AA572" t="s">
        <v>1583</v>
      </c>
      <c r="AB572" t="str">
        <f t="shared" si="187"/>
        <v>Q2-2023</v>
      </c>
      <c r="AC572" t="str">
        <f t="shared" si="188"/>
        <v>Asia → India → Bengaluru</v>
      </c>
      <c r="AD572" t="str">
        <f t="shared" si="189"/>
        <v>Support</v>
      </c>
      <c r="AE572" s="8" t="str">
        <f t="shared" si="198"/>
        <v>Low</v>
      </c>
      <c r="AF572" t="str">
        <f t="shared" si="191"/>
        <v>INDIA</v>
      </c>
      <c r="AG572" s="7">
        <v>44955</v>
      </c>
      <c r="AH572" t="str">
        <f t="shared" si="192"/>
        <v>Jan-2023</v>
      </c>
      <c r="AI572" s="9">
        <f t="shared" si="193"/>
        <v>45107</v>
      </c>
      <c r="AJ572">
        <f t="shared" si="197"/>
        <v>1</v>
      </c>
      <c r="AK572">
        <f t="shared" si="194"/>
        <v>0</v>
      </c>
      <c r="AL572" s="17">
        <f>MIN(N572,'Scenario Modelling'!$B$2)</f>
        <v>0.082</v>
      </c>
      <c r="AM572" s="10">
        <f>L572*(1+'Scenario Modelling'!$B$3)</f>
        <v>769.7755</v>
      </c>
      <c r="AN572">
        <f>O572*(1+'Scenario Modelling'!$B$4)</f>
        <v>6</v>
      </c>
      <c r="AO572" s="28">
        <f t="shared" si="195"/>
        <v>5492.5776</v>
      </c>
      <c r="AP572" s="10">
        <f t="shared" si="196"/>
        <v>873.924600000001</v>
      </c>
    </row>
    <row r="573" spans="1:42">
      <c r="A573" t="s">
        <v>1405</v>
      </c>
      <c r="B573" s="7">
        <v>45740</v>
      </c>
      <c r="C573" s="7">
        <v>45751</v>
      </c>
      <c r="D573" t="s">
        <v>206</v>
      </c>
      <c r="E573" t="s">
        <v>221</v>
      </c>
      <c r="F573" t="s">
        <v>381</v>
      </c>
      <c r="G573" t="s">
        <v>188</v>
      </c>
      <c r="H573" t="s">
        <v>201</v>
      </c>
      <c r="I573" t="s">
        <v>190</v>
      </c>
      <c r="J573" t="s">
        <v>203</v>
      </c>
      <c r="K573" t="s">
        <v>1406</v>
      </c>
      <c r="L573" s="10">
        <v>23.83</v>
      </c>
      <c r="M573" s="10">
        <v>47.29</v>
      </c>
      <c r="N573" s="17">
        <v>0.064</v>
      </c>
      <c r="O573">
        <v>19</v>
      </c>
      <c r="P573" t="str">
        <f t="shared" si="177"/>
        <v>Valid</v>
      </c>
      <c r="Q573" s="10">
        <f t="shared" si="178"/>
        <v>47.29</v>
      </c>
      <c r="R573" t="b">
        <f t="shared" si="179"/>
        <v>0</v>
      </c>
      <c r="S573" s="17">
        <f t="shared" si="180"/>
        <v>0.064</v>
      </c>
      <c r="T573">
        <f t="shared" si="181"/>
        <v>11</v>
      </c>
      <c r="U573" s="26">
        <f t="shared" si="182"/>
        <v>45751</v>
      </c>
      <c r="V573">
        <f t="shared" si="183"/>
        <v>11</v>
      </c>
      <c r="W573" s="10">
        <f t="shared" si="184"/>
        <v>89793.49536</v>
      </c>
      <c r="X573" s="10">
        <f t="shared" si="185"/>
        <v>898.51</v>
      </c>
      <c r="Y573" s="10">
        <f t="shared" si="186"/>
        <v>88894.98536</v>
      </c>
      <c r="Z573" s="14">
        <f t="shared" si="190"/>
        <v>0.989993595901377</v>
      </c>
      <c r="AA573" t="s">
        <v>1563</v>
      </c>
      <c r="AB573" t="str">
        <f t="shared" si="187"/>
        <v>Q1-2025</v>
      </c>
      <c r="AC573" t="str">
        <f t="shared" si="188"/>
        <v>Asia → India → Mumbai</v>
      </c>
      <c r="AD573" t="str">
        <f t="shared" si="189"/>
        <v>Devices</v>
      </c>
      <c r="AE573" s="8" t="str">
        <f t="shared" si="198"/>
        <v>High</v>
      </c>
      <c r="AF573" t="str">
        <f t="shared" si="191"/>
        <v>INDIA</v>
      </c>
      <c r="AG573" s="7">
        <v>44955</v>
      </c>
      <c r="AH573" t="str">
        <f t="shared" si="192"/>
        <v>Jan-2023</v>
      </c>
      <c r="AI573" s="9">
        <f t="shared" si="193"/>
        <v>45747</v>
      </c>
      <c r="AJ573">
        <f t="shared" si="197"/>
        <v>0</v>
      </c>
      <c r="AK573">
        <f t="shared" si="194"/>
        <v>0</v>
      </c>
      <c r="AL573" s="17">
        <f>MIN(N573,'Scenario Modelling'!$B$2)</f>
        <v>0.064</v>
      </c>
      <c r="AM573" s="10">
        <f>L573*(1+'Scenario Modelling'!$B$3)</f>
        <v>27.4045</v>
      </c>
      <c r="AN573">
        <f>O573*(1+'Scenario Modelling'!$B$4)</f>
        <v>22.8</v>
      </c>
      <c r="AO573" s="28">
        <f t="shared" si="195"/>
        <v>1009.206432</v>
      </c>
      <c r="AP573" s="10">
        <f t="shared" si="196"/>
        <v>384.383832</v>
      </c>
    </row>
    <row r="574" spans="1:42">
      <c r="A574" t="s">
        <v>1407</v>
      </c>
      <c r="B574" s="7">
        <v>45293</v>
      </c>
      <c r="C574" s="7">
        <v>45293</v>
      </c>
      <c r="D574" t="s">
        <v>213</v>
      </c>
      <c r="E574" t="s">
        <v>214</v>
      </c>
      <c r="F574" t="s">
        <v>340</v>
      </c>
      <c r="G574" t="s">
        <v>188</v>
      </c>
      <c r="H574" t="s">
        <v>259</v>
      </c>
      <c r="I574" t="s">
        <v>236</v>
      </c>
      <c r="J574" t="s">
        <v>218</v>
      </c>
      <c r="K574" t="s">
        <v>1408</v>
      </c>
      <c r="L574" s="10">
        <v>444.41</v>
      </c>
      <c r="M574" s="10">
        <v>754.24</v>
      </c>
      <c r="N574" s="17">
        <v>0.207</v>
      </c>
      <c r="O574">
        <v>32</v>
      </c>
      <c r="P574" t="str">
        <f t="shared" si="177"/>
        <v>Valid</v>
      </c>
      <c r="Q574" s="10">
        <f t="shared" si="178"/>
        <v>754.24</v>
      </c>
      <c r="R574" t="b">
        <f t="shared" si="179"/>
        <v>0</v>
      </c>
      <c r="S574" s="17">
        <f t="shared" si="180"/>
        <v>0.207</v>
      </c>
      <c r="T574">
        <f t="shared" si="181"/>
        <v>0</v>
      </c>
      <c r="U574" s="26">
        <f t="shared" si="182"/>
        <v>45293</v>
      </c>
      <c r="V574">
        <f t="shared" si="183"/>
        <v>0</v>
      </c>
      <c r="W574" s="10">
        <f t="shared" si="184"/>
        <v>2408571.91424</v>
      </c>
      <c r="X574" s="10">
        <f t="shared" si="185"/>
        <v>24135.68</v>
      </c>
      <c r="Y574" s="10">
        <f t="shared" si="186"/>
        <v>2384436.23424</v>
      </c>
      <c r="Z574" s="14">
        <f t="shared" si="190"/>
        <v>0.989979257062119</v>
      </c>
      <c r="AA574" t="s">
        <v>1568</v>
      </c>
      <c r="AB574" t="str">
        <f t="shared" si="187"/>
        <v>Q1-2024</v>
      </c>
      <c r="AC574" t="str">
        <f t="shared" si="188"/>
        <v>Americas → Canada → Vancouver</v>
      </c>
      <c r="AD574" t="str">
        <f t="shared" si="189"/>
        <v>Devices</v>
      </c>
      <c r="AE574" s="8" t="str">
        <f t="shared" si="198"/>
        <v>Medium</v>
      </c>
      <c r="AF574" t="str">
        <f t="shared" si="191"/>
        <v>CANADA</v>
      </c>
      <c r="AG574" s="7">
        <v>44928</v>
      </c>
      <c r="AH574" t="str">
        <f t="shared" si="192"/>
        <v>Jan-2023</v>
      </c>
      <c r="AI574" s="9">
        <f t="shared" si="193"/>
        <v>45322</v>
      </c>
      <c r="AJ574">
        <f t="shared" si="197"/>
        <v>1</v>
      </c>
      <c r="AK574">
        <f t="shared" si="194"/>
        <v>1</v>
      </c>
      <c r="AL574" s="17">
        <f>MIN(N574,'Scenario Modelling'!$B$2)</f>
        <v>0.207</v>
      </c>
      <c r="AM574" s="10">
        <f>L574*(1+'Scenario Modelling'!$B$3)</f>
        <v>511.0715</v>
      </c>
      <c r="AN574">
        <f>O574*(1+'Scenario Modelling'!$B$4)</f>
        <v>38.4</v>
      </c>
      <c r="AO574" s="28">
        <f t="shared" si="195"/>
        <v>22967.513088</v>
      </c>
      <c r="AP574" s="10">
        <f t="shared" si="196"/>
        <v>3342.367488</v>
      </c>
    </row>
    <row r="575" spans="1:42">
      <c r="A575" t="s">
        <v>1409</v>
      </c>
      <c r="B575" s="7">
        <v>45279</v>
      </c>
      <c r="C575" s="7">
        <v>45292</v>
      </c>
      <c r="D575" t="s">
        <v>213</v>
      </c>
      <c r="E575" t="s">
        <v>214</v>
      </c>
      <c r="F575" t="s">
        <v>215</v>
      </c>
      <c r="G575" t="s">
        <v>266</v>
      </c>
      <c r="H575" t="s">
        <v>181</v>
      </c>
      <c r="I575" t="s">
        <v>256</v>
      </c>
      <c r="J575" t="s">
        <v>225</v>
      </c>
      <c r="K575" t="s">
        <v>1410</v>
      </c>
      <c r="L575" s="10">
        <v>856.1</v>
      </c>
      <c r="M575" s="10">
        <v>901.48</v>
      </c>
      <c r="N575" s="17">
        <v>0.056</v>
      </c>
      <c r="O575">
        <v>17</v>
      </c>
      <c r="P575" t="str">
        <f t="shared" si="177"/>
        <v>Valid</v>
      </c>
      <c r="Q575" s="10">
        <f t="shared" si="178"/>
        <v>901.48</v>
      </c>
      <c r="R575" t="b">
        <f t="shared" si="179"/>
        <v>0</v>
      </c>
      <c r="S575" s="17">
        <f t="shared" si="180"/>
        <v>0.056</v>
      </c>
      <c r="T575">
        <f t="shared" si="181"/>
        <v>13</v>
      </c>
      <c r="U575" s="26">
        <f t="shared" si="182"/>
        <v>45292</v>
      </c>
      <c r="V575">
        <f t="shared" si="183"/>
        <v>13</v>
      </c>
      <c r="W575" s="10">
        <f t="shared" si="184"/>
        <v>1531657.79104</v>
      </c>
      <c r="X575" s="10">
        <f t="shared" si="185"/>
        <v>15325.16</v>
      </c>
      <c r="Y575" s="10">
        <f t="shared" si="186"/>
        <v>1516332.63104</v>
      </c>
      <c r="Z575" s="14">
        <f t="shared" si="190"/>
        <v>0.989994396862243</v>
      </c>
      <c r="AA575" t="s">
        <v>1587</v>
      </c>
      <c r="AB575" t="str">
        <f t="shared" si="187"/>
        <v>Q4-2023</v>
      </c>
      <c r="AC575" t="str">
        <f t="shared" si="188"/>
        <v>Americas → Canada → Toronto</v>
      </c>
      <c r="AD575" t="str">
        <f t="shared" si="189"/>
        <v>Peripherals</v>
      </c>
      <c r="AE575" s="8" t="str">
        <f t="shared" si="198"/>
        <v>Medium</v>
      </c>
      <c r="AF575" t="str">
        <f t="shared" si="191"/>
        <v>CANADA</v>
      </c>
      <c r="AG575" s="7">
        <v>44928</v>
      </c>
      <c r="AH575" t="str">
        <f t="shared" si="192"/>
        <v>Jan-2023</v>
      </c>
      <c r="AI575" s="9">
        <f t="shared" si="193"/>
        <v>45291</v>
      </c>
      <c r="AJ575">
        <f t="shared" si="197"/>
        <v>0</v>
      </c>
      <c r="AK575">
        <f t="shared" si="194"/>
        <v>0</v>
      </c>
      <c r="AL575" s="17">
        <f>MIN(N575,'Scenario Modelling'!$B$2)</f>
        <v>0.056</v>
      </c>
      <c r="AM575" s="10">
        <f>L575*(1+'Scenario Modelling'!$B$3)</f>
        <v>984.515</v>
      </c>
      <c r="AN575">
        <f>O575*(1+'Scenario Modelling'!$B$4)</f>
        <v>20.4</v>
      </c>
      <c r="AO575" s="28">
        <f t="shared" si="195"/>
        <v>17360.341248</v>
      </c>
      <c r="AP575" s="10">
        <f t="shared" si="196"/>
        <v>-2723.764752</v>
      </c>
    </row>
    <row r="576" spans="1:42">
      <c r="A576" t="s">
        <v>1411</v>
      </c>
      <c r="B576" s="7">
        <v>45042</v>
      </c>
      <c r="C576" s="7">
        <v>45042</v>
      </c>
      <c r="D576" t="s">
        <v>239</v>
      </c>
      <c r="E576" t="s">
        <v>251</v>
      </c>
      <c r="F576" t="s">
        <v>252</v>
      </c>
      <c r="G576" t="s">
        <v>209</v>
      </c>
      <c r="H576" t="s">
        <v>259</v>
      </c>
      <c r="I576" t="s">
        <v>271</v>
      </c>
      <c r="J576" t="s">
        <v>183</v>
      </c>
      <c r="K576" t="s">
        <v>1412</v>
      </c>
      <c r="L576" s="10">
        <v>81.49</v>
      </c>
      <c r="M576" s="10">
        <v>113.08</v>
      </c>
      <c r="N576" s="17">
        <v>0.121</v>
      </c>
      <c r="O576">
        <v>5</v>
      </c>
      <c r="P576" t="str">
        <f t="shared" si="177"/>
        <v>Valid</v>
      </c>
      <c r="Q576" s="10">
        <f t="shared" si="178"/>
        <v>113.08</v>
      </c>
      <c r="R576" t="b">
        <f t="shared" si="179"/>
        <v>0</v>
      </c>
      <c r="S576" s="17">
        <f t="shared" si="180"/>
        <v>0.121</v>
      </c>
      <c r="T576">
        <f t="shared" si="181"/>
        <v>0</v>
      </c>
      <c r="U576" s="26">
        <f t="shared" si="182"/>
        <v>45042</v>
      </c>
      <c r="V576">
        <f t="shared" si="183"/>
        <v>0</v>
      </c>
      <c r="W576" s="10">
        <f t="shared" si="184"/>
        <v>56471.5866</v>
      </c>
      <c r="X576" s="10">
        <f t="shared" si="185"/>
        <v>565.4</v>
      </c>
      <c r="Y576" s="10">
        <f t="shared" si="186"/>
        <v>55906.1866</v>
      </c>
      <c r="Z576" s="14">
        <f t="shared" si="190"/>
        <v>0.989987885341263</v>
      </c>
      <c r="AA576" t="s">
        <v>1571</v>
      </c>
      <c r="AB576" t="str">
        <f t="shared" si="187"/>
        <v>Q2-2023</v>
      </c>
      <c r="AC576" t="str">
        <f t="shared" si="188"/>
        <v>Europe → France → Marseille</v>
      </c>
      <c r="AD576" t="str">
        <f t="shared" si="189"/>
        <v>Support</v>
      </c>
      <c r="AE576" s="8" t="str">
        <f t="shared" si="198"/>
        <v>Low</v>
      </c>
      <c r="AF576" t="str">
        <f t="shared" si="191"/>
        <v>FRANCE</v>
      </c>
      <c r="AG576" s="7">
        <v>44936</v>
      </c>
      <c r="AH576" t="str">
        <f t="shared" si="192"/>
        <v>Jan-2023</v>
      </c>
      <c r="AI576" s="9">
        <f t="shared" si="193"/>
        <v>45046</v>
      </c>
      <c r="AJ576">
        <f t="shared" si="197"/>
        <v>1</v>
      </c>
      <c r="AK576">
        <f t="shared" si="194"/>
        <v>0</v>
      </c>
      <c r="AL576" s="17">
        <f>MIN(N576,'Scenario Modelling'!$B$2)</f>
        <v>0.121</v>
      </c>
      <c r="AM576" s="10">
        <f>L576*(1+'Scenario Modelling'!$B$3)</f>
        <v>93.7135</v>
      </c>
      <c r="AN576">
        <f>O576*(1+'Scenario Modelling'!$B$4)</f>
        <v>6</v>
      </c>
      <c r="AO576" s="28">
        <f t="shared" si="195"/>
        <v>596.38392</v>
      </c>
      <c r="AP576" s="10">
        <f t="shared" si="196"/>
        <v>34.1029200000001</v>
      </c>
    </row>
    <row r="577" spans="1:42">
      <c r="A577" t="s">
        <v>1413</v>
      </c>
      <c r="B577" s="7">
        <v>45872</v>
      </c>
      <c r="C577" s="7">
        <v>45885</v>
      </c>
      <c r="D577" t="s">
        <v>213</v>
      </c>
      <c r="E577" t="s">
        <v>214</v>
      </c>
      <c r="F577" t="s">
        <v>305</v>
      </c>
      <c r="G577" t="s">
        <v>266</v>
      </c>
      <c r="H577" t="s">
        <v>216</v>
      </c>
      <c r="I577" t="s">
        <v>229</v>
      </c>
      <c r="J577" t="s">
        <v>196</v>
      </c>
      <c r="K577" t="s">
        <v>1414</v>
      </c>
      <c r="L577" s="10">
        <v>698.66</v>
      </c>
      <c r="M577" s="10">
        <v>868.62</v>
      </c>
      <c r="N577" s="17">
        <v>0.072</v>
      </c>
      <c r="O577">
        <v>15</v>
      </c>
      <c r="P577" t="str">
        <f t="shared" si="177"/>
        <v>Valid</v>
      </c>
      <c r="Q577" s="10">
        <f t="shared" si="178"/>
        <v>868.62</v>
      </c>
      <c r="R577" t="b">
        <f t="shared" si="179"/>
        <v>0</v>
      </c>
      <c r="S577" s="17">
        <f t="shared" si="180"/>
        <v>0.072</v>
      </c>
      <c r="T577">
        <f t="shared" si="181"/>
        <v>13</v>
      </c>
      <c r="U577" s="26">
        <f t="shared" si="182"/>
        <v>45885</v>
      </c>
      <c r="V577">
        <f t="shared" si="183"/>
        <v>13</v>
      </c>
      <c r="W577" s="10">
        <f t="shared" si="184"/>
        <v>1301991.8904</v>
      </c>
      <c r="X577" s="10">
        <f t="shared" si="185"/>
        <v>13029.3</v>
      </c>
      <c r="Y577" s="10">
        <f t="shared" si="186"/>
        <v>1288962.5904</v>
      </c>
      <c r="Z577" s="14">
        <f t="shared" si="190"/>
        <v>0.989992794812265</v>
      </c>
      <c r="AA577" t="s">
        <v>1590</v>
      </c>
      <c r="AB577" t="str">
        <f t="shared" si="187"/>
        <v>Q3-2025</v>
      </c>
      <c r="AC577" t="str">
        <f t="shared" si="188"/>
        <v>Americas → Canada → Montreal</v>
      </c>
      <c r="AD577" t="str">
        <f t="shared" si="189"/>
        <v>Support</v>
      </c>
      <c r="AE577" s="8" t="str">
        <f t="shared" si="198"/>
        <v>High</v>
      </c>
      <c r="AF577" t="str">
        <f t="shared" si="191"/>
        <v>CANADA</v>
      </c>
      <c r="AG577" s="7">
        <v>44928</v>
      </c>
      <c r="AH577" t="str">
        <f t="shared" si="192"/>
        <v>Jan-2023</v>
      </c>
      <c r="AI577" s="9">
        <f t="shared" si="193"/>
        <v>45900</v>
      </c>
      <c r="AJ577">
        <f t="shared" si="197"/>
        <v>0</v>
      </c>
      <c r="AK577">
        <f t="shared" si="194"/>
        <v>0</v>
      </c>
      <c r="AL577" s="17">
        <f>MIN(N577,'Scenario Modelling'!$B$2)</f>
        <v>0.072</v>
      </c>
      <c r="AM577" s="10">
        <f>L577*(1+'Scenario Modelling'!$B$3)</f>
        <v>803.459</v>
      </c>
      <c r="AN577">
        <f>O577*(1+'Scenario Modelling'!$B$4)</f>
        <v>18</v>
      </c>
      <c r="AO577" s="28">
        <f t="shared" si="195"/>
        <v>14509.42848</v>
      </c>
      <c r="AP577" s="10">
        <f t="shared" si="196"/>
        <v>47.1664800000021</v>
      </c>
    </row>
    <row r="578" spans="1:42">
      <c r="A578" t="s">
        <v>1415</v>
      </c>
      <c r="B578" s="7">
        <v>45140</v>
      </c>
      <c r="C578" s="7">
        <v>45157</v>
      </c>
      <c r="D578" t="s">
        <v>213</v>
      </c>
      <c r="E578" t="s">
        <v>214</v>
      </c>
      <c r="F578" t="s">
        <v>340</v>
      </c>
      <c r="G578" t="s">
        <v>180</v>
      </c>
      <c r="H578" t="s">
        <v>189</v>
      </c>
      <c r="I578" t="s">
        <v>245</v>
      </c>
      <c r="J578" t="s">
        <v>196</v>
      </c>
      <c r="K578" t="s">
        <v>1416</v>
      </c>
      <c r="L578" s="10">
        <v>175.38</v>
      </c>
      <c r="M578" s="10">
        <v>347.9</v>
      </c>
      <c r="N578" s="17">
        <v>0.072</v>
      </c>
      <c r="O578">
        <v>43</v>
      </c>
      <c r="P578" t="str">
        <f t="shared" ref="P578:P632" si="199">IF(M578&gt;0,"Valid")</f>
        <v>Valid</v>
      </c>
      <c r="Q578" s="10">
        <f t="shared" ref="Q578:Q632" si="200">ABS(M578)</f>
        <v>347.9</v>
      </c>
      <c r="R578" t="b">
        <f t="shared" ref="R578:R632" si="201">IF(N578&gt;30%,"Excess")</f>
        <v>0</v>
      </c>
      <c r="S578" s="17">
        <f t="shared" ref="S578:S632" si="202">IF(R578="Excess",30%,N578)</f>
        <v>0.072</v>
      </c>
      <c r="T578">
        <f t="shared" ref="T578:T632" si="203">(C578-B578)</f>
        <v>17</v>
      </c>
      <c r="U578" s="26">
        <f t="shared" ref="U578:U632" si="204">IF(C578&lt;B578,B578+7,C578)</f>
        <v>45157</v>
      </c>
      <c r="V578">
        <f t="shared" ref="V578:V632" si="205">(U578-B578)</f>
        <v>17</v>
      </c>
      <c r="W578" s="10">
        <f t="shared" ref="W578:W632" si="206">(Q578*O578*(100-S578))</f>
        <v>1494892.9016</v>
      </c>
      <c r="X578" s="10">
        <f t="shared" ref="X578:X632" si="207">(Q578*O578)</f>
        <v>14959.7</v>
      </c>
      <c r="Y578" s="10">
        <f t="shared" ref="Y578:Y632" si="208">W578-X578</f>
        <v>1479933.2016</v>
      </c>
      <c r="Z578" s="14">
        <f t="shared" si="190"/>
        <v>0.989992794812265</v>
      </c>
      <c r="AA578" t="s">
        <v>1585</v>
      </c>
      <c r="AB578" t="str">
        <f t="shared" ref="AB578:AB632" si="209">"Q"&amp;ROUNDUP(MONTH(B578)/3,0)&amp;"-"&amp;YEAR(B578)</f>
        <v>Q3-2023</v>
      </c>
      <c r="AC578" t="str">
        <f t="shared" ref="AC578:AC632" si="210">D578&amp;" → "&amp;E578&amp;" → "&amp;F578</f>
        <v>Americas → Canada → Vancouver</v>
      </c>
      <c r="AD578" t="str">
        <f t="shared" ref="AD578:AD632" si="211">IF(OR(J578="Laptops",J578="Phones"),"Devices",IF(OR(J578="Monitors",J578="Printers"),"Peripherals","Support"))</f>
        <v>Support</v>
      </c>
      <c r="AE578" s="8" t="str">
        <f t="shared" si="198"/>
        <v>Low</v>
      </c>
      <c r="AF578" t="str">
        <f t="shared" si="191"/>
        <v>CANADA</v>
      </c>
      <c r="AG578" s="7">
        <v>44928</v>
      </c>
      <c r="AH578" t="str">
        <f t="shared" si="192"/>
        <v>Jan-2023</v>
      </c>
      <c r="AI578" s="9">
        <f t="shared" si="193"/>
        <v>45169</v>
      </c>
      <c r="AJ578">
        <f t="shared" si="197"/>
        <v>0</v>
      </c>
      <c r="AK578">
        <f t="shared" si="194"/>
        <v>0</v>
      </c>
      <c r="AL578" s="17">
        <f>MIN(N578,'Scenario Modelling'!$B$2)</f>
        <v>0.072</v>
      </c>
      <c r="AM578" s="10">
        <f>L578*(1+'Scenario Modelling'!$B$3)</f>
        <v>201.687</v>
      </c>
      <c r="AN578">
        <f>O578*(1+'Scenario Modelling'!$B$4)</f>
        <v>51.6</v>
      </c>
      <c r="AO578" s="28">
        <f t="shared" si="195"/>
        <v>16659.12192</v>
      </c>
      <c r="AP578" s="10">
        <f t="shared" si="196"/>
        <v>6252.07272</v>
      </c>
    </row>
    <row r="579" spans="1:42">
      <c r="A579" t="s">
        <v>1417</v>
      </c>
      <c r="B579" s="7">
        <v>45092</v>
      </c>
      <c r="C579" s="7">
        <v>45119</v>
      </c>
      <c r="D579" t="s">
        <v>239</v>
      </c>
      <c r="E579" t="s">
        <v>269</v>
      </c>
      <c r="F579" t="s">
        <v>389</v>
      </c>
      <c r="G579" t="s">
        <v>209</v>
      </c>
      <c r="H579" t="s">
        <v>259</v>
      </c>
      <c r="I579" t="s">
        <v>195</v>
      </c>
      <c r="J579" t="s">
        <v>242</v>
      </c>
      <c r="K579" t="s">
        <v>1418</v>
      </c>
      <c r="L579" s="10">
        <v>751.28</v>
      </c>
      <c r="M579" s="10">
        <v>1111.88</v>
      </c>
      <c r="N579" s="17">
        <v>0.135</v>
      </c>
      <c r="O579">
        <v>7</v>
      </c>
      <c r="P579" t="str">
        <f t="shared" si="199"/>
        <v>Valid</v>
      </c>
      <c r="Q579" s="10">
        <f t="shared" si="200"/>
        <v>1111.88</v>
      </c>
      <c r="R579" t="b">
        <f t="shared" si="201"/>
        <v>0</v>
      </c>
      <c r="S579" s="17">
        <f t="shared" si="202"/>
        <v>0.135</v>
      </c>
      <c r="T579">
        <f t="shared" si="203"/>
        <v>27</v>
      </c>
      <c r="U579" s="26">
        <f t="shared" si="204"/>
        <v>45119</v>
      </c>
      <c r="V579">
        <f t="shared" si="205"/>
        <v>27</v>
      </c>
      <c r="W579" s="10">
        <f t="shared" si="206"/>
        <v>777265.2734</v>
      </c>
      <c r="X579" s="10">
        <f t="shared" si="207"/>
        <v>7783.16</v>
      </c>
      <c r="Y579" s="10">
        <f t="shared" si="208"/>
        <v>769482.1134</v>
      </c>
      <c r="Z579" s="14">
        <f t="shared" ref="Z579:Z632" si="212">Y579/W579</f>
        <v>0.989986481750363</v>
      </c>
      <c r="AA579" t="s">
        <v>1583</v>
      </c>
      <c r="AB579" t="str">
        <f t="shared" si="209"/>
        <v>Q2-2023</v>
      </c>
      <c r="AC579" t="str">
        <f t="shared" si="210"/>
        <v>Europe → United Kingdom → Manchester</v>
      </c>
      <c r="AD579" t="str">
        <f t="shared" si="211"/>
        <v>Support</v>
      </c>
      <c r="AE579" s="8" t="str">
        <f t="shared" si="198"/>
        <v>Low</v>
      </c>
      <c r="AF579" t="str">
        <f t="shared" ref="AF579:AF632" si="213">UPPER(TRIM(CLEAN(SUBSTITUTE(E579,CHAR(160),""))))</f>
        <v>UNITED KINGDOM</v>
      </c>
      <c r="AG579" s="7">
        <v>44945</v>
      </c>
      <c r="AH579" t="str">
        <f t="shared" ref="AH579:AH632" si="214">TEXT(AG579,"MMM-YYYY")</f>
        <v>Jan-2023</v>
      </c>
      <c r="AI579" s="9">
        <f t="shared" ref="AI579:AI632" si="215">EOMONTH(B579,0)</f>
        <v>45107</v>
      </c>
      <c r="AJ579">
        <f t="shared" si="197"/>
        <v>0</v>
      </c>
      <c r="AK579">
        <f t="shared" ref="AK579:AK632" si="216">IF(N579&gt;20%,1,0)</f>
        <v>0</v>
      </c>
      <c r="AL579" s="17">
        <f>MIN(N579,'Scenario Modelling'!$B$2)</f>
        <v>0.135</v>
      </c>
      <c r="AM579" s="10">
        <f>L579*(1+'Scenario Modelling'!$B$3)</f>
        <v>863.972</v>
      </c>
      <c r="AN579">
        <f>O579*(1+'Scenario Modelling'!$B$4)</f>
        <v>8.4</v>
      </c>
      <c r="AO579" s="28">
        <f t="shared" ref="AO579:AO632" si="217">AN579*M579*(1-AL579)</f>
        <v>8078.92008</v>
      </c>
      <c r="AP579" s="10">
        <f t="shared" ref="AP579:AP632" si="218">(M579*(1-AL579)-AM579)*AN579</f>
        <v>821.555280000002</v>
      </c>
    </row>
    <row r="580" spans="1:42">
      <c r="A580" t="s">
        <v>1419</v>
      </c>
      <c r="B580" s="7">
        <v>45607</v>
      </c>
      <c r="C580" s="7">
        <v>45620</v>
      </c>
      <c r="D580" t="s">
        <v>239</v>
      </c>
      <c r="E580" t="s">
        <v>269</v>
      </c>
      <c r="F580" t="s">
        <v>313</v>
      </c>
      <c r="G580" t="s">
        <v>180</v>
      </c>
      <c r="H580" t="s">
        <v>181</v>
      </c>
      <c r="I580" t="s">
        <v>224</v>
      </c>
      <c r="J580" t="s">
        <v>196</v>
      </c>
      <c r="K580" t="s">
        <v>1420</v>
      </c>
      <c r="L580" s="10">
        <v>164.53</v>
      </c>
      <c r="M580" s="10">
        <v>327.72</v>
      </c>
      <c r="N580" s="17">
        <v>0.067</v>
      </c>
      <c r="O580">
        <v>14</v>
      </c>
      <c r="P580" t="str">
        <f t="shared" si="199"/>
        <v>Valid</v>
      </c>
      <c r="Q580" s="10">
        <f t="shared" si="200"/>
        <v>327.72</v>
      </c>
      <c r="R580" t="b">
        <f t="shared" si="201"/>
        <v>0</v>
      </c>
      <c r="S580" s="17">
        <f t="shared" si="202"/>
        <v>0.067</v>
      </c>
      <c r="T580">
        <f t="shared" si="203"/>
        <v>13</v>
      </c>
      <c r="U580" s="26">
        <f t="shared" si="204"/>
        <v>45620</v>
      </c>
      <c r="V580">
        <f t="shared" si="205"/>
        <v>13</v>
      </c>
      <c r="W580" s="10">
        <f t="shared" si="206"/>
        <v>458500.59864</v>
      </c>
      <c r="X580" s="10">
        <f t="shared" si="207"/>
        <v>4588.08</v>
      </c>
      <c r="Y580" s="10">
        <f t="shared" si="208"/>
        <v>453912.51864</v>
      </c>
      <c r="Z580" s="14">
        <f t="shared" si="212"/>
        <v>0.98999329550799</v>
      </c>
      <c r="AA580" t="s">
        <v>1577</v>
      </c>
      <c r="AB580" t="str">
        <f t="shared" si="209"/>
        <v>Q4-2024</v>
      </c>
      <c r="AC580" t="str">
        <f t="shared" si="210"/>
        <v>Europe → United Kingdom → London</v>
      </c>
      <c r="AD580" t="str">
        <f t="shared" si="211"/>
        <v>Support</v>
      </c>
      <c r="AE580" s="8" t="str">
        <f t="shared" si="198"/>
        <v>High</v>
      </c>
      <c r="AF580" t="str">
        <f t="shared" si="213"/>
        <v>UNITED KINGDOM</v>
      </c>
      <c r="AG580" s="7">
        <v>44945</v>
      </c>
      <c r="AH580" t="str">
        <f t="shared" si="214"/>
        <v>Jan-2023</v>
      </c>
      <c r="AI580" s="9">
        <f t="shared" si="215"/>
        <v>45626</v>
      </c>
      <c r="AJ580">
        <f t="shared" ref="AJ580:AJ632" si="219">IF(V580&lt;=7,1,0)</f>
        <v>0</v>
      </c>
      <c r="AK580">
        <f t="shared" si="216"/>
        <v>0</v>
      </c>
      <c r="AL580" s="17">
        <f>MIN(N580,'Scenario Modelling'!$B$2)</f>
        <v>0.067</v>
      </c>
      <c r="AM580" s="10">
        <f>L580*(1+'Scenario Modelling'!$B$3)</f>
        <v>189.2095</v>
      </c>
      <c r="AN580">
        <f>O580*(1+'Scenario Modelling'!$B$4)</f>
        <v>16.8</v>
      </c>
      <c r="AO580" s="28">
        <f t="shared" si="217"/>
        <v>5136.814368</v>
      </c>
      <c r="AP580" s="10">
        <f t="shared" si="218"/>
        <v>1958.094768</v>
      </c>
    </row>
    <row r="581" spans="1:42">
      <c r="A581" t="s">
        <v>1421</v>
      </c>
      <c r="B581" s="7">
        <v>45849</v>
      </c>
      <c r="C581" s="7">
        <v>45872</v>
      </c>
      <c r="D581" t="s">
        <v>177</v>
      </c>
      <c r="E581" t="s">
        <v>178</v>
      </c>
      <c r="F581" t="s">
        <v>296</v>
      </c>
      <c r="G581" t="s">
        <v>223</v>
      </c>
      <c r="H581" t="s">
        <v>181</v>
      </c>
      <c r="I581" t="s">
        <v>182</v>
      </c>
      <c r="J581" t="s">
        <v>203</v>
      </c>
      <c r="K581" t="s">
        <v>1422</v>
      </c>
      <c r="L581" s="10">
        <v>389.93</v>
      </c>
      <c r="M581" s="10">
        <v>486.13</v>
      </c>
      <c r="N581" s="17">
        <v>0.132</v>
      </c>
      <c r="O581">
        <v>17</v>
      </c>
      <c r="P581" t="str">
        <f t="shared" si="199"/>
        <v>Valid</v>
      </c>
      <c r="Q581" s="10">
        <f t="shared" si="200"/>
        <v>486.13</v>
      </c>
      <c r="R581" t="b">
        <f t="shared" si="201"/>
        <v>0</v>
      </c>
      <c r="S581" s="17">
        <f t="shared" si="202"/>
        <v>0.132</v>
      </c>
      <c r="T581">
        <f t="shared" si="203"/>
        <v>23</v>
      </c>
      <c r="U581" s="26">
        <f t="shared" si="204"/>
        <v>45872</v>
      </c>
      <c r="V581">
        <f t="shared" si="205"/>
        <v>23</v>
      </c>
      <c r="W581" s="10">
        <f t="shared" si="206"/>
        <v>825330.12428</v>
      </c>
      <c r="X581" s="10">
        <f t="shared" si="207"/>
        <v>8264.21</v>
      </c>
      <c r="Y581" s="10">
        <f t="shared" si="208"/>
        <v>817065.91428</v>
      </c>
      <c r="Z581" s="14">
        <f t="shared" si="212"/>
        <v>0.98998678255297</v>
      </c>
      <c r="AA581" t="s">
        <v>1572</v>
      </c>
      <c r="AB581" t="str">
        <f t="shared" si="209"/>
        <v>Q3-2025</v>
      </c>
      <c r="AC581" t="str">
        <f t="shared" si="210"/>
        <v>Africa → Kenya → Nakuru</v>
      </c>
      <c r="AD581" t="str">
        <f t="shared" si="211"/>
        <v>Devices</v>
      </c>
      <c r="AE581" s="8" t="str">
        <f t="shared" si="198"/>
        <v>High</v>
      </c>
      <c r="AF581" t="str">
        <f t="shared" si="213"/>
        <v>KENYA</v>
      </c>
      <c r="AG581" s="7">
        <v>44946</v>
      </c>
      <c r="AH581" t="str">
        <f t="shared" si="214"/>
        <v>Jan-2023</v>
      </c>
      <c r="AI581" s="9">
        <f t="shared" si="215"/>
        <v>45869</v>
      </c>
      <c r="AJ581">
        <f t="shared" si="219"/>
        <v>0</v>
      </c>
      <c r="AK581">
        <f t="shared" si="216"/>
        <v>0</v>
      </c>
      <c r="AL581" s="17">
        <f>MIN(N581,'Scenario Modelling'!$B$2)</f>
        <v>0.132</v>
      </c>
      <c r="AM581" s="10">
        <f>L581*(1+'Scenario Modelling'!$B$3)</f>
        <v>448.4195</v>
      </c>
      <c r="AN581">
        <f>O581*(1+'Scenario Modelling'!$B$4)</f>
        <v>20.4</v>
      </c>
      <c r="AO581" s="28">
        <f t="shared" si="217"/>
        <v>8608.001136</v>
      </c>
      <c r="AP581" s="10">
        <f t="shared" si="218"/>
        <v>-539.756663999999</v>
      </c>
    </row>
    <row r="582" spans="1:42">
      <c r="A582" t="s">
        <v>1423</v>
      </c>
      <c r="B582" s="7">
        <v>45080</v>
      </c>
      <c r="C582" s="7">
        <v>45108</v>
      </c>
      <c r="D582" t="s">
        <v>213</v>
      </c>
      <c r="E582" t="s">
        <v>234</v>
      </c>
      <c r="F582" t="s">
        <v>248</v>
      </c>
      <c r="G582" t="s">
        <v>223</v>
      </c>
      <c r="H582" t="s">
        <v>201</v>
      </c>
      <c r="I582" t="s">
        <v>236</v>
      </c>
      <c r="J582" t="s">
        <v>183</v>
      </c>
      <c r="K582" t="s">
        <v>1424</v>
      </c>
      <c r="L582" s="10">
        <v>860.4</v>
      </c>
      <c r="M582" s="10">
        <v>2066.6</v>
      </c>
      <c r="N582" s="17">
        <v>0.01</v>
      </c>
      <c r="O582">
        <v>3</v>
      </c>
      <c r="P582" t="str">
        <f t="shared" si="199"/>
        <v>Valid</v>
      </c>
      <c r="Q582" s="10">
        <f t="shared" si="200"/>
        <v>2066.6</v>
      </c>
      <c r="R582" t="b">
        <f t="shared" si="201"/>
        <v>0</v>
      </c>
      <c r="S582" s="17">
        <f t="shared" si="202"/>
        <v>0.01</v>
      </c>
      <c r="T582">
        <f t="shared" si="203"/>
        <v>28</v>
      </c>
      <c r="U582" s="26">
        <f t="shared" si="204"/>
        <v>45108</v>
      </c>
      <c r="V582">
        <f t="shared" si="205"/>
        <v>28</v>
      </c>
      <c r="W582" s="10">
        <f t="shared" si="206"/>
        <v>619918.002</v>
      </c>
      <c r="X582" s="10">
        <f t="shared" si="207"/>
        <v>6199.8</v>
      </c>
      <c r="Y582" s="10">
        <f t="shared" si="208"/>
        <v>613718.202</v>
      </c>
      <c r="Z582" s="14">
        <f t="shared" si="212"/>
        <v>0.98999899989999</v>
      </c>
      <c r="AA582" t="s">
        <v>1583</v>
      </c>
      <c r="AB582" t="str">
        <f t="shared" si="209"/>
        <v>Q2-2023</v>
      </c>
      <c r="AC582" t="str">
        <f t="shared" si="210"/>
        <v>Americas → Brazil → Brasília</v>
      </c>
      <c r="AD582" t="str">
        <f t="shared" si="211"/>
        <v>Support</v>
      </c>
      <c r="AE582" s="8" t="str">
        <f t="shared" si="198"/>
        <v>Low</v>
      </c>
      <c r="AF582" t="str">
        <f t="shared" si="213"/>
        <v>BRAZIL</v>
      </c>
      <c r="AG582" s="7">
        <v>44955</v>
      </c>
      <c r="AH582" t="str">
        <f t="shared" si="214"/>
        <v>Jan-2023</v>
      </c>
      <c r="AI582" s="9">
        <f t="shared" si="215"/>
        <v>45107</v>
      </c>
      <c r="AJ582">
        <f t="shared" si="219"/>
        <v>0</v>
      </c>
      <c r="AK582">
        <f t="shared" si="216"/>
        <v>0</v>
      </c>
      <c r="AL582" s="17">
        <f>MIN(N582,'Scenario Modelling'!$B$2)</f>
        <v>0.01</v>
      </c>
      <c r="AM582" s="10">
        <f>L582*(1+'Scenario Modelling'!$B$3)</f>
        <v>989.46</v>
      </c>
      <c r="AN582">
        <f>O582*(1+'Scenario Modelling'!$B$4)</f>
        <v>3.6</v>
      </c>
      <c r="AO582" s="28">
        <f t="shared" si="217"/>
        <v>7365.3624</v>
      </c>
      <c r="AP582" s="10">
        <f t="shared" si="218"/>
        <v>3803.3064</v>
      </c>
    </row>
    <row r="583" spans="1:42">
      <c r="A583" t="s">
        <v>1425</v>
      </c>
      <c r="B583" s="7">
        <v>44955</v>
      </c>
      <c r="C583" s="7">
        <v>44963</v>
      </c>
      <c r="D583" t="s">
        <v>213</v>
      </c>
      <c r="E583" t="s">
        <v>234</v>
      </c>
      <c r="F583" t="s">
        <v>248</v>
      </c>
      <c r="G583" t="s">
        <v>180</v>
      </c>
      <c r="H583" t="s">
        <v>201</v>
      </c>
      <c r="I583" t="s">
        <v>306</v>
      </c>
      <c r="J583" t="s">
        <v>225</v>
      </c>
      <c r="K583" t="s">
        <v>1426</v>
      </c>
      <c r="L583" s="10">
        <v>41.84</v>
      </c>
      <c r="M583" s="10">
        <v>86.2</v>
      </c>
      <c r="N583" s="17">
        <v>0.226</v>
      </c>
      <c r="O583">
        <v>27</v>
      </c>
      <c r="P583" t="str">
        <f t="shared" si="199"/>
        <v>Valid</v>
      </c>
      <c r="Q583" s="10">
        <f t="shared" si="200"/>
        <v>86.2</v>
      </c>
      <c r="R583" t="b">
        <f t="shared" si="201"/>
        <v>0</v>
      </c>
      <c r="S583" s="17">
        <f t="shared" si="202"/>
        <v>0.226</v>
      </c>
      <c r="T583">
        <f t="shared" si="203"/>
        <v>8</v>
      </c>
      <c r="U583" s="26">
        <f t="shared" si="204"/>
        <v>44963</v>
      </c>
      <c r="V583">
        <f t="shared" si="205"/>
        <v>8</v>
      </c>
      <c r="W583" s="10">
        <f t="shared" si="206"/>
        <v>232214.0076</v>
      </c>
      <c r="X583" s="10">
        <f t="shared" si="207"/>
        <v>2327.4</v>
      </c>
      <c r="Y583" s="10">
        <f t="shared" si="208"/>
        <v>229886.6076</v>
      </c>
      <c r="Z583" s="14">
        <f t="shared" si="212"/>
        <v>0.989977348808307</v>
      </c>
      <c r="AA583" t="s">
        <v>1564</v>
      </c>
      <c r="AB583" t="str">
        <f t="shared" si="209"/>
        <v>Q1-2023</v>
      </c>
      <c r="AC583" t="str">
        <f t="shared" si="210"/>
        <v>Americas → Brazil → Brasília</v>
      </c>
      <c r="AD583" t="str">
        <f t="shared" si="211"/>
        <v>Peripherals</v>
      </c>
      <c r="AE583" s="8" t="str">
        <f t="shared" si="198"/>
        <v>Low</v>
      </c>
      <c r="AF583" t="str">
        <f t="shared" si="213"/>
        <v>BRAZIL</v>
      </c>
      <c r="AG583" s="7">
        <v>44955</v>
      </c>
      <c r="AH583" t="str">
        <f t="shared" si="214"/>
        <v>Jan-2023</v>
      </c>
      <c r="AI583" s="9">
        <f t="shared" si="215"/>
        <v>44957</v>
      </c>
      <c r="AJ583">
        <f t="shared" si="219"/>
        <v>0</v>
      </c>
      <c r="AK583">
        <f t="shared" si="216"/>
        <v>1</v>
      </c>
      <c r="AL583" s="17">
        <f>MIN(N583,'Scenario Modelling'!$B$2)</f>
        <v>0.226</v>
      </c>
      <c r="AM583" s="10">
        <f>L583*(1+'Scenario Modelling'!$B$3)</f>
        <v>48.116</v>
      </c>
      <c r="AN583">
        <f>O583*(1+'Scenario Modelling'!$B$4)</f>
        <v>32.4</v>
      </c>
      <c r="AO583" s="28">
        <f t="shared" si="217"/>
        <v>2161.68912</v>
      </c>
      <c r="AP583" s="10">
        <f t="shared" si="218"/>
        <v>602.73072</v>
      </c>
    </row>
    <row r="584" spans="1:42">
      <c r="A584" t="s">
        <v>1427</v>
      </c>
      <c r="B584" s="7">
        <v>45541</v>
      </c>
      <c r="C584" s="7">
        <v>45539</v>
      </c>
      <c r="D584" t="s">
        <v>206</v>
      </c>
      <c r="E584" t="s">
        <v>207</v>
      </c>
      <c r="F584" t="s">
        <v>208</v>
      </c>
      <c r="G584" t="s">
        <v>180</v>
      </c>
      <c r="H584" t="s">
        <v>259</v>
      </c>
      <c r="I584" t="s">
        <v>236</v>
      </c>
      <c r="J584" t="s">
        <v>218</v>
      </c>
      <c r="K584" t="s">
        <v>1428</v>
      </c>
      <c r="L584" s="10">
        <v>1368.17</v>
      </c>
      <c r="M584" s="10">
        <v>2307.75</v>
      </c>
      <c r="N584" s="17">
        <v>0.163</v>
      </c>
      <c r="O584">
        <v>21</v>
      </c>
      <c r="P584" t="str">
        <f t="shared" si="199"/>
        <v>Valid</v>
      </c>
      <c r="Q584" s="10">
        <f t="shared" si="200"/>
        <v>2307.75</v>
      </c>
      <c r="R584" t="b">
        <f t="shared" si="201"/>
        <v>0</v>
      </c>
      <c r="S584" s="17">
        <f t="shared" si="202"/>
        <v>0.163</v>
      </c>
      <c r="T584">
        <f t="shared" si="203"/>
        <v>-2</v>
      </c>
      <c r="U584" s="26">
        <f t="shared" si="204"/>
        <v>45548</v>
      </c>
      <c r="V584">
        <f t="shared" si="205"/>
        <v>7</v>
      </c>
      <c r="W584" s="10">
        <f t="shared" si="206"/>
        <v>4838375.57175</v>
      </c>
      <c r="X584" s="10">
        <f t="shared" si="207"/>
        <v>48462.75</v>
      </c>
      <c r="Y584" s="10">
        <f t="shared" si="208"/>
        <v>4789912.82175</v>
      </c>
      <c r="Z584" s="14">
        <f t="shared" si="212"/>
        <v>0.989983673387622</v>
      </c>
      <c r="AA584" t="s">
        <v>1592</v>
      </c>
      <c r="AB584" t="str">
        <f t="shared" si="209"/>
        <v>Q3-2024</v>
      </c>
      <c r="AC584" t="str">
        <f t="shared" si="210"/>
        <v>Asia → Japan → Osaka</v>
      </c>
      <c r="AD584" t="str">
        <f t="shared" si="211"/>
        <v>Devices</v>
      </c>
      <c r="AE584" s="8" t="str">
        <f t="shared" si="198"/>
        <v>Medium</v>
      </c>
      <c r="AF584" t="str">
        <f t="shared" si="213"/>
        <v>JAPAN</v>
      </c>
      <c r="AG584" s="7">
        <v>44988</v>
      </c>
      <c r="AH584" t="str">
        <f t="shared" si="214"/>
        <v>Mar-2023</v>
      </c>
      <c r="AI584" s="9">
        <f t="shared" si="215"/>
        <v>45565</v>
      </c>
      <c r="AJ584">
        <f t="shared" si="219"/>
        <v>1</v>
      </c>
      <c r="AK584">
        <f t="shared" si="216"/>
        <v>0</v>
      </c>
      <c r="AL584" s="17">
        <f>MIN(N584,'Scenario Modelling'!$B$2)</f>
        <v>0.163</v>
      </c>
      <c r="AM584" s="10">
        <f>L584*(1+'Scenario Modelling'!$B$3)</f>
        <v>1573.3955</v>
      </c>
      <c r="AN584">
        <f>O584*(1+'Scenario Modelling'!$B$4)</f>
        <v>25.2</v>
      </c>
      <c r="AO584" s="28">
        <f t="shared" si="217"/>
        <v>48675.9861</v>
      </c>
      <c r="AP584" s="10">
        <f t="shared" si="218"/>
        <v>9026.4195</v>
      </c>
    </row>
    <row r="585" spans="1:42">
      <c r="A585" t="s">
        <v>1429</v>
      </c>
      <c r="B585" s="7">
        <v>45507</v>
      </c>
      <c r="C585" s="7">
        <v>45513</v>
      </c>
      <c r="D585" t="s">
        <v>177</v>
      </c>
      <c r="E585" t="s">
        <v>178</v>
      </c>
      <c r="F585" t="s">
        <v>274</v>
      </c>
      <c r="G585" t="s">
        <v>209</v>
      </c>
      <c r="H585" t="s">
        <v>201</v>
      </c>
      <c r="I585" t="s">
        <v>253</v>
      </c>
      <c r="J585" t="s">
        <v>218</v>
      </c>
      <c r="K585" t="s">
        <v>1430</v>
      </c>
      <c r="L585" s="10">
        <v>643.21</v>
      </c>
      <c r="M585" s="10">
        <v>1112.81</v>
      </c>
      <c r="N585" s="17">
        <v>0.141</v>
      </c>
      <c r="O585">
        <v>4</v>
      </c>
      <c r="P585" t="str">
        <f t="shared" si="199"/>
        <v>Valid</v>
      </c>
      <c r="Q585" s="10">
        <f t="shared" si="200"/>
        <v>1112.81</v>
      </c>
      <c r="R585" t="b">
        <f t="shared" si="201"/>
        <v>0</v>
      </c>
      <c r="S585" s="17">
        <f t="shared" si="202"/>
        <v>0.141</v>
      </c>
      <c r="T585">
        <f t="shared" si="203"/>
        <v>6</v>
      </c>
      <c r="U585" s="26">
        <f t="shared" si="204"/>
        <v>45513</v>
      </c>
      <c r="V585">
        <f t="shared" si="205"/>
        <v>6</v>
      </c>
      <c r="W585" s="10">
        <f t="shared" si="206"/>
        <v>444496.37516</v>
      </c>
      <c r="X585" s="10">
        <f t="shared" si="207"/>
        <v>4451.24</v>
      </c>
      <c r="Y585" s="10">
        <f t="shared" si="208"/>
        <v>440045.13516</v>
      </c>
      <c r="Z585" s="14">
        <f t="shared" si="212"/>
        <v>0.989985880090928</v>
      </c>
      <c r="AA585" t="s">
        <v>1581</v>
      </c>
      <c r="AB585" t="str">
        <f t="shared" si="209"/>
        <v>Q3-2024</v>
      </c>
      <c r="AC585" t="str">
        <f t="shared" si="210"/>
        <v>Africa → Kenya → Mombasa</v>
      </c>
      <c r="AD585" t="str">
        <f t="shared" si="211"/>
        <v>Devices</v>
      </c>
      <c r="AE585" s="8" t="str">
        <f t="shared" si="198"/>
        <v>Medium</v>
      </c>
      <c r="AF585" t="str">
        <f t="shared" si="213"/>
        <v>KENYA</v>
      </c>
      <c r="AG585" s="7">
        <v>44946</v>
      </c>
      <c r="AH585" t="str">
        <f t="shared" si="214"/>
        <v>Jan-2023</v>
      </c>
      <c r="AI585" s="9">
        <f t="shared" si="215"/>
        <v>45535</v>
      </c>
      <c r="AJ585">
        <f t="shared" si="219"/>
        <v>1</v>
      </c>
      <c r="AK585">
        <f t="shared" si="216"/>
        <v>0</v>
      </c>
      <c r="AL585" s="17">
        <f>MIN(N585,'Scenario Modelling'!$B$2)</f>
        <v>0.141</v>
      </c>
      <c r="AM585" s="10">
        <f>L585*(1+'Scenario Modelling'!$B$3)</f>
        <v>739.6915</v>
      </c>
      <c r="AN585">
        <f>O585*(1+'Scenario Modelling'!$B$4)</f>
        <v>4.8</v>
      </c>
      <c r="AO585" s="28">
        <f t="shared" si="217"/>
        <v>4588.338192</v>
      </c>
      <c r="AP585" s="10">
        <f t="shared" si="218"/>
        <v>1037.818992</v>
      </c>
    </row>
    <row r="586" spans="1:42">
      <c r="A586" t="s">
        <v>1431</v>
      </c>
      <c r="B586" s="7">
        <v>45764</v>
      </c>
      <c r="C586" s="7">
        <v>45764</v>
      </c>
      <c r="D586" t="s">
        <v>213</v>
      </c>
      <c r="E586" t="s">
        <v>234</v>
      </c>
      <c r="F586" t="s">
        <v>235</v>
      </c>
      <c r="G586" t="s">
        <v>180</v>
      </c>
      <c r="H586" t="s">
        <v>216</v>
      </c>
      <c r="I586" t="s">
        <v>210</v>
      </c>
      <c r="J586" t="s">
        <v>203</v>
      </c>
      <c r="K586" t="s">
        <v>1432</v>
      </c>
      <c r="L586" s="10">
        <v>719.41</v>
      </c>
      <c r="M586" s="10">
        <v>1125.99</v>
      </c>
      <c r="N586" s="17">
        <v>0.041</v>
      </c>
      <c r="O586">
        <v>21</v>
      </c>
      <c r="P586" t="str">
        <f t="shared" si="199"/>
        <v>Valid</v>
      </c>
      <c r="Q586" s="10">
        <f t="shared" si="200"/>
        <v>1125.99</v>
      </c>
      <c r="R586" t="b">
        <f t="shared" si="201"/>
        <v>0</v>
      </c>
      <c r="S586" s="17">
        <f t="shared" si="202"/>
        <v>0.041</v>
      </c>
      <c r="T586">
        <f t="shared" si="203"/>
        <v>0</v>
      </c>
      <c r="U586" s="26">
        <f t="shared" si="204"/>
        <v>45764</v>
      </c>
      <c r="V586">
        <f t="shared" si="205"/>
        <v>0</v>
      </c>
      <c r="W586" s="10">
        <f t="shared" si="206"/>
        <v>2363609.52261</v>
      </c>
      <c r="X586" s="10">
        <f t="shared" si="207"/>
        <v>23645.79</v>
      </c>
      <c r="Y586" s="10">
        <f t="shared" si="208"/>
        <v>2339963.73261</v>
      </c>
      <c r="Z586" s="14">
        <f t="shared" si="212"/>
        <v>0.98999589831831</v>
      </c>
      <c r="AA586" t="s">
        <v>1578</v>
      </c>
      <c r="AB586" t="str">
        <f t="shared" si="209"/>
        <v>Q2-2025</v>
      </c>
      <c r="AC586" t="str">
        <f t="shared" si="210"/>
        <v>Americas → Brazil → São Paulo</v>
      </c>
      <c r="AD586" t="str">
        <f t="shared" si="211"/>
        <v>Devices</v>
      </c>
      <c r="AE586" s="8" t="str">
        <f t="shared" si="198"/>
        <v>High</v>
      </c>
      <c r="AF586" t="str">
        <f t="shared" si="213"/>
        <v>BRAZIL</v>
      </c>
      <c r="AG586" s="7">
        <v>44955</v>
      </c>
      <c r="AH586" t="str">
        <f t="shared" si="214"/>
        <v>Jan-2023</v>
      </c>
      <c r="AI586" s="9">
        <f t="shared" si="215"/>
        <v>45777</v>
      </c>
      <c r="AJ586">
        <f t="shared" si="219"/>
        <v>1</v>
      </c>
      <c r="AK586">
        <f t="shared" si="216"/>
        <v>0</v>
      </c>
      <c r="AL586" s="17">
        <f>MIN(N586,'Scenario Modelling'!$B$2)</f>
        <v>0.041</v>
      </c>
      <c r="AM586" s="10">
        <f>L586*(1+'Scenario Modelling'!$B$3)</f>
        <v>827.3215</v>
      </c>
      <c r="AN586">
        <f>O586*(1+'Scenario Modelling'!$B$4)</f>
        <v>25.2</v>
      </c>
      <c r="AO586" s="28">
        <f t="shared" si="217"/>
        <v>27211.575132</v>
      </c>
      <c r="AP586" s="10">
        <f t="shared" si="218"/>
        <v>6363.073332</v>
      </c>
    </row>
    <row r="587" spans="1:42">
      <c r="A587" t="s">
        <v>1433</v>
      </c>
      <c r="B587" s="7">
        <v>45049</v>
      </c>
      <c r="C587" s="7">
        <v>45062</v>
      </c>
      <c r="D587" t="s">
        <v>213</v>
      </c>
      <c r="E587" t="s">
        <v>283</v>
      </c>
      <c r="F587" t="s">
        <v>548</v>
      </c>
      <c r="G587" t="s">
        <v>180</v>
      </c>
      <c r="H587" t="s">
        <v>201</v>
      </c>
      <c r="I587" t="s">
        <v>210</v>
      </c>
      <c r="J587" t="s">
        <v>203</v>
      </c>
      <c r="K587" t="s">
        <v>1434</v>
      </c>
      <c r="L587" s="10">
        <v>64.5</v>
      </c>
      <c r="M587" s="10">
        <v>123.62</v>
      </c>
      <c r="N587" s="17">
        <v>0</v>
      </c>
      <c r="O587">
        <v>3</v>
      </c>
      <c r="P587" t="str">
        <f t="shared" si="199"/>
        <v>Valid</v>
      </c>
      <c r="Q587" s="10">
        <f t="shared" si="200"/>
        <v>123.62</v>
      </c>
      <c r="R587" t="b">
        <f t="shared" si="201"/>
        <v>0</v>
      </c>
      <c r="S587" s="17">
        <f t="shared" si="202"/>
        <v>0</v>
      </c>
      <c r="T587">
        <f t="shared" si="203"/>
        <v>13</v>
      </c>
      <c r="U587" s="26">
        <f t="shared" si="204"/>
        <v>45062</v>
      </c>
      <c r="V587">
        <f t="shared" si="205"/>
        <v>13</v>
      </c>
      <c r="W587" s="10">
        <f t="shared" si="206"/>
        <v>37086</v>
      </c>
      <c r="X587" s="10">
        <f t="shared" si="207"/>
        <v>370.86</v>
      </c>
      <c r="Y587" s="10">
        <f t="shared" si="208"/>
        <v>36715.14</v>
      </c>
      <c r="Z587" s="14">
        <f t="shared" si="212"/>
        <v>0.99</v>
      </c>
      <c r="AA587" t="s">
        <v>1574</v>
      </c>
      <c r="AB587" t="str">
        <f t="shared" si="209"/>
        <v>Q2-2023</v>
      </c>
      <c r="AC587" t="str">
        <f t="shared" si="210"/>
        <v>Americas → USA → New York</v>
      </c>
      <c r="AD587" t="str">
        <f t="shared" si="211"/>
        <v>Devices</v>
      </c>
      <c r="AE587" s="8" t="str">
        <f t="shared" si="198"/>
        <v>Low</v>
      </c>
      <c r="AF587" t="str">
        <f t="shared" si="213"/>
        <v>USA</v>
      </c>
      <c r="AG587" s="7">
        <v>44939</v>
      </c>
      <c r="AH587" t="str">
        <f t="shared" si="214"/>
        <v>Jan-2023</v>
      </c>
      <c r="AI587" s="9">
        <f t="shared" si="215"/>
        <v>45077</v>
      </c>
      <c r="AJ587">
        <f t="shared" si="219"/>
        <v>0</v>
      </c>
      <c r="AK587">
        <f t="shared" si="216"/>
        <v>0</v>
      </c>
      <c r="AL587" s="17">
        <f>MIN(N587,'Scenario Modelling'!$B$2)</f>
        <v>0</v>
      </c>
      <c r="AM587" s="10">
        <f>L587*(1+'Scenario Modelling'!$B$3)</f>
        <v>74.175</v>
      </c>
      <c r="AN587">
        <f>O587*(1+'Scenario Modelling'!$B$4)</f>
        <v>3.6</v>
      </c>
      <c r="AO587" s="28">
        <f t="shared" si="217"/>
        <v>445.032</v>
      </c>
      <c r="AP587" s="10">
        <f t="shared" si="218"/>
        <v>178.002</v>
      </c>
    </row>
    <row r="588" spans="1:42">
      <c r="A588" t="s">
        <v>1435</v>
      </c>
      <c r="B588" s="7">
        <v>45364</v>
      </c>
      <c r="C588" s="7">
        <v>45388</v>
      </c>
      <c r="D588" t="s">
        <v>177</v>
      </c>
      <c r="E588" t="s">
        <v>186</v>
      </c>
      <c r="F588" t="s">
        <v>228</v>
      </c>
      <c r="G588" t="s">
        <v>209</v>
      </c>
      <c r="H588" t="s">
        <v>216</v>
      </c>
      <c r="I588" t="s">
        <v>210</v>
      </c>
      <c r="J588" t="s">
        <v>183</v>
      </c>
      <c r="K588" t="s">
        <v>1436</v>
      </c>
      <c r="L588" s="10">
        <v>1232.78</v>
      </c>
      <c r="M588" s="10">
        <v>1731.75</v>
      </c>
      <c r="N588" s="17">
        <v>0.093</v>
      </c>
      <c r="O588">
        <v>16</v>
      </c>
      <c r="P588" t="str">
        <f t="shared" si="199"/>
        <v>Valid</v>
      </c>
      <c r="Q588" s="10">
        <f t="shared" si="200"/>
        <v>1731.75</v>
      </c>
      <c r="R588" t="b">
        <f t="shared" si="201"/>
        <v>0</v>
      </c>
      <c r="S588" s="17">
        <f t="shared" si="202"/>
        <v>0.093</v>
      </c>
      <c r="T588">
        <f t="shared" si="203"/>
        <v>24</v>
      </c>
      <c r="U588" s="26">
        <f t="shared" si="204"/>
        <v>45388</v>
      </c>
      <c r="V588">
        <f t="shared" si="205"/>
        <v>24</v>
      </c>
      <c r="W588" s="10">
        <f t="shared" si="206"/>
        <v>2768223.156</v>
      </c>
      <c r="X588" s="10">
        <f t="shared" si="207"/>
        <v>27708</v>
      </c>
      <c r="Y588" s="10">
        <f t="shared" si="208"/>
        <v>2740515.156</v>
      </c>
      <c r="Z588" s="14">
        <f t="shared" si="212"/>
        <v>0.989990691342949</v>
      </c>
      <c r="AA588" t="s">
        <v>1560</v>
      </c>
      <c r="AB588" t="str">
        <f t="shared" si="209"/>
        <v>Q1-2024</v>
      </c>
      <c r="AC588" t="str">
        <f t="shared" si="210"/>
        <v>Africa → Nigeria → Abuja</v>
      </c>
      <c r="AD588" t="str">
        <f t="shared" si="211"/>
        <v>Support</v>
      </c>
      <c r="AE588" s="8" t="str">
        <f t="shared" si="198"/>
        <v>Medium</v>
      </c>
      <c r="AF588" t="str">
        <f t="shared" si="213"/>
        <v>NIGERIA</v>
      </c>
      <c r="AG588" s="7">
        <v>44941</v>
      </c>
      <c r="AH588" t="str">
        <f t="shared" si="214"/>
        <v>Jan-2023</v>
      </c>
      <c r="AI588" s="9">
        <f t="shared" si="215"/>
        <v>45382</v>
      </c>
      <c r="AJ588">
        <f t="shared" si="219"/>
        <v>0</v>
      </c>
      <c r="AK588">
        <f t="shared" si="216"/>
        <v>0</v>
      </c>
      <c r="AL588" s="17">
        <f>MIN(N588,'Scenario Modelling'!$B$2)</f>
        <v>0.093</v>
      </c>
      <c r="AM588" s="10">
        <f>L588*(1+'Scenario Modelling'!$B$3)</f>
        <v>1417.697</v>
      </c>
      <c r="AN588">
        <f>O588*(1+'Scenario Modelling'!$B$4)</f>
        <v>19.2</v>
      </c>
      <c r="AO588" s="28">
        <f t="shared" si="217"/>
        <v>30157.3872</v>
      </c>
      <c r="AP588" s="10">
        <f t="shared" si="218"/>
        <v>2937.6048</v>
      </c>
    </row>
    <row r="589" spans="1:42">
      <c r="A589" t="s">
        <v>1437</v>
      </c>
      <c r="B589" s="7">
        <v>45459</v>
      </c>
      <c r="C589" s="7">
        <v>45464</v>
      </c>
      <c r="D589" t="s">
        <v>206</v>
      </c>
      <c r="E589" t="s">
        <v>207</v>
      </c>
      <c r="F589" t="s">
        <v>375</v>
      </c>
      <c r="G589" t="s">
        <v>223</v>
      </c>
      <c r="H589" t="s">
        <v>216</v>
      </c>
      <c r="I589" t="s">
        <v>245</v>
      </c>
      <c r="J589" t="s">
        <v>203</v>
      </c>
      <c r="K589" t="s">
        <v>1438</v>
      </c>
      <c r="L589" s="10">
        <v>1367.13</v>
      </c>
      <c r="M589" s="10">
        <v>3062.01</v>
      </c>
      <c r="N589" s="17">
        <v>0.103</v>
      </c>
      <c r="O589">
        <v>25</v>
      </c>
      <c r="P589" t="str">
        <f t="shared" si="199"/>
        <v>Valid</v>
      </c>
      <c r="Q589" s="10">
        <f t="shared" si="200"/>
        <v>3062.01</v>
      </c>
      <c r="R589" t="b">
        <f t="shared" si="201"/>
        <v>0</v>
      </c>
      <c r="S589" s="17">
        <f t="shared" si="202"/>
        <v>0.103</v>
      </c>
      <c r="T589">
        <f t="shared" si="203"/>
        <v>5</v>
      </c>
      <c r="U589" s="26">
        <f t="shared" si="204"/>
        <v>45464</v>
      </c>
      <c r="V589">
        <f t="shared" si="205"/>
        <v>5</v>
      </c>
      <c r="W589" s="10">
        <f t="shared" si="206"/>
        <v>7647140.32425</v>
      </c>
      <c r="X589" s="10">
        <f t="shared" si="207"/>
        <v>76550.25</v>
      </c>
      <c r="Y589" s="10">
        <f t="shared" si="208"/>
        <v>7570590.07425</v>
      </c>
      <c r="Z589" s="14">
        <f t="shared" si="212"/>
        <v>0.989989689380061</v>
      </c>
      <c r="AA589" t="s">
        <v>1576</v>
      </c>
      <c r="AB589" t="str">
        <f t="shared" si="209"/>
        <v>Q2-2024</v>
      </c>
      <c r="AC589" t="str">
        <f t="shared" si="210"/>
        <v>Asia → Japan → Tokyo</v>
      </c>
      <c r="AD589" t="str">
        <f t="shared" si="211"/>
        <v>Devices</v>
      </c>
      <c r="AE589" s="8" t="str">
        <f t="shared" si="198"/>
        <v>Medium</v>
      </c>
      <c r="AF589" t="str">
        <f t="shared" si="213"/>
        <v>JAPAN</v>
      </c>
      <c r="AG589" s="7">
        <v>44988</v>
      </c>
      <c r="AH589" t="str">
        <f t="shared" si="214"/>
        <v>Mar-2023</v>
      </c>
      <c r="AI589" s="9">
        <f t="shared" si="215"/>
        <v>45473</v>
      </c>
      <c r="AJ589">
        <f t="shared" si="219"/>
        <v>1</v>
      </c>
      <c r="AK589">
        <f t="shared" si="216"/>
        <v>0</v>
      </c>
      <c r="AL589" s="17">
        <f>MIN(N589,'Scenario Modelling'!$B$2)</f>
        <v>0.103</v>
      </c>
      <c r="AM589" s="10">
        <f>L589*(1+'Scenario Modelling'!$B$3)</f>
        <v>1572.1995</v>
      </c>
      <c r="AN589">
        <f>O589*(1+'Scenario Modelling'!$B$4)</f>
        <v>30</v>
      </c>
      <c r="AO589" s="28">
        <f t="shared" si="217"/>
        <v>82398.6891</v>
      </c>
      <c r="AP589" s="10">
        <f t="shared" si="218"/>
        <v>35232.7041</v>
      </c>
    </row>
    <row r="590" spans="1:42">
      <c r="A590" t="s">
        <v>1439</v>
      </c>
      <c r="B590" s="7">
        <v>45703</v>
      </c>
      <c r="C590" s="7">
        <v>45715</v>
      </c>
      <c r="D590" t="s">
        <v>239</v>
      </c>
      <c r="E590" t="s">
        <v>251</v>
      </c>
      <c r="F590" t="s">
        <v>299</v>
      </c>
      <c r="G590" t="s">
        <v>200</v>
      </c>
      <c r="H590" t="s">
        <v>259</v>
      </c>
      <c r="I590" t="s">
        <v>256</v>
      </c>
      <c r="J590" t="s">
        <v>242</v>
      </c>
      <c r="K590" t="s">
        <v>1440</v>
      </c>
      <c r="L590" s="10">
        <v>1027.26</v>
      </c>
      <c r="M590" s="10">
        <v>2200.41</v>
      </c>
      <c r="N590" s="17">
        <v>0.088</v>
      </c>
      <c r="O590">
        <v>6</v>
      </c>
      <c r="P590" t="str">
        <f t="shared" si="199"/>
        <v>Valid</v>
      </c>
      <c r="Q590" s="10">
        <f t="shared" si="200"/>
        <v>2200.41</v>
      </c>
      <c r="R590" t="b">
        <f t="shared" si="201"/>
        <v>0</v>
      </c>
      <c r="S590" s="17">
        <f t="shared" si="202"/>
        <v>0.088</v>
      </c>
      <c r="T590">
        <f t="shared" si="203"/>
        <v>12</v>
      </c>
      <c r="U590" s="26">
        <f t="shared" si="204"/>
        <v>45715</v>
      </c>
      <c r="V590">
        <f t="shared" si="205"/>
        <v>12</v>
      </c>
      <c r="W590" s="10">
        <f t="shared" si="206"/>
        <v>1319084.18352</v>
      </c>
      <c r="X590" s="10">
        <f t="shared" si="207"/>
        <v>13202.46</v>
      </c>
      <c r="Y590" s="10">
        <f t="shared" si="208"/>
        <v>1305881.72352</v>
      </c>
      <c r="Z590" s="14">
        <f t="shared" si="212"/>
        <v>0.989991192249179</v>
      </c>
      <c r="AA590" t="s">
        <v>1586</v>
      </c>
      <c r="AB590" t="str">
        <f t="shared" si="209"/>
        <v>Q1-2025</v>
      </c>
      <c r="AC590" t="str">
        <f t="shared" si="210"/>
        <v>Europe → France → Lyon</v>
      </c>
      <c r="AD590" t="str">
        <f t="shared" si="211"/>
        <v>Support</v>
      </c>
      <c r="AE590" s="8" t="str">
        <f t="shared" si="198"/>
        <v>High</v>
      </c>
      <c r="AF590" t="str">
        <f t="shared" si="213"/>
        <v>FRANCE</v>
      </c>
      <c r="AG590" s="7">
        <v>44936</v>
      </c>
      <c r="AH590" t="str">
        <f t="shared" si="214"/>
        <v>Jan-2023</v>
      </c>
      <c r="AI590" s="9">
        <f t="shared" si="215"/>
        <v>45716</v>
      </c>
      <c r="AJ590">
        <f t="shared" si="219"/>
        <v>0</v>
      </c>
      <c r="AK590">
        <f t="shared" si="216"/>
        <v>0</v>
      </c>
      <c r="AL590" s="17">
        <f>MIN(N590,'Scenario Modelling'!$B$2)</f>
        <v>0.088</v>
      </c>
      <c r="AM590" s="10">
        <f>L590*(1+'Scenario Modelling'!$B$3)</f>
        <v>1181.349</v>
      </c>
      <c r="AN590">
        <f>O590*(1+'Scenario Modelling'!$B$4)</f>
        <v>7.2</v>
      </c>
      <c r="AO590" s="28">
        <f t="shared" si="217"/>
        <v>14448.772224</v>
      </c>
      <c r="AP590" s="10">
        <f t="shared" si="218"/>
        <v>5943.059424</v>
      </c>
    </row>
    <row r="591" spans="1:42">
      <c r="A591" t="s">
        <v>1441</v>
      </c>
      <c r="B591" s="7">
        <v>45019</v>
      </c>
      <c r="C591" s="7">
        <v>45032</v>
      </c>
      <c r="D591" t="s">
        <v>239</v>
      </c>
      <c r="E591" t="s">
        <v>251</v>
      </c>
      <c r="F591" t="s">
        <v>252</v>
      </c>
      <c r="G591" t="s">
        <v>200</v>
      </c>
      <c r="H591" t="s">
        <v>201</v>
      </c>
      <c r="I591" t="s">
        <v>271</v>
      </c>
      <c r="J591" t="s">
        <v>242</v>
      </c>
      <c r="K591" t="s">
        <v>1442</v>
      </c>
      <c r="L591" s="10">
        <v>790.54</v>
      </c>
      <c r="M591" s="10">
        <v>601.49</v>
      </c>
      <c r="N591" s="17">
        <v>0</v>
      </c>
      <c r="O591">
        <v>15</v>
      </c>
      <c r="P591" t="str">
        <f t="shared" si="199"/>
        <v>Valid</v>
      </c>
      <c r="Q591" s="10">
        <f t="shared" si="200"/>
        <v>601.49</v>
      </c>
      <c r="R591" t="b">
        <f t="shared" si="201"/>
        <v>0</v>
      </c>
      <c r="S591" s="17">
        <f t="shared" si="202"/>
        <v>0</v>
      </c>
      <c r="T591">
        <f t="shared" si="203"/>
        <v>13</v>
      </c>
      <c r="U591" s="26">
        <f t="shared" si="204"/>
        <v>45032</v>
      </c>
      <c r="V591">
        <f t="shared" si="205"/>
        <v>13</v>
      </c>
      <c r="W591" s="10">
        <f t="shared" si="206"/>
        <v>902235</v>
      </c>
      <c r="X591" s="10">
        <f t="shared" si="207"/>
        <v>9022.35</v>
      </c>
      <c r="Y591" s="10">
        <f t="shared" si="208"/>
        <v>893212.65</v>
      </c>
      <c r="Z591" s="14">
        <f t="shared" si="212"/>
        <v>0.99</v>
      </c>
      <c r="AA591" t="s">
        <v>1571</v>
      </c>
      <c r="AB591" t="str">
        <f t="shared" si="209"/>
        <v>Q2-2023</v>
      </c>
      <c r="AC591" t="str">
        <f t="shared" si="210"/>
        <v>Europe → France → Marseille</v>
      </c>
      <c r="AD591" t="str">
        <f t="shared" si="211"/>
        <v>Support</v>
      </c>
      <c r="AE591" s="8" t="str">
        <f t="shared" si="198"/>
        <v>Low</v>
      </c>
      <c r="AF591" t="str">
        <f t="shared" si="213"/>
        <v>FRANCE</v>
      </c>
      <c r="AG591" s="7">
        <v>44936</v>
      </c>
      <c r="AH591" t="str">
        <f t="shared" si="214"/>
        <v>Jan-2023</v>
      </c>
      <c r="AI591" s="9">
        <f t="shared" si="215"/>
        <v>45046</v>
      </c>
      <c r="AJ591">
        <f t="shared" si="219"/>
        <v>0</v>
      </c>
      <c r="AK591">
        <f t="shared" si="216"/>
        <v>0</v>
      </c>
      <c r="AL591" s="17">
        <f>MIN(N591,'Scenario Modelling'!$B$2)</f>
        <v>0</v>
      </c>
      <c r="AM591" s="10">
        <f>L591*(1+'Scenario Modelling'!$B$3)</f>
        <v>909.121</v>
      </c>
      <c r="AN591">
        <f>O591*(1+'Scenario Modelling'!$B$4)</f>
        <v>18</v>
      </c>
      <c r="AO591" s="28">
        <f t="shared" si="217"/>
        <v>10826.82</v>
      </c>
      <c r="AP591" s="10">
        <f t="shared" si="218"/>
        <v>-5537.358</v>
      </c>
    </row>
    <row r="592" spans="1:42">
      <c r="A592" t="s">
        <v>1443</v>
      </c>
      <c r="B592" s="7">
        <v>45899</v>
      </c>
      <c r="C592" s="7">
        <v>45922</v>
      </c>
      <c r="D592" t="s">
        <v>239</v>
      </c>
      <c r="E592" t="s">
        <v>251</v>
      </c>
      <c r="F592" t="s">
        <v>252</v>
      </c>
      <c r="G592" t="s">
        <v>180</v>
      </c>
      <c r="H592" t="s">
        <v>259</v>
      </c>
      <c r="I592" t="s">
        <v>224</v>
      </c>
      <c r="J592" t="s">
        <v>183</v>
      </c>
      <c r="K592" t="s">
        <v>1444</v>
      </c>
      <c r="L592" s="10">
        <v>663.9</v>
      </c>
      <c r="M592" s="10">
        <v>947.77</v>
      </c>
      <c r="N592" s="17">
        <v>0.174</v>
      </c>
      <c r="O592">
        <v>15</v>
      </c>
      <c r="P592" t="str">
        <f t="shared" si="199"/>
        <v>Valid</v>
      </c>
      <c r="Q592" s="10">
        <f t="shared" si="200"/>
        <v>947.77</v>
      </c>
      <c r="R592" t="b">
        <f t="shared" si="201"/>
        <v>0</v>
      </c>
      <c r="S592" s="17">
        <f t="shared" si="202"/>
        <v>0.174</v>
      </c>
      <c r="T592">
        <f t="shared" si="203"/>
        <v>23</v>
      </c>
      <c r="U592" s="26">
        <f t="shared" si="204"/>
        <v>45922</v>
      </c>
      <c r="V592">
        <f t="shared" si="205"/>
        <v>23</v>
      </c>
      <c r="W592" s="10">
        <f t="shared" si="206"/>
        <v>1419181.3203</v>
      </c>
      <c r="X592" s="10">
        <f t="shared" si="207"/>
        <v>14216.55</v>
      </c>
      <c r="Y592" s="10">
        <f t="shared" si="208"/>
        <v>1404964.7703</v>
      </c>
      <c r="Z592" s="14">
        <f t="shared" si="212"/>
        <v>0.989982569671228</v>
      </c>
      <c r="AA592" t="s">
        <v>1590</v>
      </c>
      <c r="AB592" t="str">
        <f t="shared" si="209"/>
        <v>Q3-2025</v>
      </c>
      <c r="AC592" t="str">
        <f t="shared" si="210"/>
        <v>Europe → France → Marseille</v>
      </c>
      <c r="AD592" t="str">
        <f t="shared" si="211"/>
        <v>Support</v>
      </c>
      <c r="AE592" s="8" t="str">
        <f t="shared" si="198"/>
        <v>High</v>
      </c>
      <c r="AF592" t="str">
        <f t="shared" si="213"/>
        <v>FRANCE</v>
      </c>
      <c r="AG592" s="7">
        <v>44936</v>
      </c>
      <c r="AH592" t="str">
        <f t="shared" si="214"/>
        <v>Jan-2023</v>
      </c>
      <c r="AI592" s="9">
        <f t="shared" si="215"/>
        <v>45900</v>
      </c>
      <c r="AJ592">
        <f t="shared" si="219"/>
        <v>0</v>
      </c>
      <c r="AK592">
        <f t="shared" si="216"/>
        <v>0</v>
      </c>
      <c r="AL592" s="17">
        <f>MIN(N592,'Scenario Modelling'!$B$2)</f>
        <v>0.174</v>
      </c>
      <c r="AM592" s="10">
        <f>L592*(1+'Scenario Modelling'!$B$3)</f>
        <v>763.485</v>
      </c>
      <c r="AN592">
        <f>O592*(1+'Scenario Modelling'!$B$4)</f>
        <v>18</v>
      </c>
      <c r="AO592" s="28">
        <f t="shared" si="217"/>
        <v>14091.44436</v>
      </c>
      <c r="AP592" s="10">
        <f t="shared" si="218"/>
        <v>348.714360000002</v>
      </c>
    </row>
    <row r="593" spans="1:42">
      <c r="A593" t="s">
        <v>1445</v>
      </c>
      <c r="B593" s="7">
        <v>44984</v>
      </c>
      <c r="C593" s="7">
        <v>44983</v>
      </c>
      <c r="D593" t="s">
        <v>213</v>
      </c>
      <c r="E593" t="s">
        <v>283</v>
      </c>
      <c r="F593" t="s">
        <v>328</v>
      </c>
      <c r="G593" t="s">
        <v>200</v>
      </c>
      <c r="H593" t="s">
        <v>189</v>
      </c>
      <c r="I593" t="s">
        <v>210</v>
      </c>
      <c r="J593" t="s">
        <v>196</v>
      </c>
      <c r="K593" t="s">
        <v>1446</v>
      </c>
      <c r="L593" s="10">
        <v>1015.91</v>
      </c>
      <c r="M593" s="10">
        <v>2331.48</v>
      </c>
      <c r="N593" s="17">
        <v>0.146</v>
      </c>
      <c r="O593">
        <v>26</v>
      </c>
      <c r="P593" t="str">
        <f t="shared" si="199"/>
        <v>Valid</v>
      </c>
      <c r="Q593" s="10">
        <f t="shared" si="200"/>
        <v>2331.48</v>
      </c>
      <c r="R593" t="b">
        <f t="shared" si="201"/>
        <v>0</v>
      </c>
      <c r="S593" s="17">
        <f t="shared" si="202"/>
        <v>0.146</v>
      </c>
      <c r="T593">
        <f t="shared" si="203"/>
        <v>-1</v>
      </c>
      <c r="U593" s="26">
        <f t="shared" si="204"/>
        <v>44991</v>
      </c>
      <c r="V593">
        <f t="shared" si="205"/>
        <v>7</v>
      </c>
      <c r="W593" s="10">
        <f t="shared" si="206"/>
        <v>6052997.70192</v>
      </c>
      <c r="X593" s="10">
        <f t="shared" si="207"/>
        <v>60618.48</v>
      </c>
      <c r="Y593" s="10">
        <f t="shared" si="208"/>
        <v>5992379.22192</v>
      </c>
      <c r="Z593" s="14">
        <f t="shared" si="212"/>
        <v>0.989985378652833</v>
      </c>
      <c r="AA593" t="s">
        <v>1562</v>
      </c>
      <c r="AB593" t="str">
        <f t="shared" si="209"/>
        <v>Q1-2023</v>
      </c>
      <c r="AC593" t="str">
        <f t="shared" si="210"/>
        <v>Americas → USA → San Francisco</v>
      </c>
      <c r="AD593" t="str">
        <f t="shared" si="211"/>
        <v>Support</v>
      </c>
      <c r="AE593" s="8" t="str">
        <f t="shared" si="198"/>
        <v>Low</v>
      </c>
      <c r="AF593" t="str">
        <f t="shared" si="213"/>
        <v>USA</v>
      </c>
      <c r="AG593" s="7">
        <v>44939</v>
      </c>
      <c r="AH593" t="str">
        <f t="shared" si="214"/>
        <v>Jan-2023</v>
      </c>
      <c r="AI593" s="9">
        <f t="shared" si="215"/>
        <v>44985</v>
      </c>
      <c r="AJ593">
        <f t="shared" si="219"/>
        <v>1</v>
      </c>
      <c r="AK593">
        <f t="shared" si="216"/>
        <v>0</v>
      </c>
      <c r="AL593" s="17">
        <f>MIN(N593,'Scenario Modelling'!$B$2)</f>
        <v>0.146</v>
      </c>
      <c r="AM593" s="10">
        <f>L593*(1+'Scenario Modelling'!$B$3)</f>
        <v>1168.2965</v>
      </c>
      <c r="AN593">
        <f>O593*(1+'Scenario Modelling'!$B$4)</f>
        <v>31.2</v>
      </c>
      <c r="AO593" s="28">
        <f t="shared" si="217"/>
        <v>62121.818304</v>
      </c>
      <c r="AP593" s="10">
        <f t="shared" si="218"/>
        <v>25670.967504</v>
      </c>
    </row>
    <row r="594" spans="1:42">
      <c r="A594" t="s">
        <v>1447</v>
      </c>
      <c r="B594" s="7">
        <v>45504</v>
      </c>
      <c r="C594" s="7">
        <v>45519</v>
      </c>
      <c r="D594" t="s">
        <v>206</v>
      </c>
      <c r="E594" t="s">
        <v>207</v>
      </c>
      <c r="F594" t="s">
        <v>375</v>
      </c>
      <c r="G594" t="s">
        <v>180</v>
      </c>
      <c r="H594" t="s">
        <v>201</v>
      </c>
      <c r="I594" t="s">
        <v>245</v>
      </c>
      <c r="J594" t="s">
        <v>225</v>
      </c>
      <c r="K594" t="s">
        <v>1448</v>
      </c>
      <c r="L594" s="10">
        <v>1252.52</v>
      </c>
      <c r="M594" s="10">
        <v>1417.24</v>
      </c>
      <c r="N594" s="17">
        <v>0.192</v>
      </c>
      <c r="O594">
        <v>5</v>
      </c>
      <c r="P594" t="str">
        <f t="shared" si="199"/>
        <v>Valid</v>
      </c>
      <c r="Q594" s="10">
        <f t="shared" si="200"/>
        <v>1417.24</v>
      </c>
      <c r="R594" t="b">
        <f t="shared" si="201"/>
        <v>0</v>
      </c>
      <c r="S594" s="17">
        <f t="shared" si="202"/>
        <v>0.192</v>
      </c>
      <c r="T594">
        <f t="shared" si="203"/>
        <v>15</v>
      </c>
      <c r="U594" s="26">
        <f t="shared" si="204"/>
        <v>45519</v>
      </c>
      <c r="V594">
        <f t="shared" si="205"/>
        <v>15</v>
      </c>
      <c r="W594" s="10">
        <f t="shared" si="206"/>
        <v>707259.4496</v>
      </c>
      <c r="X594" s="10">
        <f t="shared" si="207"/>
        <v>7086.2</v>
      </c>
      <c r="Y594" s="10">
        <f t="shared" si="208"/>
        <v>700173.2496</v>
      </c>
      <c r="Z594" s="14">
        <f t="shared" si="212"/>
        <v>0.989980763065085</v>
      </c>
      <c r="AA594" t="s">
        <v>1573</v>
      </c>
      <c r="AB594" t="str">
        <f t="shared" si="209"/>
        <v>Q3-2024</v>
      </c>
      <c r="AC594" t="str">
        <f t="shared" si="210"/>
        <v>Asia → Japan → Tokyo</v>
      </c>
      <c r="AD594" t="str">
        <f t="shared" si="211"/>
        <v>Peripherals</v>
      </c>
      <c r="AE594" s="8" t="str">
        <f t="shared" si="198"/>
        <v>Medium</v>
      </c>
      <c r="AF594" t="str">
        <f t="shared" si="213"/>
        <v>JAPAN</v>
      </c>
      <c r="AG594" s="7">
        <v>44988</v>
      </c>
      <c r="AH594" t="str">
        <f t="shared" si="214"/>
        <v>Mar-2023</v>
      </c>
      <c r="AI594" s="9">
        <f t="shared" si="215"/>
        <v>45504</v>
      </c>
      <c r="AJ594">
        <f t="shared" si="219"/>
        <v>0</v>
      </c>
      <c r="AK594">
        <f t="shared" si="216"/>
        <v>0</v>
      </c>
      <c r="AL594" s="17">
        <f>MIN(N594,'Scenario Modelling'!$B$2)</f>
        <v>0.192</v>
      </c>
      <c r="AM594" s="10">
        <f>L594*(1+'Scenario Modelling'!$B$3)</f>
        <v>1440.398</v>
      </c>
      <c r="AN594">
        <f>O594*(1+'Scenario Modelling'!$B$4)</f>
        <v>6</v>
      </c>
      <c r="AO594" s="28">
        <f t="shared" si="217"/>
        <v>6870.77952</v>
      </c>
      <c r="AP594" s="10">
        <f t="shared" si="218"/>
        <v>-1771.60848</v>
      </c>
    </row>
    <row r="595" spans="1:42">
      <c r="A595" t="s">
        <v>1449</v>
      </c>
      <c r="B595" s="7">
        <v>45823</v>
      </c>
      <c r="C595" s="7">
        <v>45850</v>
      </c>
      <c r="D595" t="s">
        <v>239</v>
      </c>
      <c r="E595" t="s">
        <v>251</v>
      </c>
      <c r="F595" t="s">
        <v>252</v>
      </c>
      <c r="G595" t="s">
        <v>209</v>
      </c>
      <c r="H595" t="s">
        <v>259</v>
      </c>
      <c r="I595" t="s">
        <v>182</v>
      </c>
      <c r="J595" t="s">
        <v>242</v>
      </c>
      <c r="K595" t="s">
        <v>1450</v>
      </c>
      <c r="L595" s="10">
        <v>318.83</v>
      </c>
      <c r="M595" s="10">
        <v>699.5</v>
      </c>
      <c r="N595" s="17">
        <v>0.08</v>
      </c>
      <c r="O595">
        <v>13</v>
      </c>
      <c r="P595" t="str">
        <f t="shared" si="199"/>
        <v>Valid</v>
      </c>
      <c r="Q595" s="10">
        <f t="shared" si="200"/>
        <v>699.5</v>
      </c>
      <c r="R595" t="b">
        <f t="shared" si="201"/>
        <v>0</v>
      </c>
      <c r="S595" s="17">
        <f t="shared" si="202"/>
        <v>0.08</v>
      </c>
      <c r="T595">
        <f t="shared" si="203"/>
        <v>27</v>
      </c>
      <c r="U595" s="26">
        <f t="shared" si="204"/>
        <v>45850</v>
      </c>
      <c r="V595">
        <f t="shared" si="205"/>
        <v>27</v>
      </c>
      <c r="W595" s="10">
        <f t="shared" si="206"/>
        <v>908622.52</v>
      </c>
      <c r="X595" s="10">
        <f t="shared" si="207"/>
        <v>9093.5</v>
      </c>
      <c r="Y595" s="10">
        <f t="shared" si="208"/>
        <v>899529.02</v>
      </c>
      <c r="Z595" s="14">
        <f t="shared" si="212"/>
        <v>0.989991993594876</v>
      </c>
      <c r="AA595" t="s">
        <v>1575</v>
      </c>
      <c r="AB595" t="str">
        <f t="shared" si="209"/>
        <v>Q2-2025</v>
      </c>
      <c r="AC595" t="str">
        <f t="shared" si="210"/>
        <v>Europe → France → Marseille</v>
      </c>
      <c r="AD595" t="str">
        <f t="shared" si="211"/>
        <v>Support</v>
      </c>
      <c r="AE595" s="8" t="str">
        <f t="shared" si="198"/>
        <v>High</v>
      </c>
      <c r="AF595" t="str">
        <f t="shared" si="213"/>
        <v>FRANCE</v>
      </c>
      <c r="AG595" s="7">
        <v>44936</v>
      </c>
      <c r="AH595" t="str">
        <f t="shared" si="214"/>
        <v>Jan-2023</v>
      </c>
      <c r="AI595" s="9">
        <f t="shared" si="215"/>
        <v>45838</v>
      </c>
      <c r="AJ595">
        <f t="shared" si="219"/>
        <v>0</v>
      </c>
      <c r="AK595">
        <f t="shared" si="216"/>
        <v>0</v>
      </c>
      <c r="AL595" s="17">
        <f>MIN(N595,'Scenario Modelling'!$B$2)</f>
        <v>0.08</v>
      </c>
      <c r="AM595" s="10">
        <f>L595*(1+'Scenario Modelling'!$B$3)</f>
        <v>366.6545</v>
      </c>
      <c r="AN595">
        <f>O595*(1+'Scenario Modelling'!$B$4)</f>
        <v>15.6</v>
      </c>
      <c r="AO595" s="28">
        <f t="shared" si="217"/>
        <v>10039.224</v>
      </c>
      <c r="AP595" s="10">
        <f t="shared" si="218"/>
        <v>4319.4138</v>
      </c>
    </row>
    <row r="596" spans="1:42">
      <c r="A596" t="s">
        <v>1451</v>
      </c>
      <c r="B596" s="7">
        <v>45473</v>
      </c>
      <c r="C596" s="7">
        <v>45494</v>
      </c>
      <c r="D596" t="s">
        <v>177</v>
      </c>
      <c r="E596" t="s">
        <v>178</v>
      </c>
      <c r="F596" t="s">
        <v>179</v>
      </c>
      <c r="G596" t="s">
        <v>223</v>
      </c>
      <c r="H596" t="s">
        <v>181</v>
      </c>
      <c r="I596" t="s">
        <v>256</v>
      </c>
      <c r="J596" t="s">
        <v>218</v>
      </c>
      <c r="K596" t="s">
        <v>1452</v>
      </c>
      <c r="L596" s="10">
        <v>753.43</v>
      </c>
      <c r="M596" s="10">
        <v>1787.2</v>
      </c>
      <c r="N596" s="17">
        <v>0.073</v>
      </c>
      <c r="O596">
        <v>9</v>
      </c>
      <c r="P596" t="str">
        <f t="shared" si="199"/>
        <v>Valid</v>
      </c>
      <c r="Q596" s="10">
        <f t="shared" si="200"/>
        <v>1787.2</v>
      </c>
      <c r="R596" t="b">
        <f t="shared" si="201"/>
        <v>0</v>
      </c>
      <c r="S596" s="17">
        <f t="shared" si="202"/>
        <v>0.073</v>
      </c>
      <c r="T596">
        <f t="shared" si="203"/>
        <v>21</v>
      </c>
      <c r="U596" s="26">
        <f t="shared" si="204"/>
        <v>45494</v>
      </c>
      <c r="V596">
        <f t="shared" si="205"/>
        <v>21</v>
      </c>
      <c r="W596" s="10">
        <f t="shared" si="206"/>
        <v>1607305.8096</v>
      </c>
      <c r="X596" s="10">
        <f t="shared" si="207"/>
        <v>16084.8</v>
      </c>
      <c r="Y596" s="10">
        <f t="shared" si="208"/>
        <v>1591221.0096</v>
      </c>
      <c r="Z596" s="14">
        <f t="shared" si="212"/>
        <v>0.989992694667107</v>
      </c>
      <c r="AA596" t="s">
        <v>1576</v>
      </c>
      <c r="AB596" t="str">
        <f t="shared" si="209"/>
        <v>Q2-2024</v>
      </c>
      <c r="AC596" t="str">
        <f t="shared" si="210"/>
        <v>Africa → Kenya → Kisumu</v>
      </c>
      <c r="AD596" t="str">
        <f t="shared" si="211"/>
        <v>Devices</v>
      </c>
      <c r="AE596" s="8" t="str">
        <f t="shared" si="198"/>
        <v>Medium</v>
      </c>
      <c r="AF596" t="str">
        <f t="shared" si="213"/>
        <v>KENYA</v>
      </c>
      <c r="AG596" s="7">
        <v>44946</v>
      </c>
      <c r="AH596" t="str">
        <f t="shared" si="214"/>
        <v>Jan-2023</v>
      </c>
      <c r="AI596" s="9">
        <f t="shared" si="215"/>
        <v>45473</v>
      </c>
      <c r="AJ596">
        <f t="shared" si="219"/>
        <v>0</v>
      </c>
      <c r="AK596">
        <f t="shared" si="216"/>
        <v>0</v>
      </c>
      <c r="AL596" s="17">
        <f>MIN(N596,'Scenario Modelling'!$B$2)</f>
        <v>0.073</v>
      </c>
      <c r="AM596" s="10">
        <f>L596*(1+'Scenario Modelling'!$B$3)</f>
        <v>866.4445</v>
      </c>
      <c r="AN596">
        <f>O596*(1+'Scenario Modelling'!$B$4)</f>
        <v>10.8</v>
      </c>
      <c r="AO596" s="28">
        <f t="shared" si="217"/>
        <v>17892.73152</v>
      </c>
      <c r="AP596" s="10">
        <f t="shared" si="218"/>
        <v>8535.13092</v>
      </c>
    </row>
    <row r="597" spans="1:42">
      <c r="A597" t="s">
        <v>1453</v>
      </c>
      <c r="B597" s="7">
        <v>45705</v>
      </c>
      <c r="C597" s="7">
        <v>45703</v>
      </c>
      <c r="D597" t="s">
        <v>213</v>
      </c>
      <c r="E597" t="s">
        <v>214</v>
      </c>
      <c r="F597" t="s">
        <v>215</v>
      </c>
      <c r="G597" t="s">
        <v>223</v>
      </c>
      <c r="H597" t="s">
        <v>181</v>
      </c>
      <c r="I597" t="s">
        <v>306</v>
      </c>
      <c r="J597" t="s">
        <v>183</v>
      </c>
      <c r="K597" t="s">
        <v>1454</v>
      </c>
      <c r="L597" s="10">
        <v>1133.47</v>
      </c>
      <c r="M597" s="10">
        <v>1698.75</v>
      </c>
      <c r="N597" s="17">
        <v>0.043</v>
      </c>
      <c r="O597">
        <v>5</v>
      </c>
      <c r="P597" t="str">
        <f t="shared" si="199"/>
        <v>Valid</v>
      </c>
      <c r="Q597" s="10">
        <f t="shared" si="200"/>
        <v>1698.75</v>
      </c>
      <c r="R597" t="b">
        <f t="shared" si="201"/>
        <v>0</v>
      </c>
      <c r="S597" s="17">
        <f t="shared" si="202"/>
        <v>0.043</v>
      </c>
      <c r="T597">
        <f t="shared" si="203"/>
        <v>-2</v>
      </c>
      <c r="U597" s="26">
        <f t="shared" si="204"/>
        <v>45712</v>
      </c>
      <c r="V597">
        <f t="shared" si="205"/>
        <v>7</v>
      </c>
      <c r="W597" s="10">
        <f t="shared" si="206"/>
        <v>849009.76875</v>
      </c>
      <c r="X597" s="10">
        <f t="shared" si="207"/>
        <v>8493.75</v>
      </c>
      <c r="Y597" s="10">
        <f t="shared" si="208"/>
        <v>840516.01875</v>
      </c>
      <c r="Z597" s="14">
        <f t="shared" si="212"/>
        <v>0.989995698150205</v>
      </c>
      <c r="AA597" t="s">
        <v>1586</v>
      </c>
      <c r="AB597" t="str">
        <f t="shared" si="209"/>
        <v>Q1-2025</v>
      </c>
      <c r="AC597" t="str">
        <f t="shared" si="210"/>
        <v>Americas → Canada → Toronto</v>
      </c>
      <c r="AD597" t="str">
        <f t="shared" si="211"/>
        <v>Support</v>
      </c>
      <c r="AE597" s="8" t="str">
        <f t="shared" si="198"/>
        <v>High</v>
      </c>
      <c r="AF597" t="str">
        <f t="shared" si="213"/>
        <v>CANADA</v>
      </c>
      <c r="AG597" s="7">
        <v>44928</v>
      </c>
      <c r="AH597" t="str">
        <f t="shared" si="214"/>
        <v>Jan-2023</v>
      </c>
      <c r="AI597" s="9">
        <f t="shared" si="215"/>
        <v>45716</v>
      </c>
      <c r="AJ597">
        <f t="shared" si="219"/>
        <v>1</v>
      </c>
      <c r="AK597">
        <f t="shared" si="216"/>
        <v>0</v>
      </c>
      <c r="AL597" s="17">
        <f>MIN(N597,'Scenario Modelling'!$B$2)</f>
        <v>0.043</v>
      </c>
      <c r="AM597" s="10">
        <f>L597*(1+'Scenario Modelling'!$B$3)</f>
        <v>1303.4905</v>
      </c>
      <c r="AN597">
        <f>O597*(1+'Scenario Modelling'!$B$4)</f>
        <v>6</v>
      </c>
      <c r="AO597" s="28">
        <f t="shared" si="217"/>
        <v>9754.2225</v>
      </c>
      <c r="AP597" s="10">
        <f t="shared" si="218"/>
        <v>1933.2795</v>
      </c>
    </row>
    <row r="598" spans="1:42">
      <c r="A598" t="s">
        <v>1455</v>
      </c>
      <c r="B598" s="7">
        <v>44933</v>
      </c>
      <c r="C598" s="7">
        <v>44956</v>
      </c>
      <c r="D598" t="s">
        <v>177</v>
      </c>
      <c r="E598" t="s">
        <v>309</v>
      </c>
      <c r="F598" t="s">
        <v>419</v>
      </c>
      <c r="G598" t="s">
        <v>209</v>
      </c>
      <c r="H598" t="s">
        <v>189</v>
      </c>
      <c r="I598" t="s">
        <v>236</v>
      </c>
      <c r="J598" t="s">
        <v>191</v>
      </c>
      <c r="K598" t="s">
        <v>1456</v>
      </c>
      <c r="L598" s="10">
        <v>299.02</v>
      </c>
      <c r="M598" s="10">
        <v>724.7</v>
      </c>
      <c r="N598" s="17">
        <v>0.14</v>
      </c>
      <c r="O598">
        <v>5</v>
      </c>
      <c r="P598" t="str">
        <f t="shared" si="199"/>
        <v>Valid</v>
      </c>
      <c r="Q598" s="10">
        <f t="shared" si="200"/>
        <v>724.7</v>
      </c>
      <c r="R598" t="b">
        <f t="shared" si="201"/>
        <v>0</v>
      </c>
      <c r="S598" s="17">
        <f t="shared" si="202"/>
        <v>0.14</v>
      </c>
      <c r="T598">
        <f t="shared" si="203"/>
        <v>23</v>
      </c>
      <c r="U598" s="26">
        <f t="shared" si="204"/>
        <v>44956</v>
      </c>
      <c r="V598">
        <f t="shared" si="205"/>
        <v>23</v>
      </c>
      <c r="W598" s="10">
        <f t="shared" si="206"/>
        <v>361842.71</v>
      </c>
      <c r="X598" s="10">
        <f t="shared" si="207"/>
        <v>3623.5</v>
      </c>
      <c r="Y598" s="10">
        <f t="shared" si="208"/>
        <v>358219.21</v>
      </c>
      <c r="Z598" s="14">
        <f t="shared" si="212"/>
        <v>0.989985980372522</v>
      </c>
      <c r="AA598" t="s">
        <v>1564</v>
      </c>
      <c r="AB598" t="str">
        <f t="shared" si="209"/>
        <v>Q1-2023</v>
      </c>
      <c r="AC598" t="str">
        <f t="shared" si="210"/>
        <v>Africa → South Africa → Cape Town</v>
      </c>
      <c r="AD598" t="str">
        <f t="shared" si="211"/>
        <v>Peripherals</v>
      </c>
      <c r="AE598" s="8" t="str">
        <f t="shared" si="198"/>
        <v>Low</v>
      </c>
      <c r="AF598" t="str">
        <f t="shared" si="213"/>
        <v>SOUTH AFRICA</v>
      </c>
      <c r="AG598" s="7">
        <v>44933</v>
      </c>
      <c r="AH598" t="str">
        <f t="shared" si="214"/>
        <v>Jan-2023</v>
      </c>
      <c r="AI598" s="9">
        <f t="shared" si="215"/>
        <v>44957</v>
      </c>
      <c r="AJ598">
        <f t="shared" si="219"/>
        <v>0</v>
      </c>
      <c r="AK598">
        <f t="shared" si="216"/>
        <v>0</v>
      </c>
      <c r="AL598" s="17">
        <f>MIN(N598,'Scenario Modelling'!$B$2)</f>
        <v>0.14</v>
      </c>
      <c r="AM598" s="10">
        <f>L598*(1+'Scenario Modelling'!$B$3)</f>
        <v>343.873</v>
      </c>
      <c r="AN598">
        <f>O598*(1+'Scenario Modelling'!$B$4)</f>
        <v>6</v>
      </c>
      <c r="AO598" s="28">
        <f t="shared" si="217"/>
        <v>3739.452</v>
      </c>
      <c r="AP598" s="10">
        <f t="shared" si="218"/>
        <v>1676.214</v>
      </c>
    </row>
    <row r="599" spans="1:42">
      <c r="A599" t="s">
        <v>1457</v>
      </c>
      <c r="B599" s="7">
        <v>45726</v>
      </c>
      <c r="C599" s="7">
        <v>45751</v>
      </c>
      <c r="D599" t="s">
        <v>206</v>
      </c>
      <c r="E599" t="s">
        <v>207</v>
      </c>
      <c r="F599" t="s">
        <v>208</v>
      </c>
      <c r="G599" t="s">
        <v>180</v>
      </c>
      <c r="H599" t="s">
        <v>259</v>
      </c>
      <c r="I599" t="s">
        <v>253</v>
      </c>
      <c r="J599" t="s">
        <v>191</v>
      </c>
      <c r="K599" t="s">
        <v>1458</v>
      </c>
      <c r="L599" s="10">
        <v>783.72</v>
      </c>
      <c r="M599" s="10">
        <v>1355.94</v>
      </c>
      <c r="N599" s="17">
        <v>0.187</v>
      </c>
      <c r="O599">
        <v>4</v>
      </c>
      <c r="P599" t="str">
        <f t="shared" si="199"/>
        <v>Valid</v>
      </c>
      <c r="Q599" s="10">
        <f t="shared" si="200"/>
        <v>1355.94</v>
      </c>
      <c r="R599" t="b">
        <f t="shared" si="201"/>
        <v>0</v>
      </c>
      <c r="S599" s="17">
        <f t="shared" si="202"/>
        <v>0.187</v>
      </c>
      <c r="T599">
        <f t="shared" si="203"/>
        <v>25</v>
      </c>
      <c r="U599" s="26">
        <f t="shared" si="204"/>
        <v>45751</v>
      </c>
      <c r="V599">
        <f t="shared" si="205"/>
        <v>25</v>
      </c>
      <c r="W599" s="10">
        <f t="shared" si="206"/>
        <v>541361.75688</v>
      </c>
      <c r="X599" s="10">
        <f t="shared" si="207"/>
        <v>5423.76</v>
      </c>
      <c r="Y599" s="10">
        <f t="shared" si="208"/>
        <v>535937.99688</v>
      </c>
      <c r="Z599" s="14">
        <f t="shared" si="212"/>
        <v>0.989981264965485</v>
      </c>
      <c r="AA599" t="s">
        <v>1563</v>
      </c>
      <c r="AB599" t="str">
        <f t="shared" si="209"/>
        <v>Q1-2025</v>
      </c>
      <c r="AC599" t="str">
        <f t="shared" si="210"/>
        <v>Asia → Japan → Osaka</v>
      </c>
      <c r="AD599" t="str">
        <f t="shared" si="211"/>
        <v>Peripherals</v>
      </c>
      <c r="AE599" s="8" t="str">
        <f t="shared" si="198"/>
        <v>High</v>
      </c>
      <c r="AF599" t="str">
        <f t="shared" si="213"/>
        <v>JAPAN</v>
      </c>
      <c r="AG599" s="7">
        <v>44988</v>
      </c>
      <c r="AH599" t="str">
        <f t="shared" si="214"/>
        <v>Mar-2023</v>
      </c>
      <c r="AI599" s="9">
        <f t="shared" si="215"/>
        <v>45747</v>
      </c>
      <c r="AJ599">
        <f t="shared" si="219"/>
        <v>0</v>
      </c>
      <c r="AK599">
        <f t="shared" si="216"/>
        <v>0</v>
      </c>
      <c r="AL599" s="17">
        <f>MIN(N599,'Scenario Modelling'!$B$2)</f>
        <v>0.187</v>
      </c>
      <c r="AM599" s="10">
        <f>L599*(1+'Scenario Modelling'!$B$3)</f>
        <v>901.278</v>
      </c>
      <c r="AN599">
        <f>O599*(1+'Scenario Modelling'!$B$4)</f>
        <v>4.8</v>
      </c>
      <c r="AO599" s="28">
        <f t="shared" si="217"/>
        <v>5291.420256</v>
      </c>
      <c r="AP599" s="10">
        <f t="shared" si="218"/>
        <v>965.285856000001</v>
      </c>
    </row>
    <row r="600" spans="1:42">
      <c r="A600" t="s">
        <v>1459</v>
      </c>
      <c r="B600" s="7">
        <v>45521</v>
      </c>
      <c r="C600" s="7">
        <v>45519</v>
      </c>
      <c r="D600" t="s">
        <v>213</v>
      </c>
      <c r="E600" t="s">
        <v>234</v>
      </c>
      <c r="F600" t="s">
        <v>386</v>
      </c>
      <c r="G600" t="s">
        <v>209</v>
      </c>
      <c r="H600" t="s">
        <v>259</v>
      </c>
      <c r="I600" t="s">
        <v>271</v>
      </c>
      <c r="J600" t="s">
        <v>225</v>
      </c>
      <c r="K600" t="s">
        <v>1460</v>
      </c>
      <c r="L600" s="10">
        <v>165.3</v>
      </c>
      <c r="M600" s="10">
        <v>275.07</v>
      </c>
      <c r="N600" s="17">
        <v>0.133</v>
      </c>
      <c r="O600">
        <v>25</v>
      </c>
      <c r="P600" t="str">
        <f t="shared" si="199"/>
        <v>Valid</v>
      </c>
      <c r="Q600" s="10">
        <f t="shared" si="200"/>
        <v>275.07</v>
      </c>
      <c r="R600" t="b">
        <f t="shared" si="201"/>
        <v>0</v>
      </c>
      <c r="S600" s="17">
        <f t="shared" si="202"/>
        <v>0.133</v>
      </c>
      <c r="T600">
        <f t="shared" si="203"/>
        <v>-2</v>
      </c>
      <c r="U600" s="26">
        <f t="shared" si="204"/>
        <v>45528</v>
      </c>
      <c r="V600">
        <f t="shared" si="205"/>
        <v>7</v>
      </c>
      <c r="W600" s="10">
        <f t="shared" si="206"/>
        <v>686760.39225</v>
      </c>
      <c r="X600" s="10">
        <f t="shared" si="207"/>
        <v>6876.75</v>
      </c>
      <c r="Y600" s="10">
        <f t="shared" si="208"/>
        <v>679883.64225</v>
      </c>
      <c r="Z600" s="14">
        <f t="shared" si="212"/>
        <v>0.989986682287442</v>
      </c>
      <c r="AA600" t="s">
        <v>1581</v>
      </c>
      <c r="AB600" t="str">
        <f t="shared" si="209"/>
        <v>Q3-2024</v>
      </c>
      <c r="AC600" t="str">
        <f t="shared" si="210"/>
        <v>Americas → Brazil → Rio de Janeiro</v>
      </c>
      <c r="AD600" t="str">
        <f t="shared" si="211"/>
        <v>Peripherals</v>
      </c>
      <c r="AE600" s="8" t="str">
        <f t="shared" si="198"/>
        <v>Medium</v>
      </c>
      <c r="AF600" t="str">
        <f t="shared" si="213"/>
        <v>BRAZIL</v>
      </c>
      <c r="AG600" s="7">
        <v>44955</v>
      </c>
      <c r="AH600" t="str">
        <f t="shared" si="214"/>
        <v>Jan-2023</v>
      </c>
      <c r="AI600" s="9">
        <f t="shared" si="215"/>
        <v>45535</v>
      </c>
      <c r="AJ600">
        <f t="shared" si="219"/>
        <v>1</v>
      </c>
      <c r="AK600">
        <f t="shared" si="216"/>
        <v>0</v>
      </c>
      <c r="AL600" s="17">
        <f>MIN(N600,'Scenario Modelling'!$B$2)</f>
        <v>0.133</v>
      </c>
      <c r="AM600" s="10">
        <f>L600*(1+'Scenario Modelling'!$B$3)</f>
        <v>190.095</v>
      </c>
      <c r="AN600">
        <f>O600*(1+'Scenario Modelling'!$B$4)</f>
        <v>30</v>
      </c>
      <c r="AO600" s="28">
        <f t="shared" si="217"/>
        <v>7154.5707</v>
      </c>
      <c r="AP600" s="10">
        <f t="shared" si="218"/>
        <v>1451.7207</v>
      </c>
    </row>
    <row r="601" spans="1:42">
      <c r="A601" t="s">
        <v>1461</v>
      </c>
      <c r="B601" s="7">
        <v>45360</v>
      </c>
      <c r="C601" s="7">
        <v>45373</v>
      </c>
      <c r="D601" t="s">
        <v>239</v>
      </c>
      <c r="E601" t="s">
        <v>269</v>
      </c>
      <c r="F601" t="s">
        <v>389</v>
      </c>
      <c r="G601" t="s">
        <v>209</v>
      </c>
      <c r="H601" t="s">
        <v>189</v>
      </c>
      <c r="I601" t="s">
        <v>224</v>
      </c>
      <c r="J601" t="s">
        <v>218</v>
      </c>
      <c r="K601" t="s">
        <v>1462</v>
      </c>
      <c r="L601" s="10">
        <v>985.45</v>
      </c>
      <c r="M601" s="10">
        <v>1802.44</v>
      </c>
      <c r="N601" s="17">
        <v>0.009</v>
      </c>
      <c r="O601">
        <v>19</v>
      </c>
      <c r="P601" t="str">
        <f t="shared" si="199"/>
        <v>Valid</v>
      </c>
      <c r="Q601" s="10">
        <f t="shared" si="200"/>
        <v>1802.44</v>
      </c>
      <c r="R601" t="b">
        <f t="shared" si="201"/>
        <v>0</v>
      </c>
      <c r="S601" s="17">
        <f t="shared" si="202"/>
        <v>0.009</v>
      </c>
      <c r="T601">
        <f t="shared" si="203"/>
        <v>13</v>
      </c>
      <c r="U601" s="26">
        <f t="shared" si="204"/>
        <v>45373</v>
      </c>
      <c r="V601">
        <f t="shared" si="205"/>
        <v>13</v>
      </c>
      <c r="W601" s="10">
        <f t="shared" si="206"/>
        <v>3424327.78276</v>
      </c>
      <c r="X601" s="10">
        <f t="shared" si="207"/>
        <v>34246.36</v>
      </c>
      <c r="Y601" s="10">
        <f t="shared" si="208"/>
        <v>3390081.42276</v>
      </c>
      <c r="Z601" s="14">
        <f t="shared" si="212"/>
        <v>0.989999099918993</v>
      </c>
      <c r="AA601" t="s">
        <v>1560</v>
      </c>
      <c r="AB601" t="str">
        <f t="shared" si="209"/>
        <v>Q1-2024</v>
      </c>
      <c r="AC601" t="str">
        <f t="shared" si="210"/>
        <v>Europe → United Kingdom → Manchester</v>
      </c>
      <c r="AD601" t="str">
        <f t="shared" si="211"/>
        <v>Devices</v>
      </c>
      <c r="AE601" s="8" t="str">
        <f t="shared" si="198"/>
        <v>Medium</v>
      </c>
      <c r="AF601" t="str">
        <f t="shared" si="213"/>
        <v>UNITED KINGDOM</v>
      </c>
      <c r="AG601" s="7">
        <v>44945</v>
      </c>
      <c r="AH601" t="str">
        <f t="shared" si="214"/>
        <v>Jan-2023</v>
      </c>
      <c r="AI601" s="9">
        <f t="shared" si="215"/>
        <v>45382</v>
      </c>
      <c r="AJ601">
        <f t="shared" si="219"/>
        <v>0</v>
      </c>
      <c r="AK601">
        <f t="shared" si="216"/>
        <v>0</v>
      </c>
      <c r="AL601" s="17">
        <f>MIN(N601,'Scenario Modelling'!$B$2)</f>
        <v>0.009</v>
      </c>
      <c r="AM601" s="10">
        <f>L601*(1+'Scenario Modelling'!$B$3)</f>
        <v>1133.2675</v>
      </c>
      <c r="AN601">
        <f>O601*(1+'Scenario Modelling'!$B$4)</f>
        <v>22.8</v>
      </c>
      <c r="AO601" s="28">
        <f t="shared" si="217"/>
        <v>40725.771312</v>
      </c>
      <c r="AP601" s="10">
        <f t="shared" si="218"/>
        <v>14887.272312</v>
      </c>
    </row>
    <row r="602" spans="1:42">
      <c r="A602" t="s">
        <v>1463</v>
      </c>
      <c r="B602" s="7">
        <v>45523</v>
      </c>
      <c r="C602" s="7">
        <v>45537</v>
      </c>
      <c r="D602" t="s">
        <v>213</v>
      </c>
      <c r="E602" t="s">
        <v>214</v>
      </c>
      <c r="F602" t="s">
        <v>215</v>
      </c>
      <c r="G602" t="s">
        <v>209</v>
      </c>
      <c r="H602" t="s">
        <v>216</v>
      </c>
      <c r="I602" t="s">
        <v>182</v>
      </c>
      <c r="J602" t="s">
        <v>191</v>
      </c>
      <c r="K602" t="s">
        <v>1464</v>
      </c>
      <c r="L602" s="10">
        <v>1337.01</v>
      </c>
      <c r="M602" s="10">
        <v>1269.78</v>
      </c>
      <c r="N602" s="17">
        <v>0.16</v>
      </c>
      <c r="O602">
        <v>7</v>
      </c>
      <c r="P602" t="str">
        <f t="shared" si="199"/>
        <v>Valid</v>
      </c>
      <c r="Q602" s="10">
        <f t="shared" si="200"/>
        <v>1269.78</v>
      </c>
      <c r="R602" t="b">
        <f t="shared" si="201"/>
        <v>0</v>
      </c>
      <c r="S602" s="17">
        <f t="shared" si="202"/>
        <v>0.16</v>
      </c>
      <c r="T602">
        <f t="shared" si="203"/>
        <v>14</v>
      </c>
      <c r="U602" s="26">
        <f t="shared" si="204"/>
        <v>45537</v>
      </c>
      <c r="V602">
        <f t="shared" si="205"/>
        <v>14</v>
      </c>
      <c r="W602" s="10">
        <f t="shared" si="206"/>
        <v>887423.8464</v>
      </c>
      <c r="X602" s="10">
        <f t="shared" si="207"/>
        <v>8888.46</v>
      </c>
      <c r="Y602" s="10">
        <f t="shared" si="208"/>
        <v>878535.3864</v>
      </c>
      <c r="Z602" s="14">
        <f t="shared" si="212"/>
        <v>0.989983974358974</v>
      </c>
      <c r="AA602" t="s">
        <v>1581</v>
      </c>
      <c r="AB602" t="str">
        <f t="shared" si="209"/>
        <v>Q3-2024</v>
      </c>
      <c r="AC602" t="str">
        <f t="shared" si="210"/>
        <v>Americas → Canada → Toronto</v>
      </c>
      <c r="AD602" t="str">
        <f t="shared" si="211"/>
        <v>Peripherals</v>
      </c>
      <c r="AE602" s="8" t="str">
        <f t="shared" si="198"/>
        <v>Medium</v>
      </c>
      <c r="AF602" t="str">
        <f t="shared" si="213"/>
        <v>CANADA</v>
      </c>
      <c r="AG602" s="7">
        <v>44928</v>
      </c>
      <c r="AH602" t="str">
        <f t="shared" si="214"/>
        <v>Jan-2023</v>
      </c>
      <c r="AI602" s="9">
        <f t="shared" si="215"/>
        <v>45535</v>
      </c>
      <c r="AJ602">
        <f t="shared" si="219"/>
        <v>0</v>
      </c>
      <c r="AK602">
        <f t="shared" si="216"/>
        <v>0</v>
      </c>
      <c r="AL602" s="17">
        <f>MIN(N602,'Scenario Modelling'!$B$2)</f>
        <v>0.16</v>
      </c>
      <c r="AM602" s="10">
        <f>L602*(1+'Scenario Modelling'!$B$3)</f>
        <v>1537.5615</v>
      </c>
      <c r="AN602">
        <f>O602*(1+'Scenario Modelling'!$B$4)</f>
        <v>8.4</v>
      </c>
      <c r="AO602" s="28">
        <f t="shared" si="217"/>
        <v>8959.56768</v>
      </c>
      <c r="AP602" s="10">
        <f t="shared" si="218"/>
        <v>-3955.94892</v>
      </c>
    </row>
    <row r="603" spans="1:42">
      <c r="A603" t="s">
        <v>1465</v>
      </c>
      <c r="B603" s="7">
        <v>45880</v>
      </c>
      <c r="C603" s="7">
        <v>45897</v>
      </c>
      <c r="D603" t="s">
        <v>239</v>
      </c>
      <c r="E603" t="s">
        <v>251</v>
      </c>
      <c r="F603" t="s">
        <v>378</v>
      </c>
      <c r="G603" t="s">
        <v>188</v>
      </c>
      <c r="H603" t="s">
        <v>189</v>
      </c>
      <c r="I603" t="s">
        <v>245</v>
      </c>
      <c r="J603" t="s">
        <v>196</v>
      </c>
      <c r="K603" t="s">
        <v>1466</v>
      </c>
      <c r="L603" s="10">
        <v>416.16</v>
      </c>
      <c r="M603" s="10">
        <v>571.9</v>
      </c>
      <c r="N603" s="17">
        <v>0.071</v>
      </c>
      <c r="O603">
        <v>2</v>
      </c>
      <c r="P603" t="str">
        <f t="shared" si="199"/>
        <v>Valid</v>
      </c>
      <c r="Q603" s="10">
        <f t="shared" si="200"/>
        <v>571.9</v>
      </c>
      <c r="R603" t="b">
        <f t="shared" si="201"/>
        <v>0</v>
      </c>
      <c r="S603" s="17">
        <f t="shared" si="202"/>
        <v>0.071</v>
      </c>
      <c r="T603">
        <f t="shared" si="203"/>
        <v>17</v>
      </c>
      <c r="U603" s="26">
        <f t="shared" si="204"/>
        <v>45897</v>
      </c>
      <c r="V603">
        <f t="shared" si="205"/>
        <v>17</v>
      </c>
      <c r="W603" s="10">
        <f t="shared" si="206"/>
        <v>114298.7902</v>
      </c>
      <c r="X603" s="10">
        <f t="shared" si="207"/>
        <v>1143.8</v>
      </c>
      <c r="Y603" s="10">
        <f t="shared" si="208"/>
        <v>113154.9902</v>
      </c>
      <c r="Z603" s="14">
        <f t="shared" si="212"/>
        <v>0.989992894955418</v>
      </c>
      <c r="AA603" t="s">
        <v>1590</v>
      </c>
      <c r="AB603" t="str">
        <f t="shared" si="209"/>
        <v>Q3-2025</v>
      </c>
      <c r="AC603" t="str">
        <f t="shared" si="210"/>
        <v>Europe → France → Paris</v>
      </c>
      <c r="AD603" t="str">
        <f t="shared" si="211"/>
        <v>Support</v>
      </c>
      <c r="AE603" s="8" t="str">
        <f t="shared" si="198"/>
        <v>High</v>
      </c>
      <c r="AF603" t="str">
        <f t="shared" si="213"/>
        <v>FRANCE</v>
      </c>
      <c r="AG603" s="7">
        <v>44936</v>
      </c>
      <c r="AH603" t="str">
        <f t="shared" si="214"/>
        <v>Jan-2023</v>
      </c>
      <c r="AI603" s="9">
        <f t="shared" si="215"/>
        <v>45900</v>
      </c>
      <c r="AJ603">
        <f t="shared" si="219"/>
        <v>0</v>
      </c>
      <c r="AK603">
        <f t="shared" si="216"/>
        <v>0</v>
      </c>
      <c r="AL603" s="17">
        <f>MIN(N603,'Scenario Modelling'!$B$2)</f>
        <v>0.071</v>
      </c>
      <c r="AM603" s="10">
        <f>L603*(1+'Scenario Modelling'!$B$3)</f>
        <v>478.584</v>
      </c>
      <c r="AN603">
        <f>O603*(1+'Scenario Modelling'!$B$4)</f>
        <v>2.4</v>
      </c>
      <c r="AO603" s="28">
        <f t="shared" si="217"/>
        <v>1275.10824</v>
      </c>
      <c r="AP603" s="10">
        <f t="shared" si="218"/>
        <v>126.50664</v>
      </c>
    </row>
    <row r="604" spans="1:42">
      <c r="A604" t="s">
        <v>1467</v>
      </c>
      <c r="B604" s="7">
        <v>45793</v>
      </c>
      <c r="C604" s="7">
        <v>45795</v>
      </c>
      <c r="D604" t="s">
        <v>206</v>
      </c>
      <c r="E604" t="s">
        <v>207</v>
      </c>
      <c r="F604" t="s">
        <v>375</v>
      </c>
      <c r="G604" t="s">
        <v>266</v>
      </c>
      <c r="H604" t="s">
        <v>181</v>
      </c>
      <c r="I604" t="s">
        <v>190</v>
      </c>
      <c r="J604" t="s">
        <v>191</v>
      </c>
      <c r="K604" t="s">
        <v>1468</v>
      </c>
      <c r="L604" s="10">
        <v>1144.38</v>
      </c>
      <c r="M604" s="10">
        <v>2755.04</v>
      </c>
      <c r="N604" s="17">
        <v>0.15</v>
      </c>
      <c r="O604">
        <v>17</v>
      </c>
      <c r="P604" t="str">
        <f t="shared" si="199"/>
        <v>Valid</v>
      </c>
      <c r="Q604" s="10">
        <f t="shared" si="200"/>
        <v>2755.04</v>
      </c>
      <c r="R604" t="b">
        <f t="shared" si="201"/>
        <v>0</v>
      </c>
      <c r="S604" s="17">
        <f t="shared" si="202"/>
        <v>0.15</v>
      </c>
      <c r="T604">
        <f t="shared" si="203"/>
        <v>2</v>
      </c>
      <c r="U604" s="26">
        <f t="shared" si="204"/>
        <v>45795</v>
      </c>
      <c r="V604">
        <f t="shared" si="205"/>
        <v>2</v>
      </c>
      <c r="W604" s="10">
        <f t="shared" si="206"/>
        <v>4676542.648</v>
      </c>
      <c r="X604" s="10">
        <f t="shared" si="207"/>
        <v>46835.68</v>
      </c>
      <c r="Y604" s="10">
        <f t="shared" si="208"/>
        <v>4629706.968</v>
      </c>
      <c r="Z604" s="14">
        <f t="shared" si="212"/>
        <v>0.989984977466199</v>
      </c>
      <c r="AA604" t="s">
        <v>1567</v>
      </c>
      <c r="AB604" t="str">
        <f t="shared" si="209"/>
        <v>Q2-2025</v>
      </c>
      <c r="AC604" t="str">
        <f t="shared" si="210"/>
        <v>Asia → Japan → Tokyo</v>
      </c>
      <c r="AD604" t="str">
        <f t="shared" si="211"/>
        <v>Peripherals</v>
      </c>
      <c r="AE604" s="8" t="str">
        <f t="shared" si="198"/>
        <v>High</v>
      </c>
      <c r="AF604" t="str">
        <f t="shared" si="213"/>
        <v>JAPAN</v>
      </c>
      <c r="AG604" s="7">
        <v>44988</v>
      </c>
      <c r="AH604" t="str">
        <f t="shared" si="214"/>
        <v>Mar-2023</v>
      </c>
      <c r="AI604" s="9">
        <f t="shared" si="215"/>
        <v>45808</v>
      </c>
      <c r="AJ604">
        <f t="shared" si="219"/>
        <v>1</v>
      </c>
      <c r="AK604">
        <f t="shared" si="216"/>
        <v>0</v>
      </c>
      <c r="AL604" s="17">
        <f>MIN(N604,'Scenario Modelling'!$B$2)</f>
        <v>0.15</v>
      </c>
      <c r="AM604" s="10">
        <f>L604*(1+'Scenario Modelling'!$B$3)</f>
        <v>1316.037</v>
      </c>
      <c r="AN604">
        <f>O604*(1+'Scenario Modelling'!$B$4)</f>
        <v>20.4</v>
      </c>
      <c r="AO604" s="28">
        <f t="shared" si="217"/>
        <v>47772.3936</v>
      </c>
      <c r="AP604" s="10">
        <f t="shared" si="218"/>
        <v>20925.2388</v>
      </c>
    </row>
    <row r="605" spans="1:42">
      <c r="A605" t="s">
        <v>1469</v>
      </c>
      <c r="B605" s="7">
        <v>45026</v>
      </c>
      <c r="C605" s="7">
        <v>45041</v>
      </c>
      <c r="D605" t="s">
        <v>239</v>
      </c>
      <c r="E605" t="s">
        <v>269</v>
      </c>
      <c r="F605" t="s">
        <v>313</v>
      </c>
      <c r="G605" t="s">
        <v>223</v>
      </c>
      <c r="H605" t="s">
        <v>181</v>
      </c>
      <c r="I605" t="s">
        <v>306</v>
      </c>
      <c r="J605" t="s">
        <v>191</v>
      </c>
      <c r="K605" t="s">
        <v>1470</v>
      </c>
      <c r="L605" s="10">
        <v>405.66</v>
      </c>
      <c r="M605" s="10">
        <v>962.51</v>
      </c>
      <c r="N605" s="17">
        <v>0.19</v>
      </c>
      <c r="O605">
        <v>7</v>
      </c>
      <c r="P605" t="str">
        <f t="shared" si="199"/>
        <v>Valid</v>
      </c>
      <c r="Q605" s="10">
        <f t="shared" si="200"/>
        <v>962.51</v>
      </c>
      <c r="R605" t="b">
        <f t="shared" si="201"/>
        <v>0</v>
      </c>
      <c r="S605" s="17">
        <f t="shared" si="202"/>
        <v>0.19</v>
      </c>
      <c r="T605">
        <f t="shared" si="203"/>
        <v>15</v>
      </c>
      <c r="U605" s="26">
        <f t="shared" si="204"/>
        <v>45041</v>
      </c>
      <c r="V605">
        <f t="shared" si="205"/>
        <v>15</v>
      </c>
      <c r="W605" s="10">
        <f t="shared" si="206"/>
        <v>672476.8617</v>
      </c>
      <c r="X605" s="10">
        <f t="shared" si="207"/>
        <v>6737.57</v>
      </c>
      <c r="Y605" s="10">
        <f t="shared" si="208"/>
        <v>665739.2917</v>
      </c>
      <c r="Z605" s="14">
        <f t="shared" si="212"/>
        <v>0.98998096383128</v>
      </c>
      <c r="AA605" t="s">
        <v>1571</v>
      </c>
      <c r="AB605" t="str">
        <f t="shared" si="209"/>
        <v>Q2-2023</v>
      </c>
      <c r="AC605" t="str">
        <f t="shared" si="210"/>
        <v>Europe → United Kingdom → London</v>
      </c>
      <c r="AD605" t="str">
        <f t="shared" si="211"/>
        <v>Peripherals</v>
      </c>
      <c r="AE605" s="8" t="str">
        <f t="shared" si="198"/>
        <v>Low</v>
      </c>
      <c r="AF605" t="str">
        <f t="shared" si="213"/>
        <v>UNITED KINGDOM</v>
      </c>
      <c r="AG605" s="7">
        <v>44945</v>
      </c>
      <c r="AH605" t="str">
        <f t="shared" si="214"/>
        <v>Jan-2023</v>
      </c>
      <c r="AI605" s="9">
        <f t="shared" si="215"/>
        <v>45046</v>
      </c>
      <c r="AJ605">
        <f t="shared" si="219"/>
        <v>0</v>
      </c>
      <c r="AK605">
        <f t="shared" si="216"/>
        <v>0</v>
      </c>
      <c r="AL605" s="17">
        <f>MIN(N605,'Scenario Modelling'!$B$2)</f>
        <v>0.19</v>
      </c>
      <c r="AM605" s="10">
        <f>L605*(1+'Scenario Modelling'!$B$3)</f>
        <v>466.509</v>
      </c>
      <c r="AN605">
        <f>O605*(1+'Scenario Modelling'!$B$4)</f>
        <v>8.4</v>
      </c>
      <c r="AO605" s="28">
        <f t="shared" si="217"/>
        <v>6548.91804</v>
      </c>
      <c r="AP605" s="10">
        <f t="shared" si="218"/>
        <v>2630.24244</v>
      </c>
    </row>
    <row r="606" spans="1:42">
      <c r="A606" t="s">
        <v>1471</v>
      </c>
      <c r="B606" s="7">
        <v>45186</v>
      </c>
      <c r="C606" s="7">
        <v>45201</v>
      </c>
      <c r="D606" t="s">
        <v>213</v>
      </c>
      <c r="E606" t="s">
        <v>234</v>
      </c>
      <c r="F606" t="s">
        <v>386</v>
      </c>
      <c r="G606" t="s">
        <v>223</v>
      </c>
      <c r="H606" t="s">
        <v>181</v>
      </c>
      <c r="I606" t="s">
        <v>217</v>
      </c>
      <c r="J606" t="s">
        <v>218</v>
      </c>
      <c r="K606" t="s">
        <v>1472</v>
      </c>
      <c r="L606" s="10">
        <v>689.33</v>
      </c>
      <c r="M606" s="10">
        <v>668.27</v>
      </c>
      <c r="N606" s="17">
        <v>0.186</v>
      </c>
      <c r="O606">
        <v>13</v>
      </c>
      <c r="P606" t="str">
        <f t="shared" si="199"/>
        <v>Valid</v>
      </c>
      <c r="Q606" s="10">
        <f t="shared" si="200"/>
        <v>668.27</v>
      </c>
      <c r="R606" t="b">
        <f t="shared" si="201"/>
        <v>0</v>
      </c>
      <c r="S606" s="17">
        <f t="shared" si="202"/>
        <v>0.186</v>
      </c>
      <c r="T606">
        <f t="shared" si="203"/>
        <v>15</v>
      </c>
      <c r="U606" s="26">
        <f t="shared" si="204"/>
        <v>45201</v>
      </c>
      <c r="V606">
        <f t="shared" si="205"/>
        <v>15</v>
      </c>
      <c r="W606" s="10">
        <f t="shared" si="206"/>
        <v>867135.12314</v>
      </c>
      <c r="X606" s="10">
        <f t="shared" si="207"/>
        <v>8687.51</v>
      </c>
      <c r="Y606" s="10">
        <f t="shared" si="208"/>
        <v>858447.61314</v>
      </c>
      <c r="Z606" s="14">
        <f t="shared" si="212"/>
        <v>0.989981365339532</v>
      </c>
      <c r="AA606" t="s">
        <v>1588</v>
      </c>
      <c r="AB606" t="str">
        <f t="shared" si="209"/>
        <v>Q3-2023</v>
      </c>
      <c r="AC606" t="str">
        <f t="shared" si="210"/>
        <v>Americas → Brazil → Rio de Janeiro</v>
      </c>
      <c r="AD606" t="str">
        <f t="shared" si="211"/>
        <v>Devices</v>
      </c>
      <c r="AE606" s="8" t="str">
        <f t="shared" si="198"/>
        <v>Low</v>
      </c>
      <c r="AF606" t="str">
        <f t="shared" si="213"/>
        <v>BRAZIL</v>
      </c>
      <c r="AG606" s="7">
        <v>44955</v>
      </c>
      <c r="AH606" t="str">
        <f t="shared" si="214"/>
        <v>Jan-2023</v>
      </c>
      <c r="AI606" s="9">
        <f t="shared" si="215"/>
        <v>45199</v>
      </c>
      <c r="AJ606">
        <f t="shared" si="219"/>
        <v>0</v>
      </c>
      <c r="AK606">
        <f t="shared" si="216"/>
        <v>0</v>
      </c>
      <c r="AL606" s="17">
        <f>MIN(N606,'Scenario Modelling'!$B$2)</f>
        <v>0.186</v>
      </c>
      <c r="AM606" s="10">
        <f>L606*(1+'Scenario Modelling'!$B$3)</f>
        <v>792.7295</v>
      </c>
      <c r="AN606">
        <f>O606*(1+'Scenario Modelling'!$B$4)</f>
        <v>15.6</v>
      </c>
      <c r="AO606" s="28">
        <f t="shared" si="217"/>
        <v>8485.959768</v>
      </c>
      <c r="AP606" s="10">
        <f t="shared" si="218"/>
        <v>-3880.620432</v>
      </c>
    </row>
    <row r="607" spans="1:42">
      <c r="A607" t="s">
        <v>1473</v>
      </c>
      <c r="B607" s="7">
        <v>45038</v>
      </c>
      <c r="C607" s="7">
        <v>45060</v>
      </c>
      <c r="D607" t="s">
        <v>206</v>
      </c>
      <c r="E607" t="s">
        <v>207</v>
      </c>
      <c r="F607" t="s">
        <v>392</v>
      </c>
      <c r="G607" t="s">
        <v>266</v>
      </c>
      <c r="H607" t="s">
        <v>181</v>
      </c>
      <c r="I607" t="s">
        <v>236</v>
      </c>
      <c r="J607" t="s">
        <v>242</v>
      </c>
      <c r="K607" t="s">
        <v>1474</v>
      </c>
      <c r="L607" s="10">
        <v>1209.22</v>
      </c>
      <c r="M607" s="10">
        <v>1404.33</v>
      </c>
      <c r="N607" s="17">
        <v>0.103</v>
      </c>
      <c r="O607">
        <v>11</v>
      </c>
      <c r="P607" t="str">
        <f t="shared" si="199"/>
        <v>Valid</v>
      </c>
      <c r="Q607" s="10">
        <f t="shared" si="200"/>
        <v>1404.33</v>
      </c>
      <c r="R607" t="b">
        <f t="shared" si="201"/>
        <v>0</v>
      </c>
      <c r="S607" s="17">
        <f t="shared" si="202"/>
        <v>0.103</v>
      </c>
      <c r="T607">
        <f t="shared" si="203"/>
        <v>22</v>
      </c>
      <c r="U607" s="26">
        <f t="shared" si="204"/>
        <v>45060</v>
      </c>
      <c r="V607">
        <f t="shared" si="205"/>
        <v>22</v>
      </c>
      <c r="W607" s="10">
        <f t="shared" si="206"/>
        <v>1543171.89411</v>
      </c>
      <c r="X607" s="10">
        <f t="shared" si="207"/>
        <v>15447.63</v>
      </c>
      <c r="Y607" s="10">
        <f t="shared" si="208"/>
        <v>1527724.26411</v>
      </c>
      <c r="Z607" s="14">
        <f t="shared" si="212"/>
        <v>0.989989689380061</v>
      </c>
      <c r="AA607" t="s">
        <v>1571</v>
      </c>
      <c r="AB607" t="str">
        <f t="shared" si="209"/>
        <v>Q2-2023</v>
      </c>
      <c r="AC607" t="str">
        <f t="shared" si="210"/>
        <v>Asia → Japan → Nagoya</v>
      </c>
      <c r="AD607" t="str">
        <f t="shared" si="211"/>
        <v>Support</v>
      </c>
      <c r="AE607" s="8" t="str">
        <f t="shared" si="198"/>
        <v>Low</v>
      </c>
      <c r="AF607" t="str">
        <f t="shared" si="213"/>
        <v>JAPAN</v>
      </c>
      <c r="AG607" s="7">
        <v>44988</v>
      </c>
      <c r="AH607" t="str">
        <f t="shared" si="214"/>
        <v>Mar-2023</v>
      </c>
      <c r="AI607" s="9">
        <f t="shared" si="215"/>
        <v>45046</v>
      </c>
      <c r="AJ607">
        <f t="shared" si="219"/>
        <v>0</v>
      </c>
      <c r="AK607">
        <f t="shared" si="216"/>
        <v>0</v>
      </c>
      <c r="AL607" s="17">
        <f>MIN(N607,'Scenario Modelling'!$B$2)</f>
        <v>0.103</v>
      </c>
      <c r="AM607" s="10">
        <f>L607*(1+'Scenario Modelling'!$B$3)</f>
        <v>1390.603</v>
      </c>
      <c r="AN607">
        <f>O607*(1+'Scenario Modelling'!$B$4)</f>
        <v>13.2</v>
      </c>
      <c r="AO607" s="28">
        <f t="shared" si="217"/>
        <v>16627.828932</v>
      </c>
      <c r="AP607" s="10">
        <f t="shared" si="218"/>
        <v>-1728.130668</v>
      </c>
    </row>
    <row r="608" spans="1:42">
      <c r="A608" t="s">
        <v>1475</v>
      </c>
      <c r="B608" s="7">
        <v>45827</v>
      </c>
      <c r="C608" s="7">
        <v>45829</v>
      </c>
      <c r="D608" t="s">
        <v>177</v>
      </c>
      <c r="E608" t="s">
        <v>309</v>
      </c>
      <c r="F608" t="s">
        <v>310</v>
      </c>
      <c r="G608" t="s">
        <v>223</v>
      </c>
      <c r="H608" t="s">
        <v>1579</v>
      </c>
      <c r="I608" t="s">
        <v>253</v>
      </c>
      <c r="J608" t="s">
        <v>203</v>
      </c>
      <c r="K608" t="s">
        <v>1476</v>
      </c>
      <c r="L608" s="10">
        <v>1466.27</v>
      </c>
      <c r="M608" s="10">
        <v>3589.89</v>
      </c>
      <c r="N608" s="17">
        <v>0.097</v>
      </c>
      <c r="O608">
        <v>9</v>
      </c>
      <c r="P608" t="str">
        <f t="shared" si="199"/>
        <v>Valid</v>
      </c>
      <c r="Q608" s="10">
        <f t="shared" si="200"/>
        <v>3589.89</v>
      </c>
      <c r="R608" t="b">
        <f t="shared" si="201"/>
        <v>0</v>
      </c>
      <c r="S608" s="17">
        <f t="shared" si="202"/>
        <v>0.097</v>
      </c>
      <c r="T608">
        <f t="shared" si="203"/>
        <v>2</v>
      </c>
      <c r="U608" s="26">
        <f t="shared" si="204"/>
        <v>45829</v>
      </c>
      <c r="V608">
        <f t="shared" si="205"/>
        <v>2</v>
      </c>
      <c r="W608" s="10">
        <f t="shared" si="206"/>
        <v>3227767.02603</v>
      </c>
      <c r="X608" s="10">
        <f t="shared" si="207"/>
        <v>32309.01</v>
      </c>
      <c r="Y608" s="10">
        <f t="shared" si="208"/>
        <v>3195458.01603</v>
      </c>
      <c r="Z608" s="14">
        <f t="shared" si="212"/>
        <v>0.989990290581864</v>
      </c>
      <c r="AA608" t="s">
        <v>1575</v>
      </c>
      <c r="AB608" t="str">
        <f t="shared" si="209"/>
        <v>Q2-2025</v>
      </c>
      <c r="AC608" t="str">
        <f t="shared" si="210"/>
        <v>Africa → South Africa → Johannesburg</v>
      </c>
      <c r="AD608" t="str">
        <f t="shared" si="211"/>
        <v>Devices</v>
      </c>
      <c r="AE608" s="8" t="str">
        <f t="shared" si="198"/>
        <v>High</v>
      </c>
      <c r="AF608" t="str">
        <f t="shared" si="213"/>
        <v>SOUTH AFRICA</v>
      </c>
      <c r="AG608" s="7">
        <v>44933</v>
      </c>
      <c r="AH608" t="str">
        <f t="shared" si="214"/>
        <v>Jan-2023</v>
      </c>
      <c r="AI608" s="9">
        <f t="shared" si="215"/>
        <v>45838</v>
      </c>
      <c r="AJ608">
        <f t="shared" si="219"/>
        <v>1</v>
      </c>
      <c r="AK608">
        <f t="shared" si="216"/>
        <v>0</v>
      </c>
      <c r="AL608" s="17">
        <f>MIN(N608,'Scenario Modelling'!$B$2)</f>
        <v>0.097</v>
      </c>
      <c r="AM608" s="10">
        <f>L608*(1+'Scenario Modelling'!$B$3)</f>
        <v>1686.2105</v>
      </c>
      <c r="AN608">
        <f>O608*(1+'Scenario Modelling'!$B$4)</f>
        <v>10.8</v>
      </c>
      <c r="AO608" s="28">
        <f t="shared" si="217"/>
        <v>35010.043236</v>
      </c>
      <c r="AP608" s="10">
        <f t="shared" si="218"/>
        <v>16798.969836</v>
      </c>
    </row>
    <row r="609" spans="1:42">
      <c r="A609" t="s">
        <v>1477</v>
      </c>
      <c r="B609" s="7">
        <v>45623</v>
      </c>
      <c r="C609" s="7">
        <v>45650</v>
      </c>
      <c r="D609" t="s">
        <v>177</v>
      </c>
      <c r="E609" t="s">
        <v>178</v>
      </c>
      <c r="F609" t="s">
        <v>274</v>
      </c>
      <c r="G609" t="s">
        <v>180</v>
      </c>
      <c r="H609" t="s">
        <v>216</v>
      </c>
      <c r="I609" t="s">
        <v>217</v>
      </c>
      <c r="J609" t="s">
        <v>191</v>
      </c>
      <c r="K609" t="s">
        <v>1478</v>
      </c>
      <c r="L609" s="10">
        <v>143.33</v>
      </c>
      <c r="M609" s="10">
        <v>233.51</v>
      </c>
      <c r="N609" s="17">
        <v>0.163</v>
      </c>
      <c r="O609">
        <v>14</v>
      </c>
      <c r="P609" t="str">
        <f t="shared" si="199"/>
        <v>Valid</v>
      </c>
      <c r="Q609" s="10">
        <f t="shared" si="200"/>
        <v>233.51</v>
      </c>
      <c r="R609" t="b">
        <f t="shared" si="201"/>
        <v>0</v>
      </c>
      <c r="S609" s="17">
        <f t="shared" si="202"/>
        <v>0.163</v>
      </c>
      <c r="T609">
        <f t="shared" si="203"/>
        <v>27</v>
      </c>
      <c r="U609" s="26">
        <f t="shared" si="204"/>
        <v>45650</v>
      </c>
      <c r="V609">
        <f t="shared" si="205"/>
        <v>27</v>
      </c>
      <c r="W609" s="10">
        <f t="shared" si="206"/>
        <v>326381.13018</v>
      </c>
      <c r="X609" s="10">
        <f t="shared" si="207"/>
        <v>3269.14</v>
      </c>
      <c r="Y609" s="10">
        <f t="shared" si="208"/>
        <v>323111.99018</v>
      </c>
      <c r="Z609" s="14">
        <f t="shared" si="212"/>
        <v>0.989983673387622</v>
      </c>
      <c r="AA609" t="s">
        <v>1577</v>
      </c>
      <c r="AB609" t="str">
        <f t="shared" si="209"/>
        <v>Q4-2024</v>
      </c>
      <c r="AC609" t="str">
        <f t="shared" si="210"/>
        <v>Africa → Kenya → Mombasa</v>
      </c>
      <c r="AD609" t="str">
        <f t="shared" si="211"/>
        <v>Peripherals</v>
      </c>
      <c r="AE609" s="8" t="str">
        <f t="shared" si="198"/>
        <v>High</v>
      </c>
      <c r="AF609" t="str">
        <f t="shared" si="213"/>
        <v>KENYA</v>
      </c>
      <c r="AG609" s="7">
        <v>44946</v>
      </c>
      <c r="AH609" t="str">
        <f t="shared" si="214"/>
        <v>Jan-2023</v>
      </c>
      <c r="AI609" s="9">
        <f t="shared" si="215"/>
        <v>45626</v>
      </c>
      <c r="AJ609">
        <f t="shared" si="219"/>
        <v>0</v>
      </c>
      <c r="AK609">
        <f t="shared" si="216"/>
        <v>0</v>
      </c>
      <c r="AL609" s="17">
        <f>MIN(N609,'Scenario Modelling'!$B$2)</f>
        <v>0.163</v>
      </c>
      <c r="AM609" s="10">
        <f>L609*(1+'Scenario Modelling'!$B$3)</f>
        <v>164.8295</v>
      </c>
      <c r="AN609">
        <f>O609*(1+'Scenario Modelling'!$B$4)</f>
        <v>16.8</v>
      </c>
      <c r="AO609" s="28">
        <f t="shared" si="217"/>
        <v>3283.524216</v>
      </c>
      <c r="AP609" s="10">
        <f t="shared" si="218"/>
        <v>514.388616</v>
      </c>
    </row>
    <row r="610" spans="1:42">
      <c r="A610" t="s">
        <v>1479</v>
      </c>
      <c r="B610" s="7">
        <v>45319</v>
      </c>
      <c r="C610" s="7">
        <v>45318</v>
      </c>
      <c r="D610" t="s">
        <v>177</v>
      </c>
      <c r="E610" t="s">
        <v>309</v>
      </c>
      <c r="F610" t="s">
        <v>419</v>
      </c>
      <c r="G610" t="s">
        <v>266</v>
      </c>
      <c r="H610" t="s">
        <v>259</v>
      </c>
      <c r="I610" t="s">
        <v>229</v>
      </c>
      <c r="J610" t="s">
        <v>183</v>
      </c>
      <c r="K610" t="s">
        <v>1480</v>
      </c>
      <c r="L610" s="10">
        <v>109.75</v>
      </c>
      <c r="M610" s="10">
        <v>124.25</v>
      </c>
      <c r="N610" s="17">
        <v>0.12</v>
      </c>
      <c r="O610">
        <v>19</v>
      </c>
      <c r="P610" t="str">
        <f t="shared" si="199"/>
        <v>Valid</v>
      </c>
      <c r="Q610" s="10">
        <f t="shared" si="200"/>
        <v>124.25</v>
      </c>
      <c r="R610" t="b">
        <f t="shared" si="201"/>
        <v>0</v>
      </c>
      <c r="S610" s="17">
        <f t="shared" si="202"/>
        <v>0.12</v>
      </c>
      <c r="T610">
        <f t="shared" si="203"/>
        <v>-1</v>
      </c>
      <c r="U610" s="26">
        <f t="shared" si="204"/>
        <v>45326</v>
      </c>
      <c r="V610">
        <f t="shared" si="205"/>
        <v>7</v>
      </c>
      <c r="W610" s="10">
        <f t="shared" si="206"/>
        <v>235791.71</v>
      </c>
      <c r="X610" s="10">
        <f t="shared" si="207"/>
        <v>2360.75</v>
      </c>
      <c r="Y610" s="10">
        <f t="shared" si="208"/>
        <v>233430.96</v>
      </c>
      <c r="Z610" s="14">
        <f t="shared" si="212"/>
        <v>0.989987985582699</v>
      </c>
      <c r="AA610" t="s">
        <v>1568</v>
      </c>
      <c r="AB610" t="str">
        <f t="shared" si="209"/>
        <v>Q1-2024</v>
      </c>
      <c r="AC610" t="str">
        <f t="shared" si="210"/>
        <v>Africa → South Africa → Cape Town</v>
      </c>
      <c r="AD610" t="str">
        <f t="shared" si="211"/>
        <v>Support</v>
      </c>
      <c r="AE610" s="8" t="str">
        <f t="shared" si="198"/>
        <v>Medium</v>
      </c>
      <c r="AF610" t="str">
        <f t="shared" si="213"/>
        <v>SOUTH AFRICA</v>
      </c>
      <c r="AG610" s="7">
        <v>44933</v>
      </c>
      <c r="AH610" t="str">
        <f t="shared" si="214"/>
        <v>Jan-2023</v>
      </c>
      <c r="AI610" s="9">
        <f t="shared" si="215"/>
        <v>45322</v>
      </c>
      <c r="AJ610">
        <f t="shared" si="219"/>
        <v>1</v>
      </c>
      <c r="AK610">
        <f t="shared" si="216"/>
        <v>0</v>
      </c>
      <c r="AL610" s="17">
        <f>MIN(N610,'Scenario Modelling'!$B$2)</f>
        <v>0.12</v>
      </c>
      <c r="AM610" s="10">
        <f>L610*(1+'Scenario Modelling'!$B$3)</f>
        <v>126.2125</v>
      </c>
      <c r="AN610">
        <f>O610*(1+'Scenario Modelling'!$B$4)</f>
        <v>22.8</v>
      </c>
      <c r="AO610" s="28">
        <f t="shared" si="217"/>
        <v>2492.952</v>
      </c>
      <c r="AP610" s="10">
        <f t="shared" si="218"/>
        <v>-384.693</v>
      </c>
    </row>
    <row r="611" spans="1:42">
      <c r="A611" t="s">
        <v>1481</v>
      </c>
      <c r="B611" s="7">
        <v>45032</v>
      </c>
      <c r="C611" s="7">
        <v>45039</v>
      </c>
      <c r="D611" t="s">
        <v>213</v>
      </c>
      <c r="E611" t="s">
        <v>283</v>
      </c>
      <c r="F611" t="s">
        <v>487</v>
      </c>
      <c r="G611" t="s">
        <v>180</v>
      </c>
      <c r="H611" t="s">
        <v>216</v>
      </c>
      <c r="I611" t="s">
        <v>229</v>
      </c>
      <c r="J611" t="s">
        <v>191</v>
      </c>
      <c r="K611" t="s">
        <v>1482</v>
      </c>
      <c r="L611" s="10">
        <v>1099.15</v>
      </c>
      <c r="M611" s="10">
        <v>1431.37</v>
      </c>
      <c r="N611" s="17">
        <v>0.104</v>
      </c>
      <c r="O611">
        <v>8</v>
      </c>
      <c r="P611" t="str">
        <f t="shared" si="199"/>
        <v>Valid</v>
      </c>
      <c r="Q611" s="10">
        <f t="shared" si="200"/>
        <v>1431.37</v>
      </c>
      <c r="R611" t="b">
        <f t="shared" si="201"/>
        <v>0</v>
      </c>
      <c r="S611" s="17">
        <f t="shared" si="202"/>
        <v>0.104</v>
      </c>
      <c r="T611">
        <f t="shared" si="203"/>
        <v>7</v>
      </c>
      <c r="U611" s="26">
        <f t="shared" si="204"/>
        <v>45039</v>
      </c>
      <c r="V611">
        <f t="shared" si="205"/>
        <v>7</v>
      </c>
      <c r="W611" s="10">
        <f t="shared" si="206"/>
        <v>1143905.10016</v>
      </c>
      <c r="X611" s="10">
        <f t="shared" si="207"/>
        <v>11450.96</v>
      </c>
      <c r="Y611" s="10">
        <f t="shared" si="208"/>
        <v>1132454.14016</v>
      </c>
      <c r="Z611" s="14">
        <f t="shared" si="212"/>
        <v>0.98998958917274</v>
      </c>
      <c r="AA611" t="s">
        <v>1571</v>
      </c>
      <c r="AB611" t="str">
        <f t="shared" si="209"/>
        <v>Q2-2023</v>
      </c>
      <c r="AC611" t="str">
        <f t="shared" si="210"/>
        <v>Americas → USA → Austin</v>
      </c>
      <c r="AD611" t="str">
        <f t="shared" si="211"/>
        <v>Peripherals</v>
      </c>
      <c r="AE611" s="8" t="str">
        <f t="shared" si="198"/>
        <v>Low</v>
      </c>
      <c r="AF611" t="str">
        <f t="shared" si="213"/>
        <v>USA</v>
      </c>
      <c r="AG611" s="7">
        <v>44939</v>
      </c>
      <c r="AH611" t="str">
        <f t="shared" si="214"/>
        <v>Jan-2023</v>
      </c>
      <c r="AI611" s="9">
        <f t="shared" si="215"/>
        <v>45046</v>
      </c>
      <c r="AJ611">
        <f t="shared" si="219"/>
        <v>1</v>
      </c>
      <c r="AK611">
        <f t="shared" si="216"/>
        <v>0</v>
      </c>
      <c r="AL611" s="17">
        <f>MIN(N611,'Scenario Modelling'!$B$2)</f>
        <v>0.104</v>
      </c>
      <c r="AM611" s="10">
        <f>L611*(1+'Scenario Modelling'!$B$3)</f>
        <v>1264.0225</v>
      </c>
      <c r="AN611">
        <f>O611*(1+'Scenario Modelling'!$B$4)</f>
        <v>9.6</v>
      </c>
      <c r="AO611" s="28">
        <f t="shared" si="217"/>
        <v>12312.072192</v>
      </c>
      <c r="AP611" s="10">
        <f t="shared" si="218"/>
        <v>177.456191999999</v>
      </c>
    </row>
    <row r="612" spans="1:42">
      <c r="A612" t="s">
        <v>1483</v>
      </c>
      <c r="B612" s="7">
        <v>45323</v>
      </c>
      <c r="C612" s="7">
        <v>45323</v>
      </c>
      <c r="D612" t="s">
        <v>213</v>
      </c>
      <c r="E612" t="s">
        <v>283</v>
      </c>
      <c r="F612" t="s">
        <v>487</v>
      </c>
      <c r="G612" t="s">
        <v>209</v>
      </c>
      <c r="H612" t="s">
        <v>216</v>
      </c>
      <c r="I612" t="s">
        <v>253</v>
      </c>
      <c r="J612" t="s">
        <v>191</v>
      </c>
      <c r="K612" t="s">
        <v>1484</v>
      </c>
      <c r="L612" s="10">
        <v>714.43</v>
      </c>
      <c r="M612" s="10">
        <v>1595.52</v>
      </c>
      <c r="N612" s="17">
        <v>0.194</v>
      </c>
      <c r="O612">
        <v>14</v>
      </c>
      <c r="P612" t="str">
        <f t="shared" si="199"/>
        <v>Valid</v>
      </c>
      <c r="Q612" s="10">
        <f t="shared" si="200"/>
        <v>1595.52</v>
      </c>
      <c r="R612" t="b">
        <f t="shared" si="201"/>
        <v>0</v>
      </c>
      <c r="S612" s="17">
        <f t="shared" si="202"/>
        <v>0.194</v>
      </c>
      <c r="T612">
        <f t="shared" si="203"/>
        <v>0</v>
      </c>
      <c r="U612" s="26">
        <f t="shared" si="204"/>
        <v>45323</v>
      </c>
      <c r="V612">
        <f t="shared" si="205"/>
        <v>0</v>
      </c>
      <c r="W612" s="10">
        <f t="shared" si="206"/>
        <v>2229394.56768</v>
      </c>
      <c r="X612" s="10">
        <f t="shared" si="207"/>
        <v>22337.28</v>
      </c>
      <c r="Y612" s="10">
        <f t="shared" si="208"/>
        <v>2207057.28768</v>
      </c>
      <c r="Z612" s="14">
        <f t="shared" si="212"/>
        <v>0.989980562290844</v>
      </c>
      <c r="AA612" t="s">
        <v>1594</v>
      </c>
      <c r="AB612" t="str">
        <f t="shared" si="209"/>
        <v>Q1-2024</v>
      </c>
      <c r="AC612" t="str">
        <f t="shared" si="210"/>
        <v>Americas → USA → Austin</v>
      </c>
      <c r="AD612" t="str">
        <f t="shared" si="211"/>
        <v>Peripherals</v>
      </c>
      <c r="AE612" s="8" t="str">
        <f t="shared" si="198"/>
        <v>Medium</v>
      </c>
      <c r="AF612" t="str">
        <f t="shared" si="213"/>
        <v>USA</v>
      </c>
      <c r="AG612" s="7">
        <v>44939</v>
      </c>
      <c r="AH612" t="str">
        <f t="shared" si="214"/>
        <v>Jan-2023</v>
      </c>
      <c r="AI612" s="9">
        <f t="shared" si="215"/>
        <v>45351</v>
      </c>
      <c r="AJ612">
        <f t="shared" si="219"/>
        <v>1</v>
      </c>
      <c r="AK612">
        <f t="shared" si="216"/>
        <v>0</v>
      </c>
      <c r="AL612" s="17">
        <f>MIN(N612,'Scenario Modelling'!$B$2)</f>
        <v>0.194</v>
      </c>
      <c r="AM612" s="10">
        <f>L612*(1+'Scenario Modelling'!$B$3)</f>
        <v>821.5945</v>
      </c>
      <c r="AN612">
        <f>O612*(1+'Scenario Modelling'!$B$4)</f>
        <v>16.8</v>
      </c>
      <c r="AO612" s="28">
        <f t="shared" si="217"/>
        <v>21604.617216</v>
      </c>
      <c r="AP612" s="10">
        <f t="shared" si="218"/>
        <v>7801.829616</v>
      </c>
    </row>
    <row r="613" spans="1:42">
      <c r="A613" t="s">
        <v>1485</v>
      </c>
      <c r="B613" s="7">
        <v>45584</v>
      </c>
      <c r="C613" s="7">
        <v>45602</v>
      </c>
      <c r="D613" t="s">
        <v>213</v>
      </c>
      <c r="E613" t="s">
        <v>283</v>
      </c>
      <c r="F613" t="s">
        <v>284</v>
      </c>
      <c r="G613" t="s">
        <v>188</v>
      </c>
      <c r="H613" t="s">
        <v>1579</v>
      </c>
      <c r="I613" t="s">
        <v>182</v>
      </c>
      <c r="J613" t="s">
        <v>225</v>
      </c>
      <c r="K613" t="s">
        <v>1486</v>
      </c>
      <c r="L613" s="10">
        <v>942.02</v>
      </c>
      <c r="M613" s="10">
        <v>1028.46</v>
      </c>
      <c r="N613" s="17">
        <v>0</v>
      </c>
      <c r="O613">
        <v>9</v>
      </c>
      <c r="P613" t="str">
        <f t="shared" si="199"/>
        <v>Valid</v>
      </c>
      <c r="Q613" s="10">
        <f t="shared" si="200"/>
        <v>1028.46</v>
      </c>
      <c r="R613" t="b">
        <f t="shared" si="201"/>
        <v>0</v>
      </c>
      <c r="S613" s="17">
        <f t="shared" si="202"/>
        <v>0</v>
      </c>
      <c r="T613">
        <f t="shared" si="203"/>
        <v>18</v>
      </c>
      <c r="U613" s="26">
        <f t="shared" si="204"/>
        <v>45602</v>
      </c>
      <c r="V613">
        <f t="shared" si="205"/>
        <v>18</v>
      </c>
      <c r="W613" s="10">
        <f t="shared" si="206"/>
        <v>925614</v>
      </c>
      <c r="X613" s="10">
        <f t="shared" si="207"/>
        <v>9256.14</v>
      </c>
      <c r="Y613" s="10">
        <f t="shared" si="208"/>
        <v>916357.86</v>
      </c>
      <c r="Z613" s="14">
        <f t="shared" si="212"/>
        <v>0.99</v>
      </c>
      <c r="AA613" t="s">
        <v>1561</v>
      </c>
      <c r="AB613" t="str">
        <f t="shared" si="209"/>
        <v>Q4-2024</v>
      </c>
      <c r="AC613" t="str">
        <f t="shared" si="210"/>
        <v>Americas → USA → Chicago</v>
      </c>
      <c r="AD613" t="str">
        <f t="shared" si="211"/>
        <v>Peripherals</v>
      </c>
      <c r="AE613" s="8" t="str">
        <f t="shared" si="198"/>
        <v>Medium</v>
      </c>
      <c r="AF613" t="str">
        <f t="shared" si="213"/>
        <v>USA</v>
      </c>
      <c r="AG613" s="7">
        <v>44939</v>
      </c>
      <c r="AH613" t="str">
        <f t="shared" si="214"/>
        <v>Jan-2023</v>
      </c>
      <c r="AI613" s="9">
        <f t="shared" si="215"/>
        <v>45596</v>
      </c>
      <c r="AJ613">
        <f t="shared" si="219"/>
        <v>0</v>
      </c>
      <c r="AK613">
        <f t="shared" si="216"/>
        <v>0</v>
      </c>
      <c r="AL613" s="17">
        <f>MIN(N613,'Scenario Modelling'!$B$2)</f>
        <v>0</v>
      </c>
      <c r="AM613" s="10">
        <f>L613*(1+'Scenario Modelling'!$B$3)</f>
        <v>1083.323</v>
      </c>
      <c r="AN613">
        <f>O613*(1+'Scenario Modelling'!$B$4)</f>
        <v>10.8</v>
      </c>
      <c r="AO613" s="28">
        <f t="shared" si="217"/>
        <v>11107.368</v>
      </c>
      <c r="AP613" s="10">
        <f t="shared" si="218"/>
        <v>-592.520399999998</v>
      </c>
    </row>
    <row r="614" spans="1:42">
      <c r="A614" t="s">
        <v>1487</v>
      </c>
      <c r="B614" s="7">
        <v>45468</v>
      </c>
      <c r="C614" s="7">
        <v>45473</v>
      </c>
      <c r="D614" t="s">
        <v>177</v>
      </c>
      <c r="E614" t="s">
        <v>178</v>
      </c>
      <c r="F614" t="s">
        <v>179</v>
      </c>
      <c r="G614" t="s">
        <v>188</v>
      </c>
      <c r="H614" t="s">
        <v>259</v>
      </c>
      <c r="I614" t="s">
        <v>271</v>
      </c>
      <c r="J614" t="s">
        <v>196</v>
      </c>
      <c r="K614" t="s">
        <v>1488</v>
      </c>
      <c r="L614" s="10">
        <v>1323.55</v>
      </c>
      <c r="M614" s="10">
        <v>3230.35</v>
      </c>
      <c r="N614" s="17">
        <v>0.022</v>
      </c>
      <c r="O614">
        <v>26</v>
      </c>
      <c r="P614" t="str">
        <f t="shared" si="199"/>
        <v>Valid</v>
      </c>
      <c r="Q614" s="10">
        <f t="shared" si="200"/>
        <v>3230.35</v>
      </c>
      <c r="R614" t="b">
        <f t="shared" si="201"/>
        <v>0</v>
      </c>
      <c r="S614" s="17">
        <f t="shared" si="202"/>
        <v>0.022</v>
      </c>
      <c r="T614">
        <f t="shared" si="203"/>
        <v>5</v>
      </c>
      <c r="U614" s="26">
        <f t="shared" si="204"/>
        <v>45473</v>
      </c>
      <c r="V614">
        <f t="shared" si="205"/>
        <v>5</v>
      </c>
      <c r="W614" s="10">
        <f t="shared" si="206"/>
        <v>8397062.2398</v>
      </c>
      <c r="X614" s="10">
        <f t="shared" si="207"/>
        <v>83989.1</v>
      </c>
      <c r="Y614" s="10">
        <f t="shared" si="208"/>
        <v>8313073.1398</v>
      </c>
      <c r="Z614" s="14">
        <f t="shared" si="212"/>
        <v>0.989997799515894</v>
      </c>
      <c r="AA614" t="s">
        <v>1576</v>
      </c>
      <c r="AB614" t="str">
        <f t="shared" si="209"/>
        <v>Q2-2024</v>
      </c>
      <c r="AC614" t="str">
        <f t="shared" si="210"/>
        <v>Africa → Kenya → Kisumu</v>
      </c>
      <c r="AD614" t="str">
        <f t="shared" si="211"/>
        <v>Support</v>
      </c>
      <c r="AE614" s="8" t="str">
        <f t="shared" si="198"/>
        <v>Medium</v>
      </c>
      <c r="AF614" t="str">
        <f t="shared" si="213"/>
        <v>KENYA</v>
      </c>
      <c r="AG614" s="7">
        <v>44946</v>
      </c>
      <c r="AH614" t="str">
        <f t="shared" si="214"/>
        <v>Jan-2023</v>
      </c>
      <c r="AI614" s="9">
        <f t="shared" si="215"/>
        <v>45473</v>
      </c>
      <c r="AJ614">
        <f t="shared" si="219"/>
        <v>1</v>
      </c>
      <c r="AK614">
        <f t="shared" si="216"/>
        <v>0</v>
      </c>
      <c r="AL614" s="17">
        <f>MIN(N614,'Scenario Modelling'!$B$2)</f>
        <v>0.022</v>
      </c>
      <c r="AM614" s="10">
        <f>L614*(1+'Scenario Modelling'!$B$3)</f>
        <v>1522.0825</v>
      </c>
      <c r="AN614">
        <f>O614*(1+'Scenario Modelling'!$B$4)</f>
        <v>31.2</v>
      </c>
      <c r="AO614" s="28">
        <f t="shared" si="217"/>
        <v>98569.60776</v>
      </c>
      <c r="AP614" s="10">
        <f t="shared" si="218"/>
        <v>51080.63376</v>
      </c>
    </row>
    <row r="615" spans="1:42">
      <c r="A615" t="s">
        <v>1489</v>
      </c>
      <c r="B615" s="7">
        <v>45137</v>
      </c>
      <c r="C615" s="7">
        <v>45157</v>
      </c>
      <c r="D615" t="s">
        <v>239</v>
      </c>
      <c r="E615" t="s">
        <v>251</v>
      </c>
      <c r="F615" t="s">
        <v>378</v>
      </c>
      <c r="G615" t="s">
        <v>266</v>
      </c>
      <c r="H615" t="s">
        <v>201</v>
      </c>
      <c r="I615" t="s">
        <v>202</v>
      </c>
      <c r="J615" t="s">
        <v>196</v>
      </c>
      <c r="K615" t="s">
        <v>1490</v>
      </c>
      <c r="L615" s="10">
        <v>1418.51</v>
      </c>
      <c r="M615" s="10">
        <v>2789.61</v>
      </c>
      <c r="N615" s="17">
        <v>0.171</v>
      </c>
      <c r="O615">
        <v>8</v>
      </c>
      <c r="P615" t="str">
        <f t="shared" si="199"/>
        <v>Valid</v>
      </c>
      <c r="Q615" s="10">
        <f t="shared" si="200"/>
        <v>2789.61</v>
      </c>
      <c r="R615" t="b">
        <f t="shared" si="201"/>
        <v>0</v>
      </c>
      <c r="S615" s="17">
        <f t="shared" si="202"/>
        <v>0.171</v>
      </c>
      <c r="T615">
        <f t="shared" si="203"/>
        <v>20</v>
      </c>
      <c r="U615" s="26">
        <f t="shared" si="204"/>
        <v>45157</v>
      </c>
      <c r="V615">
        <f t="shared" si="205"/>
        <v>20</v>
      </c>
      <c r="W615" s="10">
        <f t="shared" si="206"/>
        <v>2227871.81352</v>
      </c>
      <c r="X615" s="10">
        <f t="shared" si="207"/>
        <v>22316.88</v>
      </c>
      <c r="Y615" s="10">
        <f t="shared" si="208"/>
        <v>2205554.93352</v>
      </c>
      <c r="Z615" s="14">
        <f t="shared" si="212"/>
        <v>0.989982870708912</v>
      </c>
      <c r="AA615" t="s">
        <v>1584</v>
      </c>
      <c r="AB615" t="str">
        <f t="shared" si="209"/>
        <v>Q3-2023</v>
      </c>
      <c r="AC615" t="str">
        <f t="shared" si="210"/>
        <v>Europe → France → Paris</v>
      </c>
      <c r="AD615" t="str">
        <f t="shared" si="211"/>
        <v>Support</v>
      </c>
      <c r="AE615" s="8" t="str">
        <f t="shared" si="198"/>
        <v>Low</v>
      </c>
      <c r="AF615" t="str">
        <f t="shared" si="213"/>
        <v>FRANCE</v>
      </c>
      <c r="AG615" s="7">
        <v>44936</v>
      </c>
      <c r="AH615" t="str">
        <f t="shared" si="214"/>
        <v>Jan-2023</v>
      </c>
      <c r="AI615" s="9">
        <f t="shared" si="215"/>
        <v>45138</v>
      </c>
      <c r="AJ615">
        <f t="shared" si="219"/>
        <v>0</v>
      </c>
      <c r="AK615">
        <f t="shared" si="216"/>
        <v>0</v>
      </c>
      <c r="AL615" s="17">
        <f>MIN(N615,'Scenario Modelling'!$B$2)</f>
        <v>0.171</v>
      </c>
      <c r="AM615" s="10">
        <f>L615*(1+'Scenario Modelling'!$B$3)</f>
        <v>1631.2865</v>
      </c>
      <c r="AN615">
        <f>O615*(1+'Scenario Modelling'!$B$4)</f>
        <v>9.6</v>
      </c>
      <c r="AO615" s="28">
        <f t="shared" si="217"/>
        <v>22200.832224</v>
      </c>
      <c r="AP615" s="10">
        <f t="shared" si="218"/>
        <v>6540.481824</v>
      </c>
    </row>
    <row r="616" spans="1:42">
      <c r="A616" t="s">
        <v>1491</v>
      </c>
      <c r="B616" s="7">
        <v>45727</v>
      </c>
      <c r="C616" s="7">
        <v>45743</v>
      </c>
      <c r="D616" t="s">
        <v>206</v>
      </c>
      <c r="E616" t="s">
        <v>207</v>
      </c>
      <c r="F616" t="s">
        <v>375</v>
      </c>
      <c r="G616" t="s">
        <v>266</v>
      </c>
      <c r="H616" t="s">
        <v>216</v>
      </c>
      <c r="I616" t="s">
        <v>217</v>
      </c>
      <c r="J616" t="s">
        <v>191</v>
      </c>
      <c r="K616" t="s">
        <v>1492</v>
      </c>
      <c r="L616" s="10">
        <v>1317.58</v>
      </c>
      <c r="M616" s="10">
        <v>1897.74</v>
      </c>
      <c r="N616" s="17">
        <v>0.081</v>
      </c>
      <c r="O616">
        <v>6</v>
      </c>
      <c r="P616" t="str">
        <f t="shared" si="199"/>
        <v>Valid</v>
      </c>
      <c r="Q616" s="10">
        <f t="shared" si="200"/>
        <v>1897.74</v>
      </c>
      <c r="R616" t="b">
        <f t="shared" si="201"/>
        <v>0</v>
      </c>
      <c r="S616" s="17">
        <f t="shared" si="202"/>
        <v>0.081</v>
      </c>
      <c r="T616">
        <f t="shared" si="203"/>
        <v>16</v>
      </c>
      <c r="U616" s="26">
        <f t="shared" si="204"/>
        <v>45743</v>
      </c>
      <c r="V616">
        <f t="shared" si="205"/>
        <v>16</v>
      </c>
      <c r="W616" s="10">
        <f t="shared" si="206"/>
        <v>1137721.69836</v>
      </c>
      <c r="X616" s="10">
        <f t="shared" si="207"/>
        <v>11386.44</v>
      </c>
      <c r="Y616" s="10">
        <f t="shared" si="208"/>
        <v>1126335.25836</v>
      </c>
      <c r="Z616" s="14">
        <f t="shared" si="212"/>
        <v>0.989991893433681</v>
      </c>
      <c r="AA616" t="s">
        <v>1563</v>
      </c>
      <c r="AB616" t="str">
        <f t="shared" si="209"/>
        <v>Q1-2025</v>
      </c>
      <c r="AC616" t="str">
        <f t="shared" si="210"/>
        <v>Asia → Japan → Tokyo</v>
      </c>
      <c r="AD616" t="str">
        <f t="shared" si="211"/>
        <v>Peripherals</v>
      </c>
      <c r="AE616" s="8" t="str">
        <f t="shared" si="198"/>
        <v>High</v>
      </c>
      <c r="AF616" t="str">
        <f t="shared" si="213"/>
        <v>JAPAN</v>
      </c>
      <c r="AG616" s="7">
        <v>44988</v>
      </c>
      <c r="AH616" t="str">
        <f t="shared" si="214"/>
        <v>Mar-2023</v>
      </c>
      <c r="AI616" s="9">
        <f t="shared" si="215"/>
        <v>45747</v>
      </c>
      <c r="AJ616">
        <f t="shared" si="219"/>
        <v>0</v>
      </c>
      <c r="AK616">
        <f t="shared" si="216"/>
        <v>0</v>
      </c>
      <c r="AL616" s="17">
        <f>MIN(N616,'Scenario Modelling'!$B$2)</f>
        <v>0.081</v>
      </c>
      <c r="AM616" s="10">
        <f>L616*(1+'Scenario Modelling'!$B$3)</f>
        <v>1515.217</v>
      </c>
      <c r="AN616">
        <f>O616*(1+'Scenario Modelling'!$B$4)</f>
        <v>7.2</v>
      </c>
      <c r="AO616" s="28">
        <f t="shared" si="217"/>
        <v>12556.966032</v>
      </c>
      <c r="AP616" s="10">
        <f t="shared" si="218"/>
        <v>1647.403632</v>
      </c>
    </row>
    <row r="617" spans="1:42">
      <c r="A617" t="s">
        <v>1493</v>
      </c>
      <c r="B617" s="7">
        <v>45208</v>
      </c>
      <c r="C617" s="7">
        <v>45210</v>
      </c>
      <c r="D617" t="s">
        <v>177</v>
      </c>
      <c r="E617" t="s">
        <v>186</v>
      </c>
      <c r="F617" t="s">
        <v>187</v>
      </c>
      <c r="G617" t="s">
        <v>188</v>
      </c>
      <c r="H617" t="s">
        <v>201</v>
      </c>
      <c r="I617" t="s">
        <v>256</v>
      </c>
      <c r="J617" t="s">
        <v>196</v>
      </c>
      <c r="K617" t="s">
        <v>1494</v>
      </c>
      <c r="L617" s="10">
        <v>391.16</v>
      </c>
      <c r="M617" s="10">
        <v>902.47</v>
      </c>
      <c r="N617" s="17">
        <v>0.004</v>
      </c>
      <c r="O617">
        <v>12</v>
      </c>
      <c r="P617" t="str">
        <f t="shared" si="199"/>
        <v>Valid</v>
      </c>
      <c r="Q617" s="10">
        <f t="shared" si="200"/>
        <v>902.47</v>
      </c>
      <c r="R617" t="b">
        <f t="shared" si="201"/>
        <v>0</v>
      </c>
      <c r="S617" s="17">
        <f t="shared" si="202"/>
        <v>0.004</v>
      </c>
      <c r="T617">
        <f t="shared" si="203"/>
        <v>2</v>
      </c>
      <c r="U617" s="26">
        <f t="shared" si="204"/>
        <v>45210</v>
      </c>
      <c r="V617">
        <f t="shared" si="205"/>
        <v>2</v>
      </c>
      <c r="W617" s="10">
        <f t="shared" si="206"/>
        <v>1082920.68144</v>
      </c>
      <c r="X617" s="10">
        <f t="shared" si="207"/>
        <v>10829.64</v>
      </c>
      <c r="Y617" s="10">
        <f t="shared" si="208"/>
        <v>1072091.04144</v>
      </c>
      <c r="Z617" s="14">
        <f t="shared" si="212"/>
        <v>0.989999599983999</v>
      </c>
      <c r="AA617" t="s">
        <v>1595</v>
      </c>
      <c r="AB617" t="str">
        <f t="shared" si="209"/>
        <v>Q4-2023</v>
      </c>
      <c r="AC617" t="str">
        <f t="shared" si="210"/>
        <v>Africa → Nigeria → Port Harcourt</v>
      </c>
      <c r="AD617" t="str">
        <f t="shared" si="211"/>
        <v>Support</v>
      </c>
      <c r="AE617" s="8" t="str">
        <f t="shared" si="198"/>
        <v>Low</v>
      </c>
      <c r="AF617" t="str">
        <f t="shared" si="213"/>
        <v>NIGERIA</v>
      </c>
      <c r="AG617" s="7">
        <v>44941</v>
      </c>
      <c r="AH617" t="str">
        <f t="shared" si="214"/>
        <v>Jan-2023</v>
      </c>
      <c r="AI617" s="9">
        <f t="shared" si="215"/>
        <v>45230</v>
      </c>
      <c r="AJ617">
        <f t="shared" si="219"/>
        <v>1</v>
      </c>
      <c r="AK617">
        <f t="shared" si="216"/>
        <v>0</v>
      </c>
      <c r="AL617" s="17">
        <f>MIN(N617,'Scenario Modelling'!$B$2)</f>
        <v>0.004</v>
      </c>
      <c r="AM617" s="10">
        <f>L617*(1+'Scenario Modelling'!$B$3)</f>
        <v>449.834</v>
      </c>
      <c r="AN617">
        <f>O617*(1+'Scenario Modelling'!$B$4)</f>
        <v>14.4</v>
      </c>
      <c r="AO617" s="28">
        <f t="shared" si="217"/>
        <v>12943.585728</v>
      </c>
      <c r="AP617" s="10">
        <f t="shared" si="218"/>
        <v>6465.976128</v>
      </c>
    </row>
    <row r="618" spans="1:42">
      <c r="A618" t="s">
        <v>1495</v>
      </c>
      <c r="B618" s="7">
        <v>45643</v>
      </c>
      <c r="C618" s="7">
        <v>45673</v>
      </c>
      <c r="D618" t="s">
        <v>239</v>
      </c>
      <c r="E618" t="s">
        <v>269</v>
      </c>
      <c r="F618" t="s">
        <v>389</v>
      </c>
      <c r="G618" t="s">
        <v>180</v>
      </c>
      <c r="H618" t="s">
        <v>181</v>
      </c>
      <c r="I618" t="s">
        <v>306</v>
      </c>
      <c r="J618" t="s">
        <v>225</v>
      </c>
      <c r="K618" t="s">
        <v>1496</v>
      </c>
      <c r="L618" s="10">
        <v>722.87</v>
      </c>
      <c r="M618" s="10">
        <v>-33.66</v>
      </c>
      <c r="N618" s="17">
        <v>0.102</v>
      </c>
      <c r="O618">
        <v>28</v>
      </c>
      <c r="P618" t="b">
        <f t="shared" si="199"/>
        <v>0</v>
      </c>
      <c r="Q618" s="10">
        <f t="shared" si="200"/>
        <v>33.66</v>
      </c>
      <c r="R618" t="b">
        <f t="shared" si="201"/>
        <v>0</v>
      </c>
      <c r="S618" s="17">
        <f t="shared" si="202"/>
        <v>0.102</v>
      </c>
      <c r="T618">
        <f t="shared" si="203"/>
        <v>30</v>
      </c>
      <c r="U618" s="26">
        <f t="shared" si="204"/>
        <v>45673</v>
      </c>
      <c r="V618">
        <f t="shared" si="205"/>
        <v>30</v>
      </c>
      <c r="W618" s="10">
        <f t="shared" si="206"/>
        <v>94151.86704</v>
      </c>
      <c r="X618" s="10">
        <f t="shared" si="207"/>
        <v>942.48</v>
      </c>
      <c r="Y618" s="10">
        <f t="shared" si="208"/>
        <v>93209.38704</v>
      </c>
      <c r="Z618" s="14">
        <f t="shared" si="212"/>
        <v>0.989989789585377</v>
      </c>
      <c r="AA618" t="s">
        <v>1565</v>
      </c>
      <c r="AB618" t="str">
        <f t="shared" si="209"/>
        <v>Q4-2024</v>
      </c>
      <c r="AC618" t="str">
        <f t="shared" si="210"/>
        <v>Europe → United Kingdom → Manchester</v>
      </c>
      <c r="AD618" t="str">
        <f t="shared" si="211"/>
        <v>Peripherals</v>
      </c>
      <c r="AE618" s="8" t="str">
        <f t="shared" si="198"/>
        <v>High</v>
      </c>
      <c r="AF618" t="str">
        <f t="shared" si="213"/>
        <v>UNITED KINGDOM</v>
      </c>
      <c r="AG618" s="7">
        <v>44945</v>
      </c>
      <c r="AH618" t="str">
        <f t="shared" si="214"/>
        <v>Jan-2023</v>
      </c>
      <c r="AI618" s="9">
        <f t="shared" si="215"/>
        <v>45657</v>
      </c>
      <c r="AJ618">
        <f t="shared" si="219"/>
        <v>0</v>
      </c>
      <c r="AK618">
        <f t="shared" si="216"/>
        <v>0</v>
      </c>
      <c r="AL618" s="17">
        <f>MIN(N618,'Scenario Modelling'!$B$2)</f>
        <v>0.102</v>
      </c>
      <c r="AM618" s="10">
        <f>L618*(1+'Scenario Modelling'!$B$3)</f>
        <v>831.3005</v>
      </c>
      <c r="AN618">
        <f>O618*(1+'Scenario Modelling'!$B$4)</f>
        <v>33.6</v>
      </c>
      <c r="AO618" s="28">
        <f t="shared" si="217"/>
        <v>-1015.616448</v>
      </c>
      <c r="AP618" s="10">
        <f t="shared" si="218"/>
        <v>-28947.313248</v>
      </c>
    </row>
    <row r="619" spans="1:42">
      <c r="A619" t="s">
        <v>1497</v>
      </c>
      <c r="B619" s="7">
        <v>45849</v>
      </c>
      <c r="C619" s="7">
        <v>45854</v>
      </c>
      <c r="D619" t="s">
        <v>239</v>
      </c>
      <c r="E619" t="s">
        <v>269</v>
      </c>
      <c r="F619" t="s">
        <v>313</v>
      </c>
      <c r="G619" t="s">
        <v>266</v>
      </c>
      <c r="H619" t="s">
        <v>189</v>
      </c>
      <c r="I619" t="s">
        <v>256</v>
      </c>
      <c r="J619" t="s">
        <v>191</v>
      </c>
      <c r="K619" t="s">
        <v>1498</v>
      </c>
      <c r="L619" s="10">
        <v>930.03</v>
      </c>
      <c r="M619" s="10">
        <v>1086.68</v>
      </c>
      <c r="N619" s="17">
        <v>0.109</v>
      </c>
      <c r="O619">
        <v>26</v>
      </c>
      <c r="P619" t="str">
        <f t="shared" si="199"/>
        <v>Valid</v>
      </c>
      <c r="Q619" s="10">
        <f t="shared" si="200"/>
        <v>1086.68</v>
      </c>
      <c r="R619" t="b">
        <f t="shared" si="201"/>
        <v>0</v>
      </c>
      <c r="S619" s="17">
        <f t="shared" si="202"/>
        <v>0.109</v>
      </c>
      <c r="T619">
        <f t="shared" si="203"/>
        <v>5</v>
      </c>
      <c r="U619" s="26">
        <f t="shared" si="204"/>
        <v>45854</v>
      </c>
      <c r="V619">
        <f t="shared" si="205"/>
        <v>5</v>
      </c>
      <c r="W619" s="10">
        <f t="shared" si="206"/>
        <v>2822288.34888</v>
      </c>
      <c r="X619" s="10">
        <f t="shared" si="207"/>
        <v>28253.68</v>
      </c>
      <c r="Y619" s="10">
        <f t="shared" si="208"/>
        <v>2794034.66888</v>
      </c>
      <c r="Z619" s="14">
        <f t="shared" si="212"/>
        <v>0.989989088106035</v>
      </c>
      <c r="AA619" t="s">
        <v>1572</v>
      </c>
      <c r="AB619" t="str">
        <f t="shared" si="209"/>
        <v>Q3-2025</v>
      </c>
      <c r="AC619" t="str">
        <f t="shared" si="210"/>
        <v>Europe → United Kingdom → London</v>
      </c>
      <c r="AD619" t="str">
        <f t="shared" si="211"/>
        <v>Peripherals</v>
      </c>
      <c r="AE619" s="8" t="str">
        <f t="shared" si="198"/>
        <v>High</v>
      </c>
      <c r="AF619" t="str">
        <f t="shared" si="213"/>
        <v>UNITED KINGDOM</v>
      </c>
      <c r="AG619" s="7">
        <v>44945</v>
      </c>
      <c r="AH619" t="str">
        <f t="shared" si="214"/>
        <v>Jan-2023</v>
      </c>
      <c r="AI619" s="9">
        <f t="shared" si="215"/>
        <v>45869</v>
      </c>
      <c r="AJ619">
        <f t="shared" si="219"/>
        <v>1</v>
      </c>
      <c r="AK619">
        <f t="shared" si="216"/>
        <v>0</v>
      </c>
      <c r="AL619" s="17">
        <f>MIN(N619,'Scenario Modelling'!$B$2)</f>
        <v>0.109</v>
      </c>
      <c r="AM619" s="10">
        <f>L619*(1+'Scenario Modelling'!$B$3)</f>
        <v>1069.5345</v>
      </c>
      <c r="AN619">
        <f>O619*(1+'Scenario Modelling'!$B$4)</f>
        <v>31.2</v>
      </c>
      <c r="AO619" s="28">
        <f t="shared" si="217"/>
        <v>30208.834656</v>
      </c>
      <c r="AP619" s="10">
        <f t="shared" si="218"/>
        <v>-3160.641744</v>
      </c>
    </row>
    <row r="620" spans="1:42">
      <c r="A620" t="s">
        <v>1499</v>
      </c>
      <c r="B620" s="7">
        <v>45578</v>
      </c>
      <c r="C620" s="7">
        <v>45589</v>
      </c>
      <c r="D620" t="s">
        <v>239</v>
      </c>
      <c r="E620" t="s">
        <v>251</v>
      </c>
      <c r="F620" t="s">
        <v>378</v>
      </c>
      <c r="G620" t="s">
        <v>188</v>
      </c>
      <c r="H620" t="s">
        <v>216</v>
      </c>
      <c r="I620" t="s">
        <v>245</v>
      </c>
      <c r="J620" t="s">
        <v>183</v>
      </c>
      <c r="K620" t="s">
        <v>1500</v>
      </c>
      <c r="L620" s="10">
        <v>816.7</v>
      </c>
      <c r="M620" s="10">
        <v>1010.75</v>
      </c>
      <c r="N620" s="17">
        <v>0.047</v>
      </c>
      <c r="O620">
        <v>43</v>
      </c>
      <c r="P620" t="str">
        <f t="shared" si="199"/>
        <v>Valid</v>
      </c>
      <c r="Q620" s="10">
        <f t="shared" si="200"/>
        <v>1010.75</v>
      </c>
      <c r="R620" t="b">
        <f t="shared" si="201"/>
        <v>0</v>
      </c>
      <c r="S620" s="17">
        <f t="shared" si="202"/>
        <v>0.047</v>
      </c>
      <c r="T620">
        <f t="shared" si="203"/>
        <v>11</v>
      </c>
      <c r="U620" s="26">
        <f t="shared" si="204"/>
        <v>45589</v>
      </c>
      <c r="V620">
        <f t="shared" si="205"/>
        <v>11</v>
      </c>
      <c r="W620" s="10">
        <f t="shared" si="206"/>
        <v>4344182.27425</v>
      </c>
      <c r="X620" s="10">
        <f t="shared" si="207"/>
        <v>43462.25</v>
      </c>
      <c r="Y620" s="10">
        <f t="shared" si="208"/>
        <v>4300720.02425</v>
      </c>
      <c r="Z620" s="14">
        <f t="shared" si="212"/>
        <v>0.989995297789961</v>
      </c>
      <c r="AA620" t="s">
        <v>1561</v>
      </c>
      <c r="AB620" t="str">
        <f t="shared" si="209"/>
        <v>Q4-2024</v>
      </c>
      <c r="AC620" t="str">
        <f t="shared" si="210"/>
        <v>Europe → France → Paris</v>
      </c>
      <c r="AD620" t="str">
        <f t="shared" si="211"/>
        <v>Support</v>
      </c>
      <c r="AE620" s="8" t="str">
        <f t="shared" si="198"/>
        <v>Medium</v>
      </c>
      <c r="AF620" t="str">
        <f t="shared" si="213"/>
        <v>FRANCE</v>
      </c>
      <c r="AG620" s="7">
        <v>44936</v>
      </c>
      <c r="AH620" t="str">
        <f t="shared" si="214"/>
        <v>Jan-2023</v>
      </c>
      <c r="AI620" s="9">
        <f t="shared" si="215"/>
        <v>45596</v>
      </c>
      <c r="AJ620">
        <f t="shared" si="219"/>
        <v>0</v>
      </c>
      <c r="AK620">
        <f t="shared" si="216"/>
        <v>0</v>
      </c>
      <c r="AL620" s="17">
        <f>MIN(N620,'Scenario Modelling'!$B$2)</f>
        <v>0.047</v>
      </c>
      <c r="AM620" s="10">
        <f>L620*(1+'Scenario Modelling'!$B$3)</f>
        <v>939.205</v>
      </c>
      <c r="AN620">
        <f>O620*(1+'Scenario Modelling'!$B$4)</f>
        <v>51.6</v>
      </c>
      <c r="AO620" s="28">
        <f t="shared" si="217"/>
        <v>49703.4291</v>
      </c>
      <c r="AP620" s="10">
        <f t="shared" si="218"/>
        <v>1240.4511</v>
      </c>
    </row>
    <row r="621" spans="1:42">
      <c r="A621" t="s">
        <v>1501</v>
      </c>
      <c r="B621" s="7">
        <v>45177</v>
      </c>
      <c r="C621" s="7">
        <v>45183</v>
      </c>
      <c r="D621" t="s">
        <v>177</v>
      </c>
      <c r="E621" t="s">
        <v>178</v>
      </c>
      <c r="F621" t="s">
        <v>296</v>
      </c>
      <c r="G621" t="s">
        <v>188</v>
      </c>
      <c r="H621" t="s">
        <v>259</v>
      </c>
      <c r="I621" t="s">
        <v>195</v>
      </c>
      <c r="J621" t="s">
        <v>242</v>
      </c>
      <c r="K621" t="s">
        <v>1502</v>
      </c>
      <c r="L621" s="10">
        <v>251.03</v>
      </c>
      <c r="M621" s="10">
        <v>411.48</v>
      </c>
      <c r="N621" s="17">
        <v>0.165</v>
      </c>
      <c r="O621">
        <v>3</v>
      </c>
      <c r="P621" t="str">
        <f t="shared" si="199"/>
        <v>Valid</v>
      </c>
      <c r="Q621" s="10">
        <f t="shared" si="200"/>
        <v>411.48</v>
      </c>
      <c r="R621" t="b">
        <f t="shared" si="201"/>
        <v>0</v>
      </c>
      <c r="S621" s="17">
        <f t="shared" si="202"/>
        <v>0.165</v>
      </c>
      <c r="T621">
        <f t="shared" si="203"/>
        <v>6</v>
      </c>
      <c r="U621" s="26">
        <f t="shared" si="204"/>
        <v>45183</v>
      </c>
      <c r="V621">
        <f t="shared" si="205"/>
        <v>6</v>
      </c>
      <c r="W621" s="10">
        <f t="shared" si="206"/>
        <v>123240.3174</v>
      </c>
      <c r="X621" s="10">
        <f t="shared" si="207"/>
        <v>1234.44</v>
      </c>
      <c r="Y621" s="10">
        <f t="shared" si="208"/>
        <v>122005.8774</v>
      </c>
      <c r="Z621" s="14">
        <f t="shared" si="212"/>
        <v>0.989983472730005</v>
      </c>
      <c r="AA621" t="s">
        <v>1588</v>
      </c>
      <c r="AB621" t="str">
        <f t="shared" si="209"/>
        <v>Q3-2023</v>
      </c>
      <c r="AC621" t="str">
        <f t="shared" si="210"/>
        <v>Africa → Kenya → Nakuru</v>
      </c>
      <c r="AD621" t="str">
        <f t="shared" si="211"/>
        <v>Support</v>
      </c>
      <c r="AE621" s="8" t="str">
        <f t="shared" si="198"/>
        <v>Low</v>
      </c>
      <c r="AF621" t="str">
        <f t="shared" si="213"/>
        <v>KENYA</v>
      </c>
      <c r="AG621" s="7">
        <v>44946</v>
      </c>
      <c r="AH621" t="str">
        <f t="shared" si="214"/>
        <v>Jan-2023</v>
      </c>
      <c r="AI621" s="9">
        <f t="shared" si="215"/>
        <v>45199</v>
      </c>
      <c r="AJ621">
        <f t="shared" si="219"/>
        <v>1</v>
      </c>
      <c r="AK621">
        <f t="shared" si="216"/>
        <v>0</v>
      </c>
      <c r="AL621" s="17">
        <f>MIN(N621,'Scenario Modelling'!$B$2)</f>
        <v>0.165</v>
      </c>
      <c r="AM621" s="10">
        <f>L621*(1+'Scenario Modelling'!$B$3)</f>
        <v>288.6845</v>
      </c>
      <c r="AN621">
        <f>O621*(1+'Scenario Modelling'!$B$4)</f>
        <v>3.6</v>
      </c>
      <c r="AO621" s="28">
        <f t="shared" si="217"/>
        <v>1236.90888</v>
      </c>
      <c r="AP621" s="10">
        <f t="shared" si="218"/>
        <v>197.64468</v>
      </c>
    </row>
    <row r="622" spans="1:42">
      <c r="A622" t="s">
        <v>1503</v>
      </c>
      <c r="B622" s="7">
        <v>45764</v>
      </c>
      <c r="C622" s="7">
        <v>45780</v>
      </c>
      <c r="D622" t="s">
        <v>213</v>
      </c>
      <c r="E622" t="s">
        <v>234</v>
      </c>
      <c r="F622" t="s">
        <v>386</v>
      </c>
      <c r="G622" t="s">
        <v>209</v>
      </c>
      <c r="H622" t="s">
        <v>201</v>
      </c>
      <c r="I622" t="s">
        <v>190</v>
      </c>
      <c r="J622" t="s">
        <v>196</v>
      </c>
      <c r="K622" t="s">
        <v>1504</v>
      </c>
      <c r="L622" s="10">
        <v>168.68</v>
      </c>
      <c r="M622" s="10">
        <v>413.34</v>
      </c>
      <c r="N622" s="17">
        <v>0.186</v>
      </c>
      <c r="O622">
        <v>7</v>
      </c>
      <c r="P622" t="str">
        <f t="shared" si="199"/>
        <v>Valid</v>
      </c>
      <c r="Q622" s="10">
        <f t="shared" si="200"/>
        <v>413.34</v>
      </c>
      <c r="R622" t="b">
        <f t="shared" si="201"/>
        <v>0</v>
      </c>
      <c r="S622" s="17">
        <f t="shared" si="202"/>
        <v>0.186</v>
      </c>
      <c r="T622">
        <f t="shared" si="203"/>
        <v>16</v>
      </c>
      <c r="U622" s="26">
        <f t="shared" si="204"/>
        <v>45780</v>
      </c>
      <c r="V622">
        <f t="shared" si="205"/>
        <v>16</v>
      </c>
      <c r="W622" s="10">
        <f t="shared" si="206"/>
        <v>288799.83132</v>
      </c>
      <c r="X622" s="10">
        <f t="shared" si="207"/>
        <v>2893.38</v>
      </c>
      <c r="Y622" s="10">
        <f t="shared" si="208"/>
        <v>285906.45132</v>
      </c>
      <c r="Z622" s="14">
        <f t="shared" si="212"/>
        <v>0.989981365339532</v>
      </c>
      <c r="AA622" t="s">
        <v>1578</v>
      </c>
      <c r="AB622" t="str">
        <f t="shared" si="209"/>
        <v>Q2-2025</v>
      </c>
      <c r="AC622" t="str">
        <f t="shared" si="210"/>
        <v>Americas → Brazil → Rio de Janeiro</v>
      </c>
      <c r="AD622" t="str">
        <f t="shared" si="211"/>
        <v>Support</v>
      </c>
      <c r="AE622" s="8" t="str">
        <f t="shared" si="198"/>
        <v>High</v>
      </c>
      <c r="AF622" t="str">
        <f t="shared" si="213"/>
        <v>BRAZIL</v>
      </c>
      <c r="AG622" s="7">
        <v>44955</v>
      </c>
      <c r="AH622" t="str">
        <f t="shared" si="214"/>
        <v>Jan-2023</v>
      </c>
      <c r="AI622" s="9">
        <f t="shared" si="215"/>
        <v>45777</v>
      </c>
      <c r="AJ622">
        <f t="shared" si="219"/>
        <v>0</v>
      </c>
      <c r="AK622">
        <f t="shared" si="216"/>
        <v>0</v>
      </c>
      <c r="AL622" s="17">
        <f>MIN(N622,'Scenario Modelling'!$B$2)</f>
        <v>0.186</v>
      </c>
      <c r="AM622" s="10">
        <f>L622*(1+'Scenario Modelling'!$B$3)</f>
        <v>193.982</v>
      </c>
      <c r="AN622">
        <f>O622*(1+'Scenario Modelling'!$B$4)</f>
        <v>8.4</v>
      </c>
      <c r="AO622" s="28">
        <f t="shared" si="217"/>
        <v>2826.253584</v>
      </c>
      <c r="AP622" s="10">
        <f t="shared" si="218"/>
        <v>1196.804784</v>
      </c>
    </row>
    <row r="623" spans="1:42">
      <c r="A623" t="s">
        <v>1505</v>
      </c>
      <c r="B623" s="7">
        <v>45501</v>
      </c>
      <c r="C623" s="7">
        <v>45527</v>
      </c>
      <c r="D623" t="s">
        <v>206</v>
      </c>
      <c r="E623" t="s">
        <v>221</v>
      </c>
      <c r="F623" t="s">
        <v>442</v>
      </c>
      <c r="G623" t="s">
        <v>180</v>
      </c>
      <c r="H623" t="s">
        <v>181</v>
      </c>
      <c r="I623" t="s">
        <v>190</v>
      </c>
      <c r="J623" t="s">
        <v>196</v>
      </c>
      <c r="K623" t="s">
        <v>1506</v>
      </c>
      <c r="L623" s="10">
        <v>1339.24</v>
      </c>
      <c r="M623" s="10">
        <v>1558.89</v>
      </c>
      <c r="N623" s="17">
        <v>0.192</v>
      </c>
      <c r="O623">
        <v>24</v>
      </c>
      <c r="P623" t="str">
        <f t="shared" si="199"/>
        <v>Valid</v>
      </c>
      <c r="Q623" s="10">
        <f t="shared" si="200"/>
        <v>1558.89</v>
      </c>
      <c r="R623" t="b">
        <f t="shared" si="201"/>
        <v>0</v>
      </c>
      <c r="S623" s="17">
        <f t="shared" si="202"/>
        <v>0.192</v>
      </c>
      <c r="T623">
        <f t="shared" si="203"/>
        <v>26</v>
      </c>
      <c r="U623" s="26">
        <f t="shared" si="204"/>
        <v>45527</v>
      </c>
      <c r="V623">
        <f t="shared" si="205"/>
        <v>26</v>
      </c>
      <c r="W623" s="10">
        <f t="shared" si="206"/>
        <v>3734152.63488</v>
      </c>
      <c r="X623" s="10">
        <f t="shared" si="207"/>
        <v>37413.36</v>
      </c>
      <c r="Y623" s="10">
        <f t="shared" si="208"/>
        <v>3696739.27488</v>
      </c>
      <c r="Z623" s="14">
        <f t="shared" si="212"/>
        <v>0.989980763065085</v>
      </c>
      <c r="AA623" t="s">
        <v>1573</v>
      </c>
      <c r="AB623" t="str">
        <f t="shared" si="209"/>
        <v>Q3-2024</v>
      </c>
      <c r="AC623" t="str">
        <f t="shared" si="210"/>
        <v>Asia → India → Hyderabad</v>
      </c>
      <c r="AD623" t="str">
        <f t="shared" si="211"/>
        <v>Support</v>
      </c>
      <c r="AE623" s="8" t="str">
        <f t="shared" si="198"/>
        <v>Medium</v>
      </c>
      <c r="AF623" t="str">
        <f t="shared" si="213"/>
        <v>INDIA</v>
      </c>
      <c r="AG623" s="7">
        <v>44955</v>
      </c>
      <c r="AH623" t="str">
        <f t="shared" si="214"/>
        <v>Jan-2023</v>
      </c>
      <c r="AI623" s="9">
        <f t="shared" si="215"/>
        <v>45504</v>
      </c>
      <c r="AJ623">
        <f t="shared" si="219"/>
        <v>0</v>
      </c>
      <c r="AK623">
        <f t="shared" si="216"/>
        <v>0</v>
      </c>
      <c r="AL623" s="17">
        <f>MIN(N623,'Scenario Modelling'!$B$2)</f>
        <v>0.192</v>
      </c>
      <c r="AM623" s="10">
        <f>L623*(1+'Scenario Modelling'!$B$3)</f>
        <v>1540.126</v>
      </c>
      <c r="AN623">
        <f>O623*(1+'Scenario Modelling'!$B$4)</f>
        <v>28.8</v>
      </c>
      <c r="AO623" s="28">
        <f t="shared" si="217"/>
        <v>36275.993856</v>
      </c>
      <c r="AP623" s="10">
        <f t="shared" si="218"/>
        <v>-8079.63494399999</v>
      </c>
    </row>
    <row r="624" spans="1:42">
      <c r="A624" t="s">
        <v>1507</v>
      </c>
      <c r="B624" s="7">
        <v>45857</v>
      </c>
      <c r="C624" s="7">
        <v>45869</v>
      </c>
      <c r="D624" t="s">
        <v>177</v>
      </c>
      <c r="E624" t="s">
        <v>178</v>
      </c>
      <c r="F624" t="s">
        <v>194</v>
      </c>
      <c r="G624" t="s">
        <v>223</v>
      </c>
      <c r="H624" t="s">
        <v>201</v>
      </c>
      <c r="I624" t="s">
        <v>229</v>
      </c>
      <c r="J624" t="s">
        <v>242</v>
      </c>
      <c r="K624" t="s">
        <v>1508</v>
      </c>
      <c r="L624" s="10">
        <v>619.64</v>
      </c>
      <c r="M624" s="10">
        <v>861.16</v>
      </c>
      <c r="N624" s="17">
        <v>0.113</v>
      </c>
      <c r="O624">
        <v>14</v>
      </c>
      <c r="P624" t="str">
        <f t="shared" si="199"/>
        <v>Valid</v>
      </c>
      <c r="Q624" s="10">
        <f t="shared" si="200"/>
        <v>861.16</v>
      </c>
      <c r="R624" t="b">
        <f t="shared" si="201"/>
        <v>0</v>
      </c>
      <c r="S624" s="17">
        <f t="shared" si="202"/>
        <v>0.113</v>
      </c>
      <c r="T624">
        <f t="shared" si="203"/>
        <v>12</v>
      </c>
      <c r="U624" s="26">
        <f t="shared" si="204"/>
        <v>45869</v>
      </c>
      <c r="V624">
        <f t="shared" si="205"/>
        <v>12</v>
      </c>
      <c r="W624" s="10">
        <f t="shared" si="206"/>
        <v>1204261.64488</v>
      </c>
      <c r="X624" s="10">
        <f t="shared" si="207"/>
        <v>12056.24</v>
      </c>
      <c r="Y624" s="10">
        <f t="shared" si="208"/>
        <v>1192205.40488</v>
      </c>
      <c r="Z624" s="14">
        <f t="shared" si="212"/>
        <v>0.989988687216555</v>
      </c>
      <c r="AA624" t="s">
        <v>1572</v>
      </c>
      <c r="AB624" t="str">
        <f t="shared" si="209"/>
        <v>Q3-2025</v>
      </c>
      <c r="AC624" t="str">
        <f t="shared" si="210"/>
        <v>Africa → Kenya → Nairobi</v>
      </c>
      <c r="AD624" t="str">
        <f t="shared" si="211"/>
        <v>Support</v>
      </c>
      <c r="AE624" s="8" t="str">
        <f t="shared" si="198"/>
        <v>High</v>
      </c>
      <c r="AF624" t="str">
        <f t="shared" si="213"/>
        <v>KENYA</v>
      </c>
      <c r="AG624" s="7">
        <v>44946</v>
      </c>
      <c r="AH624" t="str">
        <f t="shared" si="214"/>
        <v>Jan-2023</v>
      </c>
      <c r="AI624" s="9">
        <f t="shared" si="215"/>
        <v>45869</v>
      </c>
      <c r="AJ624">
        <f t="shared" si="219"/>
        <v>0</v>
      </c>
      <c r="AK624">
        <f t="shared" si="216"/>
        <v>0</v>
      </c>
      <c r="AL624" s="17">
        <f>MIN(N624,'Scenario Modelling'!$B$2)</f>
        <v>0.113</v>
      </c>
      <c r="AM624" s="10">
        <f>L624*(1+'Scenario Modelling'!$B$3)</f>
        <v>712.586</v>
      </c>
      <c r="AN624">
        <f>O624*(1+'Scenario Modelling'!$B$4)</f>
        <v>16.8</v>
      </c>
      <c r="AO624" s="28">
        <f t="shared" si="217"/>
        <v>12832.661856</v>
      </c>
      <c r="AP624" s="10">
        <f t="shared" si="218"/>
        <v>861.217056000002</v>
      </c>
    </row>
    <row r="625" spans="1:42">
      <c r="A625" t="s">
        <v>1509</v>
      </c>
      <c r="B625" s="7">
        <v>45141</v>
      </c>
      <c r="C625" s="7">
        <v>45140</v>
      </c>
      <c r="D625" t="s">
        <v>206</v>
      </c>
      <c r="E625" t="s">
        <v>277</v>
      </c>
      <c r="F625" t="s">
        <v>323</v>
      </c>
      <c r="G625" t="s">
        <v>200</v>
      </c>
      <c r="H625" t="s">
        <v>259</v>
      </c>
      <c r="I625" t="s">
        <v>190</v>
      </c>
      <c r="J625" t="s">
        <v>196</v>
      </c>
      <c r="K625" t="s">
        <v>1510</v>
      </c>
      <c r="L625" s="10">
        <v>1021.97</v>
      </c>
      <c r="M625" s="10">
        <v>2296.25</v>
      </c>
      <c r="N625" s="17">
        <v>0.161</v>
      </c>
      <c r="O625">
        <v>26</v>
      </c>
      <c r="P625" t="str">
        <f t="shared" si="199"/>
        <v>Valid</v>
      </c>
      <c r="Q625" s="10">
        <f t="shared" si="200"/>
        <v>2296.25</v>
      </c>
      <c r="R625" t="b">
        <f t="shared" si="201"/>
        <v>0</v>
      </c>
      <c r="S625" s="17">
        <f t="shared" si="202"/>
        <v>0.161</v>
      </c>
      <c r="T625">
        <f t="shared" si="203"/>
        <v>-1</v>
      </c>
      <c r="U625" s="26">
        <f t="shared" si="204"/>
        <v>45148</v>
      </c>
      <c r="V625">
        <f t="shared" si="205"/>
        <v>7</v>
      </c>
      <c r="W625" s="10">
        <f t="shared" si="206"/>
        <v>5960637.8975</v>
      </c>
      <c r="X625" s="10">
        <f t="shared" si="207"/>
        <v>59702.5</v>
      </c>
      <c r="Y625" s="10">
        <f t="shared" si="208"/>
        <v>5900935.3975</v>
      </c>
      <c r="Z625" s="14">
        <f t="shared" si="212"/>
        <v>0.9899838740372</v>
      </c>
      <c r="AA625" t="s">
        <v>1585</v>
      </c>
      <c r="AB625" t="str">
        <f t="shared" si="209"/>
        <v>Q3-2023</v>
      </c>
      <c r="AC625" t="str">
        <f t="shared" si="210"/>
        <v>Asia → China → Shanghai</v>
      </c>
      <c r="AD625" t="str">
        <f t="shared" si="211"/>
        <v>Support</v>
      </c>
      <c r="AE625" s="8" t="str">
        <f t="shared" si="198"/>
        <v>Low</v>
      </c>
      <c r="AF625" t="str">
        <f t="shared" si="213"/>
        <v>CHINA</v>
      </c>
      <c r="AG625" s="7">
        <v>44938</v>
      </c>
      <c r="AH625" t="str">
        <f t="shared" si="214"/>
        <v>Jan-2023</v>
      </c>
      <c r="AI625" s="9">
        <f t="shared" si="215"/>
        <v>45169</v>
      </c>
      <c r="AJ625">
        <f t="shared" si="219"/>
        <v>1</v>
      </c>
      <c r="AK625">
        <f t="shared" si="216"/>
        <v>0</v>
      </c>
      <c r="AL625" s="17">
        <f>MIN(N625,'Scenario Modelling'!$B$2)</f>
        <v>0.161</v>
      </c>
      <c r="AM625" s="10">
        <f>L625*(1+'Scenario Modelling'!$B$3)</f>
        <v>1175.2655</v>
      </c>
      <c r="AN625">
        <f>O625*(1+'Scenario Modelling'!$B$4)</f>
        <v>31.2</v>
      </c>
      <c r="AO625" s="28">
        <f t="shared" si="217"/>
        <v>60108.477</v>
      </c>
      <c r="AP625" s="10">
        <f t="shared" si="218"/>
        <v>23440.1934</v>
      </c>
    </row>
    <row r="626" spans="1:42">
      <c r="A626" t="s">
        <v>1511</v>
      </c>
      <c r="B626" s="7">
        <v>45249</v>
      </c>
      <c r="C626" s="7">
        <v>45272</v>
      </c>
      <c r="D626" t="s">
        <v>206</v>
      </c>
      <c r="E626" t="s">
        <v>221</v>
      </c>
      <c r="F626" t="s">
        <v>302</v>
      </c>
      <c r="G626" t="s">
        <v>223</v>
      </c>
      <c r="H626" t="s">
        <v>259</v>
      </c>
      <c r="I626" t="s">
        <v>182</v>
      </c>
      <c r="J626" t="s">
        <v>196</v>
      </c>
      <c r="K626" t="s">
        <v>1512</v>
      </c>
      <c r="L626" s="10">
        <v>1349.04</v>
      </c>
      <c r="M626" s="10">
        <v>2636.6</v>
      </c>
      <c r="N626" s="17">
        <v>0.114</v>
      </c>
      <c r="O626">
        <v>14</v>
      </c>
      <c r="P626" t="str">
        <f t="shared" si="199"/>
        <v>Valid</v>
      </c>
      <c r="Q626" s="10">
        <f t="shared" si="200"/>
        <v>2636.6</v>
      </c>
      <c r="R626" t="b">
        <f t="shared" si="201"/>
        <v>0</v>
      </c>
      <c r="S626" s="17">
        <f t="shared" si="202"/>
        <v>0.114</v>
      </c>
      <c r="T626">
        <f t="shared" si="203"/>
        <v>23</v>
      </c>
      <c r="U626" s="26">
        <f t="shared" si="204"/>
        <v>45272</v>
      </c>
      <c r="V626">
        <f t="shared" si="205"/>
        <v>23</v>
      </c>
      <c r="W626" s="10">
        <f t="shared" si="206"/>
        <v>3687031.9864</v>
      </c>
      <c r="X626" s="10">
        <f t="shared" si="207"/>
        <v>36912.4</v>
      </c>
      <c r="Y626" s="10">
        <f t="shared" si="208"/>
        <v>3650119.5864</v>
      </c>
      <c r="Z626" s="14">
        <f t="shared" si="212"/>
        <v>0.989988586989168</v>
      </c>
      <c r="AA626" t="s">
        <v>1593</v>
      </c>
      <c r="AB626" t="str">
        <f t="shared" si="209"/>
        <v>Q4-2023</v>
      </c>
      <c r="AC626" t="str">
        <f t="shared" si="210"/>
        <v>Asia → India → Delhi</v>
      </c>
      <c r="AD626" t="str">
        <f t="shared" si="211"/>
        <v>Support</v>
      </c>
      <c r="AE626" s="8" t="str">
        <f t="shared" si="198"/>
        <v>Low</v>
      </c>
      <c r="AF626" t="str">
        <f t="shared" si="213"/>
        <v>INDIA</v>
      </c>
      <c r="AG626" s="7">
        <v>44955</v>
      </c>
      <c r="AH626" t="str">
        <f t="shared" si="214"/>
        <v>Jan-2023</v>
      </c>
      <c r="AI626" s="9">
        <f t="shared" si="215"/>
        <v>45260</v>
      </c>
      <c r="AJ626">
        <f t="shared" si="219"/>
        <v>0</v>
      </c>
      <c r="AK626">
        <f t="shared" si="216"/>
        <v>0</v>
      </c>
      <c r="AL626" s="17">
        <f>MIN(N626,'Scenario Modelling'!$B$2)</f>
        <v>0.114</v>
      </c>
      <c r="AM626" s="10">
        <f>L626*(1+'Scenario Modelling'!$B$3)</f>
        <v>1551.396</v>
      </c>
      <c r="AN626">
        <f>O626*(1+'Scenario Modelling'!$B$4)</f>
        <v>16.8</v>
      </c>
      <c r="AO626" s="28">
        <f t="shared" si="217"/>
        <v>39245.26368</v>
      </c>
      <c r="AP626" s="10">
        <f t="shared" si="218"/>
        <v>13181.81088</v>
      </c>
    </row>
    <row r="627" spans="1:42">
      <c r="A627" t="s">
        <v>1513</v>
      </c>
      <c r="B627" s="7">
        <v>45282</v>
      </c>
      <c r="C627" s="7">
        <v>45307</v>
      </c>
      <c r="D627" t="s">
        <v>206</v>
      </c>
      <c r="E627" t="s">
        <v>221</v>
      </c>
      <c r="F627" t="s">
        <v>442</v>
      </c>
      <c r="G627" t="s">
        <v>223</v>
      </c>
      <c r="H627" t="s">
        <v>181</v>
      </c>
      <c r="I627" t="s">
        <v>236</v>
      </c>
      <c r="J627" t="s">
        <v>183</v>
      </c>
      <c r="K627" t="s">
        <v>1514</v>
      </c>
      <c r="L627" s="10">
        <v>1346.81</v>
      </c>
      <c r="M627" s="10">
        <v>978.09</v>
      </c>
      <c r="N627" s="17">
        <v>0.159</v>
      </c>
      <c r="O627">
        <v>17</v>
      </c>
      <c r="P627" t="str">
        <f t="shared" si="199"/>
        <v>Valid</v>
      </c>
      <c r="Q627" s="10">
        <f t="shared" si="200"/>
        <v>978.09</v>
      </c>
      <c r="R627" t="b">
        <f t="shared" si="201"/>
        <v>0</v>
      </c>
      <c r="S627" s="17">
        <f t="shared" si="202"/>
        <v>0.159</v>
      </c>
      <c r="T627">
        <f t="shared" si="203"/>
        <v>25</v>
      </c>
      <c r="U627" s="26">
        <f t="shared" si="204"/>
        <v>45307</v>
      </c>
      <c r="V627">
        <f t="shared" si="205"/>
        <v>25</v>
      </c>
      <c r="W627" s="10">
        <f t="shared" si="206"/>
        <v>1660109.22273</v>
      </c>
      <c r="X627" s="10">
        <f t="shared" si="207"/>
        <v>16627.53</v>
      </c>
      <c r="Y627" s="10">
        <f t="shared" si="208"/>
        <v>1643481.69273</v>
      </c>
      <c r="Z627" s="14">
        <f t="shared" si="212"/>
        <v>0.989984074678739</v>
      </c>
      <c r="AA627" t="s">
        <v>1587</v>
      </c>
      <c r="AB627" t="str">
        <f t="shared" si="209"/>
        <v>Q4-2023</v>
      </c>
      <c r="AC627" t="str">
        <f t="shared" si="210"/>
        <v>Asia → India → Hyderabad</v>
      </c>
      <c r="AD627" t="str">
        <f t="shared" si="211"/>
        <v>Support</v>
      </c>
      <c r="AE627" s="8" t="str">
        <f t="shared" si="198"/>
        <v>Medium</v>
      </c>
      <c r="AF627" t="str">
        <f t="shared" si="213"/>
        <v>INDIA</v>
      </c>
      <c r="AG627" s="7">
        <v>44955</v>
      </c>
      <c r="AH627" t="str">
        <f t="shared" si="214"/>
        <v>Jan-2023</v>
      </c>
      <c r="AI627" s="9">
        <f t="shared" si="215"/>
        <v>45291</v>
      </c>
      <c r="AJ627">
        <f t="shared" si="219"/>
        <v>0</v>
      </c>
      <c r="AK627">
        <f t="shared" si="216"/>
        <v>0</v>
      </c>
      <c r="AL627" s="17">
        <f>MIN(N627,'Scenario Modelling'!$B$2)</f>
        <v>0.159</v>
      </c>
      <c r="AM627" s="10">
        <f>L627*(1+'Scenario Modelling'!$B$3)</f>
        <v>1548.8315</v>
      </c>
      <c r="AN627">
        <f>O627*(1+'Scenario Modelling'!$B$4)</f>
        <v>20.4</v>
      </c>
      <c r="AO627" s="28">
        <f t="shared" si="217"/>
        <v>16780.503276</v>
      </c>
      <c r="AP627" s="10">
        <f t="shared" si="218"/>
        <v>-14815.659324</v>
      </c>
    </row>
    <row r="628" spans="1:42">
      <c r="A628" t="s">
        <v>1515</v>
      </c>
      <c r="B628" s="7">
        <v>45141</v>
      </c>
      <c r="C628" s="7">
        <v>45168</v>
      </c>
      <c r="D628" t="s">
        <v>206</v>
      </c>
      <c r="E628" t="s">
        <v>277</v>
      </c>
      <c r="F628" t="s">
        <v>323</v>
      </c>
      <c r="G628" t="s">
        <v>209</v>
      </c>
      <c r="H628" t="s">
        <v>216</v>
      </c>
      <c r="I628" t="s">
        <v>287</v>
      </c>
      <c r="J628" t="s">
        <v>225</v>
      </c>
      <c r="K628" t="s">
        <v>1516</v>
      </c>
      <c r="L628" s="10">
        <v>226.04</v>
      </c>
      <c r="M628" s="10">
        <v>545.72</v>
      </c>
      <c r="N628" s="17">
        <v>0.151</v>
      </c>
      <c r="O628">
        <v>11</v>
      </c>
      <c r="P628" t="str">
        <f t="shared" si="199"/>
        <v>Valid</v>
      </c>
      <c r="Q628" s="10">
        <f t="shared" si="200"/>
        <v>545.72</v>
      </c>
      <c r="R628" t="b">
        <f t="shared" si="201"/>
        <v>0</v>
      </c>
      <c r="S628" s="17">
        <f t="shared" si="202"/>
        <v>0.151</v>
      </c>
      <c r="T628">
        <f t="shared" si="203"/>
        <v>27</v>
      </c>
      <c r="U628" s="26">
        <f t="shared" si="204"/>
        <v>45168</v>
      </c>
      <c r="V628">
        <f t="shared" si="205"/>
        <v>27</v>
      </c>
      <c r="W628" s="10">
        <f t="shared" si="206"/>
        <v>599385.55908</v>
      </c>
      <c r="X628" s="10">
        <f t="shared" si="207"/>
        <v>6002.92</v>
      </c>
      <c r="Y628" s="10">
        <f t="shared" si="208"/>
        <v>593382.63908</v>
      </c>
      <c r="Z628" s="14">
        <f t="shared" si="212"/>
        <v>0.989984877164518</v>
      </c>
      <c r="AA628" t="s">
        <v>1585</v>
      </c>
      <c r="AB628" t="str">
        <f t="shared" si="209"/>
        <v>Q3-2023</v>
      </c>
      <c r="AC628" t="str">
        <f t="shared" si="210"/>
        <v>Asia → China → Shanghai</v>
      </c>
      <c r="AD628" t="str">
        <f t="shared" si="211"/>
        <v>Peripherals</v>
      </c>
      <c r="AE628" s="8" t="str">
        <f t="shared" si="198"/>
        <v>Low</v>
      </c>
      <c r="AF628" t="str">
        <f t="shared" si="213"/>
        <v>CHINA</v>
      </c>
      <c r="AG628" s="7">
        <v>44938</v>
      </c>
      <c r="AH628" t="str">
        <f t="shared" si="214"/>
        <v>Jan-2023</v>
      </c>
      <c r="AI628" s="9">
        <f t="shared" si="215"/>
        <v>45169</v>
      </c>
      <c r="AJ628">
        <f t="shared" si="219"/>
        <v>0</v>
      </c>
      <c r="AK628">
        <f t="shared" si="216"/>
        <v>0</v>
      </c>
      <c r="AL628" s="17">
        <f>MIN(N628,'Scenario Modelling'!$B$2)</f>
        <v>0.151</v>
      </c>
      <c r="AM628" s="10">
        <f>L628*(1+'Scenario Modelling'!$B$3)</f>
        <v>259.946</v>
      </c>
      <c r="AN628">
        <f>O628*(1+'Scenario Modelling'!$B$4)</f>
        <v>13.2</v>
      </c>
      <c r="AO628" s="28">
        <f t="shared" si="217"/>
        <v>6115.774896</v>
      </c>
      <c r="AP628" s="10">
        <f t="shared" si="218"/>
        <v>2684.487696</v>
      </c>
    </row>
    <row r="629" spans="1:42">
      <c r="A629" t="s">
        <v>1517</v>
      </c>
      <c r="B629" s="7">
        <v>45100</v>
      </c>
      <c r="C629" s="7">
        <v>45125</v>
      </c>
      <c r="D629" t="s">
        <v>213</v>
      </c>
      <c r="E629" t="s">
        <v>214</v>
      </c>
      <c r="F629" t="s">
        <v>340</v>
      </c>
      <c r="G629" t="s">
        <v>266</v>
      </c>
      <c r="H629" t="s">
        <v>189</v>
      </c>
      <c r="I629" t="s">
        <v>287</v>
      </c>
      <c r="J629" t="s">
        <v>203</v>
      </c>
      <c r="K629" t="s">
        <v>1518</v>
      </c>
      <c r="L629" s="10">
        <v>807.02</v>
      </c>
      <c r="M629" s="10">
        <v>1435.54</v>
      </c>
      <c r="N629" s="17">
        <v>0</v>
      </c>
      <c r="O629">
        <v>23</v>
      </c>
      <c r="P629" t="str">
        <f t="shared" si="199"/>
        <v>Valid</v>
      </c>
      <c r="Q629" s="10">
        <f t="shared" si="200"/>
        <v>1435.54</v>
      </c>
      <c r="R629" t="b">
        <f t="shared" si="201"/>
        <v>0</v>
      </c>
      <c r="S629" s="17">
        <f t="shared" si="202"/>
        <v>0</v>
      </c>
      <c r="T629">
        <f t="shared" si="203"/>
        <v>25</v>
      </c>
      <c r="U629" s="26">
        <f t="shared" si="204"/>
        <v>45125</v>
      </c>
      <c r="V629">
        <f t="shared" si="205"/>
        <v>25</v>
      </c>
      <c r="W629" s="10">
        <f t="shared" si="206"/>
        <v>3301742</v>
      </c>
      <c r="X629" s="10">
        <f t="shared" si="207"/>
        <v>33017.42</v>
      </c>
      <c r="Y629" s="10">
        <f t="shared" si="208"/>
        <v>3268724.58</v>
      </c>
      <c r="Z629" s="14">
        <f t="shared" si="212"/>
        <v>0.99</v>
      </c>
      <c r="AA629" t="s">
        <v>1583</v>
      </c>
      <c r="AB629" t="str">
        <f t="shared" si="209"/>
        <v>Q2-2023</v>
      </c>
      <c r="AC629" t="str">
        <f t="shared" si="210"/>
        <v>Americas → Canada → Vancouver</v>
      </c>
      <c r="AD629" t="str">
        <f t="shared" si="211"/>
        <v>Devices</v>
      </c>
      <c r="AE629" s="8" t="str">
        <f t="shared" si="198"/>
        <v>Low</v>
      </c>
      <c r="AF629" t="str">
        <f t="shared" si="213"/>
        <v>CANADA</v>
      </c>
      <c r="AG629" s="7">
        <v>44928</v>
      </c>
      <c r="AH629" t="str">
        <f t="shared" si="214"/>
        <v>Jan-2023</v>
      </c>
      <c r="AI629" s="9">
        <f t="shared" si="215"/>
        <v>45107</v>
      </c>
      <c r="AJ629">
        <f t="shared" si="219"/>
        <v>0</v>
      </c>
      <c r="AK629">
        <f t="shared" si="216"/>
        <v>0</v>
      </c>
      <c r="AL629" s="17">
        <f>MIN(N629,'Scenario Modelling'!$B$2)</f>
        <v>0</v>
      </c>
      <c r="AM629" s="10">
        <f>L629*(1+'Scenario Modelling'!$B$3)</f>
        <v>928.073</v>
      </c>
      <c r="AN629">
        <f>O629*(1+'Scenario Modelling'!$B$4)</f>
        <v>27.6</v>
      </c>
      <c r="AO629" s="28">
        <f t="shared" si="217"/>
        <v>39620.904</v>
      </c>
      <c r="AP629" s="10">
        <f t="shared" si="218"/>
        <v>14006.0892</v>
      </c>
    </row>
    <row r="630" spans="1:42">
      <c r="A630" t="s">
        <v>1519</v>
      </c>
      <c r="B630" s="7">
        <v>45267</v>
      </c>
      <c r="C630" s="7">
        <v>45293</v>
      </c>
      <c r="D630" t="s">
        <v>239</v>
      </c>
      <c r="E630" t="s">
        <v>240</v>
      </c>
      <c r="F630" t="s">
        <v>496</v>
      </c>
      <c r="G630" t="s">
        <v>266</v>
      </c>
      <c r="H630" t="s">
        <v>216</v>
      </c>
      <c r="I630" t="s">
        <v>224</v>
      </c>
      <c r="J630" t="s">
        <v>183</v>
      </c>
      <c r="K630" t="s">
        <v>1520</v>
      </c>
      <c r="L630" s="10">
        <v>1071.99</v>
      </c>
      <c r="M630" s="10">
        <v>2397.3</v>
      </c>
      <c r="N630" s="17">
        <v>0.062</v>
      </c>
      <c r="O630">
        <v>18</v>
      </c>
      <c r="P630" t="str">
        <f t="shared" si="199"/>
        <v>Valid</v>
      </c>
      <c r="Q630" s="10">
        <f t="shared" si="200"/>
        <v>2397.3</v>
      </c>
      <c r="R630" t="b">
        <f t="shared" si="201"/>
        <v>0</v>
      </c>
      <c r="S630" s="17">
        <f t="shared" si="202"/>
        <v>0.062</v>
      </c>
      <c r="T630">
        <f t="shared" si="203"/>
        <v>26</v>
      </c>
      <c r="U630" s="26">
        <f t="shared" si="204"/>
        <v>45293</v>
      </c>
      <c r="V630">
        <f t="shared" si="205"/>
        <v>26</v>
      </c>
      <c r="W630" s="10">
        <f t="shared" si="206"/>
        <v>4312464.6132</v>
      </c>
      <c r="X630" s="10">
        <f t="shared" si="207"/>
        <v>43151.4</v>
      </c>
      <c r="Y630" s="10">
        <f t="shared" si="208"/>
        <v>4269313.2132</v>
      </c>
      <c r="Z630" s="14">
        <f t="shared" si="212"/>
        <v>0.989993796153615</v>
      </c>
      <c r="AA630" t="s">
        <v>1587</v>
      </c>
      <c r="AB630" t="str">
        <f t="shared" si="209"/>
        <v>Q4-2023</v>
      </c>
      <c r="AC630" t="str">
        <f t="shared" si="210"/>
        <v>Europe → Germany → Frankfurt</v>
      </c>
      <c r="AD630" t="str">
        <f t="shared" si="211"/>
        <v>Support</v>
      </c>
      <c r="AE630" s="8" t="str">
        <f>IF(B630&lt;=PERCENTILE($B$2:$B$632,0.33),"Low",IF(B630&lt;=PERCENTILE($B$2:$B$632,0.66),"Medium","High"))</f>
        <v>Medium</v>
      </c>
      <c r="AF630" t="str">
        <f t="shared" si="213"/>
        <v>GERMANY</v>
      </c>
      <c r="AG630" s="7">
        <v>44948</v>
      </c>
      <c r="AH630" t="str">
        <f t="shared" si="214"/>
        <v>Jan-2023</v>
      </c>
      <c r="AI630" s="9">
        <f t="shared" si="215"/>
        <v>45291</v>
      </c>
      <c r="AJ630">
        <f t="shared" si="219"/>
        <v>0</v>
      </c>
      <c r="AK630">
        <f t="shared" si="216"/>
        <v>0</v>
      </c>
      <c r="AL630" s="17">
        <f>MIN(N630,'Scenario Modelling'!$B$2)</f>
        <v>0.062</v>
      </c>
      <c r="AM630" s="10">
        <f>L630*(1+'Scenario Modelling'!$B$3)</f>
        <v>1232.7885</v>
      </c>
      <c r="AN630">
        <f>O630*(1+'Scenario Modelling'!$B$4)</f>
        <v>21.6</v>
      </c>
      <c r="AO630" s="28">
        <f t="shared" si="217"/>
        <v>48571.21584</v>
      </c>
      <c r="AP630" s="10">
        <f t="shared" si="218"/>
        <v>21942.98424</v>
      </c>
    </row>
    <row r="631" spans="1:42">
      <c r="A631" t="s">
        <v>1521</v>
      </c>
      <c r="B631" s="7">
        <v>45249</v>
      </c>
      <c r="C631" s="7">
        <v>45279</v>
      </c>
      <c r="D631" t="s">
        <v>206</v>
      </c>
      <c r="E631" t="s">
        <v>207</v>
      </c>
      <c r="F631" t="s">
        <v>392</v>
      </c>
      <c r="G631" t="s">
        <v>209</v>
      </c>
      <c r="H631" t="s">
        <v>181</v>
      </c>
      <c r="I631" t="s">
        <v>1589</v>
      </c>
      <c r="J631" t="s">
        <v>203</v>
      </c>
      <c r="K631" t="s">
        <v>1522</v>
      </c>
      <c r="L631" s="10">
        <v>807.11</v>
      </c>
      <c r="M631" s="10">
        <v>1853.86</v>
      </c>
      <c r="N631" s="17">
        <v>0.139</v>
      </c>
      <c r="O631">
        <v>8</v>
      </c>
      <c r="P631" t="str">
        <f t="shared" si="199"/>
        <v>Valid</v>
      </c>
      <c r="Q631" s="10">
        <f t="shared" si="200"/>
        <v>1853.86</v>
      </c>
      <c r="R631" t="b">
        <f t="shared" si="201"/>
        <v>0</v>
      </c>
      <c r="S631" s="17">
        <f t="shared" si="202"/>
        <v>0.139</v>
      </c>
      <c r="T631">
        <f t="shared" si="203"/>
        <v>30</v>
      </c>
      <c r="U631" s="26">
        <f t="shared" si="204"/>
        <v>45279</v>
      </c>
      <c r="V631">
        <f t="shared" si="205"/>
        <v>30</v>
      </c>
      <c r="W631" s="10">
        <f t="shared" si="206"/>
        <v>1481026.50768</v>
      </c>
      <c r="X631" s="10">
        <f t="shared" si="207"/>
        <v>14830.88</v>
      </c>
      <c r="Y631" s="10">
        <f t="shared" si="208"/>
        <v>1466195.62768</v>
      </c>
      <c r="Z631" s="14">
        <f t="shared" si="212"/>
        <v>0.989986080652106</v>
      </c>
      <c r="AA631" t="s">
        <v>1593</v>
      </c>
      <c r="AB631" t="str">
        <f t="shared" si="209"/>
        <v>Q4-2023</v>
      </c>
      <c r="AC631" t="str">
        <f t="shared" si="210"/>
        <v>Asia → Japan → Nagoya</v>
      </c>
      <c r="AD631" t="str">
        <f t="shared" si="211"/>
        <v>Devices</v>
      </c>
      <c r="AE631" s="8" t="str">
        <f>IF(B631&lt;=PERCENTILE($B$2:$B$632,0.33),"Low",IF(B631&lt;=PERCENTILE($B$2:$B$632,0.66),"Medium","High"))</f>
        <v>Low</v>
      </c>
      <c r="AF631" t="str">
        <f t="shared" si="213"/>
        <v>JAPAN</v>
      </c>
      <c r="AG631" s="7">
        <v>44988</v>
      </c>
      <c r="AH631" t="str">
        <f t="shared" si="214"/>
        <v>Mar-2023</v>
      </c>
      <c r="AI631" s="9">
        <f t="shared" si="215"/>
        <v>45260</v>
      </c>
      <c r="AJ631">
        <f t="shared" si="219"/>
        <v>0</v>
      </c>
      <c r="AK631">
        <f t="shared" si="216"/>
        <v>0</v>
      </c>
      <c r="AL631" s="17">
        <f>MIN(N631,'Scenario Modelling'!$B$2)</f>
        <v>0.139</v>
      </c>
      <c r="AM631" s="10">
        <f>L631*(1+'Scenario Modelling'!$B$3)</f>
        <v>928.1765</v>
      </c>
      <c r="AN631">
        <f>O631*(1+'Scenario Modelling'!$B$4)</f>
        <v>9.6</v>
      </c>
      <c r="AO631" s="28">
        <f t="shared" si="217"/>
        <v>15323.265216</v>
      </c>
      <c r="AP631" s="10">
        <f t="shared" si="218"/>
        <v>6412.770816</v>
      </c>
    </row>
    <row r="632" spans="1:42">
      <c r="A632" t="s">
        <v>1523</v>
      </c>
      <c r="B632" s="7">
        <v>45716</v>
      </c>
      <c r="C632" s="7">
        <v>45726</v>
      </c>
      <c r="D632" t="s">
        <v>206</v>
      </c>
      <c r="E632" t="s">
        <v>207</v>
      </c>
      <c r="F632" t="s">
        <v>208</v>
      </c>
      <c r="G632" t="s">
        <v>188</v>
      </c>
      <c r="H632" t="s">
        <v>216</v>
      </c>
      <c r="I632" t="s">
        <v>287</v>
      </c>
      <c r="J632" t="s">
        <v>218</v>
      </c>
      <c r="K632" t="s">
        <v>1524</v>
      </c>
      <c r="L632" s="10">
        <v>51.86</v>
      </c>
      <c r="M632" s="10">
        <v>45.98</v>
      </c>
      <c r="N632" s="17">
        <v>0.173</v>
      </c>
      <c r="O632">
        <v>7</v>
      </c>
      <c r="P632" t="str">
        <f t="shared" si="199"/>
        <v>Valid</v>
      </c>
      <c r="Q632" s="10">
        <f t="shared" si="200"/>
        <v>45.98</v>
      </c>
      <c r="R632" t="b">
        <f t="shared" si="201"/>
        <v>0</v>
      </c>
      <c r="S632" s="17">
        <f t="shared" si="202"/>
        <v>0.173</v>
      </c>
      <c r="T632">
        <f t="shared" si="203"/>
        <v>10</v>
      </c>
      <c r="U632" s="26">
        <f t="shared" si="204"/>
        <v>45726</v>
      </c>
      <c r="V632">
        <f t="shared" si="205"/>
        <v>10</v>
      </c>
      <c r="W632" s="10">
        <f t="shared" si="206"/>
        <v>32130.31822</v>
      </c>
      <c r="X632" s="10">
        <f t="shared" si="207"/>
        <v>321.86</v>
      </c>
      <c r="Y632" s="10">
        <f t="shared" si="208"/>
        <v>31808.45822</v>
      </c>
      <c r="Z632" s="14">
        <f t="shared" si="212"/>
        <v>0.989982670019133</v>
      </c>
      <c r="AA632" t="s">
        <v>1586</v>
      </c>
      <c r="AB632" t="str">
        <f t="shared" si="209"/>
        <v>Q1-2025</v>
      </c>
      <c r="AC632" t="str">
        <f t="shared" si="210"/>
        <v>Asia → Japan → Osaka</v>
      </c>
      <c r="AD632" t="str">
        <f t="shared" si="211"/>
        <v>Devices</v>
      </c>
      <c r="AE632" s="8" t="str">
        <f>IF(B632&lt;=PERCENTILE($B$2:$B$632,0.33),"Low",IF(B632&lt;=PERCENTILE($B$2:$B$632,0.66),"Medium","High"))</f>
        <v>High</v>
      </c>
      <c r="AF632" t="str">
        <f t="shared" si="213"/>
        <v>JAPAN</v>
      </c>
      <c r="AG632" s="7">
        <v>44988</v>
      </c>
      <c r="AH632" t="str">
        <f t="shared" si="214"/>
        <v>Mar-2023</v>
      </c>
      <c r="AI632" s="9">
        <f t="shared" si="215"/>
        <v>45716</v>
      </c>
      <c r="AJ632">
        <f t="shared" si="219"/>
        <v>0</v>
      </c>
      <c r="AK632">
        <f t="shared" si="216"/>
        <v>0</v>
      </c>
      <c r="AL632" s="17">
        <f>MIN(N632,'Scenario Modelling'!$B$2)</f>
        <v>0.173</v>
      </c>
      <c r="AM632" s="10">
        <f>L632*(1+'Scenario Modelling'!$B$3)</f>
        <v>59.639</v>
      </c>
      <c r="AN632">
        <f>O632*(1+'Scenario Modelling'!$B$4)</f>
        <v>8.4</v>
      </c>
      <c r="AO632" s="28">
        <f t="shared" si="217"/>
        <v>319.413864</v>
      </c>
      <c r="AP632" s="10">
        <f t="shared" si="218"/>
        <v>-181.553736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1292"/>
  <sheetViews>
    <sheetView topLeftCell="P25" workbookViewId="0">
      <selection activeCell="E65" sqref="E65"/>
    </sheetView>
  </sheetViews>
  <sheetFormatPr defaultColWidth="9" defaultRowHeight="15"/>
  <cols>
    <col min="1" max="1" width="30" customWidth="1"/>
    <col min="2" max="2" width="20.7142857142857" customWidth="1"/>
    <col min="3" max="3" width="21.4285714285714" customWidth="1"/>
    <col min="4" max="8" width="17" customWidth="1"/>
    <col min="9" max="9" width="22.8571428571429" customWidth="1"/>
    <col min="10" max="10" width="21" customWidth="1"/>
    <col min="11" max="11" width="21.5714285714286" customWidth="1"/>
    <col min="12" max="15" width="17" customWidth="1"/>
    <col min="16" max="16" width="22.4285714285714" customWidth="1"/>
    <col min="17" max="17" width="21.5714285714286" customWidth="1"/>
    <col min="18" max="18" width="23.5714285714286" customWidth="1"/>
    <col min="19" max="21" width="17" customWidth="1"/>
    <col min="22" max="22" width="41.8571428571429" customWidth="1"/>
    <col min="23" max="23" width="19.4285714285714" customWidth="1"/>
    <col min="24" max="24" width="19.1428571428571" customWidth="1"/>
    <col min="25" max="25" width="23" customWidth="1"/>
    <col min="26" max="26" width="17.4285714285714" customWidth="1"/>
    <col min="27" max="27" width="17.5714285714286" customWidth="1"/>
    <col min="28" max="28" width="20.2857142857143" customWidth="1"/>
    <col min="29" max="29" width="19.2857142857143" customWidth="1"/>
    <col min="30" max="33" width="17" customWidth="1"/>
    <col min="34" max="34" width="24.7142857142857" customWidth="1"/>
    <col min="35" max="35" width="23.4285714285714" customWidth="1"/>
    <col min="36" max="36" width="24.7142857142857" customWidth="1"/>
    <col min="37" max="37" width="16.1428571428571" customWidth="1"/>
    <col min="38" max="39" width="16" customWidth="1"/>
    <col min="40" max="40" width="14.2857142857143" customWidth="1"/>
    <col min="41" max="43" width="16" customWidth="1"/>
    <col min="44" max="45" width="14.2857142857143" customWidth="1"/>
    <col min="46" max="46" width="16" customWidth="1"/>
    <col min="47" max="49" width="14.2857142857143" customWidth="1"/>
    <col min="50" max="52" width="16" customWidth="1"/>
    <col min="53" max="54" width="14.2857142857143" customWidth="1"/>
    <col min="55" max="56" width="16" customWidth="1"/>
    <col min="57" max="57" width="14.2857142857143" customWidth="1"/>
    <col min="58" max="62" width="16" customWidth="1"/>
    <col min="63" max="63" width="12.1428571428571" customWidth="1"/>
    <col min="64" max="64" width="14.2857142857143" customWidth="1"/>
    <col min="65" max="67" width="16" customWidth="1"/>
    <col min="68" max="68" width="14.2857142857143" customWidth="1"/>
    <col min="69" max="70" width="16" customWidth="1"/>
    <col min="71" max="71" width="14.2857142857143" customWidth="1"/>
    <col min="72" max="72" width="16" customWidth="1"/>
    <col min="73" max="73" width="14.2857142857143" customWidth="1"/>
    <col min="74" max="74" width="16" customWidth="1"/>
    <col min="75" max="76" width="14.2857142857143" customWidth="1"/>
    <col min="77" max="86" width="16" customWidth="1"/>
    <col min="87" max="87" width="14.2857142857143" customWidth="1"/>
    <col min="88" max="88" width="16" customWidth="1"/>
    <col min="89" max="89" width="13.2857142857143" customWidth="1"/>
    <col min="90" max="91" width="14.2857142857143" customWidth="1"/>
    <col min="92" max="93" width="16" customWidth="1"/>
    <col min="94" max="95" width="14.2857142857143" customWidth="1"/>
    <col min="96" max="97" width="16" customWidth="1"/>
    <col min="98" max="98" width="13.2857142857143" customWidth="1"/>
    <col min="99" max="102" width="16" customWidth="1"/>
    <col min="103" max="105" width="14.2857142857143" customWidth="1"/>
    <col min="106" max="107" width="16" customWidth="1"/>
    <col min="108" max="109" width="14.2857142857143" customWidth="1"/>
    <col min="110" max="110" width="16" customWidth="1"/>
    <col min="111" max="111" width="14.2857142857143" customWidth="1"/>
    <col min="112" max="113" width="16" customWidth="1"/>
    <col min="114" max="115" width="14.2857142857143" customWidth="1"/>
    <col min="116" max="116" width="16" customWidth="1"/>
    <col min="117" max="117" width="14.2857142857143" customWidth="1"/>
    <col min="118" max="118" width="16" customWidth="1"/>
    <col min="119" max="119" width="17" customWidth="1"/>
    <col min="120" max="120" width="16" customWidth="1"/>
    <col min="121" max="121" width="14.2857142857143" customWidth="1"/>
    <col min="122" max="123" width="16" customWidth="1"/>
    <col min="124" max="124" width="14.2857142857143" customWidth="1"/>
    <col min="125" max="127" width="16" customWidth="1"/>
    <col min="128" max="128" width="13.2857142857143" customWidth="1"/>
    <col min="129" max="130" width="16" customWidth="1"/>
    <col min="131" max="133" width="14.2857142857143" customWidth="1"/>
    <col min="134" max="135" width="16" customWidth="1"/>
    <col min="136" max="136" width="14.2857142857143" customWidth="1"/>
    <col min="137" max="137" width="13.2857142857143" customWidth="1"/>
    <col min="138" max="138" width="14.2857142857143" customWidth="1"/>
    <col min="139" max="139" width="16" customWidth="1"/>
    <col min="140" max="140" width="14.2857142857143" customWidth="1"/>
    <col min="141" max="142" width="16" customWidth="1"/>
    <col min="143" max="144" width="14.2857142857143" customWidth="1"/>
    <col min="145" max="145" width="16" customWidth="1"/>
    <col min="146" max="146" width="14.2857142857143" customWidth="1"/>
    <col min="147" max="147" width="16" customWidth="1"/>
    <col min="148" max="148" width="14.2857142857143" customWidth="1"/>
    <col min="149" max="151" width="16" customWidth="1"/>
    <col min="152" max="152" width="13.2857142857143" customWidth="1"/>
    <col min="153" max="154" width="16" customWidth="1"/>
    <col min="155" max="157" width="14.2857142857143" customWidth="1"/>
    <col min="158" max="162" width="16" customWidth="1"/>
    <col min="163" max="163" width="14.2857142857143" customWidth="1"/>
    <col min="164" max="165" width="16" customWidth="1"/>
    <col min="166" max="166" width="14.2857142857143" customWidth="1"/>
    <col min="167" max="168" width="16" customWidth="1"/>
    <col min="169" max="170" width="14.2857142857143" customWidth="1"/>
    <col min="171" max="171" width="16" customWidth="1"/>
    <col min="172" max="172" width="14.2857142857143" customWidth="1"/>
    <col min="173" max="173" width="17" customWidth="1"/>
    <col min="174" max="174" width="16" customWidth="1"/>
    <col min="175" max="175" width="13.2857142857143" customWidth="1"/>
    <col min="176" max="177" width="16" customWidth="1"/>
    <col min="178" max="178" width="14.2857142857143" customWidth="1"/>
    <col min="179" max="179" width="13.2857142857143" customWidth="1"/>
    <col min="180" max="180" width="14.2857142857143" customWidth="1"/>
    <col min="181" max="185" width="16" customWidth="1"/>
    <col min="186" max="186" width="14.2857142857143" customWidth="1"/>
    <col min="187" max="188" width="16" customWidth="1"/>
    <col min="189" max="189" width="14.2857142857143" customWidth="1"/>
    <col min="190" max="191" width="16" customWidth="1"/>
    <col min="192" max="192" width="13.2857142857143" customWidth="1"/>
    <col min="193" max="195" width="16" customWidth="1"/>
    <col min="196" max="197" width="14.2857142857143" customWidth="1"/>
    <col min="198" max="198" width="13.2857142857143" customWidth="1"/>
    <col min="199" max="199" width="16" customWidth="1"/>
    <col min="200" max="200" width="14.2857142857143" customWidth="1"/>
    <col min="201" max="203" width="16" customWidth="1"/>
    <col min="204" max="204" width="14.2857142857143" customWidth="1"/>
    <col min="205" max="207" width="16" customWidth="1"/>
    <col min="208" max="208" width="14.2857142857143" customWidth="1"/>
    <col min="209" max="211" width="16" customWidth="1"/>
    <col min="212" max="212" width="14.2857142857143" customWidth="1"/>
    <col min="213" max="213" width="16" customWidth="1"/>
    <col min="214" max="214" width="14.2857142857143" customWidth="1"/>
    <col min="215" max="216" width="16" customWidth="1"/>
    <col min="217" max="218" width="14.2857142857143" customWidth="1"/>
    <col min="219" max="220" width="16" customWidth="1"/>
    <col min="221" max="221" width="14.2857142857143" customWidth="1"/>
    <col min="222" max="223" width="16" customWidth="1"/>
    <col min="224" max="224" width="14.2857142857143" customWidth="1"/>
    <col min="225" max="231" width="16" customWidth="1"/>
    <col min="232" max="233" width="14.2857142857143" customWidth="1"/>
    <col min="234" max="235" width="16" customWidth="1"/>
    <col min="236" max="236" width="13.2857142857143" customWidth="1"/>
    <col min="237" max="239" width="16" customWidth="1"/>
    <col min="240" max="240" width="14.2857142857143" customWidth="1"/>
    <col min="241" max="241" width="16" customWidth="1"/>
    <col min="242" max="242" width="14.2857142857143" customWidth="1"/>
    <col min="243" max="246" width="16" customWidth="1"/>
    <col min="247" max="247" width="14.2857142857143" customWidth="1"/>
    <col min="248" max="249" width="16" customWidth="1"/>
    <col min="250" max="250" width="17" customWidth="1"/>
    <col min="251" max="257" width="16" customWidth="1"/>
    <col min="258" max="258" width="14.2857142857143" customWidth="1"/>
    <col min="259" max="262" width="16" customWidth="1"/>
    <col min="263" max="267" width="14.2857142857143" customWidth="1"/>
    <col min="268" max="268" width="16" customWidth="1"/>
    <col min="269" max="269" width="13.2857142857143" customWidth="1"/>
    <col min="270" max="273" width="16" customWidth="1"/>
    <col min="274" max="274" width="14.2857142857143" customWidth="1"/>
    <col min="275" max="275" width="16" customWidth="1"/>
    <col min="276" max="276" width="14.2857142857143" customWidth="1"/>
    <col min="277" max="277" width="16" customWidth="1"/>
    <col min="278" max="278" width="13.2857142857143" customWidth="1"/>
    <col min="279" max="279" width="14.2857142857143" customWidth="1"/>
    <col min="280" max="280" width="13.2857142857143" customWidth="1"/>
    <col min="281" max="281" width="14.2857142857143" customWidth="1"/>
    <col min="282" max="285" width="16" customWidth="1"/>
    <col min="286" max="286" width="13.2857142857143" customWidth="1"/>
    <col min="287" max="288" width="16" customWidth="1"/>
    <col min="289" max="289" width="14.2857142857143" customWidth="1"/>
    <col min="290" max="290" width="16" customWidth="1"/>
    <col min="291" max="291" width="13.2857142857143" customWidth="1"/>
    <col min="292" max="292" width="14.2857142857143" customWidth="1"/>
    <col min="293" max="293" width="16" customWidth="1"/>
    <col min="294" max="295" width="14.2857142857143" customWidth="1"/>
    <col min="296" max="296" width="13.2857142857143" customWidth="1"/>
    <col min="297" max="302" width="16" customWidth="1"/>
    <col min="303" max="304" width="14.2857142857143" customWidth="1"/>
    <col min="305" max="305" width="16" customWidth="1"/>
    <col min="306" max="308" width="14.2857142857143" customWidth="1"/>
    <col min="309" max="310" width="16" customWidth="1"/>
    <col min="311" max="311" width="12.1428571428571" customWidth="1"/>
    <col min="312" max="312" width="14.2857142857143" customWidth="1"/>
    <col min="313" max="314" width="16" customWidth="1"/>
    <col min="315" max="315" width="14.2857142857143" customWidth="1"/>
    <col min="316" max="324" width="16" customWidth="1"/>
    <col min="325" max="325" width="17" customWidth="1"/>
    <col min="326" max="326" width="16" customWidth="1"/>
    <col min="327" max="330" width="14.2857142857143" customWidth="1"/>
    <col min="331" max="331" width="16" customWidth="1"/>
    <col min="332" max="333" width="14.2857142857143" customWidth="1"/>
    <col min="334" max="334" width="16" customWidth="1"/>
    <col min="335" max="338" width="14.2857142857143" customWidth="1"/>
    <col min="339" max="340" width="16" customWidth="1"/>
    <col min="341" max="341" width="14.2857142857143" customWidth="1"/>
    <col min="342" max="342" width="16" customWidth="1"/>
    <col min="343" max="344" width="14.2857142857143" customWidth="1"/>
    <col min="345" max="345" width="16" customWidth="1"/>
    <col min="346" max="346" width="14.2857142857143" customWidth="1"/>
    <col min="347" max="347" width="13.2857142857143" customWidth="1"/>
    <col min="348" max="349" width="16" customWidth="1"/>
    <col min="350" max="350" width="14.2857142857143" customWidth="1"/>
    <col min="351" max="355" width="16" customWidth="1"/>
    <col min="356" max="356" width="13.2857142857143" customWidth="1"/>
    <col min="357" max="363" width="16" customWidth="1"/>
    <col min="364" max="366" width="14.2857142857143" customWidth="1"/>
    <col min="367" max="367" width="16" customWidth="1"/>
    <col min="368" max="368" width="14.2857142857143" customWidth="1"/>
    <col min="369" max="369" width="16" customWidth="1"/>
    <col min="370" max="370" width="17" customWidth="1"/>
    <col min="371" max="371" width="16" customWidth="1"/>
    <col min="372" max="372" width="14.2857142857143" customWidth="1"/>
    <col min="373" max="373" width="16" customWidth="1"/>
    <col min="374" max="374" width="14.2857142857143" customWidth="1"/>
    <col min="375" max="375" width="16" customWidth="1"/>
    <col min="376" max="376" width="14.2857142857143" customWidth="1"/>
    <col min="377" max="377" width="16" customWidth="1"/>
    <col min="378" max="379" width="14.2857142857143" customWidth="1"/>
    <col min="380" max="385" width="16" customWidth="1"/>
    <col min="386" max="386" width="14.2857142857143" customWidth="1"/>
    <col min="387" max="392" width="16" customWidth="1"/>
    <col min="393" max="393" width="12.1428571428571" customWidth="1"/>
    <col min="394" max="394" width="16" customWidth="1"/>
    <col min="395" max="395" width="14.2857142857143" customWidth="1"/>
    <col min="396" max="401" width="16" customWidth="1"/>
    <col min="402" max="402" width="14.2857142857143" customWidth="1"/>
    <col min="403" max="405" width="16" customWidth="1"/>
    <col min="406" max="406" width="14.2857142857143" customWidth="1"/>
    <col min="407" max="409" width="16" customWidth="1"/>
    <col min="410" max="410" width="14.2857142857143" customWidth="1"/>
    <col min="411" max="412" width="16" customWidth="1"/>
    <col min="413" max="414" width="14.2857142857143" customWidth="1"/>
    <col min="415" max="418" width="16" customWidth="1"/>
    <col min="419" max="419" width="14.2857142857143" customWidth="1"/>
    <col min="420" max="421" width="16" customWidth="1"/>
    <col min="422" max="423" width="14.2857142857143" customWidth="1"/>
    <col min="424" max="425" width="16" customWidth="1"/>
    <col min="426" max="428" width="14.2857142857143" customWidth="1"/>
    <col min="429" max="433" width="16" customWidth="1"/>
    <col min="434" max="435" width="14.2857142857143" customWidth="1"/>
    <col min="436" max="436" width="13.2857142857143" customWidth="1"/>
    <col min="437" max="437" width="16" customWidth="1"/>
    <col min="438" max="438" width="14.2857142857143" customWidth="1"/>
    <col min="439" max="439" width="16" customWidth="1"/>
    <col min="440" max="440" width="13.2857142857143" customWidth="1"/>
    <col min="441" max="442" width="16" customWidth="1"/>
    <col min="443" max="443" width="13.2857142857143" customWidth="1"/>
    <col min="444" max="444" width="14.2857142857143" customWidth="1"/>
    <col min="445" max="446" width="16" customWidth="1"/>
    <col min="447" max="447" width="14.2857142857143" customWidth="1"/>
    <col min="448" max="448" width="16" customWidth="1"/>
    <col min="449" max="449" width="14.2857142857143" customWidth="1"/>
    <col min="450" max="451" width="16" customWidth="1"/>
    <col min="452" max="452" width="14.2857142857143" customWidth="1"/>
    <col min="453" max="454" width="16" customWidth="1"/>
    <col min="455" max="457" width="14.2857142857143" customWidth="1"/>
    <col min="458" max="458" width="16" customWidth="1"/>
    <col min="459" max="459" width="14.2857142857143" customWidth="1"/>
    <col min="460" max="460" width="13.2857142857143" customWidth="1"/>
    <col min="461" max="461" width="14.2857142857143" customWidth="1"/>
    <col min="462" max="466" width="16" customWidth="1"/>
    <col min="467" max="467" width="12.1428571428571" customWidth="1"/>
    <col min="468" max="468" width="13.2857142857143" customWidth="1"/>
    <col min="469" max="469" width="14.2857142857143" customWidth="1"/>
    <col min="470" max="471" width="16" customWidth="1"/>
    <col min="472" max="472" width="14.2857142857143" customWidth="1"/>
    <col min="473" max="473" width="13.2857142857143" customWidth="1"/>
    <col min="474" max="474" width="14.2857142857143" customWidth="1"/>
    <col min="475" max="478" width="16" customWidth="1"/>
    <col min="479" max="479" width="14.2857142857143" customWidth="1"/>
    <col min="480" max="482" width="16" customWidth="1"/>
    <col min="483" max="483" width="14.2857142857143" customWidth="1"/>
    <col min="484" max="484" width="13.2857142857143" customWidth="1"/>
    <col min="485" max="486" width="14.2857142857143" customWidth="1"/>
    <col min="487" max="489" width="16" customWidth="1"/>
    <col min="490" max="490" width="14.2857142857143" customWidth="1"/>
    <col min="491" max="492" width="16" customWidth="1"/>
    <col min="493" max="493" width="14.2857142857143" customWidth="1"/>
    <col min="494" max="495" width="16" customWidth="1"/>
    <col min="496" max="496" width="14.2857142857143" customWidth="1"/>
    <col min="497" max="497" width="16" customWidth="1"/>
    <col min="498" max="498" width="14.2857142857143" customWidth="1"/>
    <col min="499" max="499" width="16" customWidth="1"/>
    <col min="500" max="500" width="14.2857142857143" customWidth="1"/>
    <col min="501" max="505" width="16" customWidth="1"/>
    <col min="506" max="506" width="14.2857142857143" customWidth="1"/>
    <col min="507" max="507" width="16" customWidth="1"/>
    <col min="508" max="508" width="13.2857142857143" customWidth="1"/>
    <col min="509" max="510" width="16" customWidth="1"/>
    <col min="511" max="512" width="14.2857142857143" customWidth="1"/>
    <col min="513" max="516" width="16" customWidth="1"/>
    <col min="517" max="517" width="14.2857142857143" customWidth="1"/>
    <col min="518" max="520" width="16" customWidth="1"/>
    <col min="521" max="521" width="13.2857142857143" customWidth="1"/>
    <col min="522" max="522" width="14.2857142857143" customWidth="1"/>
    <col min="523" max="530" width="16" customWidth="1"/>
    <col min="531" max="532" width="14.2857142857143" customWidth="1"/>
    <col min="533" max="538" width="16" customWidth="1"/>
    <col min="539" max="539" width="14.2857142857143" customWidth="1"/>
    <col min="540" max="540" width="16" customWidth="1"/>
    <col min="541" max="541" width="14.2857142857143" customWidth="1"/>
    <col min="542" max="547" width="16" customWidth="1"/>
    <col min="548" max="548" width="14.2857142857143" customWidth="1"/>
    <col min="549" max="551" width="16" customWidth="1"/>
    <col min="552" max="553" width="14.2857142857143" customWidth="1"/>
    <col min="554" max="556" width="16" customWidth="1"/>
    <col min="557" max="559" width="14.2857142857143" customWidth="1"/>
    <col min="560" max="560" width="16" customWidth="1"/>
    <col min="561" max="561" width="14.2857142857143" customWidth="1"/>
    <col min="562" max="563" width="16" customWidth="1"/>
    <col min="564" max="564" width="14.2857142857143" customWidth="1"/>
    <col min="565" max="565" width="16" customWidth="1"/>
    <col min="566" max="566" width="14.2857142857143" customWidth="1"/>
    <col min="567" max="567" width="16" customWidth="1"/>
    <col min="568" max="568" width="14.2857142857143" customWidth="1"/>
    <col min="569" max="571" width="16" customWidth="1"/>
    <col min="572" max="574" width="14.2857142857143" customWidth="1"/>
    <col min="575" max="577" width="16" customWidth="1"/>
    <col min="578" max="578" width="13.2857142857143" customWidth="1"/>
    <col min="579" max="579" width="14.2857142857143" customWidth="1"/>
    <col min="580" max="580" width="16" customWidth="1"/>
    <col min="581" max="581" width="14.2857142857143" customWidth="1"/>
    <col min="582" max="582" width="16" customWidth="1"/>
    <col min="583" max="583" width="14.2857142857143" customWidth="1"/>
    <col min="584" max="584" width="13.2857142857143" customWidth="1"/>
    <col min="585" max="587" width="16" customWidth="1"/>
    <col min="588" max="588" width="14.2857142857143" customWidth="1"/>
    <col min="589" max="589" width="13.2857142857143" customWidth="1"/>
    <col min="590" max="590" width="16" customWidth="1"/>
    <col min="591" max="591" width="13.2857142857143" customWidth="1"/>
    <col min="592" max="593" width="16" customWidth="1"/>
    <col min="594" max="594" width="14.2857142857143" customWidth="1"/>
    <col min="595" max="596" width="16" customWidth="1"/>
    <col min="597" max="597" width="14.2857142857143" customWidth="1"/>
    <col min="598" max="598" width="16" customWidth="1"/>
    <col min="599" max="599" width="14.2857142857143" customWidth="1"/>
    <col min="600" max="600" width="16" customWidth="1"/>
    <col min="601" max="601" width="14.2857142857143" customWidth="1"/>
    <col min="602" max="604" width="16" customWidth="1"/>
    <col min="605" max="605" width="14.2857142857143" customWidth="1"/>
    <col min="606" max="606" width="16" customWidth="1"/>
    <col min="607" max="610" width="14.2857142857143" customWidth="1"/>
    <col min="611" max="611" width="16" customWidth="1"/>
    <col min="612" max="613" width="14.2857142857143" customWidth="1"/>
    <col min="614" max="614" width="16" customWidth="1"/>
    <col min="615" max="615" width="14.2857142857143" customWidth="1"/>
    <col min="616" max="626" width="16" customWidth="1"/>
    <col min="627" max="629" width="14.2857142857143" customWidth="1"/>
    <col min="630" max="630" width="16" customWidth="1"/>
    <col min="631" max="631" width="19.7142857142857" customWidth="1"/>
  </cols>
  <sheetData>
    <row r="2" spans="1:3">
      <c r="A2" s="2" t="s">
        <v>1596</v>
      </c>
    </row>
    <row r="3" spans="1:3">
      <c r="A3" t="s">
        <v>165</v>
      </c>
      <c r="B3" t="s">
        <v>1597</v>
      </c>
      <c r="C3" s="2" t="s">
        <v>1598</v>
      </c>
    </row>
    <row r="4" spans="1:3">
      <c r="A4" t="s">
        <v>234</v>
      </c>
      <c r="B4" s="7">
        <v>44955</v>
      </c>
      <c r="C4" s="8" t="str">
        <f t="shared" ref="C4:E15" si="0">TEXT(B5,"MMM-YYYY")</f>
        <v>Jan-2023</v>
      </c>
    </row>
    <row r="5" spans="1:3">
      <c r="A5" t="s">
        <v>214</v>
      </c>
      <c r="B5" s="7">
        <v>44928</v>
      </c>
      <c r="C5" t="str">
        <f t="shared" si="0"/>
        <v>Jan-2023</v>
      </c>
    </row>
    <row r="6" spans="1:3">
      <c r="A6" t="s">
        <v>277</v>
      </c>
      <c r="B6" s="7">
        <v>44938</v>
      </c>
      <c r="C6" t="str">
        <f t="shared" si="0"/>
        <v>Jan-2023</v>
      </c>
    </row>
    <row r="7" spans="1:3">
      <c r="A7" t="s">
        <v>251</v>
      </c>
      <c r="B7" s="7">
        <v>44936</v>
      </c>
      <c r="C7" t="str">
        <f t="shared" si="0"/>
        <v>Jan-2023</v>
      </c>
    </row>
    <row r="8" spans="1:3">
      <c r="A8" t="s">
        <v>240</v>
      </c>
      <c r="B8" s="7">
        <v>44948</v>
      </c>
      <c r="C8" t="str">
        <f t="shared" si="0"/>
        <v>Jan-2023</v>
      </c>
    </row>
    <row r="9" spans="1:3">
      <c r="A9" t="s">
        <v>221</v>
      </c>
      <c r="B9" s="7">
        <v>44955</v>
      </c>
      <c r="C9" t="str">
        <f t="shared" si="0"/>
        <v>Mar-2023</v>
      </c>
    </row>
    <row r="10" spans="1:3">
      <c r="A10" t="s">
        <v>207</v>
      </c>
      <c r="B10" s="7">
        <v>44988</v>
      </c>
      <c r="C10" t="str">
        <f t="shared" si="0"/>
        <v>Jan-2023</v>
      </c>
    </row>
    <row r="11" spans="1:3">
      <c r="A11" t="s">
        <v>178</v>
      </c>
      <c r="B11" s="7">
        <v>44946</v>
      </c>
      <c r="C11" t="str">
        <f t="shared" si="0"/>
        <v>Jan-2023</v>
      </c>
    </row>
    <row r="12" spans="1:3">
      <c r="A12" t="s">
        <v>186</v>
      </c>
      <c r="B12" s="7">
        <v>44941</v>
      </c>
      <c r="C12" t="str">
        <f t="shared" si="0"/>
        <v>Jan-2023</v>
      </c>
    </row>
    <row r="13" spans="1:3">
      <c r="A13" t="s">
        <v>309</v>
      </c>
      <c r="B13" s="7">
        <v>44933</v>
      </c>
      <c r="C13" t="str">
        <f t="shared" si="0"/>
        <v>Jan-2023</v>
      </c>
    </row>
    <row r="14" spans="1:3">
      <c r="A14" t="s">
        <v>269</v>
      </c>
      <c r="B14" s="7">
        <v>44945</v>
      </c>
      <c r="C14" t="str">
        <f t="shared" si="0"/>
        <v>Jan-2023</v>
      </c>
    </row>
    <row r="15" spans="1:3">
      <c r="A15" t="s">
        <v>283</v>
      </c>
      <c r="B15" s="7">
        <v>44939</v>
      </c>
      <c r="C15" t="str">
        <f>TEXT(B16,"MMM-YYYY")</f>
        <v>Jan-2023</v>
      </c>
    </row>
    <row r="16" spans="1:3">
      <c r="A16" t="s">
        <v>1599</v>
      </c>
      <c r="B16" s="7">
        <v>44928</v>
      </c>
    </row>
    <row r="20" spans="1:35">
      <c r="A20" s="2" t="s">
        <v>1600</v>
      </c>
    </row>
    <row r="21" spans="1:35">
      <c r="A21" t="s">
        <v>165</v>
      </c>
      <c r="B21" t="s">
        <v>1601</v>
      </c>
    </row>
    <row r="23" spans="1:35">
      <c r="A23" t="s">
        <v>1602</v>
      </c>
      <c r="B23" t="s">
        <v>1552</v>
      </c>
    </row>
    <row r="24" spans="1:35">
      <c r="A24" t="s">
        <v>1551</v>
      </c>
      <c r="B24" s="9">
        <v>44957</v>
      </c>
      <c r="C24" s="9">
        <v>44985</v>
      </c>
      <c r="D24" s="9">
        <v>45016</v>
      </c>
      <c r="E24" s="9">
        <v>45046</v>
      </c>
      <c r="F24" s="9">
        <v>45077</v>
      </c>
      <c r="G24" s="9">
        <v>45107</v>
      </c>
      <c r="H24" s="9">
        <v>45138</v>
      </c>
      <c r="I24" s="9">
        <v>45169</v>
      </c>
      <c r="J24" s="9">
        <v>45199</v>
      </c>
      <c r="K24" s="9">
        <v>45230</v>
      </c>
      <c r="L24" s="9">
        <v>45260</v>
      </c>
      <c r="M24" s="9">
        <v>45291</v>
      </c>
      <c r="N24" s="9">
        <v>45322</v>
      </c>
      <c r="O24" s="9">
        <v>45351</v>
      </c>
      <c r="P24" s="9">
        <v>45382</v>
      </c>
      <c r="Q24" s="9">
        <v>45412</v>
      </c>
      <c r="R24" s="9">
        <v>45443</v>
      </c>
      <c r="S24" s="9">
        <v>45473</v>
      </c>
      <c r="T24" s="9">
        <v>45504</v>
      </c>
      <c r="U24" s="9">
        <v>45535</v>
      </c>
      <c r="V24" s="9">
        <v>45565</v>
      </c>
      <c r="W24" s="9">
        <v>45596</v>
      </c>
      <c r="X24" s="9">
        <v>45626</v>
      </c>
      <c r="Y24" s="9">
        <v>45657</v>
      </c>
      <c r="Z24" s="9">
        <v>45688</v>
      </c>
      <c r="AA24" s="9">
        <v>45716</v>
      </c>
      <c r="AB24" s="9">
        <v>45747</v>
      </c>
      <c r="AC24" s="9">
        <v>45777</v>
      </c>
      <c r="AD24" s="9">
        <v>45808</v>
      </c>
      <c r="AE24" s="9">
        <v>45838</v>
      </c>
      <c r="AF24" s="9">
        <v>45869</v>
      </c>
      <c r="AG24" s="9">
        <v>45900</v>
      </c>
      <c r="AH24" s="9">
        <v>45930</v>
      </c>
      <c r="AI24" s="9" t="s">
        <v>1599</v>
      </c>
    </row>
    <row r="25" spans="1:35">
      <c r="A25" t="s">
        <v>1564</v>
      </c>
      <c r="B25" s="10">
        <v>21340480.79715</v>
      </c>
      <c r="C25" s="10">
        <v>49094473.57049</v>
      </c>
      <c r="D25" s="10">
        <v>21497698.52566</v>
      </c>
      <c r="E25" s="10">
        <v>39011470.87949</v>
      </c>
      <c r="F25" s="10">
        <v>51000018.9949</v>
      </c>
      <c r="G25" s="10">
        <v>25518490.57913</v>
      </c>
      <c r="H25" s="10">
        <v>60815584.20251</v>
      </c>
      <c r="I25" s="10">
        <v>38150421.57039</v>
      </c>
      <c r="J25" s="10">
        <v>13073996.68236</v>
      </c>
      <c r="K25" s="10">
        <v>28257620.84205</v>
      </c>
      <c r="L25" s="10">
        <v>12616076.57812</v>
      </c>
      <c r="M25" s="10">
        <v>38296676.37798</v>
      </c>
      <c r="N25" s="10">
        <v>26409814.23666</v>
      </c>
      <c r="O25" s="10">
        <v>35025810.53482</v>
      </c>
      <c r="P25" s="10">
        <v>43041343.86981</v>
      </c>
      <c r="Q25" s="10">
        <v>27485226.53714</v>
      </c>
      <c r="R25" s="10">
        <v>44101237.47932</v>
      </c>
      <c r="S25" s="10">
        <v>61649131.05913</v>
      </c>
      <c r="T25" s="10">
        <v>28173611.11613</v>
      </c>
      <c r="U25" s="10">
        <v>34107583.58988</v>
      </c>
      <c r="V25" s="10">
        <v>33691364.97206</v>
      </c>
      <c r="W25" s="10">
        <v>44947224.11805</v>
      </c>
      <c r="X25" s="10">
        <v>49675459.42555</v>
      </c>
      <c r="Y25" s="10">
        <v>37946044.625</v>
      </c>
      <c r="Z25" s="10">
        <v>22309390.27612</v>
      </c>
      <c r="AA25" s="10">
        <v>22932460.95365</v>
      </c>
      <c r="AB25" s="10">
        <v>17701244.94178</v>
      </c>
      <c r="AC25" s="10">
        <v>38139816.19306</v>
      </c>
      <c r="AD25" s="10">
        <v>35037801.44344</v>
      </c>
      <c r="AE25" s="10">
        <v>42739278.22471</v>
      </c>
      <c r="AF25" s="10">
        <v>54756260.59607</v>
      </c>
      <c r="AG25" s="10">
        <v>38327675.48786</v>
      </c>
      <c r="AH25" s="10">
        <v>11668159.952</v>
      </c>
      <c r="AI25" s="10">
        <v>1148538949.23247</v>
      </c>
    </row>
    <row r="26" spans="1:35">
      <c r="A26" t="s">
        <v>1582</v>
      </c>
      <c r="B26" s="10"/>
      <c r="C26" s="10"/>
      <c r="D26" s="10">
        <v>3646201.89872</v>
      </c>
      <c r="E26" s="10">
        <v>2402444.90325</v>
      </c>
      <c r="F26" s="10">
        <v>1053500.46692</v>
      </c>
      <c r="G26" s="10">
        <v>575772.69244</v>
      </c>
      <c r="H26" s="10">
        <v>3688811.06353</v>
      </c>
      <c r="I26" s="10"/>
      <c r="J26" s="10">
        <v>3659204.53183</v>
      </c>
      <c r="K26" s="10">
        <v>1708576.1484</v>
      </c>
      <c r="L26" s="10">
        <v>1630948.50768</v>
      </c>
      <c r="M26" s="10">
        <v>2952129.32912</v>
      </c>
      <c r="N26" s="10">
        <v>7202374.29642</v>
      </c>
      <c r="O26" s="10">
        <v>1905182.8698</v>
      </c>
      <c r="P26" s="10"/>
      <c r="Q26" s="10"/>
      <c r="R26" s="10">
        <v>1594736.76635</v>
      </c>
      <c r="S26" s="10">
        <v>7647140.32425</v>
      </c>
      <c r="T26" s="10">
        <v>2994117.0935</v>
      </c>
      <c r="U26" s="10">
        <v>9763778.8905</v>
      </c>
      <c r="V26" s="10">
        <v>6007528.53561</v>
      </c>
      <c r="W26" s="10">
        <v>3503876.82496</v>
      </c>
      <c r="X26" s="10"/>
      <c r="Y26" s="10">
        <v>2450104.98216</v>
      </c>
      <c r="Z26" s="10">
        <v>2008179.4642</v>
      </c>
      <c r="AA26" s="10">
        <v>986655.77422</v>
      </c>
      <c r="AB26" s="10">
        <v>5759867.52676</v>
      </c>
      <c r="AC26" s="10">
        <v>2213143.62444</v>
      </c>
      <c r="AD26" s="10">
        <v>7384941.15682</v>
      </c>
      <c r="AE26" s="10">
        <v>1352667.64125</v>
      </c>
      <c r="AF26" s="10">
        <v>1060736.08741</v>
      </c>
      <c r="AG26" s="10">
        <v>3939411.10464</v>
      </c>
      <c r="AH26" s="10">
        <v>8751598.7856</v>
      </c>
      <c r="AI26" s="10">
        <v>97843631.29078</v>
      </c>
    </row>
    <row r="27" spans="1:35">
      <c r="A27" t="s">
        <v>1599</v>
      </c>
      <c r="B27" s="10">
        <v>21340480.79715</v>
      </c>
      <c r="C27" s="10">
        <v>49094473.57049</v>
      </c>
      <c r="D27" s="10">
        <v>25143900.42438</v>
      </c>
      <c r="E27" s="10">
        <v>41413915.78274</v>
      </c>
      <c r="F27" s="10">
        <v>52053519.46182</v>
      </c>
      <c r="G27" s="10">
        <v>26094263.27157</v>
      </c>
      <c r="H27" s="10">
        <v>64504395.26604</v>
      </c>
      <c r="I27" s="10">
        <v>38150421.57039</v>
      </c>
      <c r="J27" s="10">
        <v>16733201.21419</v>
      </c>
      <c r="K27" s="10">
        <v>29966196.99045</v>
      </c>
      <c r="L27" s="10">
        <v>14247025.0858</v>
      </c>
      <c r="M27" s="10">
        <v>41248805.7071</v>
      </c>
      <c r="N27" s="10">
        <v>33612188.53308</v>
      </c>
      <c r="O27" s="10">
        <v>36930993.40462</v>
      </c>
      <c r="P27" s="10">
        <v>43041343.86981</v>
      </c>
      <c r="Q27" s="10">
        <v>27485226.53714</v>
      </c>
      <c r="R27" s="10">
        <v>45695974.24567</v>
      </c>
      <c r="S27" s="10">
        <v>69296271.38338</v>
      </c>
      <c r="T27" s="10">
        <v>31167728.20963</v>
      </c>
      <c r="U27" s="10">
        <v>43871362.48038</v>
      </c>
      <c r="V27" s="10">
        <v>39698893.50767</v>
      </c>
      <c r="W27" s="10">
        <v>48451100.94301</v>
      </c>
      <c r="X27" s="10">
        <v>49675459.42555</v>
      </c>
      <c r="Y27" s="10">
        <v>40396149.60716</v>
      </c>
      <c r="Z27" s="10">
        <v>24317569.74032</v>
      </c>
      <c r="AA27" s="10">
        <v>23919116.72787</v>
      </c>
      <c r="AB27" s="10">
        <v>23461112.46854</v>
      </c>
      <c r="AC27" s="10">
        <v>40352959.8175</v>
      </c>
      <c r="AD27" s="10">
        <v>42422742.60026</v>
      </c>
      <c r="AE27" s="10">
        <v>44091945.86596</v>
      </c>
      <c r="AF27" s="10">
        <v>55816996.68348</v>
      </c>
      <c r="AG27" s="10">
        <v>42267086.5925</v>
      </c>
      <c r="AH27" s="10">
        <v>20419758.7376</v>
      </c>
      <c r="AI27" s="10">
        <v>1246382580.52325</v>
      </c>
    </row>
    <row r="29" spans="1:35">
      <c r="A29" s="2" t="s">
        <v>1603</v>
      </c>
      <c r="P29" s="2" t="s">
        <v>1604</v>
      </c>
    </row>
    <row r="30" spans="1:35">
      <c r="A30" t="s">
        <v>1547</v>
      </c>
      <c r="B30" t="s">
        <v>1605</v>
      </c>
      <c r="C30" s="10">
        <f>SUM(B33:B201)</f>
        <v>353909388.83162</v>
      </c>
      <c r="I30" s="2" t="s">
        <v>1606</v>
      </c>
      <c r="P30" t="s">
        <v>1547</v>
      </c>
      <c r="Q30" t="s">
        <v>1607</v>
      </c>
      <c r="R30" s="10">
        <f>SUM(Q33:Q296)</f>
        <v>528654936.1032</v>
      </c>
    </row>
    <row r="31" spans="1:35">
      <c r="C31" s="10"/>
      <c r="I31" t="s">
        <v>1547</v>
      </c>
      <c r="J31" t="s">
        <v>1608</v>
      </c>
      <c r="K31" s="10">
        <f>SUM(J34:J229)</f>
        <v>363818255.58843</v>
      </c>
    </row>
    <row r="32" spans="1:35">
      <c r="A32" t="s">
        <v>171</v>
      </c>
      <c r="B32" t="s">
        <v>1602</v>
      </c>
      <c r="C32" s="2" t="s">
        <v>1609</v>
      </c>
      <c r="D32" s="11" t="s">
        <v>1610</v>
      </c>
      <c r="E32" t="s">
        <v>1611</v>
      </c>
      <c r="P32" t="s">
        <v>171</v>
      </c>
      <c r="Q32" t="s">
        <v>1602</v>
      </c>
      <c r="R32" s="2" t="s">
        <v>1609</v>
      </c>
      <c r="S32" s="2" t="s">
        <v>1612</v>
      </c>
      <c r="T32" s="2" t="s">
        <v>1611</v>
      </c>
      <c r="AH32" s="2" t="s">
        <v>1613</v>
      </c>
    </row>
    <row r="33" spans="1:38">
      <c r="A33" t="s">
        <v>1107</v>
      </c>
      <c r="B33" s="10">
        <v>12095208.66204</v>
      </c>
      <c r="C33" s="10">
        <f>SUM($B$33:B33)</f>
        <v>12095208.66204</v>
      </c>
      <c r="D33" s="12">
        <f>C33/$C$30</f>
        <v>0.0341760039256674</v>
      </c>
      <c r="E33" t="str">
        <f>IF(D33&lt;=0.8,"A",IF(D33&lt;=0.95,"B","C"))</f>
        <v>A</v>
      </c>
      <c r="I33" t="s">
        <v>171</v>
      </c>
      <c r="J33" t="s">
        <v>1602</v>
      </c>
      <c r="K33" s="2" t="s">
        <v>1609</v>
      </c>
      <c r="L33" s="2" t="s">
        <v>1610</v>
      </c>
      <c r="M33" s="2" t="s">
        <v>1611</v>
      </c>
      <c r="P33" t="s">
        <v>738</v>
      </c>
      <c r="Q33" s="10">
        <v>16792061.89032</v>
      </c>
      <c r="R33" s="10">
        <f>SUM($Q$33:Q33)</f>
        <v>16792061.89032</v>
      </c>
      <c r="S33" s="6">
        <f>(R33/$R$30)</f>
        <v>0.0317637474722112</v>
      </c>
      <c r="T33" t="str">
        <f>IF(S33&lt;=0.8,"A",IF(S33&lt;=0.95,"B","C"))</f>
        <v>A</v>
      </c>
      <c r="V33" s="2" t="s">
        <v>1614</v>
      </c>
      <c r="AH33" t="s">
        <v>164</v>
      </c>
      <c r="AI33" t="s">
        <v>1529</v>
      </c>
      <c r="AJ33" t="s">
        <v>1615</v>
      </c>
      <c r="AK33" t="s">
        <v>1616</v>
      </c>
      <c r="AL33" s="2" t="s">
        <v>1617</v>
      </c>
    </row>
    <row r="34" spans="1:38">
      <c r="A34" t="s">
        <v>988</v>
      </c>
      <c r="B34" s="10">
        <v>8367460.39152</v>
      </c>
      <c r="C34" s="10">
        <f>SUM($B$33:B34)</f>
        <v>20462669.05356</v>
      </c>
      <c r="D34" s="12">
        <f t="shared" ref="D34:D97" si="1">C34/$C$30</f>
        <v>0.0578189494240729</v>
      </c>
      <c r="E34" t="str">
        <f t="shared" ref="E34:E97" si="2">IF(D34&lt;=0.8,"A",IF(D34&lt;=0.95,"B","C"))</f>
        <v>A</v>
      </c>
      <c r="I34" t="s">
        <v>615</v>
      </c>
      <c r="J34" s="10">
        <v>12413265.25</v>
      </c>
      <c r="K34" s="10">
        <f>SUM($J$34:J34)</f>
        <v>12413265.25</v>
      </c>
      <c r="L34" s="6">
        <f>(K34/$K$31)</f>
        <v>0.0341194128093521</v>
      </c>
      <c r="M34" t="str">
        <f>IF(L34&lt;=0.8,"A",IF(L34&lt;=0.95,"B","C"))</f>
        <v>A</v>
      </c>
      <c r="P34" t="s">
        <v>347</v>
      </c>
      <c r="Q34" s="10">
        <v>10924400</v>
      </c>
      <c r="R34" s="10">
        <f>SUM($Q$33:Q34)</f>
        <v>27716461.89032</v>
      </c>
      <c r="S34" s="6">
        <f t="shared" ref="S34:S97" si="3">(R34/$R$30)</f>
        <v>0.0524282665260302</v>
      </c>
      <c r="T34" t="str">
        <f t="shared" ref="T34:T97" si="4">IF(S34&lt;=0.8,"A",IF(S34&lt;=0.95,"B","C"))</f>
        <v>A</v>
      </c>
      <c r="V34" t="s">
        <v>1529</v>
      </c>
      <c r="W34" t="s">
        <v>1616</v>
      </c>
      <c r="X34" t="s">
        <v>1602</v>
      </c>
      <c r="Y34" t="s">
        <v>1618</v>
      </c>
      <c r="Z34" s="2" t="s">
        <v>1619</v>
      </c>
      <c r="AA34" s="2" t="s">
        <v>1620</v>
      </c>
      <c r="AB34" t="s">
        <v>1621</v>
      </c>
      <c r="AH34" t="s">
        <v>177</v>
      </c>
      <c r="AI34" t="s">
        <v>271</v>
      </c>
      <c r="AJ34" s="13">
        <v>5</v>
      </c>
      <c r="AK34" s="13">
        <v>16</v>
      </c>
      <c r="AL34" s="6">
        <f>AJ34/AK34</f>
        <v>0.3125</v>
      </c>
    </row>
    <row r="35" spans="1:38">
      <c r="A35" t="s">
        <v>497</v>
      </c>
      <c r="B35" s="10">
        <v>7965626.2296</v>
      </c>
      <c r="C35" s="10">
        <f>SUM($B$33:B35)</f>
        <v>28428295.28316</v>
      </c>
      <c r="D35" s="12">
        <f t="shared" si="1"/>
        <v>0.0803264795461116</v>
      </c>
      <c r="E35" t="str">
        <f t="shared" si="2"/>
        <v>A</v>
      </c>
      <c r="I35" t="s">
        <v>544</v>
      </c>
      <c r="J35" s="10">
        <v>9898162.36992</v>
      </c>
      <c r="K35" s="10">
        <f>SUM($J$34:J35)</f>
        <v>22311427.61992</v>
      </c>
      <c r="L35" s="6">
        <f t="shared" ref="L35:L98" si="5">(K35/$K$31)</f>
        <v>0.0613257506384172</v>
      </c>
      <c r="M35" t="str">
        <f t="shared" ref="M35:M98" si="6">IF(L35&lt;=0.8,"A",IF(L35&lt;=0.95,"B","C"))</f>
        <v>A</v>
      </c>
      <c r="P35" t="s">
        <v>1193</v>
      </c>
      <c r="Q35" s="10">
        <v>10641139.7196</v>
      </c>
      <c r="R35" s="10">
        <f>SUM($Q$33:Q35)</f>
        <v>38357601.60992</v>
      </c>
      <c r="S35" s="6">
        <f t="shared" si="3"/>
        <v>0.0725569724037006</v>
      </c>
      <c r="T35" t="str">
        <f t="shared" si="4"/>
        <v>A</v>
      </c>
      <c r="V35" t="s">
        <v>271</v>
      </c>
      <c r="W35" s="13">
        <v>48</v>
      </c>
      <c r="X35" s="10">
        <v>110665766.29715</v>
      </c>
      <c r="Y35" s="10">
        <v>109557795.89715</v>
      </c>
      <c r="Z35" s="14">
        <f>X35/W35</f>
        <v>2305536.79785729</v>
      </c>
      <c r="AA35" s="10">
        <f>Y35/W35</f>
        <v>2282454.08119062</v>
      </c>
      <c r="AB35" s="15">
        <f>W35/35</f>
        <v>1.37142857142857</v>
      </c>
      <c r="AI35" t="s">
        <v>190</v>
      </c>
      <c r="AJ35" s="13">
        <v>3</v>
      </c>
      <c r="AK35" s="13">
        <v>12</v>
      </c>
      <c r="AL35" s="6">
        <f t="shared" ref="AL35:AL98" si="7">AJ35/AK35</f>
        <v>0.25</v>
      </c>
    </row>
    <row r="36" spans="1:38">
      <c r="A36" t="s">
        <v>1438</v>
      </c>
      <c r="B36" s="10">
        <v>7647140.32425</v>
      </c>
      <c r="C36" s="10">
        <f>SUM($B$33:B36)</f>
        <v>36075435.60741</v>
      </c>
      <c r="D36" s="12">
        <f t="shared" si="1"/>
        <v>0.101934101625582</v>
      </c>
      <c r="E36" t="str">
        <f t="shared" si="2"/>
        <v>A</v>
      </c>
      <c r="I36" t="s">
        <v>382</v>
      </c>
      <c r="J36" s="10">
        <v>9728928.80745</v>
      </c>
      <c r="K36" s="10">
        <f>SUM($J$34:J36)</f>
        <v>32040356.42737</v>
      </c>
      <c r="L36" s="6">
        <f t="shared" si="5"/>
        <v>0.0880669288448673</v>
      </c>
      <c r="M36" t="str">
        <f t="shared" si="6"/>
        <v>A</v>
      </c>
      <c r="P36" t="s">
        <v>816</v>
      </c>
      <c r="Q36" s="10">
        <v>8978223.156</v>
      </c>
      <c r="R36" s="10">
        <f>SUM($Q$33:Q36)</f>
        <v>47335824.76592</v>
      </c>
      <c r="S36" s="6">
        <f t="shared" si="3"/>
        <v>0.0895401168763125</v>
      </c>
      <c r="T36" t="str">
        <f t="shared" si="4"/>
        <v>A</v>
      </c>
      <c r="V36" t="s">
        <v>256</v>
      </c>
      <c r="W36" s="13">
        <v>44</v>
      </c>
      <c r="X36" s="10">
        <v>101757455.74936</v>
      </c>
      <c r="Y36" s="10">
        <v>100738525.36936</v>
      </c>
      <c r="Z36" s="14">
        <f t="shared" ref="Z36:Z51" si="8">X36/W36</f>
        <v>2312669.44884909</v>
      </c>
      <c r="AA36" s="10">
        <f t="shared" ref="AA36:AA51" si="9">Y36/W36</f>
        <v>2289511.94021273</v>
      </c>
      <c r="AB36" s="15">
        <f t="shared" ref="AB36:AB51" si="10">W36/35</f>
        <v>1.25714285714286</v>
      </c>
      <c r="AI36" t="s">
        <v>236</v>
      </c>
      <c r="AJ36" s="13">
        <v>3</v>
      </c>
      <c r="AK36" s="13">
        <v>16</v>
      </c>
      <c r="AL36" s="6">
        <f t="shared" si="7"/>
        <v>0.1875</v>
      </c>
    </row>
    <row r="37" spans="1:38">
      <c r="A37" t="s">
        <v>1039</v>
      </c>
      <c r="B37" s="10">
        <v>7228123.82423</v>
      </c>
      <c r="C37" s="10">
        <f>SUM($B$33:B37)</f>
        <v>43303559.43164</v>
      </c>
      <c r="D37" s="12">
        <f t="shared" si="1"/>
        <v>0.12235775822337</v>
      </c>
      <c r="E37" t="str">
        <f t="shared" si="2"/>
        <v>A</v>
      </c>
      <c r="I37" t="s">
        <v>595</v>
      </c>
      <c r="J37" s="10">
        <v>9038263.18032</v>
      </c>
      <c r="K37" s="10">
        <f>SUM($J$34:J37)</f>
        <v>41078619.60769</v>
      </c>
      <c r="L37" s="6">
        <f t="shared" si="5"/>
        <v>0.11290972615228</v>
      </c>
      <c r="M37" t="str">
        <f t="shared" si="6"/>
        <v>A</v>
      </c>
      <c r="P37" t="s">
        <v>956</v>
      </c>
      <c r="Q37" s="10">
        <v>8807252.17701</v>
      </c>
      <c r="R37" s="10">
        <f>SUM($Q$33:Q37)</f>
        <v>56143076.94293</v>
      </c>
      <c r="S37" s="6">
        <f t="shared" si="3"/>
        <v>0.106199853834279</v>
      </c>
      <c r="T37" t="str">
        <f t="shared" si="4"/>
        <v>A</v>
      </c>
      <c r="V37" t="s">
        <v>236</v>
      </c>
      <c r="W37" s="13">
        <v>46</v>
      </c>
      <c r="X37" s="10">
        <v>100015754.30373</v>
      </c>
      <c r="Y37" s="10">
        <v>99014357.28373</v>
      </c>
      <c r="Z37" s="14">
        <f t="shared" si="8"/>
        <v>2174255.52834196</v>
      </c>
      <c r="AA37" s="10">
        <f t="shared" si="9"/>
        <v>2152486.02790717</v>
      </c>
      <c r="AB37" s="15">
        <f t="shared" si="10"/>
        <v>1.31428571428571</v>
      </c>
      <c r="AI37" t="s">
        <v>306</v>
      </c>
      <c r="AJ37" s="13">
        <v>2</v>
      </c>
      <c r="AK37" s="13">
        <v>10</v>
      </c>
      <c r="AL37" s="6">
        <f t="shared" si="7"/>
        <v>0.2</v>
      </c>
    </row>
    <row r="38" spans="1:38">
      <c r="A38" t="s">
        <v>1305</v>
      </c>
      <c r="B38" s="10">
        <v>7125420.447</v>
      </c>
      <c r="C38" s="10">
        <f>SUM($B$33:B38)</f>
        <v>50428979.87864</v>
      </c>
      <c r="D38" s="12">
        <f t="shared" si="1"/>
        <v>0.142491218006744</v>
      </c>
      <c r="E38" t="str">
        <f t="shared" si="2"/>
        <v>A</v>
      </c>
      <c r="I38" t="s">
        <v>1111</v>
      </c>
      <c r="J38" s="10">
        <v>7655280.35496</v>
      </c>
      <c r="K38" s="10">
        <f>SUM($J$34:J38)</f>
        <v>48733899.96265</v>
      </c>
      <c r="L38" s="6">
        <f t="shared" si="5"/>
        <v>0.133951222111791</v>
      </c>
      <c r="M38" t="str">
        <f t="shared" si="6"/>
        <v>A</v>
      </c>
      <c r="P38" t="s">
        <v>1488</v>
      </c>
      <c r="Q38" s="10">
        <v>8397062.2398</v>
      </c>
      <c r="R38" s="10">
        <f>SUM($Q$33:Q38)</f>
        <v>64540139.18273</v>
      </c>
      <c r="S38" s="6">
        <f t="shared" si="3"/>
        <v>0.122083678360152</v>
      </c>
      <c r="T38" t="str">
        <f t="shared" si="4"/>
        <v>A</v>
      </c>
      <c r="V38" t="s">
        <v>217</v>
      </c>
      <c r="W38" s="13">
        <v>48</v>
      </c>
      <c r="X38" s="10">
        <v>99677187.02085</v>
      </c>
      <c r="Y38" s="10">
        <v>98679374.3808501</v>
      </c>
      <c r="Z38" s="14">
        <f t="shared" si="8"/>
        <v>2076608.06293438</v>
      </c>
      <c r="AA38" s="10">
        <f t="shared" si="9"/>
        <v>2055820.29960104</v>
      </c>
      <c r="AB38" s="15">
        <f t="shared" si="10"/>
        <v>1.37142857142857</v>
      </c>
      <c r="AI38" t="s">
        <v>210</v>
      </c>
      <c r="AJ38" s="13">
        <v>2</v>
      </c>
      <c r="AK38" s="13">
        <v>10</v>
      </c>
      <c r="AL38" s="6">
        <f t="shared" si="7"/>
        <v>0.2</v>
      </c>
    </row>
    <row r="39" spans="1:38">
      <c r="A39" t="s">
        <v>1319</v>
      </c>
      <c r="B39" s="10">
        <v>6215972.41122</v>
      </c>
      <c r="C39" s="10">
        <f>SUM($B$33:B39)</f>
        <v>56644952.28986</v>
      </c>
      <c r="D39" s="12">
        <f t="shared" si="1"/>
        <v>0.160054957786978</v>
      </c>
      <c r="E39" t="str">
        <f t="shared" si="2"/>
        <v>A</v>
      </c>
      <c r="I39" t="s">
        <v>1340</v>
      </c>
      <c r="J39" s="10">
        <v>7412028.63424</v>
      </c>
      <c r="K39" s="10">
        <f>SUM($J$34:J39)</f>
        <v>56145928.59689</v>
      </c>
      <c r="L39" s="6">
        <f t="shared" si="5"/>
        <v>0.154324110278856</v>
      </c>
      <c r="M39" t="str">
        <f t="shared" si="6"/>
        <v>A</v>
      </c>
      <c r="P39" t="s">
        <v>1047</v>
      </c>
      <c r="Q39" s="10">
        <v>7457794.295</v>
      </c>
      <c r="R39" s="10">
        <f>SUM($Q$33:Q39)</f>
        <v>71997933.47773</v>
      </c>
      <c r="S39" s="6">
        <f t="shared" si="3"/>
        <v>0.136190790174851</v>
      </c>
      <c r="T39" t="str">
        <f t="shared" si="4"/>
        <v>A</v>
      </c>
      <c r="V39" t="s">
        <v>210</v>
      </c>
      <c r="W39" s="13">
        <v>45</v>
      </c>
      <c r="X39" s="10">
        <v>94208104.99135</v>
      </c>
      <c r="Y39" s="10">
        <v>93265018.26135</v>
      </c>
      <c r="Z39" s="14">
        <f t="shared" si="8"/>
        <v>2093513.44425222</v>
      </c>
      <c r="AA39" s="10">
        <f t="shared" si="9"/>
        <v>2072555.96136333</v>
      </c>
      <c r="AB39" s="15">
        <f t="shared" si="10"/>
        <v>1.28571428571429</v>
      </c>
      <c r="AI39" t="s">
        <v>182</v>
      </c>
      <c r="AJ39" s="13">
        <v>2</v>
      </c>
      <c r="AK39" s="13">
        <v>8</v>
      </c>
      <c r="AL39" s="6">
        <f t="shared" si="7"/>
        <v>0.25</v>
      </c>
    </row>
    <row r="40" spans="1:38">
      <c r="A40" t="s">
        <v>1125</v>
      </c>
      <c r="B40" s="10">
        <v>5805765</v>
      </c>
      <c r="C40" s="10">
        <f>SUM($B$33:B40)</f>
        <v>62450717.28986</v>
      </c>
      <c r="D40" s="12">
        <f t="shared" si="1"/>
        <v>0.17645962288831</v>
      </c>
      <c r="E40" t="str">
        <f t="shared" si="2"/>
        <v>A</v>
      </c>
      <c r="I40" t="s">
        <v>662</v>
      </c>
      <c r="J40" s="10">
        <v>6602824.73375</v>
      </c>
      <c r="K40" s="10">
        <f>SUM($J$34:J40)</f>
        <v>62748753.33064</v>
      </c>
      <c r="L40" s="6">
        <f t="shared" si="5"/>
        <v>0.172472800269882</v>
      </c>
      <c r="M40" t="str">
        <f t="shared" si="6"/>
        <v>A</v>
      </c>
      <c r="P40" t="s">
        <v>420</v>
      </c>
      <c r="Q40" s="10">
        <v>7174700.1053</v>
      </c>
      <c r="R40" s="10">
        <f>SUM($Q$33:Q40)</f>
        <v>79172633.58303</v>
      </c>
      <c r="S40" s="6">
        <f t="shared" si="3"/>
        <v>0.149762402989413</v>
      </c>
      <c r="T40" t="str">
        <f t="shared" si="4"/>
        <v>A</v>
      </c>
      <c r="V40" t="s">
        <v>190</v>
      </c>
      <c r="W40" s="13">
        <v>50</v>
      </c>
      <c r="X40" s="10">
        <v>92750642.38228</v>
      </c>
      <c r="Y40" s="10">
        <v>91821872.10228</v>
      </c>
      <c r="Z40" s="14">
        <f t="shared" si="8"/>
        <v>1855012.8476456</v>
      </c>
      <c r="AA40" s="10">
        <f t="shared" si="9"/>
        <v>1836437.4420456</v>
      </c>
      <c r="AB40" s="15">
        <f t="shared" si="10"/>
        <v>1.42857142857143</v>
      </c>
      <c r="AI40" t="s">
        <v>195</v>
      </c>
      <c r="AJ40" s="13">
        <v>2</v>
      </c>
      <c r="AK40" s="13">
        <v>8</v>
      </c>
      <c r="AL40" s="6">
        <f t="shared" si="7"/>
        <v>0.25</v>
      </c>
    </row>
    <row r="41" spans="1:38">
      <c r="A41" t="s">
        <v>1331</v>
      </c>
      <c r="B41" s="10">
        <v>5628726.0544</v>
      </c>
      <c r="C41" s="10">
        <f>SUM($B$33:B41)</f>
        <v>68079443.34426</v>
      </c>
      <c r="D41" s="12">
        <f t="shared" si="1"/>
        <v>0.192364049931013</v>
      </c>
      <c r="E41" t="str">
        <f t="shared" si="2"/>
        <v>A</v>
      </c>
      <c r="I41" t="s">
        <v>1055</v>
      </c>
      <c r="J41" s="10">
        <v>6256289.3778</v>
      </c>
      <c r="K41" s="10">
        <f>SUM($J$34:J41)</f>
        <v>69005042.70844</v>
      </c>
      <c r="L41" s="6">
        <f t="shared" si="5"/>
        <v>0.189668994473169</v>
      </c>
      <c r="M41" t="str">
        <f t="shared" si="6"/>
        <v>A</v>
      </c>
      <c r="P41" t="s">
        <v>237</v>
      </c>
      <c r="Q41" s="10">
        <v>7148968.14236</v>
      </c>
      <c r="R41" s="10">
        <f>SUM($Q$33:Q41)</f>
        <v>86321601.72539</v>
      </c>
      <c r="S41" s="6">
        <f t="shared" si="3"/>
        <v>0.163285341401861</v>
      </c>
      <c r="T41" t="str">
        <f t="shared" si="4"/>
        <v>A</v>
      </c>
      <c r="V41" t="s">
        <v>245</v>
      </c>
      <c r="W41" s="13">
        <v>51</v>
      </c>
      <c r="X41" s="10">
        <v>89929451.33232</v>
      </c>
      <c r="Y41" s="10">
        <v>89029281.49232</v>
      </c>
      <c r="Z41" s="14">
        <f t="shared" si="8"/>
        <v>1763322.57514353</v>
      </c>
      <c r="AA41" s="10">
        <f t="shared" si="9"/>
        <v>1745672.18612392</v>
      </c>
      <c r="AB41" s="15">
        <f t="shared" si="10"/>
        <v>1.45714285714286</v>
      </c>
      <c r="AI41" t="s">
        <v>1589</v>
      </c>
      <c r="AJ41" s="13">
        <v>1</v>
      </c>
      <c r="AK41" s="13">
        <v>2</v>
      </c>
      <c r="AL41" s="6">
        <f t="shared" si="7"/>
        <v>0.5</v>
      </c>
    </row>
    <row r="42" spans="1:38">
      <c r="A42" t="s">
        <v>1219</v>
      </c>
      <c r="B42" s="10">
        <v>5334653.20584</v>
      </c>
      <c r="C42" s="10">
        <f>SUM($B$33:B42)</f>
        <v>73414096.5501</v>
      </c>
      <c r="D42" s="12">
        <f t="shared" si="1"/>
        <v>0.207437550025067</v>
      </c>
      <c r="E42" t="str">
        <f t="shared" si="2"/>
        <v>A</v>
      </c>
      <c r="I42" t="s">
        <v>1376</v>
      </c>
      <c r="J42" s="10">
        <v>5340171.74922</v>
      </c>
      <c r="K42" s="10">
        <f>SUM($J$34:J42)</f>
        <v>74345214.45766</v>
      </c>
      <c r="L42" s="6">
        <f t="shared" si="5"/>
        <v>0.204347124740665</v>
      </c>
      <c r="M42" t="str">
        <f t="shared" si="6"/>
        <v>A</v>
      </c>
      <c r="P42" t="s">
        <v>710</v>
      </c>
      <c r="Q42" s="10">
        <v>7055279.9712</v>
      </c>
      <c r="R42" s="10">
        <f>SUM($Q$33:Q42)</f>
        <v>93376881.69659</v>
      </c>
      <c r="S42" s="6">
        <f t="shared" si="3"/>
        <v>0.176631059921403</v>
      </c>
      <c r="T42" t="str">
        <f t="shared" si="4"/>
        <v>A</v>
      </c>
      <c r="V42" t="s">
        <v>253</v>
      </c>
      <c r="W42" s="13">
        <v>45</v>
      </c>
      <c r="X42" s="10">
        <v>82299566.13031</v>
      </c>
      <c r="Y42" s="10">
        <v>81475314.96031</v>
      </c>
      <c r="Z42" s="14">
        <f t="shared" si="8"/>
        <v>1828879.24734022</v>
      </c>
      <c r="AA42" s="10">
        <f t="shared" si="9"/>
        <v>1810562.55467356</v>
      </c>
      <c r="AB42" s="15">
        <f t="shared" si="10"/>
        <v>1.28571428571429</v>
      </c>
      <c r="AI42" t="s">
        <v>224</v>
      </c>
      <c r="AJ42" s="13">
        <v>1</v>
      </c>
      <c r="AK42" s="13">
        <v>5</v>
      </c>
      <c r="AL42" s="6">
        <f t="shared" si="7"/>
        <v>0.2</v>
      </c>
    </row>
    <row r="43" spans="1:38">
      <c r="A43" t="s">
        <v>461</v>
      </c>
      <c r="B43" s="10">
        <v>5278007</v>
      </c>
      <c r="C43" s="10">
        <f>SUM($B$33:B43)</f>
        <v>78692103.5501</v>
      </c>
      <c r="D43" s="12">
        <f t="shared" si="1"/>
        <v>0.222350991619325</v>
      </c>
      <c r="E43" t="str">
        <f t="shared" si="2"/>
        <v>A</v>
      </c>
      <c r="I43" t="s">
        <v>1159</v>
      </c>
      <c r="J43" s="10">
        <v>5078104.27336</v>
      </c>
      <c r="K43" s="10">
        <f>SUM($J$34:J43)</f>
        <v>79423318.73102</v>
      </c>
      <c r="L43" s="6">
        <f t="shared" si="5"/>
        <v>0.218304929758302</v>
      </c>
      <c r="M43" t="str">
        <f t="shared" si="6"/>
        <v>A</v>
      </c>
      <c r="P43" t="s">
        <v>516</v>
      </c>
      <c r="Q43" s="10">
        <v>7018754.56614</v>
      </c>
      <c r="R43" s="10">
        <f>SUM($Q$33:Q43)</f>
        <v>100395636.26273</v>
      </c>
      <c r="S43" s="6">
        <f t="shared" si="3"/>
        <v>0.189907687238792</v>
      </c>
      <c r="T43" t="str">
        <f t="shared" si="4"/>
        <v>A</v>
      </c>
      <c r="V43" t="s">
        <v>182</v>
      </c>
      <c r="W43" s="13">
        <v>37</v>
      </c>
      <c r="X43" s="10">
        <v>81703074.22459</v>
      </c>
      <c r="Y43" s="10">
        <v>80884758.08459</v>
      </c>
      <c r="Z43" s="14">
        <f t="shared" si="8"/>
        <v>2208191.19525919</v>
      </c>
      <c r="AA43" s="10">
        <f t="shared" si="9"/>
        <v>2186074.54282676</v>
      </c>
      <c r="AB43" s="15">
        <f t="shared" si="10"/>
        <v>1.05714285714286</v>
      </c>
      <c r="AI43" t="s">
        <v>253</v>
      </c>
      <c r="AJ43" s="13">
        <v>1</v>
      </c>
      <c r="AK43" s="13">
        <v>7</v>
      </c>
      <c r="AL43" s="6">
        <f t="shared" si="7"/>
        <v>0.142857142857143</v>
      </c>
    </row>
    <row r="44" spans="1:38">
      <c r="A44" t="s">
        <v>1121</v>
      </c>
      <c r="B44" s="10">
        <v>4977729.702</v>
      </c>
      <c r="C44" s="10">
        <f>SUM($B$33:B44)</f>
        <v>83669833.2521</v>
      </c>
      <c r="D44" s="12">
        <f t="shared" si="1"/>
        <v>0.236415975084254</v>
      </c>
      <c r="E44" t="str">
        <f t="shared" si="2"/>
        <v>A</v>
      </c>
      <c r="I44" t="s">
        <v>938</v>
      </c>
      <c r="J44" s="10">
        <v>4867725.2651</v>
      </c>
      <c r="K44" s="10">
        <f>SUM($J$34:J44)</f>
        <v>84291043.99612</v>
      </c>
      <c r="L44" s="6">
        <f t="shared" si="5"/>
        <v>0.231684481747047</v>
      </c>
      <c r="M44" t="str">
        <f t="shared" si="6"/>
        <v>A</v>
      </c>
      <c r="P44" t="s">
        <v>670</v>
      </c>
      <c r="Q44" s="10">
        <v>6320497.77758</v>
      </c>
      <c r="R44" s="10">
        <f>SUM($Q$33:Q44)</f>
        <v>106716134.04031</v>
      </c>
      <c r="S44" s="6">
        <f t="shared" si="3"/>
        <v>0.201863496871762</v>
      </c>
      <c r="T44" t="str">
        <f t="shared" si="4"/>
        <v>A</v>
      </c>
      <c r="V44" t="s">
        <v>229</v>
      </c>
      <c r="W44" s="13">
        <v>37</v>
      </c>
      <c r="X44" s="10">
        <v>75713644.28694</v>
      </c>
      <c r="Y44" s="10">
        <v>74955402.67694</v>
      </c>
      <c r="Z44" s="14">
        <f t="shared" si="8"/>
        <v>2046314.71045784</v>
      </c>
      <c r="AA44" s="10">
        <f t="shared" si="9"/>
        <v>2025821.69397135</v>
      </c>
      <c r="AB44" s="15">
        <f t="shared" si="10"/>
        <v>1.05714285714286</v>
      </c>
      <c r="AI44" t="s">
        <v>287</v>
      </c>
      <c r="AJ44" s="13">
        <v>0</v>
      </c>
      <c r="AK44" s="13">
        <v>4</v>
      </c>
      <c r="AL44" s="6">
        <f t="shared" si="7"/>
        <v>0</v>
      </c>
    </row>
    <row r="45" spans="1:38">
      <c r="A45" t="s">
        <v>1396</v>
      </c>
      <c r="B45" s="10">
        <v>4860461.25796</v>
      </c>
      <c r="C45" s="10">
        <f>SUM($B$33:B45)</f>
        <v>88530294.51006</v>
      </c>
      <c r="D45" s="12">
        <f t="shared" si="1"/>
        <v>0.25014960694411</v>
      </c>
      <c r="E45" t="str">
        <f t="shared" si="2"/>
        <v>A</v>
      </c>
      <c r="I45" t="s">
        <v>796</v>
      </c>
      <c r="J45" s="10">
        <v>4748447.75016</v>
      </c>
      <c r="K45" s="10">
        <f>SUM($J$34:J45)</f>
        <v>89039491.74628</v>
      </c>
      <c r="L45" s="6">
        <f t="shared" si="5"/>
        <v>0.244736184560805</v>
      </c>
      <c r="M45" t="str">
        <f t="shared" si="6"/>
        <v>A</v>
      </c>
      <c r="P45" t="s">
        <v>902</v>
      </c>
      <c r="Q45" s="10">
        <v>6237253.50414</v>
      </c>
      <c r="R45" s="10">
        <f>SUM($Q$33:Q45)</f>
        <v>112953387.54445</v>
      </c>
      <c r="S45" s="6">
        <f t="shared" si="3"/>
        <v>0.213661842216111</v>
      </c>
      <c r="T45" t="str">
        <f t="shared" si="4"/>
        <v>A</v>
      </c>
      <c r="V45" t="s">
        <v>306</v>
      </c>
      <c r="W45" s="13">
        <v>38</v>
      </c>
      <c r="X45" s="10">
        <v>64440179.75091</v>
      </c>
      <c r="Y45" s="10">
        <v>63795095.31091</v>
      </c>
      <c r="Z45" s="14">
        <f t="shared" si="8"/>
        <v>1695794.20397132</v>
      </c>
      <c r="AA45" s="10">
        <f t="shared" si="9"/>
        <v>1678818.29765553</v>
      </c>
      <c r="AB45" s="15">
        <f t="shared" si="10"/>
        <v>1.08571428571429</v>
      </c>
      <c r="AI45" t="s">
        <v>202</v>
      </c>
      <c r="AJ45" s="13">
        <v>0</v>
      </c>
      <c r="AK45" s="13">
        <v>3</v>
      </c>
      <c r="AL45" s="6">
        <f t="shared" si="7"/>
        <v>0</v>
      </c>
    </row>
    <row r="46" spans="1:38">
      <c r="A46" t="s">
        <v>1428</v>
      </c>
      <c r="B46" s="10">
        <v>4838375.57175</v>
      </c>
      <c r="C46" s="10">
        <f>SUM($B$33:B46)</f>
        <v>93368670.08181</v>
      </c>
      <c r="D46" s="12">
        <f t="shared" si="1"/>
        <v>0.263820833886473</v>
      </c>
      <c r="E46" t="str">
        <f t="shared" si="2"/>
        <v>A</v>
      </c>
      <c r="I46" t="s">
        <v>1468</v>
      </c>
      <c r="J46" s="10">
        <v>4676542.648</v>
      </c>
      <c r="K46" s="10">
        <f>SUM($J$34:J46)</f>
        <v>93716034.39428</v>
      </c>
      <c r="L46" s="6">
        <f t="shared" si="5"/>
        <v>0.257590247203803</v>
      </c>
      <c r="M46" t="str">
        <f t="shared" si="6"/>
        <v>A</v>
      </c>
      <c r="P46" t="s">
        <v>1446</v>
      </c>
      <c r="Q46" s="10">
        <v>6052997.70192</v>
      </c>
      <c r="R46" s="10">
        <f>SUM($Q$33:Q46)</f>
        <v>119006385.24637</v>
      </c>
      <c r="S46" s="6">
        <f t="shared" si="3"/>
        <v>0.225111650566597</v>
      </c>
      <c r="T46" t="str">
        <f t="shared" si="4"/>
        <v>A</v>
      </c>
      <c r="V46" t="s">
        <v>195</v>
      </c>
      <c r="W46" s="13">
        <v>38</v>
      </c>
      <c r="X46" s="10">
        <v>62522857.97182</v>
      </c>
      <c r="Y46" s="10">
        <v>61896780.27182</v>
      </c>
      <c r="Z46" s="14">
        <f t="shared" si="8"/>
        <v>1645338.36767947</v>
      </c>
      <c r="AA46" s="10">
        <f t="shared" si="9"/>
        <v>1628862.63873211</v>
      </c>
      <c r="AB46" s="15">
        <f t="shared" si="10"/>
        <v>1.08571428571429</v>
      </c>
      <c r="AI46" t="s">
        <v>229</v>
      </c>
      <c r="AJ46" s="13">
        <v>0</v>
      </c>
      <c r="AK46" s="13">
        <v>9</v>
      </c>
      <c r="AL46" s="6">
        <f t="shared" si="7"/>
        <v>0</v>
      </c>
    </row>
    <row r="47" spans="1:38">
      <c r="A47" t="s">
        <v>792</v>
      </c>
      <c r="B47" s="10">
        <v>4586876.24462</v>
      </c>
      <c r="C47" s="10">
        <f>SUM($B$33:B47)</f>
        <v>97955546.32643</v>
      </c>
      <c r="D47" s="12">
        <f t="shared" si="1"/>
        <v>0.276781428856171</v>
      </c>
      <c r="E47" t="str">
        <f t="shared" si="2"/>
        <v>A</v>
      </c>
      <c r="I47" t="s">
        <v>336</v>
      </c>
      <c r="J47" s="10">
        <v>4472841.1</v>
      </c>
      <c r="K47" s="10">
        <f>SUM($J$34:J47)</f>
        <v>98188875.49428</v>
      </c>
      <c r="L47" s="6">
        <f t="shared" si="5"/>
        <v>0.269884410652984</v>
      </c>
      <c r="M47" t="str">
        <f t="shared" si="6"/>
        <v>A</v>
      </c>
      <c r="P47" t="s">
        <v>1510</v>
      </c>
      <c r="Q47" s="10">
        <v>5960637.8975</v>
      </c>
      <c r="R47" s="10">
        <f>SUM($Q$33:Q47)</f>
        <v>124967023.14387</v>
      </c>
      <c r="S47" s="6">
        <f t="shared" si="3"/>
        <v>0.236386751753463</v>
      </c>
      <c r="T47" t="str">
        <f t="shared" si="4"/>
        <v>A</v>
      </c>
      <c r="V47" t="s">
        <v>224</v>
      </c>
      <c r="W47" s="13">
        <v>34</v>
      </c>
      <c r="X47" s="10">
        <v>60444509.24053</v>
      </c>
      <c r="Y47" s="10">
        <v>59839452.04053</v>
      </c>
      <c r="Z47" s="14">
        <f t="shared" si="8"/>
        <v>1777779.683545</v>
      </c>
      <c r="AA47" s="10">
        <f t="shared" si="9"/>
        <v>1759983.883545</v>
      </c>
      <c r="AB47" s="15">
        <f t="shared" si="10"/>
        <v>0.971428571428571</v>
      </c>
      <c r="AI47" t="s">
        <v>217</v>
      </c>
      <c r="AJ47" s="13">
        <v>0</v>
      </c>
      <c r="AK47" s="13">
        <v>8</v>
      </c>
      <c r="AL47" s="6">
        <f t="shared" si="7"/>
        <v>0</v>
      </c>
    </row>
    <row r="48" spans="1:38">
      <c r="A48" t="s">
        <v>1275</v>
      </c>
      <c r="B48" s="10">
        <v>4538385.6714</v>
      </c>
      <c r="C48" s="10">
        <f>SUM($B$33:B48)</f>
        <v>102493931.99783</v>
      </c>
      <c r="D48" s="12">
        <f t="shared" si="1"/>
        <v>0.289605009734833</v>
      </c>
      <c r="E48" t="str">
        <f t="shared" si="2"/>
        <v>A</v>
      </c>
      <c r="I48" t="s">
        <v>451</v>
      </c>
      <c r="J48" s="10">
        <v>4471461.18612</v>
      </c>
      <c r="K48" s="10">
        <f>SUM($J$34:J48)</f>
        <v>102660336.6804</v>
      </c>
      <c r="L48" s="6">
        <f t="shared" si="5"/>
        <v>0.282174781236197</v>
      </c>
      <c r="M48" t="str">
        <f t="shared" si="6"/>
        <v>A</v>
      </c>
      <c r="P48" t="s">
        <v>978</v>
      </c>
      <c r="Q48" s="10">
        <v>5934052.9314</v>
      </c>
      <c r="R48" s="10">
        <f>SUM($Q$33:Q48)</f>
        <v>130901076.07527</v>
      </c>
      <c r="S48" s="6">
        <f t="shared" si="3"/>
        <v>0.24761156500337</v>
      </c>
      <c r="T48" t="str">
        <f t="shared" si="4"/>
        <v>A</v>
      </c>
      <c r="V48" t="s">
        <v>202</v>
      </c>
      <c r="W48" s="13">
        <v>30</v>
      </c>
      <c r="X48" s="10">
        <v>57070807.03305</v>
      </c>
      <c r="Y48" s="10">
        <v>56499492.35305</v>
      </c>
      <c r="Z48" s="14">
        <f t="shared" si="8"/>
        <v>1902360.234435</v>
      </c>
      <c r="AA48" s="10">
        <f t="shared" si="9"/>
        <v>1883316.41176833</v>
      </c>
      <c r="AB48" s="15">
        <f t="shared" si="10"/>
        <v>0.857142857142857</v>
      </c>
      <c r="AI48" t="s">
        <v>256</v>
      </c>
      <c r="AJ48" s="13">
        <v>0</v>
      </c>
      <c r="AK48" s="13">
        <v>14</v>
      </c>
      <c r="AL48" s="6">
        <f t="shared" si="7"/>
        <v>0</v>
      </c>
    </row>
    <row r="49" spans="1:38">
      <c r="A49" t="s">
        <v>627</v>
      </c>
      <c r="B49" s="10">
        <v>4410479.6462</v>
      </c>
      <c r="C49" s="10">
        <f>SUM($B$33:B49)</f>
        <v>106904411.64403</v>
      </c>
      <c r="D49" s="12">
        <f t="shared" si="1"/>
        <v>0.302067181650533</v>
      </c>
      <c r="E49" t="str">
        <f t="shared" si="2"/>
        <v>A</v>
      </c>
      <c r="I49" t="s">
        <v>976</v>
      </c>
      <c r="J49" s="10">
        <v>4390794</v>
      </c>
      <c r="K49" s="10">
        <f>SUM($J$34:J49)</f>
        <v>107051130.6804</v>
      </c>
      <c r="L49" s="6">
        <f t="shared" si="5"/>
        <v>0.294243427964488</v>
      </c>
      <c r="M49" t="str">
        <f t="shared" si="6"/>
        <v>A</v>
      </c>
      <c r="P49" t="s">
        <v>1287</v>
      </c>
      <c r="Q49" s="10">
        <v>5880911.3154</v>
      </c>
      <c r="R49" s="10">
        <f>SUM($Q$33:Q49)</f>
        <v>136781987.39067</v>
      </c>
      <c r="S49" s="6">
        <f t="shared" si="3"/>
        <v>0.258735855942086</v>
      </c>
      <c r="T49" t="str">
        <f t="shared" si="4"/>
        <v>A</v>
      </c>
      <c r="V49" t="s">
        <v>287</v>
      </c>
      <c r="W49" s="13">
        <v>32</v>
      </c>
      <c r="X49" s="10">
        <v>43529928.36659</v>
      </c>
      <c r="Y49" s="10">
        <v>43094154.59659</v>
      </c>
      <c r="Z49" s="14">
        <f t="shared" si="8"/>
        <v>1360310.26145594</v>
      </c>
      <c r="AA49" s="10">
        <f t="shared" si="9"/>
        <v>1346692.33114344</v>
      </c>
      <c r="AB49" s="15">
        <f t="shared" si="10"/>
        <v>0.914285714285714</v>
      </c>
      <c r="AI49" t="s">
        <v>245</v>
      </c>
      <c r="AJ49" s="13">
        <v>0</v>
      </c>
      <c r="AK49" s="13">
        <v>13</v>
      </c>
      <c r="AL49" s="6">
        <f t="shared" si="7"/>
        <v>0</v>
      </c>
    </row>
    <row r="50" spans="1:38">
      <c r="A50" t="s">
        <v>563</v>
      </c>
      <c r="B50" s="10">
        <v>4339824.44544</v>
      </c>
      <c r="C50" s="10">
        <f>SUM($B$33:B50)</f>
        <v>111244236.08947</v>
      </c>
      <c r="D50" s="12">
        <f t="shared" si="1"/>
        <v>0.314329711502502</v>
      </c>
      <c r="E50" t="str">
        <f t="shared" si="2"/>
        <v>A</v>
      </c>
      <c r="I50" t="s">
        <v>331</v>
      </c>
      <c r="J50" s="10">
        <v>4267039.61097</v>
      </c>
      <c r="K50" s="10">
        <f>SUM($J$34:J50)</f>
        <v>111318170.29137</v>
      </c>
      <c r="L50" s="6">
        <f t="shared" si="5"/>
        <v>0.305971920269166</v>
      </c>
      <c r="M50" t="str">
        <f t="shared" si="6"/>
        <v>A</v>
      </c>
      <c r="P50" t="s">
        <v>1029</v>
      </c>
      <c r="Q50" s="10">
        <v>5236313.073</v>
      </c>
      <c r="R50" s="10">
        <f>SUM($Q$33:Q50)</f>
        <v>142018300.46367</v>
      </c>
      <c r="S50" s="6">
        <f t="shared" si="3"/>
        <v>0.26864082932907</v>
      </c>
      <c r="T50" t="str">
        <f t="shared" si="4"/>
        <v>A</v>
      </c>
      <c r="V50" t="s">
        <v>1589</v>
      </c>
      <c r="W50" s="13">
        <v>8</v>
      </c>
      <c r="X50" s="10">
        <v>29653651.44147</v>
      </c>
      <c r="Y50" s="10">
        <v>29356635.03147</v>
      </c>
      <c r="Z50" s="10"/>
      <c r="AA50" s="10">
        <f t="shared" si="9"/>
        <v>3669579.37893375</v>
      </c>
      <c r="AB50" s="15">
        <f t="shared" si="10"/>
        <v>0.228571428571429</v>
      </c>
      <c r="AH50" t="s">
        <v>1622</v>
      </c>
      <c r="AJ50" s="13">
        <v>22</v>
      </c>
      <c r="AK50" s="13">
        <v>145</v>
      </c>
      <c r="AL50" s="16">
        <f t="shared" si="7"/>
        <v>0.151724137931034</v>
      </c>
    </row>
    <row r="51" spans="1:38">
      <c r="A51" t="s">
        <v>264</v>
      </c>
      <c r="B51" s="10">
        <v>4320990.09104</v>
      </c>
      <c r="C51" s="10">
        <f>SUM($B$33:B51)</f>
        <v>115565226.18051</v>
      </c>
      <c r="D51" s="12">
        <f t="shared" si="1"/>
        <v>0.326539023341629</v>
      </c>
      <c r="E51" t="str">
        <f t="shared" si="2"/>
        <v>A</v>
      </c>
      <c r="I51" t="s">
        <v>1205</v>
      </c>
      <c r="J51" s="10">
        <v>4234221.69926</v>
      </c>
      <c r="K51" s="10">
        <f>SUM($J$34:J51)</f>
        <v>115552391.99063</v>
      </c>
      <c r="L51" s="6">
        <f t="shared" si="5"/>
        <v>0.317610208437008</v>
      </c>
      <c r="M51" t="str">
        <f t="shared" si="6"/>
        <v>A</v>
      </c>
      <c r="P51" t="s">
        <v>1016</v>
      </c>
      <c r="Q51" s="10">
        <v>4829120.43306</v>
      </c>
      <c r="R51" s="10">
        <f>SUM($Q$33:Q51)</f>
        <v>146847420.89673</v>
      </c>
      <c r="S51" s="6">
        <f t="shared" si="3"/>
        <v>0.277775559950628</v>
      </c>
      <c r="T51" t="str">
        <f t="shared" si="4"/>
        <v>A</v>
      </c>
      <c r="V51" t="s">
        <v>1599</v>
      </c>
      <c r="W51" s="13">
        <v>631</v>
      </c>
      <c r="X51" s="10">
        <v>1246382580.52325</v>
      </c>
      <c r="Y51" s="10">
        <v>1233903310.11325</v>
      </c>
      <c r="Z51" s="10"/>
      <c r="AA51" s="10"/>
      <c r="AB51" s="15">
        <f t="shared" si="10"/>
        <v>18.0285714285714</v>
      </c>
      <c r="AH51" t="s">
        <v>213</v>
      </c>
      <c r="AI51" t="s">
        <v>195</v>
      </c>
      <c r="AJ51" s="13">
        <v>5</v>
      </c>
      <c r="AK51" s="13">
        <v>14</v>
      </c>
      <c r="AL51" s="6">
        <f t="shared" si="7"/>
        <v>0.357142857142857</v>
      </c>
    </row>
    <row r="52" spans="1:38">
      <c r="A52" t="s">
        <v>736</v>
      </c>
      <c r="B52" s="10">
        <v>4232484.34176</v>
      </c>
      <c r="C52" s="10">
        <f>SUM($B$33:B52)</f>
        <v>119797710.52227</v>
      </c>
      <c r="D52" s="12">
        <f t="shared" si="1"/>
        <v>0.338498254928372</v>
      </c>
      <c r="E52" t="str">
        <f t="shared" si="2"/>
        <v>A</v>
      </c>
      <c r="I52" t="s">
        <v>540</v>
      </c>
      <c r="J52" s="10">
        <v>4078284.21792</v>
      </c>
      <c r="K52" s="10">
        <f>SUM($J$34:J52)</f>
        <v>119630676.20855</v>
      </c>
      <c r="L52" s="6">
        <f t="shared" si="5"/>
        <v>0.328819882924958</v>
      </c>
      <c r="M52" t="str">
        <f t="shared" si="6"/>
        <v>A</v>
      </c>
      <c r="P52" t="s">
        <v>876</v>
      </c>
      <c r="Q52" s="10">
        <v>4782420.792</v>
      </c>
      <c r="R52" s="10">
        <f>SUM($Q$33:Q52)</f>
        <v>151629841.68873</v>
      </c>
      <c r="S52" s="6">
        <f t="shared" si="3"/>
        <v>0.286821953855984</v>
      </c>
      <c r="T52" t="str">
        <f t="shared" si="4"/>
        <v>A</v>
      </c>
      <c r="AI52" t="s">
        <v>236</v>
      </c>
      <c r="AJ52" s="13">
        <v>5</v>
      </c>
      <c r="AK52" s="13">
        <v>10</v>
      </c>
      <c r="AL52" s="6">
        <f t="shared" si="7"/>
        <v>0.5</v>
      </c>
    </row>
    <row r="53" spans="1:38">
      <c r="A53" t="s">
        <v>1227</v>
      </c>
      <c r="B53" s="10">
        <v>4160525.847</v>
      </c>
      <c r="C53" s="10">
        <f>SUM($B$33:B53)</f>
        <v>123958236.36927</v>
      </c>
      <c r="D53" s="12">
        <f t="shared" si="1"/>
        <v>0.350254161887312</v>
      </c>
      <c r="E53" t="str">
        <f t="shared" si="2"/>
        <v>A</v>
      </c>
      <c r="I53" t="s">
        <v>1027</v>
      </c>
      <c r="J53" s="10">
        <v>4070822.28</v>
      </c>
      <c r="K53" s="10">
        <f>SUM($J$34:J53)</f>
        <v>123701498.48855</v>
      </c>
      <c r="L53" s="6">
        <f t="shared" si="5"/>
        <v>0.340009047342824</v>
      </c>
      <c r="M53" t="str">
        <f t="shared" si="6"/>
        <v>A</v>
      </c>
      <c r="P53" t="s">
        <v>1374</v>
      </c>
      <c r="Q53" s="10">
        <v>4645026</v>
      </c>
      <c r="R53" s="10">
        <f>SUM($Q$33:Q53)</f>
        <v>156274867.68873</v>
      </c>
      <c r="S53" s="6">
        <f t="shared" si="3"/>
        <v>0.29560845272846</v>
      </c>
      <c r="T53" t="str">
        <f t="shared" si="4"/>
        <v>A</v>
      </c>
      <c r="AI53" t="s">
        <v>306</v>
      </c>
      <c r="AJ53" s="13">
        <v>4</v>
      </c>
      <c r="AK53" s="13">
        <v>8</v>
      </c>
      <c r="AL53" s="6">
        <f t="shared" si="7"/>
        <v>0.5</v>
      </c>
    </row>
    <row r="54" spans="1:38">
      <c r="A54" t="s">
        <v>1012</v>
      </c>
      <c r="B54" s="10">
        <v>4156703.52768</v>
      </c>
      <c r="C54" s="10">
        <f>SUM($B$33:B54)</f>
        <v>128114939.89695</v>
      </c>
      <c r="D54" s="12">
        <f t="shared" si="1"/>
        <v>0.36199926856957</v>
      </c>
      <c r="E54" t="str">
        <f t="shared" si="2"/>
        <v>A</v>
      </c>
      <c r="I54" t="s">
        <v>890</v>
      </c>
      <c r="J54" s="10">
        <v>4032531</v>
      </c>
      <c r="K54" s="10">
        <f>SUM($J$34:J54)</f>
        <v>127734029.48855</v>
      </c>
      <c r="L54" s="6">
        <f t="shared" si="5"/>
        <v>0.351092963386228</v>
      </c>
      <c r="M54" t="str">
        <f t="shared" si="6"/>
        <v>A</v>
      </c>
      <c r="P54" t="s">
        <v>868</v>
      </c>
      <c r="Q54" s="10">
        <v>4550542.2182</v>
      </c>
      <c r="R54" s="10">
        <f>SUM($Q$33:Q54)</f>
        <v>160825409.90693</v>
      </c>
      <c r="S54" s="6">
        <f t="shared" si="3"/>
        <v>0.304216226736479</v>
      </c>
      <c r="T54" t="str">
        <f t="shared" si="4"/>
        <v>A</v>
      </c>
      <c r="AI54" t="s">
        <v>210</v>
      </c>
      <c r="AJ54" s="13">
        <v>3</v>
      </c>
      <c r="AK54" s="13">
        <v>12</v>
      </c>
      <c r="AL54" s="6">
        <f t="shared" si="7"/>
        <v>0.25</v>
      </c>
    </row>
    <row r="55" spans="1:38">
      <c r="A55" t="s">
        <v>1014</v>
      </c>
      <c r="B55" s="10">
        <v>4097952.66232</v>
      </c>
      <c r="C55" s="10">
        <f>SUM($B$33:B55)</f>
        <v>132212892.55927</v>
      </c>
      <c r="D55" s="12">
        <f t="shared" si="1"/>
        <v>0.373578369863968</v>
      </c>
      <c r="E55" t="str">
        <f t="shared" si="2"/>
        <v>A</v>
      </c>
      <c r="I55" t="s">
        <v>808</v>
      </c>
      <c r="J55" s="10">
        <v>4016720.98632</v>
      </c>
      <c r="K55" s="10">
        <f>SUM($J$34:J55)</f>
        <v>131750750.47487</v>
      </c>
      <c r="L55" s="6">
        <f t="shared" si="5"/>
        <v>0.362133423628729</v>
      </c>
      <c r="M55" t="str">
        <f t="shared" si="6"/>
        <v>A</v>
      </c>
      <c r="P55" t="s">
        <v>504</v>
      </c>
      <c r="Q55" s="10">
        <v>4500364.73439</v>
      </c>
      <c r="R55" s="10">
        <f>SUM($Q$33:Q55)</f>
        <v>165325774.64132</v>
      </c>
      <c r="S55" s="6">
        <f t="shared" si="3"/>
        <v>0.312729085365139</v>
      </c>
      <c r="T55" t="str">
        <f t="shared" si="4"/>
        <v>A</v>
      </c>
      <c r="AI55" t="s">
        <v>182</v>
      </c>
      <c r="AJ55" s="13">
        <v>2</v>
      </c>
      <c r="AK55" s="13">
        <v>14</v>
      </c>
      <c r="AL55" s="6">
        <f t="shared" si="7"/>
        <v>0.142857142857143</v>
      </c>
    </row>
    <row r="56" spans="1:38">
      <c r="A56" t="s">
        <v>272</v>
      </c>
      <c r="B56" s="10">
        <v>4079915.04292</v>
      </c>
      <c r="C56" s="10">
        <f>SUM($B$33:B56)</f>
        <v>136292807.60219</v>
      </c>
      <c r="D56" s="12">
        <f t="shared" si="1"/>
        <v>0.385106504385602</v>
      </c>
      <c r="E56" t="str">
        <f t="shared" si="2"/>
        <v>A</v>
      </c>
      <c r="I56" t="s">
        <v>351</v>
      </c>
      <c r="J56" s="10">
        <v>3936048.32236</v>
      </c>
      <c r="K56" s="10">
        <f>SUM($J$34:J56)</f>
        <v>135686798.79723</v>
      </c>
      <c r="L56" s="6">
        <f t="shared" si="5"/>
        <v>0.372952144959779</v>
      </c>
      <c r="M56" t="str">
        <f t="shared" si="6"/>
        <v>A</v>
      </c>
      <c r="P56" t="s">
        <v>908</v>
      </c>
      <c r="Q56" s="10">
        <v>4404240.95454</v>
      </c>
      <c r="R56" s="10">
        <f>SUM($Q$33:Q56)</f>
        <v>169730015.59586</v>
      </c>
      <c r="S56" s="6">
        <f t="shared" si="3"/>
        <v>0.321060116920438</v>
      </c>
      <c r="T56" t="str">
        <f t="shared" si="4"/>
        <v>A</v>
      </c>
      <c r="AI56" t="s">
        <v>271</v>
      </c>
      <c r="AJ56" s="13">
        <v>2</v>
      </c>
      <c r="AK56" s="13">
        <v>12</v>
      </c>
      <c r="AL56" s="6">
        <f t="shared" si="7"/>
        <v>0.166666666666667</v>
      </c>
    </row>
    <row r="57" spans="1:38">
      <c r="A57" t="s">
        <v>1115</v>
      </c>
      <c r="B57" s="10">
        <v>4047936.795</v>
      </c>
      <c r="C57" s="10">
        <f>SUM($B$33:B57)</f>
        <v>140340744.39719</v>
      </c>
      <c r="D57" s="12">
        <f t="shared" si="1"/>
        <v>0.396544281745405</v>
      </c>
      <c r="E57" t="str">
        <f t="shared" si="2"/>
        <v>A</v>
      </c>
      <c r="I57" t="s">
        <v>702</v>
      </c>
      <c r="J57" s="10">
        <v>3833362.06124</v>
      </c>
      <c r="K57" s="10">
        <f>SUM($J$34:J57)</f>
        <v>139520160.85847</v>
      </c>
      <c r="L57" s="6">
        <f t="shared" si="5"/>
        <v>0.383488620253027</v>
      </c>
      <c r="M57" t="str">
        <f t="shared" si="6"/>
        <v>A</v>
      </c>
      <c r="P57" t="s">
        <v>1223</v>
      </c>
      <c r="Q57" s="10">
        <v>4378573.75296</v>
      </c>
      <c r="R57" s="10">
        <f>SUM($Q$33:Q57)</f>
        <v>174108589.34882</v>
      </c>
      <c r="S57" s="6">
        <f t="shared" si="3"/>
        <v>0.329342596575759</v>
      </c>
      <c r="T57" t="str">
        <f t="shared" si="4"/>
        <v>A</v>
      </c>
      <c r="AI57" t="s">
        <v>287</v>
      </c>
      <c r="AJ57" s="13">
        <v>1</v>
      </c>
      <c r="AK57" s="13">
        <v>7</v>
      </c>
      <c r="AL57" s="6">
        <f t="shared" si="7"/>
        <v>0.142857142857143</v>
      </c>
    </row>
    <row r="58" spans="1:38">
      <c r="A58" t="s">
        <v>820</v>
      </c>
      <c r="B58" s="10">
        <v>3954379.044</v>
      </c>
      <c r="C58" s="10">
        <f>SUM($B$33:B58)</f>
        <v>144295123.44119</v>
      </c>
      <c r="D58" s="12">
        <f t="shared" si="1"/>
        <v>0.407717704007682</v>
      </c>
      <c r="E58" t="str">
        <f t="shared" si="2"/>
        <v>A</v>
      </c>
      <c r="I58" t="s">
        <v>884</v>
      </c>
      <c r="J58" s="10">
        <v>3772060.7538</v>
      </c>
      <c r="K58" s="10">
        <f>SUM($J$34:J58)</f>
        <v>143292221.61227</v>
      </c>
      <c r="L58" s="6">
        <f t="shared" si="5"/>
        <v>0.393856601232154</v>
      </c>
      <c r="M58" t="str">
        <f t="shared" si="6"/>
        <v>A</v>
      </c>
      <c r="P58" t="s">
        <v>349</v>
      </c>
      <c r="Q58" s="10">
        <v>4373270.66232</v>
      </c>
      <c r="R58" s="10">
        <f>SUM($Q$33:Q58)</f>
        <v>178481860.01114</v>
      </c>
      <c r="S58" s="6">
        <f t="shared" si="3"/>
        <v>0.337615044941712</v>
      </c>
      <c r="T58" t="str">
        <f t="shared" si="4"/>
        <v>A</v>
      </c>
      <c r="AI58" t="s">
        <v>256</v>
      </c>
      <c r="AJ58" s="13">
        <v>1</v>
      </c>
      <c r="AK58" s="13">
        <v>10</v>
      </c>
      <c r="AL58" s="6">
        <f t="shared" si="7"/>
        <v>0.1</v>
      </c>
    </row>
    <row r="59" spans="1:38">
      <c r="A59" t="s">
        <v>748</v>
      </c>
      <c r="B59" s="10">
        <v>3939411.10464</v>
      </c>
      <c r="C59" s="10">
        <f>SUM($B$33:B59)</f>
        <v>148234534.54583</v>
      </c>
      <c r="D59" s="12">
        <f t="shared" si="1"/>
        <v>0.418848833129871</v>
      </c>
      <c r="E59" t="str">
        <f t="shared" si="2"/>
        <v>A</v>
      </c>
      <c r="I59" t="s">
        <v>942</v>
      </c>
      <c r="J59" s="10">
        <v>3713060.65396</v>
      </c>
      <c r="K59" s="10">
        <f>SUM($J$34:J59)</f>
        <v>147005282.26623</v>
      </c>
      <c r="L59" s="6">
        <f t="shared" si="5"/>
        <v>0.404062413054198</v>
      </c>
      <c r="M59" t="str">
        <f t="shared" si="6"/>
        <v>A</v>
      </c>
      <c r="P59" t="s">
        <v>1500</v>
      </c>
      <c r="Q59" s="10">
        <v>4344182.27425</v>
      </c>
      <c r="R59" s="10">
        <f>SUM($Q$33:Q59)</f>
        <v>182826042.28539</v>
      </c>
      <c r="S59" s="6">
        <f t="shared" si="3"/>
        <v>0.345832469915121</v>
      </c>
      <c r="T59" t="str">
        <f t="shared" si="4"/>
        <v>A</v>
      </c>
      <c r="AI59" t="s">
        <v>245</v>
      </c>
      <c r="AJ59" s="13">
        <v>1</v>
      </c>
      <c r="AK59" s="13">
        <v>15</v>
      </c>
      <c r="AL59" s="6">
        <f t="shared" si="7"/>
        <v>0.0666666666666667</v>
      </c>
    </row>
    <row r="60" spans="1:38">
      <c r="A60" t="s">
        <v>1372</v>
      </c>
      <c r="B60" s="10">
        <v>3829712.8675</v>
      </c>
      <c r="C60" s="10">
        <f>SUM($B$33:B60)</f>
        <v>152064247.41333</v>
      </c>
      <c r="D60" s="12">
        <f t="shared" si="1"/>
        <v>0.429670000887368</v>
      </c>
      <c r="E60" t="str">
        <f t="shared" si="2"/>
        <v>A</v>
      </c>
      <c r="I60" t="s">
        <v>363</v>
      </c>
      <c r="J60" s="10">
        <v>3708584.35532</v>
      </c>
      <c r="K60" s="10">
        <f>SUM($J$34:J60)</f>
        <v>150713866.62155</v>
      </c>
      <c r="L60" s="6">
        <f t="shared" si="5"/>
        <v>0.414255921209312</v>
      </c>
      <c r="M60" t="str">
        <f t="shared" si="6"/>
        <v>A</v>
      </c>
      <c r="P60" t="s">
        <v>1520</v>
      </c>
      <c r="Q60" s="10">
        <v>4312464.6132</v>
      </c>
      <c r="R60" s="10">
        <f>SUM($Q$33:Q60)</f>
        <v>187138506.89859</v>
      </c>
      <c r="S60" s="6">
        <f t="shared" si="3"/>
        <v>0.353989897981503</v>
      </c>
      <c r="T60" t="str">
        <f t="shared" si="4"/>
        <v>A</v>
      </c>
      <c r="AI60" t="s">
        <v>202</v>
      </c>
      <c r="AJ60" s="13">
        <v>1</v>
      </c>
      <c r="AK60" s="13">
        <v>8</v>
      </c>
      <c r="AL60" s="6">
        <f t="shared" si="7"/>
        <v>0.125</v>
      </c>
    </row>
    <row r="61" spans="1:38">
      <c r="A61" t="s">
        <v>459</v>
      </c>
      <c r="B61" s="10">
        <v>3591587.85048</v>
      </c>
      <c r="C61" s="10">
        <f>SUM($B$33:B61)</f>
        <v>155655835.26381</v>
      </c>
      <c r="D61" s="12">
        <f t="shared" si="1"/>
        <v>0.439818326882157</v>
      </c>
      <c r="E61" t="str">
        <f t="shared" si="2"/>
        <v>A</v>
      </c>
      <c r="I61" t="s">
        <v>654</v>
      </c>
      <c r="J61" s="10">
        <v>3702978.88716</v>
      </c>
      <c r="K61" s="10">
        <f>SUM($J$34:J61)</f>
        <v>154416845.50871</v>
      </c>
      <c r="L61" s="6">
        <f t="shared" si="5"/>
        <v>0.424434022033777</v>
      </c>
      <c r="M61" t="str">
        <f t="shared" si="6"/>
        <v>A</v>
      </c>
      <c r="P61" t="s">
        <v>267</v>
      </c>
      <c r="Q61" s="10">
        <v>4271005.52406</v>
      </c>
      <c r="R61" s="10">
        <f>SUM($Q$33:Q61)</f>
        <v>191409512.42265</v>
      </c>
      <c r="S61" s="6">
        <f t="shared" si="3"/>
        <v>0.362068902323243</v>
      </c>
      <c r="T61" t="str">
        <f t="shared" si="4"/>
        <v>A</v>
      </c>
      <c r="AI61" t="s">
        <v>1589</v>
      </c>
      <c r="AJ61" s="13">
        <v>1</v>
      </c>
      <c r="AK61" s="13">
        <v>3</v>
      </c>
      <c r="AL61" s="6">
        <f t="shared" si="7"/>
        <v>0.333333333333333</v>
      </c>
    </row>
    <row r="62" spans="1:38">
      <c r="A62" t="s">
        <v>583</v>
      </c>
      <c r="B62" s="10">
        <v>3566640.67452</v>
      </c>
      <c r="C62" s="10">
        <f>SUM($B$33:B62)</f>
        <v>159222475.93833</v>
      </c>
      <c r="D62" s="12">
        <f t="shared" si="1"/>
        <v>0.449896162585513</v>
      </c>
      <c r="E62" t="str">
        <f t="shared" si="2"/>
        <v>A</v>
      </c>
      <c r="I62" t="s">
        <v>1358</v>
      </c>
      <c r="J62" s="10">
        <v>3624045.93393</v>
      </c>
      <c r="K62" s="10">
        <f>SUM($J$34:J62)</f>
        <v>158040891.44264</v>
      </c>
      <c r="L62" s="6">
        <f t="shared" si="5"/>
        <v>0.434395165759423</v>
      </c>
      <c r="M62" t="str">
        <f t="shared" si="6"/>
        <v>A</v>
      </c>
      <c r="P62" t="s">
        <v>970</v>
      </c>
      <c r="Q62" s="10">
        <v>4233208.968</v>
      </c>
      <c r="R62" s="10">
        <f>SUM($Q$33:Q62)</f>
        <v>195642721.39065</v>
      </c>
      <c r="S62" s="6">
        <f t="shared" si="3"/>
        <v>0.370076410962439</v>
      </c>
      <c r="T62" t="str">
        <f t="shared" si="4"/>
        <v>A</v>
      </c>
      <c r="AI62" t="s">
        <v>217</v>
      </c>
      <c r="AJ62" s="13">
        <v>1</v>
      </c>
      <c r="AK62" s="13">
        <v>8</v>
      </c>
      <c r="AL62" s="6">
        <f t="shared" si="7"/>
        <v>0.125</v>
      </c>
    </row>
    <row r="63" spans="1:38">
      <c r="A63" t="s">
        <v>1109</v>
      </c>
      <c r="B63" s="10">
        <v>3554993.56032</v>
      </c>
      <c r="C63" s="10">
        <f>SUM($B$33:B63)</f>
        <v>162777469.49865</v>
      </c>
      <c r="D63" s="12">
        <f t="shared" si="1"/>
        <v>0.45994108841259</v>
      </c>
      <c r="E63" t="str">
        <f t="shared" si="2"/>
        <v>A</v>
      </c>
      <c r="I63" t="s">
        <v>1008</v>
      </c>
      <c r="J63" s="10">
        <v>3610950.14474</v>
      </c>
      <c r="K63" s="10">
        <f>SUM($J$34:J63)</f>
        <v>161651841.58738</v>
      </c>
      <c r="L63" s="6">
        <f t="shared" si="5"/>
        <v>0.444320314069806</v>
      </c>
      <c r="M63" t="str">
        <f t="shared" si="6"/>
        <v>A</v>
      </c>
      <c r="P63" t="s">
        <v>411</v>
      </c>
      <c r="Q63" s="10">
        <v>4081852.9778</v>
      </c>
      <c r="R63" s="10">
        <f>SUM($Q$33:Q63)</f>
        <v>199724574.36845</v>
      </c>
      <c r="S63" s="6">
        <f t="shared" si="3"/>
        <v>0.377797615663351</v>
      </c>
      <c r="T63" t="str">
        <f t="shared" si="4"/>
        <v>A</v>
      </c>
      <c r="AI63" t="s">
        <v>224</v>
      </c>
      <c r="AJ63" s="13">
        <v>0</v>
      </c>
      <c r="AK63" s="13">
        <v>5</v>
      </c>
      <c r="AL63" s="6">
        <f t="shared" si="7"/>
        <v>0</v>
      </c>
    </row>
    <row r="64" spans="1:38">
      <c r="A64" t="s">
        <v>1386</v>
      </c>
      <c r="B64" s="10">
        <v>3497685.2145</v>
      </c>
      <c r="C64" s="10">
        <f>SUM($B$33:B64)</f>
        <v>166275154.71315</v>
      </c>
      <c r="D64" s="12">
        <f t="shared" si="1"/>
        <v>0.469824084809061</v>
      </c>
      <c r="E64" t="str">
        <f t="shared" si="2"/>
        <v>A</v>
      </c>
      <c r="I64" t="s">
        <v>1346</v>
      </c>
      <c r="J64" s="10">
        <v>3530753.84352</v>
      </c>
      <c r="K64" s="10">
        <f>SUM($J$34:J64)</f>
        <v>165182595.4309</v>
      </c>
      <c r="L64" s="6">
        <f t="shared" si="5"/>
        <v>0.454025032811336</v>
      </c>
      <c r="M64" t="str">
        <f t="shared" si="6"/>
        <v>A</v>
      </c>
      <c r="P64" t="s">
        <v>984</v>
      </c>
      <c r="Q64" s="10">
        <v>3947085.4248</v>
      </c>
      <c r="R64" s="10">
        <f>SUM($Q$33:Q64)</f>
        <v>203671659.79325</v>
      </c>
      <c r="S64" s="6">
        <f t="shared" si="3"/>
        <v>0.385263894998402</v>
      </c>
      <c r="T64" t="str">
        <f t="shared" si="4"/>
        <v>A</v>
      </c>
      <c r="AI64" t="s">
        <v>229</v>
      </c>
      <c r="AJ64" s="13">
        <v>0</v>
      </c>
      <c r="AK64" s="13">
        <v>12</v>
      </c>
      <c r="AL64" s="6">
        <f t="shared" si="7"/>
        <v>0</v>
      </c>
    </row>
    <row r="65" spans="1:38">
      <c r="A65" t="s">
        <v>922</v>
      </c>
      <c r="B65" s="10">
        <v>3462614.892</v>
      </c>
      <c r="C65" s="10">
        <f>SUM($B$33:B65)</f>
        <v>169737769.60515</v>
      </c>
      <c r="D65" s="12">
        <f t="shared" si="1"/>
        <v>0.479607987133414</v>
      </c>
      <c r="E65" t="str">
        <f t="shared" si="2"/>
        <v>A</v>
      </c>
      <c r="I65" t="s">
        <v>810</v>
      </c>
      <c r="J65" s="10">
        <v>3527305.716</v>
      </c>
      <c r="K65" s="10">
        <f>SUM($J$34:J65)</f>
        <v>168709901.1469</v>
      </c>
      <c r="L65" s="6">
        <f t="shared" si="5"/>
        <v>0.463720273942914</v>
      </c>
      <c r="M65" t="str">
        <f t="shared" si="6"/>
        <v>A</v>
      </c>
      <c r="P65" t="s">
        <v>944</v>
      </c>
      <c r="Q65" s="10">
        <v>3911893.008</v>
      </c>
      <c r="R65" s="10">
        <f>SUM($Q$33:Q65)</f>
        <v>207583552.80125</v>
      </c>
      <c r="S65" s="6">
        <f t="shared" si="3"/>
        <v>0.39266360460262</v>
      </c>
      <c r="T65" t="str">
        <f t="shared" si="4"/>
        <v>A</v>
      </c>
      <c r="AI65" t="s">
        <v>190</v>
      </c>
      <c r="AJ65" s="13">
        <v>0</v>
      </c>
      <c r="AK65" s="13">
        <v>10</v>
      </c>
      <c r="AL65" s="6">
        <f t="shared" si="7"/>
        <v>0</v>
      </c>
    </row>
    <row r="66" spans="1:38">
      <c r="A66" t="s">
        <v>1462</v>
      </c>
      <c r="B66" s="10">
        <v>3424327.78276</v>
      </c>
      <c r="C66" s="10">
        <f>SUM($B$33:B66)</f>
        <v>173162097.38791</v>
      </c>
      <c r="D66" s="12">
        <f t="shared" si="1"/>
        <v>0.489283706090927</v>
      </c>
      <c r="E66" t="str">
        <f t="shared" si="2"/>
        <v>A</v>
      </c>
      <c r="I66" t="s">
        <v>571</v>
      </c>
      <c r="J66" s="10">
        <v>3427604.11008</v>
      </c>
      <c r="K66" s="10">
        <f>SUM($J$34:J66)</f>
        <v>172137505.25698</v>
      </c>
      <c r="L66" s="6">
        <f t="shared" si="5"/>
        <v>0.473141472734977</v>
      </c>
      <c r="M66" t="str">
        <f t="shared" si="6"/>
        <v>A</v>
      </c>
      <c r="P66" t="s">
        <v>343</v>
      </c>
      <c r="Q66" s="10">
        <v>3905129.1594</v>
      </c>
      <c r="R66" s="10">
        <f>SUM($Q$33:Q66)</f>
        <v>211488681.96065</v>
      </c>
      <c r="S66" s="6">
        <f t="shared" si="3"/>
        <v>0.400050519757872</v>
      </c>
      <c r="T66" t="str">
        <f t="shared" si="4"/>
        <v>A</v>
      </c>
      <c r="AI66" t="s">
        <v>253</v>
      </c>
      <c r="AJ66" s="13">
        <v>0</v>
      </c>
      <c r="AK66" s="13">
        <v>9</v>
      </c>
      <c r="AL66" s="6">
        <f t="shared" si="7"/>
        <v>0</v>
      </c>
    </row>
    <row r="67" spans="1:38">
      <c r="A67" t="s">
        <v>611</v>
      </c>
      <c r="B67" s="10">
        <v>3419910.3876</v>
      </c>
      <c r="C67" s="10">
        <f>SUM($B$33:B67)</f>
        <v>176582007.77551</v>
      </c>
      <c r="D67" s="12">
        <f t="shared" si="1"/>
        <v>0.498946943336173</v>
      </c>
      <c r="E67" t="str">
        <f t="shared" si="2"/>
        <v>A</v>
      </c>
      <c r="I67" t="s">
        <v>1321</v>
      </c>
      <c r="J67" s="10">
        <v>3342110</v>
      </c>
      <c r="K67" s="10">
        <f>SUM($J$34:J67)</f>
        <v>175479615.25698</v>
      </c>
      <c r="L67" s="6">
        <f t="shared" si="5"/>
        <v>0.482327680267621</v>
      </c>
      <c r="M67" t="str">
        <f t="shared" si="6"/>
        <v>A</v>
      </c>
      <c r="P67" t="s">
        <v>373</v>
      </c>
      <c r="Q67" s="10">
        <v>3819229.7018</v>
      </c>
      <c r="R67" s="10">
        <f>SUM($Q$33:Q67)</f>
        <v>215307911.66245</v>
      </c>
      <c r="S67" s="6">
        <f t="shared" si="3"/>
        <v>0.407274948096615</v>
      </c>
      <c r="T67" t="str">
        <f t="shared" si="4"/>
        <v>A</v>
      </c>
      <c r="AH67" t="s">
        <v>1623</v>
      </c>
      <c r="AJ67" s="13">
        <v>27</v>
      </c>
      <c r="AK67" s="13">
        <v>157</v>
      </c>
      <c r="AL67" s="16">
        <f t="shared" si="7"/>
        <v>0.171974522292994</v>
      </c>
    </row>
    <row r="68" spans="1:38">
      <c r="A68" t="s">
        <v>1518</v>
      </c>
      <c r="B68" s="10">
        <v>3301742</v>
      </c>
      <c r="C68" s="10">
        <f>SUM($B$33:B68)</f>
        <v>179883749.77551</v>
      </c>
      <c r="D68" s="12">
        <f t="shared" si="1"/>
        <v>0.508276286112018</v>
      </c>
      <c r="E68" t="str">
        <f t="shared" si="2"/>
        <v>A</v>
      </c>
      <c r="I68" t="s">
        <v>640</v>
      </c>
      <c r="J68" s="10">
        <v>3179032.31016</v>
      </c>
      <c r="K68" s="10">
        <f>SUM($J$34:J68)</f>
        <v>178658647.56714</v>
      </c>
      <c r="L68" s="6">
        <f t="shared" si="5"/>
        <v>0.491065648363857</v>
      </c>
      <c r="M68" t="str">
        <f t="shared" si="6"/>
        <v>A</v>
      </c>
      <c r="P68" t="s">
        <v>549</v>
      </c>
      <c r="Q68" s="10">
        <v>3773607.23586</v>
      </c>
      <c r="R68" s="10">
        <f>SUM($Q$33:Q68)</f>
        <v>219081518.89831</v>
      </c>
      <c r="S68" s="6">
        <f t="shared" si="3"/>
        <v>0.414413077296118</v>
      </c>
      <c r="T68" t="str">
        <f t="shared" si="4"/>
        <v>A</v>
      </c>
      <c r="AH68" t="s">
        <v>206</v>
      </c>
      <c r="AI68" t="s">
        <v>229</v>
      </c>
      <c r="AJ68" s="13">
        <v>4</v>
      </c>
      <c r="AK68" s="13">
        <v>8</v>
      </c>
      <c r="AL68" s="6">
        <f t="shared" si="7"/>
        <v>0.5</v>
      </c>
    </row>
    <row r="69" spans="1:38">
      <c r="A69" t="s">
        <v>1476</v>
      </c>
      <c r="B69" s="10">
        <v>3227767.02603</v>
      </c>
      <c r="C69" s="10">
        <f>SUM($B$33:B69)</f>
        <v>183111516.80154</v>
      </c>
      <c r="D69" s="12">
        <f t="shared" si="1"/>
        <v>0.517396606532694</v>
      </c>
      <c r="E69" t="str">
        <f t="shared" si="2"/>
        <v>A</v>
      </c>
      <c r="I69" t="s">
        <v>1398</v>
      </c>
      <c r="J69" s="10">
        <v>3117070.25069</v>
      </c>
      <c r="K69" s="10">
        <f>SUM($J$34:J69)</f>
        <v>181775717.81783</v>
      </c>
      <c r="L69" s="6">
        <f t="shared" si="5"/>
        <v>0.499633305986339</v>
      </c>
      <c r="M69" t="str">
        <f t="shared" si="6"/>
        <v>A</v>
      </c>
      <c r="P69" t="s">
        <v>1506</v>
      </c>
      <c r="Q69" s="10">
        <v>3734152.63488</v>
      </c>
      <c r="R69" s="10">
        <f>SUM($Q$33:Q69)</f>
        <v>222815671.53319</v>
      </c>
      <c r="S69" s="6">
        <f t="shared" si="3"/>
        <v>0.42147657444684</v>
      </c>
      <c r="T69" t="str">
        <f t="shared" si="4"/>
        <v>A</v>
      </c>
      <c r="V69" s="2" t="s">
        <v>1624</v>
      </c>
      <c r="AI69" t="s">
        <v>245</v>
      </c>
      <c r="AJ69" s="13">
        <v>3</v>
      </c>
      <c r="AK69" s="13">
        <v>12</v>
      </c>
      <c r="AL69" s="6">
        <f t="shared" si="7"/>
        <v>0.25</v>
      </c>
    </row>
    <row r="70" spans="1:38">
      <c r="A70" t="s">
        <v>648</v>
      </c>
      <c r="B70" s="10">
        <v>3182862.67488</v>
      </c>
      <c r="C70" s="10">
        <f>SUM($B$33:B70)</f>
        <v>186294379.47642</v>
      </c>
      <c r="D70" s="12">
        <f t="shared" si="1"/>
        <v>0.526390046026876</v>
      </c>
      <c r="E70" t="str">
        <f t="shared" si="2"/>
        <v>A</v>
      </c>
      <c r="I70" t="s">
        <v>1237</v>
      </c>
      <c r="J70" s="10">
        <v>3113943.975</v>
      </c>
      <c r="K70" s="10">
        <f>SUM($J$34:J70)</f>
        <v>184889661.79283</v>
      </c>
      <c r="L70" s="6">
        <f t="shared" si="5"/>
        <v>0.508192370648895</v>
      </c>
      <c r="M70" t="str">
        <f t="shared" si="6"/>
        <v>A</v>
      </c>
      <c r="P70" t="s">
        <v>1147</v>
      </c>
      <c r="Q70" s="10">
        <v>3732338.01501</v>
      </c>
      <c r="R70" s="10">
        <f>SUM($Q$33:Q70)</f>
        <v>226548009.5482</v>
      </c>
      <c r="S70" s="6">
        <f t="shared" si="3"/>
        <v>0.428536639075238</v>
      </c>
      <c r="T70" t="str">
        <f t="shared" si="4"/>
        <v>A</v>
      </c>
      <c r="V70" t="s">
        <v>1602</v>
      </c>
      <c r="W70" t="s">
        <v>168</v>
      </c>
      <c r="AI70" t="s">
        <v>210</v>
      </c>
      <c r="AJ70" s="13">
        <v>3</v>
      </c>
      <c r="AK70" s="13">
        <v>13</v>
      </c>
      <c r="AL70" s="6">
        <f t="shared" si="7"/>
        <v>0.230769230769231</v>
      </c>
    </row>
    <row r="71" spans="1:38">
      <c r="A71" t="s">
        <v>365</v>
      </c>
      <c r="B71" s="10">
        <v>3072467.25995</v>
      </c>
      <c r="C71" s="10">
        <f>SUM($B$33:B71)</f>
        <v>189366846.73637</v>
      </c>
      <c r="D71" s="12">
        <f t="shared" si="1"/>
        <v>0.535071554223347</v>
      </c>
      <c r="E71" t="str">
        <f t="shared" si="2"/>
        <v>A</v>
      </c>
      <c r="I71" t="s">
        <v>633</v>
      </c>
      <c r="J71" s="10">
        <v>3113132.60841</v>
      </c>
      <c r="K71" s="10">
        <f>SUM($J$34:J71)</f>
        <v>188002794.40124</v>
      </c>
      <c r="L71" s="6">
        <f t="shared" si="5"/>
        <v>0.516749205168853</v>
      </c>
      <c r="M71" t="str">
        <f t="shared" si="6"/>
        <v>A</v>
      </c>
      <c r="P71" t="s">
        <v>1512</v>
      </c>
      <c r="Q71" s="10">
        <v>3687031.9864</v>
      </c>
      <c r="R71" s="10">
        <f>SUM($Q$33:Q71)</f>
        <v>230235041.5346</v>
      </c>
      <c r="S71" s="6">
        <f t="shared" si="3"/>
        <v>0.435511003135049</v>
      </c>
      <c r="T71" t="str">
        <f t="shared" si="4"/>
        <v>A</v>
      </c>
      <c r="V71" t="s">
        <v>164</v>
      </c>
      <c r="W71" t="s">
        <v>259</v>
      </c>
      <c r="X71" t="s">
        <v>216</v>
      </c>
      <c r="Y71" t="s">
        <v>201</v>
      </c>
      <c r="Z71" t="s">
        <v>189</v>
      </c>
      <c r="AA71" t="s">
        <v>181</v>
      </c>
      <c r="AB71" t="s">
        <v>1579</v>
      </c>
      <c r="AC71" t="s">
        <v>1599</v>
      </c>
      <c r="AI71" t="s">
        <v>182</v>
      </c>
      <c r="AJ71" s="13">
        <v>3</v>
      </c>
      <c r="AK71" s="13">
        <v>10</v>
      </c>
      <c r="AL71" s="6">
        <f t="shared" si="7"/>
        <v>0.3</v>
      </c>
    </row>
    <row r="72" spans="1:38">
      <c r="A72" t="s">
        <v>483</v>
      </c>
      <c r="B72" s="10">
        <v>3051422.78532</v>
      </c>
      <c r="C72" s="10">
        <f>SUM($B$33:B72)</f>
        <v>192418269.52169</v>
      </c>
      <c r="D72" s="12">
        <f t="shared" si="1"/>
        <v>0.543693599531029</v>
      </c>
      <c r="E72" t="str">
        <f t="shared" si="2"/>
        <v>A</v>
      </c>
      <c r="I72" t="s">
        <v>534</v>
      </c>
      <c r="J72" s="10">
        <v>3018191.23086</v>
      </c>
      <c r="K72" s="10">
        <f>SUM($J$34:J72)</f>
        <v>191020985.6321</v>
      </c>
      <c r="L72" s="6">
        <f t="shared" si="5"/>
        <v>0.525045081432617</v>
      </c>
      <c r="M72" t="str">
        <f t="shared" si="6"/>
        <v>A</v>
      </c>
      <c r="P72" t="s">
        <v>1273</v>
      </c>
      <c r="Q72" s="10">
        <v>3682490.95802</v>
      </c>
      <c r="R72" s="10">
        <f>SUM($Q$33:Q72)</f>
        <v>233917532.49262</v>
      </c>
      <c r="S72" s="6">
        <f t="shared" si="3"/>
        <v>0.442476777417163</v>
      </c>
      <c r="T72" t="str">
        <f t="shared" si="4"/>
        <v>A</v>
      </c>
      <c r="V72" t="s">
        <v>177</v>
      </c>
      <c r="W72" s="17">
        <v>0.175604502816162</v>
      </c>
      <c r="X72" s="17">
        <v>0.243661828818602</v>
      </c>
      <c r="Y72" s="17">
        <v>0.205620347272477</v>
      </c>
      <c r="Z72" s="17">
        <v>0.167033904157961</v>
      </c>
      <c r="AA72" s="17">
        <v>0.195803818242405</v>
      </c>
      <c r="AB72" s="17">
        <v>0.0122755986923933</v>
      </c>
      <c r="AC72" s="17">
        <v>1</v>
      </c>
      <c r="AI72" t="s">
        <v>217</v>
      </c>
      <c r="AJ72" s="13">
        <v>2</v>
      </c>
      <c r="AK72" s="13">
        <v>17</v>
      </c>
      <c r="AL72" s="6">
        <f t="shared" si="7"/>
        <v>0.117647058823529</v>
      </c>
    </row>
    <row r="73" spans="1:38">
      <c r="A73" t="s">
        <v>936</v>
      </c>
      <c r="B73" s="10">
        <v>3022387.90656</v>
      </c>
      <c r="C73" s="10">
        <f>SUM($B$33:B73)</f>
        <v>195440657.42825</v>
      </c>
      <c r="D73" s="12">
        <f t="shared" si="1"/>
        <v>0.552233604407808</v>
      </c>
      <c r="E73" t="str">
        <f t="shared" si="2"/>
        <v>A</v>
      </c>
      <c r="I73" t="s">
        <v>262</v>
      </c>
      <c r="J73" s="10">
        <v>2909105.6148</v>
      </c>
      <c r="K73" s="10">
        <f>SUM($J$34:J73)</f>
        <v>193930091.2469</v>
      </c>
      <c r="L73" s="6">
        <f t="shared" si="5"/>
        <v>0.533041122230776</v>
      </c>
      <c r="M73" t="str">
        <f t="shared" si="6"/>
        <v>A</v>
      </c>
      <c r="P73" t="s">
        <v>1255</v>
      </c>
      <c r="Q73" s="10">
        <v>3572132.35896</v>
      </c>
      <c r="R73" s="10">
        <f>SUM($Q$33:Q73)</f>
        <v>237489664.85158</v>
      </c>
      <c r="S73" s="6">
        <f t="shared" si="3"/>
        <v>0.449233798140909</v>
      </c>
      <c r="T73" t="str">
        <f t="shared" si="4"/>
        <v>A</v>
      </c>
      <c r="V73" t="s">
        <v>213</v>
      </c>
      <c r="W73" s="17">
        <v>0.276536057077822</v>
      </c>
      <c r="X73" s="17">
        <v>0.213173868138602</v>
      </c>
      <c r="Y73" s="17">
        <v>0.135919751289989</v>
      </c>
      <c r="Z73" s="17">
        <v>0.25594729791614</v>
      </c>
      <c r="AA73" s="17">
        <v>0.115406104641828</v>
      </c>
      <c r="AB73" s="17">
        <v>0.00301692093561815</v>
      </c>
      <c r="AC73" s="17">
        <v>1</v>
      </c>
      <c r="AI73" t="s">
        <v>190</v>
      </c>
      <c r="AJ73" s="13">
        <v>2</v>
      </c>
      <c r="AK73" s="13">
        <v>19</v>
      </c>
      <c r="AL73" s="6">
        <f t="shared" si="7"/>
        <v>0.105263157894737</v>
      </c>
    </row>
    <row r="74" spans="1:38">
      <c r="A74" t="s">
        <v>384</v>
      </c>
      <c r="B74" s="10">
        <v>3019549.476</v>
      </c>
      <c r="C74" s="10">
        <f>SUM($B$33:B74)</f>
        <v>198460206.90425</v>
      </c>
      <c r="D74" s="12">
        <f t="shared" si="1"/>
        <v>0.560765589066278</v>
      </c>
      <c r="E74" t="str">
        <f t="shared" si="2"/>
        <v>A</v>
      </c>
      <c r="I74" t="s">
        <v>770</v>
      </c>
      <c r="J74" s="10">
        <v>2898954.95488</v>
      </c>
      <c r="K74" s="10">
        <f>SUM($J$34:J74)</f>
        <v>196829046.20178</v>
      </c>
      <c r="L74" s="6">
        <f t="shared" si="5"/>
        <v>0.541009262669994</v>
      </c>
      <c r="M74" t="str">
        <f t="shared" si="6"/>
        <v>A</v>
      </c>
      <c r="P74" t="s">
        <v>1362</v>
      </c>
      <c r="Q74" s="10">
        <v>3569037.3045</v>
      </c>
      <c r="R74" s="10">
        <f>SUM($Q$33:Q74)</f>
        <v>241058702.15608</v>
      </c>
      <c r="S74" s="6">
        <f t="shared" si="3"/>
        <v>0.455984964281167</v>
      </c>
      <c r="T74" t="str">
        <f t="shared" si="4"/>
        <v>A</v>
      </c>
      <c r="V74" t="s">
        <v>206</v>
      </c>
      <c r="W74" s="17">
        <v>0.223786587879062</v>
      </c>
      <c r="X74" s="17">
        <v>0.181613148801362</v>
      </c>
      <c r="Y74" s="17">
        <v>0.20225048047294</v>
      </c>
      <c r="Z74" s="17">
        <v>0.140638257656668</v>
      </c>
      <c r="AA74" s="17">
        <v>0.236527389733676</v>
      </c>
      <c r="AB74" s="17">
        <v>0.0151841354562923</v>
      </c>
      <c r="AC74" s="17">
        <v>1</v>
      </c>
      <c r="AI74" t="s">
        <v>253</v>
      </c>
      <c r="AJ74" s="13">
        <v>2</v>
      </c>
      <c r="AK74" s="13">
        <v>16</v>
      </c>
      <c r="AL74" s="6">
        <f t="shared" si="7"/>
        <v>0.125</v>
      </c>
    </row>
    <row r="75" spans="1:38">
      <c r="A75" t="s">
        <v>307</v>
      </c>
      <c r="B75" s="10">
        <v>2867957.24432</v>
      </c>
      <c r="C75" s="10">
        <f>SUM($B$33:B75)</f>
        <v>201328164.14857</v>
      </c>
      <c r="D75" s="12">
        <f t="shared" si="1"/>
        <v>0.568869237443023</v>
      </c>
      <c r="E75" t="str">
        <f t="shared" si="2"/>
        <v>A</v>
      </c>
      <c r="I75" t="s">
        <v>1213</v>
      </c>
      <c r="J75" s="10">
        <v>2837445.77204</v>
      </c>
      <c r="K75" s="10">
        <f>SUM($J$34:J75)</f>
        <v>199666491.97382</v>
      </c>
      <c r="L75" s="6">
        <f t="shared" si="5"/>
        <v>0.548808337423543</v>
      </c>
      <c r="M75" t="str">
        <f t="shared" si="6"/>
        <v>A</v>
      </c>
      <c r="P75" t="s">
        <v>413</v>
      </c>
      <c r="Q75" s="10">
        <v>3560175.82648</v>
      </c>
      <c r="R75" s="10">
        <f>SUM($Q$33:Q75)</f>
        <v>244618877.98256</v>
      </c>
      <c r="S75" s="6">
        <f t="shared" si="3"/>
        <v>0.462719368111239</v>
      </c>
      <c r="T75" t="str">
        <f t="shared" si="4"/>
        <v>A</v>
      </c>
      <c r="V75" t="s">
        <v>239</v>
      </c>
      <c r="W75" s="17">
        <v>0.308178508025301</v>
      </c>
      <c r="X75" s="17">
        <v>0.111368418968755</v>
      </c>
      <c r="Y75" s="17">
        <v>0.206018774307766</v>
      </c>
      <c r="Z75" s="17">
        <v>0.21021136968627</v>
      </c>
      <c r="AA75" s="17">
        <v>0.158111147528149</v>
      </c>
      <c r="AB75" s="17">
        <v>0.00611178148375891</v>
      </c>
      <c r="AC75" s="17">
        <v>1</v>
      </c>
      <c r="AI75" t="s">
        <v>287</v>
      </c>
      <c r="AJ75" s="13">
        <v>1</v>
      </c>
      <c r="AK75" s="13">
        <v>10</v>
      </c>
      <c r="AL75" s="6">
        <f t="shared" si="7"/>
        <v>0.1</v>
      </c>
    </row>
    <row r="76" spans="1:38">
      <c r="A76" t="s">
        <v>1117</v>
      </c>
      <c r="B76" s="10">
        <v>2854060.056</v>
      </c>
      <c r="C76" s="10">
        <f>SUM($B$33:B76)</f>
        <v>204182224.20457</v>
      </c>
      <c r="D76" s="12">
        <f t="shared" si="1"/>
        <v>0.576933618174549</v>
      </c>
      <c r="E76" t="str">
        <f t="shared" si="2"/>
        <v>A</v>
      </c>
      <c r="I76" t="s">
        <v>1498</v>
      </c>
      <c r="J76" s="10">
        <v>2822288.34888</v>
      </c>
      <c r="K76" s="10">
        <f>SUM($J$34:J76)</f>
        <v>202488780.3227</v>
      </c>
      <c r="L76" s="6">
        <f t="shared" si="5"/>
        <v>0.556565750102891</v>
      </c>
      <c r="M76" t="str">
        <f t="shared" si="6"/>
        <v>A</v>
      </c>
      <c r="P76" t="s">
        <v>716</v>
      </c>
      <c r="Q76" s="10">
        <v>3502818.28897</v>
      </c>
      <c r="R76" s="10">
        <f>SUM($Q$33:Q76)</f>
        <v>248121696.27153</v>
      </c>
      <c r="S76" s="6">
        <f t="shared" si="3"/>
        <v>0.469345274822316</v>
      </c>
      <c r="T76" t="str">
        <f t="shared" si="4"/>
        <v>A</v>
      </c>
      <c r="V76" t="s">
        <v>1599</v>
      </c>
      <c r="W76" s="17">
        <v>0.246702977186124</v>
      </c>
      <c r="X76" s="17">
        <v>0.18634496967783</v>
      </c>
      <c r="Y76" s="17">
        <v>0.187681930861755</v>
      </c>
      <c r="Z76" s="17">
        <v>0.192967366305882</v>
      </c>
      <c r="AA76" s="17">
        <v>0.177108958658302</v>
      </c>
      <c r="AB76" s="17">
        <v>0.0091937973101079</v>
      </c>
      <c r="AC76" s="17">
        <v>1</v>
      </c>
      <c r="AI76" t="s">
        <v>256</v>
      </c>
      <c r="AJ76" s="13">
        <v>1</v>
      </c>
      <c r="AK76" s="13">
        <v>7</v>
      </c>
      <c r="AL76" s="6">
        <f t="shared" si="7"/>
        <v>0.142857142857143</v>
      </c>
    </row>
    <row r="77" spans="1:38">
      <c r="A77" t="s">
        <v>1133</v>
      </c>
      <c r="B77" s="10">
        <v>2724900</v>
      </c>
      <c r="C77" s="10">
        <f>SUM($B$33:B77)</f>
        <v>206907124.20457</v>
      </c>
      <c r="D77" s="12">
        <f t="shared" si="1"/>
        <v>0.584633046576253</v>
      </c>
      <c r="E77" t="str">
        <f t="shared" si="2"/>
        <v>A</v>
      </c>
      <c r="I77" t="s">
        <v>492</v>
      </c>
      <c r="J77" s="10">
        <v>2746246.84672</v>
      </c>
      <c r="K77" s="10">
        <f>SUM($J$34:J77)</f>
        <v>205235027.16942</v>
      </c>
      <c r="L77" s="6">
        <f t="shared" si="5"/>
        <v>0.564114153198493</v>
      </c>
      <c r="M77" t="str">
        <f t="shared" si="6"/>
        <v>A</v>
      </c>
      <c r="P77" t="s">
        <v>638</v>
      </c>
      <c r="Q77" s="10">
        <v>3480696.03775</v>
      </c>
      <c r="R77" s="10">
        <f>SUM($Q$33:Q77)</f>
        <v>251602392.30928</v>
      </c>
      <c r="S77" s="6">
        <f t="shared" si="3"/>
        <v>0.475929335236859</v>
      </c>
      <c r="T77" t="str">
        <f t="shared" si="4"/>
        <v>A</v>
      </c>
      <c r="AI77" t="s">
        <v>202</v>
      </c>
      <c r="AJ77" s="13">
        <v>1</v>
      </c>
      <c r="AK77" s="13">
        <v>11</v>
      </c>
      <c r="AL77" s="6">
        <f t="shared" si="7"/>
        <v>0.0909090909090909</v>
      </c>
    </row>
    <row r="78" spans="1:38">
      <c r="A78" t="s">
        <v>1033</v>
      </c>
      <c r="B78" s="10">
        <v>2718887.2803</v>
      </c>
      <c r="C78" s="10">
        <f>SUM($B$33:B78)</f>
        <v>209626011.48487</v>
      </c>
      <c r="D78" s="12">
        <f t="shared" si="1"/>
        <v>0.592315485545381</v>
      </c>
      <c r="E78" t="str">
        <f t="shared" si="2"/>
        <v>A</v>
      </c>
      <c r="I78" t="s">
        <v>672</v>
      </c>
      <c r="J78" s="10">
        <v>2702616.7428</v>
      </c>
      <c r="K78" s="10">
        <f>SUM($J$34:J78)</f>
        <v>207937643.91222</v>
      </c>
      <c r="L78" s="6">
        <f t="shared" si="5"/>
        <v>0.571542633494043</v>
      </c>
      <c r="M78" t="str">
        <f t="shared" si="6"/>
        <v>A</v>
      </c>
      <c r="P78" t="s">
        <v>1400</v>
      </c>
      <c r="Q78" s="10">
        <v>3430716</v>
      </c>
      <c r="R78" s="10">
        <f>SUM($Q$33:Q78)</f>
        <v>255033108.30928</v>
      </c>
      <c r="S78" s="6">
        <f t="shared" si="3"/>
        <v>0.482418853759637</v>
      </c>
      <c r="T78" t="str">
        <f t="shared" si="4"/>
        <v>A</v>
      </c>
      <c r="AI78" t="s">
        <v>195</v>
      </c>
      <c r="AJ78" s="13">
        <v>1</v>
      </c>
      <c r="AK78" s="13">
        <v>8</v>
      </c>
      <c r="AL78" s="6">
        <f t="shared" si="7"/>
        <v>0.125</v>
      </c>
    </row>
    <row r="79" spans="1:38">
      <c r="A79" t="s">
        <v>475</v>
      </c>
      <c r="B79" s="10">
        <v>2697649.80444</v>
      </c>
      <c r="C79" s="10">
        <f>SUM($B$33:B79)</f>
        <v>212323661.28931</v>
      </c>
      <c r="D79" s="12">
        <f t="shared" si="1"/>
        <v>0.599937916284915</v>
      </c>
      <c r="E79" t="str">
        <f t="shared" si="2"/>
        <v>A</v>
      </c>
      <c r="I79" t="s">
        <v>674</v>
      </c>
      <c r="J79" s="10">
        <v>2690435.54736</v>
      </c>
      <c r="K79" s="10">
        <f>SUM($J$34:J79)</f>
        <v>210628079.45958</v>
      </c>
      <c r="L79" s="6">
        <f t="shared" si="5"/>
        <v>0.578937632249695</v>
      </c>
      <c r="M79" t="str">
        <f t="shared" si="6"/>
        <v>A</v>
      </c>
      <c r="P79" t="s">
        <v>1022</v>
      </c>
      <c r="Q79" s="10">
        <v>3428658.47808</v>
      </c>
      <c r="R79" s="10">
        <f>SUM($Q$33:Q79)</f>
        <v>258461766.78736</v>
      </c>
      <c r="S79" s="6">
        <f t="shared" si="3"/>
        <v>0.488904480288263</v>
      </c>
      <c r="T79" t="str">
        <f t="shared" si="4"/>
        <v>A</v>
      </c>
      <c r="AI79" t="s">
        <v>306</v>
      </c>
      <c r="AJ79" s="13">
        <v>1</v>
      </c>
      <c r="AK79" s="13">
        <v>9</v>
      </c>
      <c r="AL79" s="6">
        <f t="shared" si="7"/>
        <v>0.111111111111111</v>
      </c>
    </row>
    <row r="80" spans="1:38">
      <c r="A80" t="s">
        <v>656</v>
      </c>
      <c r="B80" s="10">
        <v>2655170.8298</v>
      </c>
      <c r="C80" s="10">
        <f>SUM($B$33:B80)</f>
        <v>214978832.11911</v>
      </c>
      <c r="D80" s="12">
        <f t="shared" si="1"/>
        <v>0.607440319198174</v>
      </c>
      <c r="E80" t="str">
        <f t="shared" si="2"/>
        <v>A</v>
      </c>
      <c r="I80" t="s">
        <v>1295</v>
      </c>
      <c r="J80" s="10">
        <v>2629526.15223</v>
      </c>
      <c r="K80" s="10">
        <f>SUM($J$34:J80)</f>
        <v>213257605.61181</v>
      </c>
      <c r="L80" s="6">
        <f t="shared" si="5"/>
        <v>0.58616521391125</v>
      </c>
      <c r="M80" t="str">
        <f t="shared" si="6"/>
        <v>A</v>
      </c>
      <c r="P80" t="s">
        <v>455</v>
      </c>
      <c r="Q80" s="10">
        <v>3413916</v>
      </c>
      <c r="R80" s="10">
        <f>SUM($Q$33:Q80)</f>
        <v>261875682.78736</v>
      </c>
      <c r="S80" s="6">
        <f t="shared" si="3"/>
        <v>0.495362220047897</v>
      </c>
      <c r="T80" t="str">
        <f t="shared" si="4"/>
        <v>A</v>
      </c>
      <c r="AI80" t="s">
        <v>1589</v>
      </c>
      <c r="AJ80" s="13">
        <v>0</v>
      </c>
      <c r="AK80" s="13">
        <v>2</v>
      </c>
      <c r="AL80" s="6">
        <f t="shared" si="7"/>
        <v>0</v>
      </c>
    </row>
    <row r="81" spans="1:38">
      <c r="A81" t="s">
        <v>275</v>
      </c>
      <c r="B81" s="10">
        <v>2560903.82072</v>
      </c>
      <c r="C81" s="10">
        <f>SUM($B$33:B81)</f>
        <v>217539735.93983</v>
      </c>
      <c r="D81" s="12">
        <f t="shared" si="1"/>
        <v>0.61467636294704</v>
      </c>
      <c r="E81" t="str">
        <f t="shared" si="2"/>
        <v>A</v>
      </c>
      <c r="I81" t="s">
        <v>585</v>
      </c>
      <c r="J81" s="10">
        <v>2610944.3715</v>
      </c>
      <c r="K81" s="10">
        <f>SUM($J$34:J81)</f>
        <v>215868549.98331</v>
      </c>
      <c r="L81" s="6">
        <f t="shared" si="5"/>
        <v>0.593341721223334</v>
      </c>
      <c r="M81" t="str">
        <f t="shared" si="6"/>
        <v>A</v>
      </c>
      <c r="P81" t="s">
        <v>1091</v>
      </c>
      <c r="Q81" s="10">
        <v>3393397.99304</v>
      </c>
      <c r="R81" s="10">
        <f>SUM($Q$33:Q81)</f>
        <v>265269080.7804</v>
      </c>
      <c r="S81" s="6">
        <f t="shared" si="3"/>
        <v>0.50178114808828</v>
      </c>
      <c r="T81" t="str">
        <f t="shared" si="4"/>
        <v>A</v>
      </c>
      <c r="AI81" t="s">
        <v>236</v>
      </c>
      <c r="AJ81" s="13">
        <v>0</v>
      </c>
      <c r="AK81" s="13">
        <v>10</v>
      </c>
      <c r="AL81" s="6">
        <f t="shared" si="7"/>
        <v>0</v>
      </c>
    </row>
    <row r="82" spans="1:38">
      <c r="A82" t="s">
        <v>668</v>
      </c>
      <c r="B82" s="10">
        <v>2529904</v>
      </c>
      <c r="C82" s="10">
        <f>SUM($B$33:B82)</f>
        <v>220069639.93983</v>
      </c>
      <c r="D82" s="12">
        <f t="shared" si="1"/>
        <v>0.621824814160363</v>
      </c>
      <c r="E82" t="str">
        <f t="shared" si="2"/>
        <v>A</v>
      </c>
      <c r="I82" t="s">
        <v>506</v>
      </c>
      <c r="J82" s="10">
        <v>2466969.61563</v>
      </c>
      <c r="K82" s="10">
        <f>SUM($J$34:J82)</f>
        <v>218335519.59894</v>
      </c>
      <c r="L82" s="6">
        <f t="shared" si="5"/>
        <v>0.600122495903373</v>
      </c>
      <c r="M82" t="str">
        <f t="shared" si="6"/>
        <v>A</v>
      </c>
      <c r="P82" t="s">
        <v>1291</v>
      </c>
      <c r="Q82" s="10">
        <v>3330855</v>
      </c>
      <c r="R82" s="10">
        <f>SUM($Q$33:Q82)</f>
        <v>268599935.7804</v>
      </c>
      <c r="S82" s="6">
        <f t="shared" si="3"/>
        <v>0.508081770238056</v>
      </c>
      <c r="T82" t="str">
        <f t="shared" si="4"/>
        <v>A</v>
      </c>
      <c r="AI82" t="s">
        <v>271</v>
      </c>
      <c r="AJ82" s="13">
        <v>0</v>
      </c>
      <c r="AK82" s="13">
        <v>10</v>
      </c>
      <c r="AL82" s="6">
        <f t="shared" si="7"/>
        <v>0</v>
      </c>
    </row>
    <row r="83" spans="1:38">
      <c r="A83" t="s">
        <v>714</v>
      </c>
      <c r="B83" s="10">
        <v>2525432.1495</v>
      </c>
      <c r="C83" s="10">
        <f>SUM($B$33:B83)</f>
        <v>222595072.08933</v>
      </c>
      <c r="D83" s="12">
        <f t="shared" si="1"/>
        <v>0.628960629793391</v>
      </c>
      <c r="E83" t="str">
        <f t="shared" si="2"/>
        <v>A</v>
      </c>
      <c r="I83" t="s">
        <v>1075</v>
      </c>
      <c r="J83" s="10">
        <v>2431186.5438</v>
      </c>
      <c r="K83" s="10">
        <f>SUM($J$34:J83)</f>
        <v>220766706.14274</v>
      </c>
      <c r="L83" s="6">
        <f t="shared" si="5"/>
        <v>0.606804916332958</v>
      </c>
      <c r="M83" t="str">
        <f t="shared" si="6"/>
        <v>A</v>
      </c>
      <c r="P83" t="s">
        <v>678</v>
      </c>
      <c r="Q83" s="10">
        <v>3326761.09584</v>
      </c>
      <c r="R83" s="10">
        <f>SUM($Q$33:Q83)</f>
        <v>271926696.87624</v>
      </c>
      <c r="S83" s="6">
        <f t="shared" si="3"/>
        <v>0.514374648387198</v>
      </c>
      <c r="T83" t="str">
        <f t="shared" si="4"/>
        <v>A</v>
      </c>
      <c r="AI83" t="s">
        <v>224</v>
      </c>
      <c r="AJ83" s="13">
        <v>0</v>
      </c>
      <c r="AK83" s="13">
        <v>8</v>
      </c>
      <c r="AL83" s="6">
        <f t="shared" si="7"/>
        <v>0</v>
      </c>
    </row>
    <row r="84" spans="1:38">
      <c r="A84" t="s">
        <v>774</v>
      </c>
      <c r="B84" s="10">
        <v>2500309.6056</v>
      </c>
      <c r="C84" s="10">
        <f>SUM($B$33:B84)</f>
        <v>225095381.69493</v>
      </c>
      <c r="D84" s="12">
        <f t="shared" si="1"/>
        <v>0.63602545961849</v>
      </c>
      <c r="E84" t="str">
        <f t="shared" si="2"/>
        <v>A</v>
      </c>
      <c r="I84" t="s">
        <v>1143</v>
      </c>
      <c r="J84" s="10">
        <v>2428385.949</v>
      </c>
      <c r="K84" s="10">
        <f>SUM($J$34:J84)</f>
        <v>223195092.09174</v>
      </c>
      <c r="L84" s="6">
        <f t="shared" si="5"/>
        <v>0.613479638977297</v>
      </c>
      <c r="M84" t="str">
        <f t="shared" si="6"/>
        <v>A</v>
      </c>
      <c r="P84" t="s">
        <v>1199</v>
      </c>
      <c r="Q84" s="10">
        <v>3274152.09</v>
      </c>
      <c r="R84" s="10">
        <f>SUM($Q$33:Q84)</f>
        <v>275200848.96624</v>
      </c>
      <c r="S84" s="6">
        <f t="shared" si="3"/>
        <v>0.520568011706822</v>
      </c>
      <c r="T84" t="str">
        <f t="shared" si="4"/>
        <v>A</v>
      </c>
      <c r="AH84" t="s">
        <v>1625</v>
      </c>
      <c r="AJ84" s="13">
        <v>24</v>
      </c>
      <c r="AK84" s="13">
        <v>170</v>
      </c>
      <c r="AL84" s="16">
        <f t="shared" si="7"/>
        <v>0.141176470588235</v>
      </c>
    </row>
    <row r="85" spans="1:38">
      <c r="A85" t="s">
        <v>1077</v>
      </c>
      <c r="B85" s="10">
        <v>2495509.43796</v>
      </c>
      <c r="C85" s="10">
        <f>SUM($B$33:B85)</f>
        <v>227590891.13289</v>
      </c>
      <c r="D85" s="12">
        <f t="shared" si="1"/>
        <v>0.64307672617629</v>
      </c>
      <c r="E85" t="str">
        <f t="shared" si="2"/>
        <v>A</v>
      </c>
      <c r="I85" t="s">
        <v>422</v>
      </c>
      <c r="J85" s="10">
        <v>2399850.38832</v>
      </c>
      <c r="K85" s="10">
        <f>SUM($J$34:J85)</f>
        <v>225594942.48006</v>
      </c>
      <c r="L85" s="6">
        <f t="shared" si="5"/>
        <v>0.620075928062457</v>
      </c>
      <c r="M85" t="str">
        <f t="shared" si="6"/>
        <v>A</v>
      </c>
      <c r="P85" t="s">
        <v>960</v>
      </c>
      <c r="Q85" s="10">
        <v>3168199.21408</v>
      </c>
      <c r="R85" s="10">
        <f>SUM($Q$33:Q85)</f>
        <v>278369048.18032</v>
      </c>
      <c r="S85" s="6">
        <f t="shared" si="3"/>
        <v>0.526560955303326</v>
      </c>
      <c r="T85" t="str">
        <f t="shared" si="4"/>
        <v>A</v>
      </c>
      <c r="AH85" t="s">
        <v>239</v>
      </c>
      <c r="AI85" t="s">
        <v>287</v>
      </c>
      <c r="AJ85" s="13">
        <v>3</v>
      </c>
      <c r="AK85" s="13">
        <v>11</v>
      </c>
      <c r="AL85" s="6">
        <f t="shared" si="7"/>
        <v>0.272727272727273</v>
      </c>
    </row>
    <row r="86" spans="1:38">
      <c r="A86" t="s">
        <v>644</v>
      </c>
      <c r="B86" s="10">
        <v>2484198.46535</v>
      </c>
      <c r="C86" s="10">
        <f>SUM($B$33:B86)</f>
        <v>230075089.59824</v>
      </c>
      <c r="D86" s="12">
        <f t="shared" si="1"/>
        <v>0.65009603265344</v>
      </c>
      <c r="E86" t="str">
        <f t="shared" si="2"/>
        <v>A</v>
      </c>
      <c r="I86" t="s">
        <v>1171</v>
      </c>
      <c r="J86" s="10">
        <v>2352844.94835</v>
      </c>
      <c r="K86" s="10">
        <f>SUM($J$34:J86)</f>
        <v>227947787.42841</v>
      </c>
      <c r="L86" s="6">
        <f t="shared" si="5"/>
        <v>0.626543016814077</v>
      </c>
      <c r="M86" t="str">
        <f t="shared" si="6"/>
        <v>A</v>
      </c>
      <c r="P86" t="s">
        <v>376</v>
      </c>
      <c r="Q86" s="10">
        <v>3109112.2104</v>
      </c>
      <c r="R86" s="10">
        <f>SUM($Q$33:Q86)</f>
        <v>281478160.39072</v>
      </c>
      <c r="S86" s="6">
        <f t="shared" si="3"/>
        <v>0.532442130334657</v>
      </c>
      <c r="T86" t="str">
        <f t="shared" si="4"/>
        <v>A</v>
      </c>
      <c r="AI86" t="s">
        <v>256</v>
      </c>
      <c r="AJ86" s="13">
        <v>2</v>
      </c>
      <c r="AK86" s="13">
        <v>13</v>
      </c>
      <c r="AL86" s="6">
        <f t="shared" si="7"/>
        <v>0.153846153846154</v>
      </c>
    </row>
    <row r="87" spans="1:38">
      <c r="A87" t="s">
        <v>403</v>
      </c>
      <c r="B87" s="10">
        <v>2470468.16305</v>
      </c>
      <c r="C87" s="10">
        <f>SUM($B$33:B87)</f>
        <v>232545557.76129</v>
      </c>
      <c r="D87" s="12">
        <f t="shared" si="1"/>
        <v>0.657076543035507</v>
      </c>
      <c r="E87" t="str">
        <f t="shared" si="2"/>
        <v>A</v>
      </c>
      <c r="I87" t="s">
        <v>192</v>
      </c>
      <c r="J87" s="10">
        <v>2348344.20249</v>
      </c>
      <c r="K87" s="10">
        <f>SUM($J$34:J87)</f>
        <v>230296131.6309</v>
      </c>
      <c r="L87" s="6">
        <f t="shared" si="5"/>
        <v>0.632997734702524</v>
      </c>
      <c r="M87" t="str">
        <f t="shared" si="6"/>
        <v>A</v>
      </c>
      <c r="P87" t="s">
        <v>848</v>
      </c>
      <c r="Q87" s="10">
        <v>2941640.17406</v>
      </c>
      <c r="R87" s="10">
        <f>SUM($Q$33:Q87)</f>
        <v>284419800.56478</v>
      </c>
      <c r="S87" s="6">
        <f t="shared" si="3"/>
        <v>0.538006516426923</v>
      </c>
      <c r="T87" t="str">
        <f t="shared" si="4"/>
        <v>A</v>
      </c>
      <c r="AI87" t="s">
        <v>217</v>
      </c>
      <c r="AJ87" s="13">
        <v>2</v>
      </c>
      <c r="AK87" s="13">
        <v>15</v>
      </c>
      <c r="AL87" s="6">
        <f t="shared" si="7"/>
        <v>0.133333333333333</v>
      </c>
    </row>
    <row r="88" spans="1:38">
      <c r="A88" t="s">
        <v>1057</v>
      </c>
      <c r="B88" s="10">
        <v>2450104.98216</v>
      </c>
      <c r="C88" s="10">
        <f>SUM($B$33:B88)</f>
        <v>234995662.74345</v>
      </c>
      <c r="D88" s="12">
        <f t="shared" si="1"/>
        <v>0.663999515580114</v>
      </c>
      <c r="E88" t="str">
        <f t="shared" si="2"/>
        <v>A</v>
      </c>
      <c r="I88" t="s">
        <v>768</v>
      </c>
      <c r="J88" s="10">
        <v>2277396.303</v>
      </c>
      <c r="K88" s="10">
        <f>SUM($J$34:J88)</f>
        <v>232573527.9339</v>
      </c>
      <c r="L88" s="6">
        <f t="shared" si="5"/>
        <v>0.639257443411524</v>
      </c>
      <c r="M88" t="str">
        <f t="shared" si="6"/>
        <v>A</v>
      </c>
      <c r="P88" t="s">
        <v>1139</v>
      </c>
      <c r="Q88" s="10">
        <v>2934213.56928</v>
      </c>
      <c r="R88" s="10">
        <f>SUM($Q$33:Q88)</f>
        <v>287354014.13406</v>
      </c>
      <c r="S88" s="6">
        <f t="shared" si="3"/>
        <v>0.543556854405243</v>
      </c>
      <c r="T88" t="str">
        <f t="shared" si="4"/>
        <v>A</v>
      </c>
      <c r="AI88" t="s">
        <v>224</v>
      </c>
      <c r="AJ88" s="13">
        <v>2</v>
      </c>
      <c r="AK88" s="13">
        <v>16</v>
      </c>
      <c r="AL88" s="6">
        <f t="shared" si="7"/>
        <v>0.125</v>
      </c>
    </row>
    <row r="89" spans="1:38">
      <c r="A89" t="s">
        <v>690</v>
      </c>
      <c r="B89" s="10">
        <v>2422305</v>
      </c>
      <c r="C89" s="10">
        <f>SUM($B$33:B89)</f>
        <v>237417967.74345</v>
      </c>
      <c r="D89" s="12">
        <f t="shared" si="1"/>
        <v>0.670843936995428</v>
      </c>
      <c r="E89" t="str">
        <f t="shared" si="2"/>
        <v>A</v>
      </c>
      <c r="I89" t="s">
        <v>1484</v>
      </c>
      <c r="J89" s="10">
        <v>2229394.56768</v>
      </c>
      <c r="K89" s="10">
        <f>SUM($J$34:J89)</f>
        <v>234802922.50158</v>
      </c>
      <c r="L89" s="6">
        <f t="shared" si="5"/>
        <v>0.645385213344547</v>
      </c>
      <c r="M89" t="str">
        <f t="shared" si="6"/>
        <v>A</v>
      </c>
      <c r="P89" t="s">
        <v>840</v>
      </c>
      <c r="Q89" s="10">
        <v>2863744.68024</v>
      </c>
      <c r="R89" s="10">
        <f>SUM($Q$33:Q89)</f>
        <v>290217758.8143</v>
      </c>
      <c r="S89" s="6">
        <f t="shared" si="3"/>
        <v>0.548973893923211</v>
      </c>
      <c r="T89" t="str">
        <f t="shared" si="4"/>
        <v>A</v>
      </c>
      <c r="AI89" t="s">
        <v>195</v>
      </c>
      <c r="AJ89" s="13">
        <v>1</v>
      </c>
      <c r="AK89" s="13">
        <v>8</v>
      </c>
      <c r="AL89" s="6">
        <f t="shared" si="7"/>
        <v>0.125</v>
      </c>
    </row>
    <row r="90" spans="1:38">
      <c r="A90" t="s">
        <v>904</v>
      </c>
      <c r="B90" s="10">
        <v>2420259.204</v>
      </c>
      <c r="C90" s="10">
        <f>SUM($B$33:B90)</f>
        <v>239838226.94745</v>
      </c>
      <c r="D90" s="12">
        <f t="shared" si="1"/>
        <v>0.677682577846382</v>
      </c>
      <c r="E90" t="str">
        <f t="shared" si="2"/>
        <v>A</v>
      </c>
      <c r="I90" t="s">
        <v>1151</v>
      </c>
      <c r="J90" s="10">
        <v>2166444</v>
      </c>
      <c r="K90" s="10">
        <f>SUM($J$34:J90)</f>
        <v>236969366.50158</v>
      </c>
      <c r="L90" s="6">
        <f t="shared" si="5"/>
        <v>0.651339955765309</v>
      </c>
      <c r="M90" t="str">
        <f t="shared" si="6"/>
        <v>A</v>
      </c>
      <c r="P90" t="s">
        <v>553</v>
      </c>
      <c r="Q90" s="10">
        <v>2794234.84704</v>
      </c>
      <c r="R90" s="10">
        <f>SUM($Q$33:Q90)</f>
        <v>293011993.66134</v>
      </c>
      <c r="S90" s="6">
        <f t="shared" si="3"/>
        <v>0.554259449124183</v>
      </c>
      <c r="T90" t="str">
        <f t="shared" si="4"/>
        <v>A</v>
      </c>
      <c r="AI90" t="s">
        <v>306</v>
      </c>
      <c r="AJ90" s="13">
        <v>1</v>
      </c>
      <c r="AK90" s="13">
        <v>11</v>
      </c>
      <c r="AL90" s="6">
        <f t="shared" si="7"/>
        <v>0.0909090909090909</v>
      </c>
    </row>
    <row r="91" spans="1:38">
      <c r="A91" t="s">
        <v>996</v>
      </c>
      <c r="B91" s="10">
        <v>2414579.08992</v>
      </c>
      <c r="C91" s="10">
        <f>SUM($B$33:B91)</f>
        <v>242252806.03737</v>
      </c>
      <c r="D91" s="12">
        <f t="shared" si="1"/>
        <v>0.684505169069213</v>
      </c>
      <c r="E91" t="str">
        <f t="shared" si="2"/>
        <v>A</v>
      </c>
      <c r="I91" t="s">
        <v>254</v>
      </c>
      <c r="J91" s="10">
        <v>2158515</v>
      </c>
      <c r="K91" s="10">
        <f>SUM($J$34:J91)</f>
        <v>239127881.50158</v>
      </c>
      <c r="L91" s="6">
        <f t="shared" si="5"/>
        <v>0.657272904337417</v>
      </c>
      <c r="M91" t="str">
        <f t="shared" si="6"/>
        <v>A</v>
      </c>
      <c r="P91" t="s">
        <v>974</v>
      </c>
      <c r="Q91" s="10">
        <v>2779865.85828</v>
      </c>
      <c r="R91" s="10">
        <f>SUM($Q$33:Q91)</f>
        <v>295791859.51962</v>
      </c>
      <c r="S91" s="6">
        <f t="shared" si="3"/>
        <v>0.559517824045963</v>
      </c>
      <c r="T91" t="str">
        <f t="shared" si="4"/>
        <v>A</v>
      </c>
      <c r="V91" s="2" t="s">
        <v>1626</v>
      </c>
      <c r="AI91" t="s">
        <v>190</v>
      </c>
      <c r="AJ91" s="13">
        <v>1</v>
      </c>
      <c r="AK91" s="13">
        <v>9</v>
      </c>
      <c r="AL91" s="6">
        <f t="shared" si="7"/>
        <v>0.111111111111111</v>
      </c>
    </row>
    <row r="92" spans="1:38">
      <c r="A92" t="s">
        <v>1211</v>
      </c>
      <c r="B92" s="10">
        <v>2414330.4555</v>
      </c>
      <c r="C92" s="10">
        <f>SUM($B$33:B92)</f>
        <v>244667136.49287</v>
      </c>
      <c r="D92" s="12">
        <f t="shared" si="1"/>
        <v>0.691327057755101</v>
      </c>
      <c r="E92" t="str">
        <f t="shared" si="2"/>
        <v>A</v>
      </c>
      <c r="I92" t="s">
        <v>1065</v>
      </c>
      <c r="J92" s="10">
        <v>2121438.5248</v>
      </c>
      <c r="K92" s="10">
        <f>SUM($J$34:J92)</f>
        <v>241249320.02638</v>
      </c>
      <c r="L92" s="6">
        <f t="shared" si="5"/>
        <v>0.663103943578064</v>
      </c>
      <c r="M92" t="str">
        <f t="shared" si="6"/>
        <v>A</v>
      </c>
      <c r="P92" t="s">
        <v>1436</v>
      </c>
      <c r="Q92" s="10">
        <v>2768223.156</v>
      </c>
      <c r="R92" s="10">
        <f>SUM($Q$33:Q92)</f>
        <v>298560082.67562</v>
      </c>
      <c r="S92" s="6">
        <f t="shared" si="3"/>
        <v>0.564754175713092</v>
      </c>
      <c r="T92" t="str">
        <f t="shared" si="4"/>
        <v>A</v>
      </c>
      <c r="V92" t="s">
        <v>165</v>
      </c>
      <c r="W92" t="s">
        <v>1547</v>
      </c>
      <c r="X92" t="s">
        <v>1627</v>
      </c>
      <c r="Y92" t="s">
        <v>1616</v>
      </c>
      <c r="Z92" s="2" t="s">
        <v>1628</v>
      </c>
      <c r="AI92" t="s">
        <v>182</v>
      </c>
      <c r="AJ92" s="13">
        <v>1</v>
      </c>
      <c r="AK92" s="13">
        <v>5</v>
      </c>
      <c r="AL92" s="6">
        <f t="shared" si="7"/>
        <v>0.2</v>
      </c>
    </row>
    <row r="93" spans="1:38">
      <c r="A93" t="s">
        <v>1408</v>
      </c>
      <c r="B93" s="10">
        <v>2408571.91424</v>
      </c>
      <c r="C93" s="10">
        <f>SUM($B$33:B93)</f>
        <v>247075708.40711</v>
      </c>
      <c r="D93" s="12">
        <f t="shared" si="1"/>
        <v>0.698132675210438</v>
      </c>
      <c r="E93" t="str">
        <f t="shared" si="2"/>
        <v>A</v>
      </c>
      <c r="I93" t="s">
        <v>1263</v>
      </c>
      <c r="J93" s="10">
        <v>2119336.71554</v>
      </c>
      <c r="K93" s="10">
        <f>SUM($J$34:J93)</f>
        <v>243368656.74192</v>
      </c>
      <c r="L93" s="6">
        <f t="shared" si="5"/>
        <v>0.668929205732961</v>
      </c>
      <c r="M93" t="str">
        <f t="shared" si="6"/>
        <v>A</v>
      </c>
      <c r="P93" t="s">
        <v>481</v>
      </c>
      <c r="Q93" s="10">
        <v>2767635</v>
      </c>
      <c r="R93" s="10">
        <f>SUM($Q$33:Q93)</f>
        <v>301327717.67562</v>
      </c>
      <c r="S93" s="6">
        <f t="shared" si="3"/>
        <v>0.569989414828422</v>
      </c>
      <c r="T93" t="str">
        <f t="shared" si="4"/>
        <v>A</v>
      </c>
      <c r="V93" t="s">
        <v>186</v>
      </c>
      <c r="W93" t="s">
        <v>1607</v>
      </c>
      <c r="X93" s="13">
        <v>9</v>
      </c>
      <c r="Y93" s="13">
        <v>21</v>
      </c>
      <c r="Z93" s="6">
        <f>X93/Y93</f>
        <v>0.428571428571429</v>
      </c>
      <c r="AI93" t="s">
        <v>271</v>
      </c>
      <c r="AJ93" s="13">
        <v>1</v>
      </c>
      <c r="AK93" s="13">
        <v>10</v>
      </c>
      <c r="AL93" s="6">
        <f t="shared" si="7"/>
        <v>0.1</v>
      </c>
    </row>
    <row r="94" spans="1:38">
      <c r="A94" t="s">
        <v>1432</v>
      </c>
      <c r="B94" s="10">
        <v>2363609.52261</v>
      </c>
      <c r="C94" s="10">
        <f>SUM($B$33:B94)</f>
        <v>249439317.92972</v>
      </c>
      <c r="D94" s="12">
        <f t="shared" si="1"/>
        <v>0.704811247741144</v>
      </c>
      <c r="E94" t="str">
        <f t="shared" si="2"/>
        <v>A</v>
      </c>
      <c r="I94" t="s">
        <v>1261</v>
      </c>
      <c r="J94" s="10">
        <v>2114886.47474</v>
      </c>
      <c r="K94" s="10">
        <f>SUM($J$34:J94)</f>
        <v>245483543.21666</v>
      </c>
      <c r="L94" s="6">
        <f t="shared" si="5"/>
        <v>0.674742235844162</v>
      </c>
      <c r="M94" t="str">
        <f t="shared" si="6"/>
        <v>A</v>
      </c>
      <c r="P94" t="s">
        <v>968</v>
      </c>
      <c r="Q94" s="10">
        <v>2761940.42298</v>
      </c>
      <c r="R94" s="10">
        <f>SUM($Q$33:Q94)</f>
        <v>304089658.0986</v>
      </c>
      <c r="S94" s="6">
        <f t="shared" si="3"/>
        <v>0.575213882121471</v>
      </c>
      <c r="T94" t="str">
        <f t="shared" si="4"/>
        <v>A</v>
      </c>
      <c r="W94" t="s">
        <v>1608</v>
      </c>
      <c r="X94" s="13">
        <v>6</v>
      </c>
      <c r="Y94" s="13">
        <v>11</v>
      </c>
      <c r="Z94" s="6">
        <f t="shared" ref="Z94:Z141" si="11">X94/Y94</f>
        <v>0.545454545454545</v>
      </c>
      <c r="AI94" t="s">
        <v>236</v>
      </c>
      <c r="AJ94" s="13">
        <v>1</v>
      </c>
      <c r="AK94" s="13">
        <v>10</v>
      </c>
      <c r="AL94" s="6">
        <f t="shared" si="7"/>
        <v>0.1</v>
      </c>
    </row>
    <row r="95" spans="1:38">
      <c r="A95" t="s">
        <v>854</v>
      </c>
      <c r="B95" s="10">
        <v>2303592.99513</v>
      </c>
      <c r="C95" s="10">
        <f>SUM($B$33:B95)</f>
        <v>251742910.92485</v>
      </c>
      <c r="D95" s="12">
        <f t="shared" si="1"/>
        <v>0.711320238651883</v>
      </c>
      <c r="E95" t="str">
        <f t="shared" si="2"/>
        <v>A</v>
      </c>
      <c r="I95" t="s">
        <v>948</v>
      </c>
      <c r="J95" s="10">
        <v>2005344</v>
      </c>
      <c r="K95" s="10">
        <f>SUM($J$34:J95)</f>
        <v>247488887.21666</v>
      </c>
      <c r="L95" s="6">
        <f t="shared" si="5"/>
        <v>0.680254174756509</v>
      </c>
      <c r="M95" t="str">
        <f t="shared" si="6"/>
        <v>A</v>
      </c>
      <c r="P95" t="s">
        <v>415</v>
      </c>
      <c r="Q95" s="10">
        <v>2755316.5362</v>
      </c>
      <c r="R95" s="10">
        <f>SUM($Q$33:Q95)</f>
        <v>306844974.6348</v>
      </c>
      <c r="S95" s="6">
        <f t="shared" si="3"/>
        <v>0.58042581971636</v>
      </c>
      <c r="T95" t="str">
        <f t="shared" si="4"/>
        <v>A</v>
      </c>
      <c r="W95" t="s">
        <v>1605</v>
      </c>
      <c r="X95" s="13">
        <v>4</v>
      </c>
      <c r="Y95" s="13">
        <v>12</v>
      </c>
      <c r="Z95" s="6">
        <f t="shared" si="11"/>
        <v>0.333333333333333</v>
      </c>
      <c r="AI95" t="s">
        <v>202</v>
      </c>
      <c r="AJ95" s="13">
        <v>1</v>
      </c>
      <c r="AK95" s="13">
        <v>8</v>
      </c>
      <c r="AL95" s="6">
        <f t="shared" si="7"/>
        <v>0.125</v>
      </c>
    </row>
    <row r="96" spans="1:38">
      <c r="A96" t="s">
        <v>443</v>
      </c>
      <c r="B96" s="10">
        <v>2276017.808</v>
      </c>
      <c r="C96" s="10">
        <f>SUM($B$33:B96)</f>
        <v>254018928.73285</v>
      </c>
      <c r="D96" s="12">
        <f t="shared" si="1"/>
        <v>0.71775131361012</v>
      </c>
      <c r="E96" t="str">
        <f t="shared" si="2"/>
        <v>A</v>
      </c>
      <c r="I96" t="s">
        <v>680</v>
      </c>
      <c r="J96" s="10">
        <v>1981590.18937</v>
      </c>
      <c r="K96" s="10">
        <f>SUM($J$34:J96)</f>
        <v>249470477.40603</v>
      </c>
      <c r="L96" s="6">
        <f t="shared" si="5"/>
        <v>0.685700823348029</v>
      </c>
      <c r="M96" t="str">
        <f t="shared" si="6"/>
        <v>A</v>
      </c>
      <c r="P96" t="s">
        <v>912</v>
      </c>
      <c r="Q96" s="10">
        <v>2739955.90946</v>
      </c>
      <c r="R96" s="10">
        <f>SUM($Q$33:Q96)</f>
        <v>309584930.54426</v>
      </c>
      <c r="S96" s="6">
        <f t="shared" si="3"/>
        <v>0.585608701256551</v>
      </c>
      <c r="T96" t="str">
        <f t="shared" si="4"/>
        <v>A</v>
      </c>
      <c r="V96" t="s">
        <v>1629</v>
      </c>
      <c r="X96" s="13">
        <v>19</v>
      </c>
      <c r="Y96" s="13">
        <v>44</v>
      </c>
      <c r="Z96" s="6">
        <f t="shared" si="11"/>
        <v>0.431818181818182</v>
      </c>
      <c r="AI96" t="s">
        <v>253</v>
      </c>
      <c r="AJ96" s="13">
        <v>1</v>
      </c>
      <c r="AK96" s="13">
        <v>13</v>
      </c>
      <c r="AL96" s="6">
        <f t="shared" si="7"/>
        <v>0.0769230769230769</v>
      </c>
    </row>
    <row r="97" spans="1:38">
      <c r="A97" t="s">
        <v>1037</v>
      </c>
      <c r="B97" s="10">
        <v>2262113.4627</v>
      </c>
      <c r="C97" s="10">
        <f>SUM($B$33:B97)</f>
        <v>256281042.19555</v>
      </c>
      <c r="D97" s="12">
        <f t="shared" si="1"/>
        <v>0.724143100700505</v>
      </c>
      <c r="E97" t="str">
        <f t="shared" si="2"/>
        <v>A</v>
      </c>
      <c r="I97" t="s">
        <v>824</v>
      </c>
      <c r="J97" s="10">
        <v>1961879.23152</v>
      </c>
      <c r="K97" s="10">
        <f>SUM($J$34:J97)</f>
        <v>251432356.63755</v>
      </c>
      <c r="L97" s="6">
        <f t="shared" si="5"/>
        <v>0.691093293905469</v>
      </c>
      <c r="M97" t="str">
        <f t="shared" si="6"/>
        <v>A</v>
      </c>
      <c r="P97" t="s">
        <v>316</v>
      </c>
      <c r="Q97" s="10">
        <v>2733183</v>
      </c>
      <c r="R97" s="10">
        <f>SUM($Q$33:Q97)</f>
        <v>312318113.54426</v>
      </c>
      <c r="S97" s="6">
        <f t="shared" si="3"/>
        <v>0.590778771208317</v>
      </c>
      <c r="T97" t="str">
        <f t="shared" si="4"/>
        <v>A</v>
      </c>
      <c r="V97" t="s">
        <v>234</v>
      </c>
      <c r="W97" t="s">
        <v>1607</v>
      </c>
      <c r="X97" s="13">
        <v>7</v>
      </c>
      <c r="Y97" s="13">
        <v>29</v>
      </c>
      <c r="Z97" s="6">
        <f t="shared" si="11"/>
        <v>0.241379310344828</v>
      </c>
      <c r="AI97" t="s">
        <v>1589</v>
      </c>
      <c r="AJ97" s="13">
        <v>0</v>
      </c>
      <c r="AK97" s="13">
        <v>1</v>
      </c>
      <c r="AL97" s="6">
        <f t="shared" si="7"/>
        <v>0</v>
      </c>
    </row>
    <row r="98" spans="1:38">
      <c r="A98" t="s">
        <v>567</v>
      </c>
      <c r="B98" s="10">
        <v>2257893.4905</v>
      </c>
      <c r="C98" s="10">
        <f>SUM($B$33:B98)</f>
        <v>258538935.68605</v>
      </c>
      <c r="D98" s="12">
        <f t="shared" ref="D98:D161" si="12">C98/$C$30</f>
        <v>0.730522963913386</v>
      </c>
      <c r="E98" t="str">
        <f t="shared" ref="E98:E161" si="13">IF(D98&lt;=0.8,"A",IF(D98&lt;=0.95,"B","C"))</f>
        <v>A</v>
      </c>
      <c r="I98" t="s">
        <v>934</v>
      </c>
      <c r="J98" s="10">
        <v>1923244.46496</v>
      </c>
      <c r="K98" s="10">
        <f>SUM($J$34:J98)</f>
        <v>253355601.10251</v>
      </c>
      <c r="L98" s="6">
        <f t="shared" si="5"/>
        <v>0.696379571972658</v>
      </c>
      <c r="M98" t="str">
        <f t="shared" si="6"/>
        <v>A</v>
      </c>
      <c r="P98" t="s">
        <v>864</v>
      </c>
      <c r="Q98" s="10">
        <v>2707939.70408</v>
      </c>
      <c r="R98" s="10">
        <f>SUM($Q$33:Q98)</f>
        <v>315026053.24834</v>
      </c>
      <c r="S98" s="6">
        <f t="shared" ref="S98:S161" si="14">(R98/$R$30)</f>
        <v>0.595901091117104</v>
      </c>
      <c r="T98" t="str">
        <f t="shared" ref="T98:T161" si="15">IF(S98&lt;=0.8,"A",IF(S98&lt;=0.95,"B","C"))</f>
        <v>A</v>
      </c>
      <c r="W98" t="s">
        <v>1605</v>
      </c>
      <c r="X98" s="13">
        <v>6</v>
      </c>
      <c r="Y98" s="13">
        <v>14</v>
      </c>
      <c r="Z98" s="6">
        <f t="shared" si="11"/>
        <v>0.428571428571429</v>
      </c>
      <c r="AI98" t="s">
        <v>229</v>
      </c>
      <c r="AJ98" s="13">
        <v>0</v>
      </c>
      <c r="AK98" s="13">
        <v>8</v>
      </c>
      <c r="AL98" s="6">
        <f t="shared" si="7"/>
        <v>0</v>
      </c>
    </row>
    <row r="99" spans="1:38">
      <c r="A99" t="s">
        <v>766</v>
      </c>
      <c r="B99" s="10">
        <v>2185434.5436</v>
      </c>
      <c r="C99" s="10">
        <f>SUM($B$33:B99)</f>
        <v>260724370.22965</v>
      </c>
      <c r="D99" s="12">
        <f t="shared" si="12"/>
        <v>0.736698088429904</v>
      </c>
      <c r="E99" t="str">
        <f t="shared" si="13"/>
        <v>A</v>
      </c>
      <c r="I99" t="s">
        <v>1093</v>
      </c>
      <c r="J99" s="10">
        <v>1901396.3584</v>
      </c>
      <c r="K99" s="10">
        <f>SUM($J$34:J99)</f>
        <v>255256997.46091</v>
      </c>
      <c r="L99" s="6">
        <f t="shared" ref="L99:L162" si="16">(K99/$K$31)</f>
        <v>0.701605797785117</v>
      </c>
      <c r="M99" t="str">
        <f t="shared" ref="M99:M162" si="17">IF(L99&lt;=0.8,"A",IF(L99&lt;=0.95,"B","C"))</f>
        <v>A</v>
      </c>
      <c r="P99" t="s">
        <v>1257</v>
      </c>
      <c r="Q99" s="10">
        <v>2634552.02322</v>
      </c>
      <c r="R99" s="10">
        <f>SUM($Q$33:Q99)</f>
        <v>317660605.27156</v>
      </c>
      <c r="S99" s="6">
        <f t="shared" si="14"/>
        <v>0.600884591399235</v>
      </c>
      <c r="T99" t="str">
        <f t="shared" si="15"/>
        <v>A</v>
      </c>
      <c r="W99" t="s">
        <v>1608</v>
      </c>
      <c r="X99" s="13">
        <v>5</v>
      </c>
      <c r="Y99" s="13">
        <v>19</v>
      </c>
      <c r="Z99" s="6">
        <f t="shared" si="11"/>
        <v>0.263157894736842</v>
      </c>
      <c r="AI99" t="s">
        <v>245</v>
      </c>
      <c r="AJ99" s="13">
        <v>0</v>
      </c>
      <c r="AK99" s="13">
        <v>11</v>
      </c>
      <c r="AL99" s="6">
        <f t="shared" ref="AL99:AL102" si="18">AJ99/AK99</f>
        <v>0</v>
      </c>
    </row>
    <row r="100" spans="1:38">
      <c r="A100" t="s">
        <v>1175</v>
      </c>
      <c r="B100" s="10">
        <v>2079798</v>
      </c>
      <c r="C100" s="10">
        <f>SUM($B$33:B100)</f>
        <v>262804168.22965</v>
      </c>
      <c r="D100" s="12">
        <f t="shared" si="12"/>
        <v>0.742574728229899</v>
      </c>
      <c r="E100" t="str">
        <f t="shared" si="13"/>
        <v>A</v>
      </c>
      <c r="I100" t="s">
        <v>720</v>
      </c>
      <c r="J100" s="10">
        <v>1891523.56081</v>
      </c>
      <c r="K100" s="10">
        <f>SUM($J$34:J100)</f>
        <v>257148521.02172</v>
      </c>
      <c r="L100" s="6">
        <f t="shared" si="16"/>
        <v>0.706804886978018</v>
      </c>
      <c r="M100" t="str">
        <f t="shared" si="17"/>
        <v>A</v>
      </c>
      <c r="P100" t="s">
        <v>1167</v>
      </c>
      <c r="Q100" s="10">
        <v>2548717.12512</v>
      </c>
      <c r="R100" s="10">
        <f>SUM($Q$33:Q100)</f>
        <v>320209322.39668</v>
      </c>
      <c r="S100" s="6">
        <f t="shared" si="14"/>
        <v>0.605705726985156</v>
      </c>
      <c r="T100" t="str">
        <f t="shared" si="15"/>
        <v>A</v>
      </c>
      <c r="V100" t="s">
        <v>1630</v>
      </c>
      <c r="X100" s="13">
        <v>18</v>
      </c>
      <c r="Y100" s="13">
        <v>62</v>
      </c>
      <c r="Z100" s="6">
        <f t="shared" si="11"/>
        <v>0.290322580645161</v>
      </c>
      <c r="AI100" t="s">
        <v>210</v>
      </c>
      <c r="AJ100" s="13">
        <v>0</v>
      </c>
      <c r="AK100" s="13">
        <v>10</v>
      </c>
      <c r="AL100" s="6">
        <f t="shared" si="18"/>
        <v>0</v>
      </c>
    </row>
    <row r="101" spans="1:38">
      <c r="A101" t="s">
        <v>285</v>
      </c>
      <c r="B101" s="10">
        <v>2042747.7048</v>
      </c>
      <c r="C101" s="10">
        <f>SUM($B$33:B101)</f>
        <v>264846915.93445</v>
      </c>
      <c r="D101" s="12">
        <f t="shared" si="12"/>
        <v>0.748346679382548</v>
      </c>
      <c r="E101" t="str">
        <f t="shared" si="13"/>
        <v>A</v>
      </c>
      <c r="I101" t="s">
        <v>734</v>
      </c>
      <c r="J101" s="10">
        <v>1861373.4048</v>
      </c>
      <c r="K101" s="10">
        <f>SUM($J$34:J101)</f>
        <v>259009894.42652</v>
      </c>
      <c r="L101" s="6">
        <f t="shared" si="16"/>
        <v>0.711921104694442</v>
      </c>
      <c r="M101" t="str">
        <f t="shared" si="17"/>
        <v>A</v>
      </c>
      <c r="P101" t="s">
        <v>288</v>
      </c>
      <c r="Q101" s="10">
        <v>2506816.51056</v>
      </c>
      <c r="R101" s="10">
        <f>SUM($Q$33:Q101)</f>
        <v>322716138.90724</v>
      </c>
      <c r="S101" s="6">
        <f t="shared" si="14"/>
        <v>0.610447603660021</v>
      </c>
      <c r="T101" t="str">
        <f t="shared" si="15"/>
        <v>A</v>
      </c>
      <c r="V101" t="s">
        <v>283</v>
      </c>
      <c r="W101" t="s">
        <v>1607</v>
      </c>
      <c r="X101" s="13">
        <v>9</v>
      </c>
      <c r="Y101" s="13">
        <v>19</v>
      </c>
      <c r="Z101" s="6">
        <f t="shared" si="11"/>
        <v>0.473684210526316</v>
      </c>
      <c r="AH101" t="s">
        <v>1631</v>
      </c>
      <c r="AJ101" s="13">
        <v>17</v>
      </c>
      <c r="AK101" s="13">
        <v>159</v>
      </c>
      <c r="AL101" s="16">
        <f t="shared" si="18"/>
        <v>0.106918238993711</v>
      </c>
    </row>
    <row r="102" spans="1:38">
      <c r="A102" t="s">
        <v>508</v>
      </c>
      <c r="B102" s="10">
        <v>2011212.93288</v>
      </c>
      <c r="C102" s="10">
        <f>SUM($B$33:B102)</f>
        <v>266858128.86733</v>
      </c>
      <c r="D102" s="12">
        <f t="shared" si="12"/>
        <v>0.754029526451171</v>
      </c>
      <c r="E102" t="str">
        <f t="shared" si="13"/>
        <v>A</v>
      </c>
      <c r="I102" t="s">
        <v>966</v>
      </c>
      <c r="J102" s="10">
        <v>1856662.59781</v>
      </c>
      <c r="K102" s="10">
        <f>SUM($J$34:J102)</f>
        <v>260866557.02433</v>
      </c>
      <c r="L102" s="6">
        <f t="shared" si="16"/>
        <v>0.717024374168392</v>
      </c>
      <c r="M102" t="str">
        <f t="shared" si="17"/>
        <v>A</v>
      </c>
      <c r="P102" t="s">
        <v>321</v>
      </c>
      <c r="Q102" s="10">
        <v>2498191.60689</v>
      </c>
      <c r="R102" s="10">
        <f>SUM($Q$33:Q102)</f>
        <v>325214330.51413</v>
      </c>
      <c r="S102" s="6">
        <f t="shared" si="14"/>
        <v>0.615173165527096</v>
      </c>
      <c r="T102" t="str">
        <f t="shared" si="15"/>
        <v>A</v>
      </c>
      <c r="W102" t="s">
        <v>1608</v>
      </c>
      <c r="X102" s="13">
        <v>7</v>
      </c>
      <c r="Y102" s="13">
        <v>17</v>
      </c>
      <c r="Z102" s="6">
        <f t="shared" si="11"/>
        <v>0.411764705882353</v>
      </c>
      <c r="AH102" t="s">
        <v>1599</v>
      </c>
      <c r="AJ102" s="13">
        <v>90</v>
      </c>
      <c r="AK102" s="13">
        <v>631</v>
      </c>
      <c r="AL102" s="18">
        <f t="shared" si="18"/>
        <v>0.142630744849445</v>
      </c>
    </row>
    <row r="103" spans="1:38">
      <c r="A103" t="s">
        <v>1344</v>
      </c>
      <c r="B103" s="10">
        <v>1958187</v>
      </c>
      <c r="C103" s="10">
        <f>SUM($B$33:B103)</f>
        <v>268816315.86733</v>
      </c>
      <c r="D103" s="12">
        <f t="shared" si="12"/>
        <v>0.759562544398123</v>
      </c>
      <c r="E103" t="str">
        <f t="shared" si="13"/>
        <v>A</v>
      </c>
      <c r="I103" t="s">
        <v>561</v>
      </c>
      <c r="J103" s="10">
        <v>1828755.464</v>
      </c>
      <c r="K103" s="10">
        <f>SUM($J$34:J103)</f>
        <v>262695312.48833</v>
      </c>
      <c r="L103" s="6">
        <f t="shared" si="16"/>
        <v>0.72205093739305</v>
      </c>
      <c r="M103" t="str">
        <f t="shared" si="17"/>
        <v>A</v>
      </c>
      <c r="P103" t="s">
        <v>1231</v>
      </c>
      <c r="Q103" s="10">
        <v>2495072.28165</v>
      </c>
      <c r="R103" s="10">
        <f>SUM($Q$33:Q103)</f>
        <v>327709402.79578</v>
      </c>
      <c r="S103" s="6">
        <f t="shared" si="14"/>
        <v>0.619892826900243</v>
      </c>
      <c r="T103" t="str">
        <f t="shared" si="15"/>
        <v>A</v>
      </c>
      <c r="W103" t="s">
        <v>1605</v>
      </c>
      <c r="X103" s="13">
        <v>2</v>
      </c>
      <c r="Y103" s="13">
        <v>15</v>
      </c>
      <c r="Z103" s="6">
        <f t="shared" si="11"/>
        <v>0.133333333333333</v>
      </c>
    </row>
    <row r="104" spans="1:38">
      <c r="A104" t="s">
        <v>1333</v>
      </c>
      <c r="B104" s="10">
        <v>1867473.0468</v>
      </c>
      <c r="C104" s="10">
        <f>SUM($B$33:B104)</f>
        <v>270683788.91413</v>
      </c>
      <c r="D104" s="12">
        <f t="shared" si="12"/>
        <v>0.764839242631434</v>
      </c>
      <c r="E104" t="str">
        <f t="shared" si="13"/>
        <v>A</v>
      </c>
      <c r="I104" t="s">
        <v>326</v>
      </c>
      <c r="J104" s="10">
        <v>1811156.919</v>
      </c>
      <c r="K104" s="10">
        <f>SUM($J$34:J104)</f>
        <v>264506469.40733</v>
      </c>
      <c r="L104" s="6">
        <f t="shared" si="16"/>
        <v>0.727029128814672</v>
      </c>
      <c r="M104" t="str">
        <f t="shared" si="17"/>
        <v>A</v>
      </c>
      <c r="P104" t="s">
        <v>784</v>
      </c>
      <c r="Q104" s="10">
        <v>2479916.15544</v>
      </c>
      <c r="R104" s="10">
        <f>SUM($Q$33:Q104)</f>
        <v>330189318.95122</v>
      </c>
      <c r="S104" s="6">
        <f t="shared" si="14"/>
        <v>0.624583819050472</v>
      </c>
      <c r="T104" t="str">
        <f t="shared" si="15"/>
        <v>A</v>
      </c>
      <c r="V104" t="s">
        <v>1632</v>
      </c>
      <c r="X104" s="13">
        <v>18</v>
      </c>
      <c r="Y104" s="13">
        <v>51</v>
      </c>
      <c r="Z104" s="6">
        <f t="shared" si="11"/>
        <v>0.352941176470588</v>
      </c>
    </row>
    <row r="105" spans="1:38">
      <c r="A105" t="s">
        <v>1113</v>
      </c>
      <c r="B105" s="10">
        <v>1854945.3832</v>
      </c>
      <c r="C105" s="10">
        <f>SUM($B$33:B105)</f>
        <v>272538734.29733</v>
      </c>
      <c r="D105" s="12">
        <f t="shared" si="12"/>
        <v>0.770080542923929</v>
      </c>
      <c r="E105" t="str">
        <f t="shared" si="13"/>
        <v>A</v>
      </c>
      <c r="I105" t="s">
        <v>982</v>
      </c>
      <c r="J105" s="10">
        <v>1794618.90192</v>
      </c>
      <c r="K105" s="10">
        <f>SUM($J$34:J105)</f>
        <v>266301088.30925</v>
      </c>
      <c r="L105" s="6">
        <f t="shared" si="16"/>
        <v>0.731961863426951</v>
      </c>
      <c r="M105" t="str">
        <f t="shared" si="17"/>
        <v>A</v>
      </c>
      <c r="P105" t="s">
        <v>579</v>
      </c>
      <c r="Q105" s="10">
        <v>2476090.8225</v>
      </c>
      <c r="R105" s="10">
        <f>SUM($Q$33:Q105)</f>
        <v>332665409.77372</v>
      </c>
      <c r="S105" s="6">
        <f t="shared" si="14"/>
        <v>0.62926757522752</v>
      </c>
      <c r="T105" t="str">
        <f t="shared" si="15"/>
        <v>A</v>
      </c>
      <c r="V105" t="s">
        <v>178</v>
      </c>
      <c r="W105" t="s">
        <v>1605</v>
      </c>
      <c r="X105" s="13">
        <v>9</v>
      </c>
      <c r="Y105" s="13">
        <v>25</v>
      </c>
      <c r="Z105" s="6">
        <f t="shared" si="11"/>
        <v>0.36</v>
      </c>
    </row>
    <row r="106" spans="1:38">
      <c r="A106" t="s">
        <v>832</v>
      </c>
      <c r="B106" s="10">
        <v>1832123.7996</v>
      </c>
      <c r="C106" s="10">
        <f>SUM($B$33:B106)</f>
        <v>274370858.09693</v>
      </c>
      <c r="D106" s="12">
        <f t="shared" si="12"/>
        <v>0.77525735896051</v>
      </c>
      <c r="E106" t="str">
        <f t="shared" si="13"/>
        <v>A</v>
      </c>
      <c r="I106" t="s">
        <v>1309</v>
      </c>
      <c r="J106" s="10">
        <v>1777717.3734</v>
      </c>
      <c r="K106" s="10">
        <f>SUM($J$34:J106)</f>
        <v>268078805.68265</v>
      </c>
      <c r="L106" s="6">
        <f t="shared" si="16"/>
        <v>0.736848142073207</v>
      </c>
      <c r="M106" t="str">
        <f t="shared" si="17"/>
        <v>A</v>
      </c>
      <c r="P106" t="s">
        <v>1181</v>
      </c>
      <c r="Q106" s="10">
        <v>2432157</v>
      </c>
      <c r="R106" s="10">
        <f>SUM($Q$33:Q106)</f>
        <v>335097566.77372</v>
      </c>
      <c r="S106" s="6">
        <f t="shared" si="14"/>
        <v>0.633868226491514</v>
      </c>
      <c r="T106" t="str">
        <f t="shared" si="15"/>
        <v>A</v>
      </c>
      <c r="W106" t="s">
        <v>1607</v>
      </c>
      <c r="X106" s="13">
        <v>7</v>
      </c>
      <c r="Y106" s="13">
        <v>21</v>
      </c>
      <c r="Z106" s="6">
        <f t="shared" si="11"/>
        <v>0.333333333333333</v>
      </c>
    </row>
    <row r="107" spans="1:38">
      <c r="A107" t="s">
        <v>597</v>
      </c>
      <c r="B107" s="10">
        <v>1795745.3987</v>
      </c>
      <c r="C107" s="10">
        <f>SUM($B$33:B107)</f>
        <v>276166603.49563</v>
      </c>
      <c r="D107" s="12">
        <f t="shared" si="12"/>
        <v>0.780331384842187</v>
      </c>
      <c r="E107" t="str">
        <f t="shared" si="13"/>
        <v>A</v>
      </c>
      <c r="I107" t="s">
        <v>617</v>
      </c>
      <c r="J107" s="10">
        <v>1720816.63056</v>
      </c>
      <c r="K107" s="10">
        <f>SUM($J$34:J107)</f>
        <v>269799622.31321</v>
      </c>
      <c r="L107" s="6">
        <f t="shared" si="16"/>
        <v>0.741578021907788</v>
      </c>
      <c r="M107" t="str">
        <f t="shared" si="17"/>
        <v>A</v>
      </c>
      <c r="P107" t="s">
        <v>1081</v>
      </c>
      <c r="Q107" s="10">
        <v>2366856</v>
      </c>
      <c r="R107" s="10">
        <f>SUM($Q$33:Q107)</f>
        <v>337464422.77372</v>
      </c>
      <c r="S107" s="6">
        <f t="shared" si="14"/>
        <v>0.638345354838118</v>
      </c>
      <c r="T107" t="str">
        <f t="shared" si="15"/>
        <v>A</v>
      </c>
      <c r="W107" t="s">
        <v>1608</v>
      </c>
      <c r="X107" s="13">
        <v>1</v>
      </c>
      <c r="Y107" s="13">
        <v>10</v>
      </c>
      <c r="Z107" s="6">
        <f t="shared" si="11"/>
        <v>0.1</v>
      </c>
    </row>
    <row r="108" spans="1:38">
      <c r="A108" t="s">
        <v>1089</v>
      </c>
      <c r="B108" s="10">
        <v>1757996.65069</v>
      </c>
      <c r="C108" s="10">
        <f>SUM($B$33:B108)</f>
        <v>277924600.14632</v>
      </c>
      <c r="D108" s="12">
        <f t="shared" si="12"/>
        <v>0.785298748540827</v>
      </c>
      <c r="E108" t="str">
        <f t="shared" si="13"/>
        <v>A</v>
      </c>
      <c r="I108" t="s">
        <v>1201</v>
      </c>
      <c r="J108" s="10">
        <v>1702803.34998</v>
      </c>
      <c r="K108" s="10">
        <f>SUM($J$34:J108)</f>
        <v>271502425.66319</v>
      </c>
      <c r="L108" s="6">
        <f t="shared" si="16"/>
        <v>0.746258389986696</v>
      </c>
      <c r="M108" t="str">
        <f t="shared" si="17"/>
        <v>A</v>
      </c>
      <c r="P108" t="s">
        <v>428</v>
      </c>
      <c r="Q108" s="10">
        <v>2348293.23248</v>
      </c>
      <c r="R108" s="10">
        <f>SUM($Q$33:Q108)</f>
        <v>339812716.0062</v>
      </c>
      <c r="S108" s="6">
        <f t="shared" si="14"/>
        <v>0.642787369982798</v>
      </c>
      <c r="T108" t="str">
        <f t="shared" si="15"/>
        <v>A</v>
      </c>
      <c r="V108" t="s">
        <v>1633</v>
      </c>
      <c r="X108" s="13">
        <v>17</v>
      </c>
      <c r="Y108" s="13">
        <v>56</v>
      </c>
      <c r="Z108" s="6">
        <f t="shared" si="11"/>
        <v>0.303571428571429</v>
      </c>
    </row>
    <row r="109" spans="1:38">
      <c r="A109" t="s">
        <v>1103</v>
      </c>
      <c r="B109" s="10">
        <v>1708576.1484</v>
      </c>
      <c r="C109" s="10">
        <f>SUM($B$33:B109)</f>
        <v>279633176.29472</v>
      </c>
      <c r="D109" s="12">
        <f t="shared" si="12"/>
        <v>0.790126470557585</v>
      </c>
      <c r="E109" t="str">
        <f t="shared" si="13"/>
        <v>A</v>
      </c>
      <c r="I109" t="s">
        <v>599</v>
      </c>
      <c r="J109" s="10">
        <v>1659846.25458</v>
      </c>
      <c r="K109" s="10">
        <f>SUM($J$34:J109)</f>
        <v>273162271.91777</v>
      </c>
      <c r="L109" s="6">
        <f t="shared" si="16"/>
        <v>0.750820685113683</v>
      </c>
      <c r="M109" t="str">
        <f t="shared" si="17"/>
        <v>A</v>
      </c>
      <c r="P109" t="s">
        <v>300</v>
      </c>
      <c r="Q109" s="10">
        <v>2329409.61372</v>
      </c>
      <c r="R109" s="10">
        <f>SUM($Q$33:Q109)</f>
        <v>342142125.61992</v>
      </c>
      <c r="S109" s="6">
        <f t="shared" si="14"/>
        <v>0.647193665005579</v>
      </c>
      <c r="T109" t="str">
        <f t="shared" si="15"/>
        <v>A</v>
      </c>
      <c r="V109" t="s">
        <v>309</v>
      </c>
      <c r="W109" t="s">
        <v>1607</v>
      </c>
      <c r="X109" s="13">
        <v>9</v>
      </c>
      <c r="Y109" s="13">
        <v>22</v>
      </c>
      <c r="Z109" s="6">
        <f t="shared" si="11"/>
        <v>0.409090909090909</v>
      </c>
    </row>
    <row r="110" spans="1:38">
      <c r="A110" t="s">
        <v>1006</v>
      </c>
      <c r="B110" s="10">
        <v>1687345</v>
      </c>
      <c r="C110" s="10">
        <f>SUM($B$33:B110)</f>
        <v>281320521.29472</v>
      </c>
      <c r="D110" s="12">
        <f t="shared" si="12"/>
        <v>0.794894202223508</v>
      </c>
      <c r="E110" t="str">
        <f t="shared" si="13"/>
        <v>A</v>
      </c>
      <c r="I110" t="s">
        <v>1043</v>
      </c>
      <c r="J110" s="10">
        <v>1628766.39783</v>
      </c>
      <c r="K110" s="10">
        <f>SUM($J$34:J110)</f>
        <v>274791038.3156</v>
      </c>
      <c r="L110" s="6">
        <f t="shared" si="16"/>
        <v>0.755297553365375</v>
      </c>
      <c r="M110" t="str">
        <f t="shared" si="17"/>
        <v>A</v>
      </c>
      <c r="P110" t="s">
        <v>1051</v>
      </c>
      <c r="Q110" s="10">
        <v>2320608.40896</v>
      </c>
      <c r="R110" s="10">
        <f>SUM($Q$33:Q110)</f>
        <v>344462734.02888</v>
      </c>
      <c r="S110" s="6">
        <f t="shared" si="14"/>
        <v>0.651583311730653</v>
      </c>
      <c r="T110" t="str">
        <f t="shared" si="15"/>
        <v>A</v>
      </c>
      <c r="W110" t="s">
        <v>1605</v>
      </c>
      <c r="X110" s="13">
        <v>4</v>
      </c>
      <c r="Y110" s="13">
        <v>11</v>
      </c>
      <c r="Z110" s="6">
        <f t="shared" si="11"/>
        <v>0.363636363636364</v>
      </c>
    </row>
    <row r="111" spans="1:38">
      <c r="A111" t="s">
        <v>712</v>
      </c>
      <c r="B111" s="10">
        <v>1631467.527</v>
      </c>
      <c r="C111" s="10">
        <f>SUM($B$33:B111)</f>
        <v>282951988.82172</v>
      </c>
      <c r="D111" s="12">
        <f t="shared" si="12"/>
        <v>0.799504047507314</v>
      </c>
      <c r="E111" t="str">
        <f t="shared" si="13"/>
        <v>A</v>
      </c>
      <c r="I111" t="s">
        <v>1031</v>
      </c>
      <c r="J111" s="10">
        <v>1618754.57748</v>
      </c>
      <c r="K111" s="10">
        <f>SUM($J$34:J111)</f>
        <v>276409792.89308</v>
      </c>
      <c r="L111" s="6">
        <f t="shared" si="16"/>
        <v>0.759746902876059</v>
      </c>
      <c r="M111" t="str">
        <f t="shared" si="17"/>
        <v>A</v>
      </c>
      <c r="P111" t="s">
        <v>279</v>
      </c>
      <c r="Q111" s="10">
        <v>2319150.86504</v>
      </c>
      <c r="R111" s="10">
        <f>SUM($Q$33:Q111)</f>
        <v>346781884.89392</v>
      </c>
      <c r="S111" s="6">
        <f t="shared" si="14"/>
        <v>0.655970201375787</v>
      </c>
      <c r="T111" t="str">
        <f t="shared" si="15"/>
        <v>A</v>
      </c>
      <c r="W111" t="s">
        <v>1608</v>
      </c>
      <c r="X111" s="13">
        <v>2</v>
      </c>
      <c r="Y111" s="13">
        <v>12</v>
      </c>
      <c r="Z111" s="6">
        <f t="shared" si="11"/>
        <v>0.166666666666667</v>
      </c>
    </row>
    <row r="112" spans="1:38">
      <c r="A112" t="s">
        <v>1452</v>
      </c>
      <c r="B112" s="10">
        <v>1607305.8096</v>
      </c>
      <c r="C112" s="10">
        <f>SUM($B$33:B112)</f>
        <v>284559294.63132</v>
      </c>
      <c r="D112" s="12">
        <f t="shared" si="12"/>
        <v>0.804045621877257</v>
      </c>
      <c r="E112" t="str">
        <f t="shared" si="13"/>
        <v>B</v>
      </c>
      <c r="I112" t="s">
        <v>393</v>
      </c>
      <c r="J112" s="10">
        <v>1594736.76635</v>
      </c>
      <c r="K112" s="10">
        <f>SUM($J$34:J112)</f>
        <v>278004529.65943</v>
      </c>
      <c r="L112" s="6">
        <f t="shared" si="16"/>
        <v>0.764130236427506</v>
      </c>
      <c r="M112" t="str">
        <f t="shared" si="17"/>
        <v>A</v>
      </c>
      <c r="P112" t="s">
        <v>838</v>
      </c>
      <c r="Q112" s="10">
        <v>2309693.85738</v>
      </c>
      <c r="R112" s="10">
        <f>SUM($Q$33:Q112)</f>
        <v>349091578.7513</v>
      </c>
      <c r="S112" s="6">
        <f t="shared" si="14"/>
        <v>0.660339202211011</v>
      </c>
      <c r="T112" t="str">
        <f t="shared" si="15"/>
        <v>A</v>
      </c>
      <c r="V112" t="s">
        <v>1634</v>
      </c>
      <c r="X112" s="13">
        <v>15</v>
      </c>
      <c r="Y112" s="13">
        <v>45</v>
      </c>
      <c r="Z112" s="6">
        <f t="shared" si="11"/>
        <v>0.333333333333333</v>
      </c>
    </row>
    <row r="113" spans="1:26">
      <c r="A113" t="s">
        <v>1350</v>
      </c>
      <c r="B113" s="10">
        <v>1592975.9685</v>
      </c>
      <c r="C113" s="10">
        <f>SUM($B$33:B113)</f>
        <v>286152270.59982</v>
      </c>
      <c r="D113" s="12">
        <f t="shared" si="12"/>
        <v>0.808546706106074</v>
      </c>
      <c r="E113" t="str">
        <f t="shared" si="13"/>
        <v>B</v>
      </c>
      <c r="I113" t="s">
        <v>794</v>
      </c>
      <c r="J113" s="10">
        <v>1563784.96224</v>
      </c>
      <c r="K113" s="10">
        <f>SUM($J$34:J113)</f>
        <v>279568314.62167</v>
      </c>
      <c r="L113" s="6">
        <f t="shared" si="16"/>
        <v>0.768428495072364</v>
      </c>
      <c r="M113" t="str">
        <f t="shared" si="17"/>
        <v>A</v>
      </c>
      <c r="P113" t="s">
        <v>1221</v>
      </c>
      <c r="Q113" s="10">
        <v>2307789.3498</v>
      </c>
      <c r="R113" s="10">
        <f>SUM($Q$33:Q113)</f>
        <v>351399368.1011</v>
      </c>
      <c r="S113" s="6">
        <f t="shared" si="14"/>
        <v>0.664704600492943</v>
      </c>
      <c r="T113" t="str">
        <f t="shared" si="15"/>
        <v>A</v>
      </c>
      <c r="V113" t="s">
        <v>269</v>
      </c>
      <c r="W113" t="s">
        <v>1605</v>
      </c>
      <c r="X113" s="13">
        <v>5</v>
      </c>
      <c r="Y113" s="13">
        <v>13</v>
      </c>
      <c r="Z113" s="6">
        <f t="shared" si="11"/>
        <v>0.384615384615385</v>
      </c>
    </row>
    <row r="114" spans="1:26">
      <c r="A114" t="s">
        <v>664</v>
      </c>
      <c r="B114" s="10">
        <v>1585921.50918</v>
      </c>
      <c r="C114" s="10">
        <f>SUM($B$33:B114)</f>
        <v>287738192.109</v>
      </c>
      <c r="D114" s="12">
        <f t="shared" si="12"/>
        <v>0.81302785738159</v>
      </c>
      <c r="E114" t="str">
        <f t="shared" si="13"/>
        <v>B</v>
      </c>
      <c r="I114" t="s">
        <v>1410</v>
      </c>
      <c r="J114" s="10">
        <v>1531657.79104</v>
      </c>
      <c r="K114" s="10">
        <f>SUM($J$34:J114)</f>
        <v>281099972.41271</v>
      </c>
      <c r="L114" s="6">
        <f t="shared" si="16"/>
        <v>0.772638448167111</v>
      </c>
      <c r="M114" t="str">
        <f t="shared" si="17"/>
        <v>A</v>
      </c>
      <c r="P114" t="s">
        <v>776</v>
      </c>
      <c r="Q114" s="10">
        <v>2302305.10965</v>
      </c>
      <c r="R114" s="10">
        <f>SUM($Q$33:Q114)</f>
        <v>353701673.21075</v>
      </c>
      <c r="S114" s="6">
        <f t="shared" si="14"/>
        <v>0.669059624824354</v>
      </c>
      <c r="T114" t="str">
        <f t="shared" si="15"/>
        <v>A</v>
      </c>
      <c r="W114" t="s">
        <v>1607</v>
      </c>
      <c r="X114" s="13">
        <v>5</v>
      </c>
      <c r="Y114" s="13">
        <v>24</v>
      </c>
      <c r="Z114" s="6">
        <f t="shared" si="11"/>
        <v>0.208333333333333</v>
      </c>
    </row>
    <row r="115" spans="1:26">
      <c r="A115" t="s">
        <v>1161</v>
      </c>
      <c r="B115" s="10">
        <v>1564114.2</v>
      </c>
      <c r="C115" s="10">
        <f>SUM($B$33:B115)</f>
        <v>289302306.309</v>
      </c>
      <c r="D115" s="12">
        <f t="shared" si="12"/>
        <v>0.81744739031674</v>
      </c>
      <c r="E115" t="str">
        <f t="shared" si="13"/>
        <v>B</v>
      </c>
      <c r="I115" t="s">
        <v>232</v>
      </c>
      <c r="J115" s="10">
        <v>1518015.26934</v>
      </c>
      <c r="K115" s="10">
        <f>SUM($J$34:J115)</f>
        <v>282617987.68205</v>
      </c>
      <c r="L115" s="6">
        <f t="shared" si="16"/>
        <v>0.776810903083879</v>
      </c>
      <c r="M115" t="str">
        <f t="shared" si="17"/>
        <v>A</v>
      </c>
      <c r="P115" t="s">
        <v>1307</v>
      </c>
      <c r="Q115" s="10">
        <v>2252666</v>
      </c>
      <c r="R115" s="10">
        <f>SUM($Q$33:Q115)</f>
        <v>355954339.21075</v>
      </c>
      <c r="S115" s="6">
        <f t="shared" si="14"/>
        <v>0.673320752161223</v>
      </c>
      <c r="T115" t="str">
        <f t="shared" si="15"/>
        <v>A</v>
      </c>
      <c r="W115" t="s">
        <v>1608</v>
      </c>
      <c r="X115" s="13">
        <v>5</v>
      </c>
      <c r="Y115" s="13">
        <v>17</v>
      </c>
      <c r="Z115" s="6">
        <f t="shared" si="11"/>
        <v>0.294117647058824</v>
      </c>
    </row>
    <row r="116" spans="1:26">
      <c r="A116" t="s">
        <v>1000</v>
      </c>
      <c r="B116" s="10">
        <v>1540265.586</v>
      </c>
      <c r="C116" s="10">
        <f>SUM($B$33:B116)</f>
        <v>290842571.895</v>
      </c>
      <c r="D116" s="12">
        <f t="shared" si="12"/>
        <v>0.821799537037359</v>
      </c>
      <c r="E116" t="str">
        <f t="shared" si="13"/>
        <v>B</v>
      </c>
      <c r="I116" t="s">
        <v>1382</v>
      </c>
      <c r="J116" s="10">
        <v>1504042.98</v>
      </c>
      <c r="K116" s="10">
        <f>SUM($J$34:J116)</f>
        <v>284122030.66205</v>
      </c>
      <c r="L116" s="6">
        <f t="shared" si="16"/>
        <v>0.780944953415047</v>
      </c>
      <c r="M116" t="str">
        <f t="shared" si="17"/>
        <v>A</v>
      </c>
      <c r="P116" t="s">
        <v>1366</v>
      </c>
      <c r="Q116" s="10">
        <v>2230197.08472</v>
      </c>
      <c r="R116" s="10">
        <f>SUM($Q$33:Q116)</f>
        <v>358184536.29547</v>
      </c>
      <c r="S116" s="6">
        <f t="shared" si="14"/>
        <v>0.677539377454234</v>
      </c>
      <c r="T116" t="str">
        <f t="shared" si="15"/>
        <v>A</v>
      </c>
      <c r="V116" t="s">
        <v>1635</v>
      </c>
      <c r="X116" s="13">
        <v>15</v>
      </c>
      <c r="Y116" s="13">
        <v>54</v>
      </c>
      <c r="Z116" s="6">
        <f t="shared" si="11"/>
        <v>0.277777777777778</v>
      </c>
    </row>
    <row r="117" spans="1:26">
      <c r="A117" t="s">
        <v>1049</v>
      </c>
      <c r="B117" s="10">
        <v>1508994.39402</v>
      </c>
      <c r="C117" s="10">
        <f>SUM($B$33:B117)</f>
        <v>292351566.28902</v>
      </c>
      <c r="D117" s="12">
        <f t="shared" si="12"/>
        <v>0.826063324440688</v>
      </c>
      <c r="E117" t="str">
        <f t="shared" si="13"/>
        <v>B</v>
      </c>
      <c r="I117" t="s">
        <v>1163</v>
      </c>
      <c r="J117" s="10">
        <v>1490070.32055</v>
      </c>
      <c r="K117" s="10">
        <f>SUM($J$34:J117)</f>
        <v>285612100.9826</v>
      </c>
      <c r="L117" s="6">
        <f t="shared" si="16"/>
        <v>0.785040598143319</v>
      </c>
      <c r="M117" t="str">
        <f t="shared" si="17"/>
        <v>A</v>
      </c>
      <c r="P117" t="s">
        <v>844</v>
      </c>
      <c r="Q117" s="10">
        <v>2229298.46532</v>
      </c>
      <c r="R117" s="10">
        <f>SUM($Q$33:Q117)</f>
        <v>360413834.76079</v>
      </c>
      <c r="S117" s="6">
        <f t="shared" si="14"/>
        <v>0.681756302925038</v>
      </c>
      <c r="T117" t="str">
        <f t="shared" si="15"/>
        <v>A</v>
      </c>
      <c r="V117" t="s">
        <v>207</v>
      </c>
      <c r="W117" t="s">
        <v>1607</v>
      </c>
      <c r="X117" s="13">
        <v>5</v>
      </c>
      <c r="Y117" s="13">
        <v>25</v>
      </c>
      <c r="Z117" s="6">
        <f t="shared" si="11"/>
        <v>0.2</v>
      </c>
    </row>
    <row r="118" spans="1:26">
      <c r="A118" t="s">
        <v>387</v>
      </c>
      <c r="B118" s="10">
        <v>1486630.55736</v>
      </c>
      <c r="C118" s="10">
        <f>SUM($B$33:B118)</f>
        <v>293838196.84638</v>
      </c>
      <c r="D118" s="12">
        <f t="shared" si="12"/>
        <v>0.830263920989618</v>
      </c>
      <c r="E118" t="str">
        <f t="shared" si="13"/>
        <v>B</v>
      </c>
      <c r="I118" t="s">
        <v>532</v>
      </c>
      <c r="J118" s="10">
        <v>1486187.03168</v>
      </c>
      <c r="K118" s="10">
        <f>SUM($J$34:J118)</f>
        <v>287098288.01428</v>
      </c>
      <c r="L118" s="6">
        <f t="shared" si="16"/>
        <v>0.789125569166217</v>
      </c>
      <c r="M118" t="str">
        <f t="shared" si="17"/>
        <v>A</v>
      </c>
      <c r="P118" t="s">
        <v>1490</v>
      </c>
      <c r="Q118" s="10">
        <v>2227871.81352</v>
      </c>
      <c r="R118" s="10">
        <f>SUM($Q$33:Q118)</f>
        <v>362641706.57431</v>
      </c>
      <c r="S118" s="6">
        <f t="shared" si="14"/>
        <v>0.685970529751221</v>
      </c>
      <c r="T118" t="str">
        <f t="shared" si="15"/>
        <v>A</v>
      </c>
      <c r="W118" t="s">
        <v>1608</v>
      </c>
      <c r="X118" s="13">
        <v>5</v>
      </c>
      <c r="Y118" s="13">
        <v>15</v>
      </c>
      <c r="Z118" s="6">
        <f t="shared" si="11"/>
        <v>0.333333333333333</v>
      </c>
    </row>
    <row r="119" spans="1:26">
      <c r="A119" t="s">
        <v>1145</v>
      </c>
      <c r="B119" s="10">
        <v>1484713.36728</v>
      </c>
      <c r="C119" s="10">
        <f>SUM($B$33:B119)</f>
        <v>295322910.21366</v>
      </c>
      <c r="D119" s="12">
        <f t="shared" si="12"/>
        <v>0.83445910036076</v>
      </c>
      <c r="E119" t="str">
        <f t="shared" si="13"/>
        <v>B</v>
      </c>
      <c r="I119" t="s">
        <v>1061</v>
      </c>
      <c r="J119" s="10">
        <v>1475646.51222</v>
      </c>
      <c r="K119" s="10">
        <f>SUM($J$34:J119)</f>
        <v>288573934.5265</v>
      </c>
      <c r="L119" s="6">
        <f t="shared" si="16"/>
        <v>0.793181568252446</v>
      </c>
      <c r="M119" t="str">
        <f t="shared" si="17"/>
        <v>A</v>
      </c>
      <c r="P119" t="s">
        <v>447</v>
      </c>
      <c r="Q119" s="10">
        <v>2226355.72362</v>
      </c>
      <c r="R119" s="10">
        <f>SUM($Q$33:Q119)</f>
        <v>364868062.29793</v>
      </c>
      <c r="S119" s="6">
        <f t="shared" si="14"/>
        <v>0.690181888752294</v>
      </c>
      <c r="T119" t="str">
        <f t="shared" si="15"/>
        <v>A</v>
      </c>
      <c r="W119" t="s">
        <v>1605</v>
      </c>
      <c r="X119" s="13">
        <v>4</v>
      </c>
      <c r="Y119" s="13">
        <v>18</v>
      </c>
      <c r="Z119" s="6">
        <f t="shared" si="11"/>
        <v>0.222222222222222</v>
      </c>
    </row>
    <row r="120" spans="1:26">
      <c r="A120" t="s">
        <v>752</v>
      </c>
      <c r="B120" s="10">
        <v>1482089.796</v>
      </c>
      <c r="C120" s="10">
        <f>SUM($B$33:B120)</f>
        <v>296805000.00966</v>
      </c>
      <c r="D120" s="12">
        <f t="shared" si="12"/>
        <v>0.838646866616108</v>
      </c>
      <c r="E120" t="str">
        <f t="shared" si="13"/>
        <v>B</v>
      </c>
      <c r="I120" t="s">
        <v>992</v>
      </c>
      <c r="J120" s="10">
        <v>1463194.03104</v>
      </c>
      <c r="K120" s="10">
        <f>SUM($J$34:J120)</f>
        <v>290037128.55754</v>
      </c>
      <c r="L120" s="6">
        <f t="shared" si="16"/>
        <v>0.797203340135974</v>
      </c>
      <c r="M120" t="str">
        <f t="shared" si="17"/>
        <v>A</v>
      </c>
      <c r="P120" t="s">
        <v>341</v>
      </c>
      <c r="Q120" s="10">
        <v>2188002.57456</v>
      </c>
      <c r="R120" s="10">
        <f>SUM($Q$33:Q120)</f>
        <v>367056064.87249</v>
      </c>
      <c r="S120" s="6">
        <f t="shared" si="14"/>
        <v>0.694320699203376</v>
      </c>
      <c r="T120" t="str">
        <f t="shared" si="15"/>
        <v>A</v>
      </c>
      <c r="V120" t="s">
        <v>1636</v>
      </c>
      <c r="X120" s="13">
        <v>14</v>
      </c>
      <c r="Y120" s="13">
        <v>58</v>
      </c>
      <c r="Z120" s="6">
        <f t="shared" si="11"/>
        <v>0.241379310344828</v>
      </c>
    </row>
    <row r="121" spans="1:26">
      <c r="A121" t="s">
        <v>469</v>
      </c>
      <c r="B121" s="10">
        <v>1481926.30485</v>
      </c>
      <c r="C121" s="10">
        <f>SUM($B$33:B121)</f>
        <v>298286926.31451</v>
      </c>
      <c r="D121" s="12">
        <f t="shared" si="12"/>
        <v>0.842834170913805</v>
      </c>
      <c r="E121" t="str">
        <f t="shared" si="13"/>
        <v>B</v>
      </c>
      <c r="I121" t="s">
        <v>1123</v>
      </c>
      <c r="J121" s="10">
        <v>1462251.47475</v>
      </c>
      <c r="K121" s="10">
        <f>SUM($J$34:J121)</f>
        <v>291499380.03229</v>
      </c>
      <c r="L121" s="6">
        <f t="shared" si="16"/>
        <v>0.801222521285598</v>
      </c>
      <c r="M121" t="str">
        <f t="shared" si="17"/>
        <v>B</v>
      </c>
      <c r="P121" t="s">
        <v>994</v>
      </c>
      <c r="Q121" s="10">
        <v>2177875.97352</v>
      </c>
      <c r="R121" s="10">
        <f>SUM($Q$33:Q121)</f>
        <v>369233940.84601</v>
      </c>
      <c r="S121" s="6">
        <f t="shared" si="14"/>
        <v>0.698440354246368</v>
      </c>
      <c r="T121" t="str">
        <f t="shared" si="15"/>
        <v>A</v>
      </c>
      <c r="V121" t="s">
        <v>251</v>
      </c>
      <c r="W121" t="s">
        <v>1607</v>
      </c>
      <c r="X121" s="13">
        <v>6</v>
      </c>
      <c r="Y121" s="13">
        <v>23</v>
      </c>
      <c r="Z121" s="6">
        <f t="shared" si="11"/>
        <v>0.260869565217391</v>
      </c>
    </row>
    <row r="122" spans="1:26">
      <c r="A122" t="s">
        <v>1522</v>
      </c>
      <c r="B122" s="10">
        <v>1481026.50768</v>
      </c>
      <c r="C122" s="10">
        <f>SUM($B$33:B122)</f>
        <v>299767952.82219</v>
      </c>
      <c r="D122" s="12">
        <f t="shared" si="12"/>
        <v>0.847018932760812</v>
      </c>
      <c r="E122" t="str">
        <f t="shared" si="13"/>
        <v>B</v>
      </c>
      <c r="I122" t="s">
        <v>1073</v>
      </c>
      <c r="J122" s="10">
        <v>1434690.21024</v>
      </c>
      <c r="K122" s="10">
        <f>SUM($J$34:J122)</f>
        <v>292934070.24253</v>
      </c>
      <c r="L122" s="6">
        <f t="shared" si="16"/>
        <v>0.80516594685098</v>
      </c>
      <c r="M122" t="str">
        <f t="shared" si="17"/>
        <v>B</v>
      </c>
      <c r="P122" t="s">
        <v>1338</v>
      </c>
      <c r="Q122" s="10">
        <v>2136169.6716</v>
      </c>
      <c r="R122" s="10">
        <f>SUM($Q$33:Q122)</f>
        <v>371370110.51761</v>
      </c>
      <c r="S122" s="6">
        <f t="shared" si="14"/>
        <v>0.702481117938742</v>
      </c>
      <c r="T122" t="str">
        <f t="shared" si="15"/>
        <v>A</v>
      </c>
      <c r="W122" t="s">
        <v>1608</v>
      </c>
      <c r="X122" s="13">
        <v>5</v>
      </c>
      <c r="Y122" s="13">
        <v>22</v>
      </c>
      <c r="Z122" s="6">
        <f t="shared" si="11"/>
        <v>0.227272727272727</v>
      </c>
    </row>
    <row r="123" spans="1:26">
      <c r="A123" t="s">
        <v>555</v>
      </c>
      <c r="B123" s="10">
        <v>1449103.79808</v>
      </c>
      <c r="C123" s="10">
        <f>SUM($B$33:B123)</f>
        <v>301217056.62027</v>
      </c>
      <c r="D123" s="12">
        <f t="shared" si="12"/>
        <v>0.851113494374066</v>
      </c>
      <c r="E123" t="str">
        <f t="shared" si="13"/>
        <v>B</v>
      </c>
      <c r="I123" t="s">
        <v>591</v>
      </c>
      <c r="J123" s="10">
        <v>1416004.814</v>
      </c>
      <c r="K123" s="10">
        <f>SUM($J$34:J123)</f>
        <v>294350075.05653</v>
      </c>
      <c r="L123" s="6">
        <f t="shared" si="16"/>
        <v>0.809058013266695</v>
      </c>
      <c r="M123" t="str">
        <f t="shared" si="17"/>
        <v>B</v>
      </c>
      <c r="P123" t="s">
        <v>684</v>
      </c>
      <c r="Q123" s="10">
        <v>2126621.61432</v>
      </c>
      <c r="R123" s="10">
        <f>SUM($Q$33:Q123)</f>
        <v>373496732.13193</v>
      </c>
      <c r="S123" s="6">
        <f t="shared" si="14"/>
        <v>0.706503820592377</v>
      </c>
      <c r="T123" t="str">
        <f t="shared" si="15"/>
        <v>A</v>
      </c>
      <c r="W123" t="s">
        <v>1605</v>
      </c>
      <c r="X123" s="13">
        <v>2</v>
      </c>
      <c r="Y123" s="13">
        <v>9</v>
      </c>
      <c r="Z123" s="6">
        <f t="shared" si="11"/>
        <v>0.222222222222222</v>
      </c>
    </row>
    <row r="124" spans="1:26">
      <c r="A124" t="s">
        <v>954</v>
      </c>
      <c r="B124" s="10">
        <v>1391281.688</v>
      </c>
      <c r="C124" s="10">
        <f>SUM($B$33:B124)</f>
        <v>302608338.30827</v>
      </c>
      <c r="D124" s="12">
        <f t="shared" si="12"/>
        <v>0.855044674873665</v>
      </c>
      <c r="E124" t="str">
        <f t="shared" si="13"/>
        <v>B</v>
      </c>
      <c r="I124" t="s">
        <v>1129</v>
      </c>
      <c r="J124" s="10">
        <v>1377290.91864</v>
      </c>
      <c r="K124" s="10">
        <f>SUM($J$34:J124)</f>
        <v>295727365.97517</v>
      </c>
      <c r="L124" s="6">
        <f t="shared" si="16"/>
        <v>0.812843669696751</v>
      </c>
      <c r="M124" t="str">
        <f t="shared" si="17"/>
        <v>B</v>
      </c>
      <c r="P124" t="s">
        <v>1368</v>
      </c>
      <c r="Q124" s="10">
        <v>2103856.0092</v>
      </c>
      <c r="R124" s="10">
        <f>SUM($Q$33:Q124)</f>
        <v>375600588.14113</v>
      </c>
      <c r="S124" s="6">
        <f t="shared" si="14"/>
        <v>0.710483459985717</v>
      </c>
      <c r="T124" t="str">
        <f t="shared" si="15"/>
        <v>A</v>
      </c>
      <c r="V124" t="s">
        <v>1637</v>
      </c>
      <c r="X124" s="13">
        <v>13</v>
      </c>
      <c r="Y124" s="13">
        <v>54</v>
      </c>
      <c r="Z124" s="6">
        <f t="shared" si="11"/>
        <v>0.240740740740741</v>
      </c>
    </row>
    <row r="125" spans="1:26">
      <c r="A125" t="s">
        <v>246</v>
      </c>
      <c r="B125" s="10">
        <v>1379283.15</v>
      </c>
      <c r="C125" s="10">
        <f>SUM($B$33:B125)</f>
        <v>303987621.45827</v>
      </c>
      <c r="D125" s="12">
        <f t="shared" si="12"/>
        <v>0.858941952520222</v>
      </c>
      <c r="E125" t="str">
        <f t="shared" si="13"/>
        <v>B</v>
      </c>
      <c r="I125" t="s">
        <v>1119</v>
      </c>
      <c r="J125" s="10">
        <v>1345074</v>
      </c>
      <c r="K125" s="10">
        <f>SUM($J$34:J125)</f>
        <v>297072439.97517</v>
      </c>
      <c r="L125" s="6">
        <f t="shared" si="16"/>
        <v>0.816540773894628</v>
      </c>
      <c r="M125" t="str">
        <f t="shared" si="17"/>
        <v>B</v>
      </c>
      <c r="P125" t="s">
        <v>1165</v>
      </c>
      <c r="Q125" s="10">
        <v>2100162.977</v>
      </c>
      <c r="R125" s="10">
        <f>SUM($Q$33:Q125)</f>
        <v>377700751.11813</v>
      </c>
      <c r="S125" s="6">
        <f t="shared" si="14"/>
        <v>0.714456113665035</v>
      </c>
      <c r="T125" t="str">
        <f t="shared" si="15"/>
        <v>A</v>
      </c>
      <c r="V125" t="s">
        <v>240</v>
      </c>
      <c r="W125" t="s">
        <v>1607</v>
      </c>
      <c r="X125" s="13">
        <v>7</v>
      </c>
      <c r="Y125" s="13">
        <v>19</v>
      </c>
      <c r="Z125" s="6">
        <f t="shared" si="11"/>
        <v>0.368421052631579</v>
      </c>
    </row>
    <row r="126" spans="1:26">
      <c r="A126" t="s">
        <v>962</v>
      </c>
      <c r="B126" s="10">
        <v>1378021.0746</v>
      </c>
      <c r="C126" s="10">
        <f>SUM($B$33:B126)</f>
        <v>305365642.53287</v>
      </c>
      <c r="D126" s="12">
        <f t="shared" si="12"/>
        <v>0.862835664069241</v>
      </c>
      <c r="E126" t="str">
        <f t="shared" si="13"/>
        <v>B</v>
      </c>
      <c r="I126" t="s">
        <v>1378</v>
      </c>
      <c r="J126" s="10">
        <v>1330491.72645</v>
      </c>
      <c r="K126" s="10">
        <f>SUM($J$34:J126)</f>
        <v>298402931.70162</v>
      </c>
      <c r="L126" s="6">
        <f t="shared" si="16"/>
        <v>0.820197796888974</v>
      </c>
      <c r="M126" t="str">
        <f t="shared" si="17"/>
        <v>B</v>
      </c>
      <c r="P126" t="s">
        <v>353</v>
      </c>
      <c r="Q126" s="10">
        <v>2097656.904</v>
      </c>
      <c r="R126" s="10">
        <f>SUM($Q$33:Q126)</f>
        <v>379798408.02213</v>
      </c>
      <c r="S126" s="6">
        <f t="shared" si="14"/>
        <v>0.718424026874098</v>
      </c>
      <c r="T126" t="str">
        <f t="shared" si="15"/>
        <v>A</v>
      </c>
      <c r="W126" t="s">
        <v>1605</v>
      </c>
      <c r="X126" s="13">
        <v>3</v>
      </c>
      <c r="Y126" s="13">
        <v>14</v>
      </c>
      <c r="Z126" s="6">
        <f t="shared" si="11"/>
        <v>0.214285714285714</v>
      </c>
    </row>
    <row r="127" spans="1:26">
      <c r="A127" t="s">
        <v>465</v>
      </c>
      <c r="B127" s="10">
        <v>1366981</v>
      </c>
      <c r="C127" s="10">
        <f>SUM($B$33:B127)</f>
        <v>306732623.53287</v>
      </c>
      <c r="D127" s="12">
        <f t="shared" si="12"/>
        <v>0.866698180982152</v>
      </c>
      <c r="E127" t="str">
        <f t="shared" si="13"/>
        <v>B</v>
      </c>
      <c r="I127" t="s">
        <v>1360</v>
      </c>
      <c r="J127" s="10">
        <v>1323439.92</v>
      </c>
      <c r="K127" s="10">
        <f>SUM($J$34:J127)</f>
        <v>299726371.62162</v>
      </c>
      <c r="L127" s="6">
        <f t="shared" si="16"/>
        <v>0.823835437110902</v>
      </c>
      <c r="M127" t="str">
        <f t="shared" si="17"/>
        <v>B</v>
      </c>
      <c r="P127" t="s">
        <v>998</v>
      </c>
      <c r="Q127" s="10">
        <v>2070937.2303</v>
      </c>
      <c r="R127" s="10">
        <f>SUM($Q$33:Q127)</f>
        <v>381869345.25243</v>
      </c>
      <c r="S127" s="6">
        <f t="shared" si="14"/>
        <v>0.722341397334242</v>
      </c>
      <c r="T127" t="str">
        <f t="shared" si="15"/>
        <v>A</v>
      </c>
      <c r="W127" t="s">
        <v>1608</v>
      </c>
      <c r="X127" s="13">
        <v>2</v>
      </c>
      <c r="Y127" s="13">
        <v>18</v>
      </c>
      <c r="Z127" s="6">
        <f t="shared" si="11"/>
        <v>0.111111111111111</v>
      </c>
    </row>
    <row r="128" spans="1:26">
      <c r="A128" t="s">
        <v>379</v>
      </c>
      <c r="B128" s="10">
        <v>1365751.024</v>
      </c>
      <c r="C128" s="10">
        <f>SUM($B$33:B128)</f>
        <v>308098374.55687</v>
      </c>
      <c r="D128" s="12">
        <f t="shared" si="12"/>
        <v>0.870557222497012</v>
      </c>
      <c r="E128" t="str">
        <f t="shared" si="13"/>
        <v>B</v>
      </c>
      <c r="I128" t="s">
        <v>762</v>
      </c>
      <c r="J128" s="10">
        <v>1321496.48416</v>
      </c>
      <c r="K128" s="10">
        <f>SUM($J$34:J128)</f>
        <v>301047868.10578</v>
      </c>
      <c r="L128" s="6">
        <f t="shared" si="16"/>
        <v>0.827467735556242</v>
      </c>
      <c r="M128" t="str">
        <f t="shared" si="17"/>
        <v>B</v>
      </c>
      <c r="P128" t="s">
        <v>682</v>
      </c>
      <c r="Q128" s="10">
        <v>2062920.6072</v>
      </c>
      <c r="R128" s="10">
        <f>SUM($Q$33:Q128)</f>
        <v>383932265.85963</v>
      </c>
      <c r="S128" s="6">
        <f t="shared" si="14"/>
        <v>0.726243603605891</v>
      </c>
      <c r="T128" t="str">
        <f t="shared" si="15"/>
        <v>A</v>
      </c>
      <c r="V128" t="s">
        <v>1638</v>
      </c>
      <c r="X128" s="13">
        <v>12</v>
      </c>
      <c r="Y128" s="13">
        <v>51</v>
      </c>
      <c r="Z128" s="6">
        <f t="shared" si="11"/>
        <v>0.235294117647059</v>
      </c>
    </row>
    <row r="129" spans="1:26">
      <c r="A129" t="s">
        <v>1169</v>
      </c>
      <c r="B129" s="10">
        <v>1352667.64125</v>
      </c>
      <c r="C129" s="10">
        <f>SUM($B$33:B129)</f>
        <v>309451042.19812</v>
      </c>
      <c r="D129" s="12">
        <f t="shared" si="12"/>
        <v>0.874379295841027</v>
      </c>
      <c r="E129" t="str">
        <f t="shared" si="13"/>
        <v>B</v>
      </c>
      <c r="I129" t="s">
        <v>812</v>
      </c>
      <c r="J129" s="10">
        <v>1318152.0891</v>
      </c>
      <c r="K129" s="10">
        <f>SUM($J$34:J129)</f>
        <v>302366020.19488</v>
      </c>
      <c r="L129" s="6">
        <f t="shared" si="16"/>
        <v>0.831090841513275</v>
      </c>
      <c r="M129" t="str">
        <f t="shared" si="17"/>
        <v>B</v>
      </c>
      <c r="P129" t="s">
        <v>1394</v>
      </c>
      <c r="Q129" s="10">
        <v>2004359.32112</v>
      </c>
      <c r="R129" s="10">
        <f>SUM($Q$33:Q129)</f>
        <v>385936625.18075</v>
      </c>
      <c r="S129" s="6">
        <f t="shared" si="14"/>
        <v>0.730035035756122</v>
      </c>
      <c r="T129" t="str">
        <f t="shared" si="15"/>
        <v>A</v>
      </c>
      <c r="V129" t="s">
        <v>221</v>
      </c>
      <c r="W129" t="s">
        <v>1607</v>
      </c>
      <c r="X129" s="13">
        <v>5</v>
      </c>
      <c r="Y129" s="13">
        <v>25</v>
      </c>
      <c r="Z129" s="6">
        <f t="shared" si="11"/>
        <v>0.2</v>
      </c>
    </row>
    <row r="130" spans="1:26">
      <c r="A130" t="s">
        <v>756</v>
      </c>
      <c r="B130" s="10">
        <v>1322751.9888</v>
      </c>
      <c r="C130" s="10">
        <f>SUM($B$33:B130)</f>
        <v>310773794.18692</v>
      </c>
      <c r="D130" s="12">
        <f t="shared" si="12"/>
        <v>0.878116840055852</v>
      </c>
      <c r="E130" t="str">
        <f t="shared" si="13"/>
        <v>B</v>
      </c>
      <c r="I130" t="s">
        <v>551</v>
      </c>
      <c r="J130" s="10">
        <v>1317217.89015</v>
      </c>
      <c r="K130" s="10">
        <f>SUM($J$34:J130)</f>
        <v>303683238.08503</v>
      </c>
      <c r="L130" s="6">
        <f t="shared" si="16"/>
        <v>0.834711379707598</v>
      </c>
      <c r="M130" t="str">
        <f t="shared" si="17"/>
        <v>B</v>
      </c>
      <c r="P130" t="s">
        <v>390</v>
      </c>
      <c r="Q130" s="10">
        <v>1970828.0816</v>
      </c>
      <c r="R130" s="10">
        <f>SUM($Q$33:Q130)</f>
        <v>387907453.26235</v>
      </c>
      <c r="S130" s="6">
        <f t="shared" si="14"/>
        <v>0.733763040446908</v>
      </c>
      <c r="T130" t="str">
        <f t="shared" si="15"/>
        <v>A</v>
      </c>
      <c r="W130" t="s">
        <v>1608</v>
      </c>
      <c r="X130" s="13">
        <v>4</v>
      </c>
      <c r="Y130" s="13">
        <v>18</v>
      </c>
      <c r="Z130" s="6">
        <f t="shared" si="11"/>
        <v>0.222222222222222</v>
      </c>
    </row>
    <row r="131" spans="1:26">
      <c r="A131" t="s">
        <v>314</v>
      </c>
      <c r="B131" s="10">
        <v>1321850</v>
      </c>
      <c r="C131" s="10">
        <f>SUM($B$33:B131)</f>
        <v>312095644.18692</v>
      </c>
      <c r="D131" s="12">
        <f t="shared" si="12"/>
        <v>0.881851835627357</v>
      </c>
      <c r="E131" t="str">
        <f t="shared" si="13"/>
        <v>B</v>
      </c>
      <c r="I131" t="s">
        <v>338</v>
      </c>
      <c r="J131" s="10">
        <v>1247149.49942</v>
      </c>
      <c r="K131" s="10">
        <f>SUM($J$34:J131)</f>
        <v>304930387.58445</v>
      </c>
      <c r="L131" s="6">
        <f t="shared" si="16"/>
        <v>0.838139326162355</v>
      </c>
      <c r="M131" t="str">
        <f t="shared" si="17"/>
        <v>B</v>
      </c>
      <c r="P131" t="s">
        <v>798</v>
      </c>
      <c r="Q131" s="10">
        <v>1968107.86888</v>
      </c>
      <c r="R131" s="10">
        <f>SUM($Q$33:Q131)</f>
        <v>389875561.13123</v>
      </c>
      <c r="S131" s="6">
        <f t="shared" si="14"/>
        <v>0.737485899602234</v>
      </c>
      <c r="T131" t="str">
        <f t="shared" si="15"/>
        <v>A</v>
      </c>
      <c r="W131" t="s">
        <v>1605</v>
      </c>
      <c r="X131" s="13">
        <v>3</v>
      </c>
      <c r="Y131" s="13">
        <v>18</v>
      </c>
      <c r="Z131" s="6">
        <f t="shared" si="11"/>
        <v>0.166666666666667</v>
      </c>
    </row>
    <row r="132" spans="1:26">
      <c r="A132" t="s">
        <v>830</v>
      </c>
      <c r="B132" s="10">
        <v>1318603.07688</v>
      </c>
      <c r="C132" s="10">
        <f>SUM($B$33:B132)</f>
        <v>313414247.2638</v>
      </c>
      <c r="D132" s="12">
        <f t="shared" si="12"/>
        <v>0.885577656751326</v>
      </c>
      <c r="E132" t="str">
        <f t="shared" si="13"/>
        <v>B</v>
      </c>
      <c r="I132" t="s">
        <v>1101</v>
      </c>
      <c r="J132" s="10">
        <v>1225813.3866</v>
      </c>
      <c r="K132" s="10">
        <f>SUM($J$34:J132)</f>
        <v>306156200.97105</v>
      </c>
      <c r="L132" s="6">
        <f t="shared" si="16"/>
        <v>0.841508627641241</v>
      </c>
      <c r="M132" t="str">
        <f t="shared" si="17"/>
        <v>B</v>
      </c>
      <c r="P132" t="s">
        <v>1356</v>
      </c>
      <c r="Q132" s="10">
        <v>1956897.16992</v>
      </c>
      <c r="R132" s="10">
        <f>SUM($Q$33:Q132)</f>
        <v>391832458.30115</v>
      </c>
      <c r="S132" s="6">
        <f t="shared" si="14"/>
        <v>0.741187552677385</v>
      </c>
      <c r="T132" t="str">
        <f t="shared" si="15"/>
        <v>A</v>
      </c>
      <c r="V132" t="s">
        <v>1639</v>
      </c>
      <c r="X132" s="13">
        <v>12</v>
      </c>
      <c r="Y132" s="13">
        <v>61</v>
      </c>
      <c r="Z132" s="6">
        <f t="shared" si="11"/>
        <v>0.19672131147541</v>
      </c>
    </row>
    <row r="133" spans="1:26">
      <c r="A133" t="s">
        <v>1329</v>
      </c>
      <c r="B133" s="10">
        <v>1275827.3978</v>
      </c>
      <c r="C133" s="10">
        <f>SUM($B$33:B133)</f>
        <v>314690074.6616</v>
      </c>
      <c r="D133" s="12">
        <f t="shared" si="12"/>
        <v>0.889182611686294</v>
      </c>
      <c r="E133" t="str">
        <f t="shared" si="13"/>
        <v>B</v>
      </c>
      <c r="I133" t="s">
        <v>866</v>
      </c>
      <c r="J133" s="10">
        <v>1221733.23048</v>
      </c>
      <c r="K133" s="10">
        <f>SUM($J$34:J133)</f>
        <v>307377934.20153</v>
      </c>
      <c r="L133" s="6">
        <f t="shared" si="16"/>
        <v>0.844866714300483</v>
      </c>
      <c r="M133" t="str">
        <f t="shared" si="17"/>
        <v>B</v>
      </c>
      <c r="P133" t="s">
        <v>605</v>
      </c>
      <c r="Q133" s="10">
        <v>1945318.30912</v>
      </c>
      <c r="R133" s="10">
        <f>SUM($Q$33:Q133)</f>
        <v>393777776.61027</v>
      </c>
      <c r="S133" s="6">
        <f t="shared" si="14"/>
        <v>0.744867303259984</v>
      </c>
      <c r="T133" t="str">
        <f t="shared" si="15"/>
        <v>A</v>
      </c>
      <c r="V133" t="s">
        <v>277</v>
      </c>
      <c r="W133" t="s">
        <v>1607</v>
      </c>
      <c r="X133" s="13">
        <v>7</v>
      </c>
      <c r="Y133" s="13">
        <v>22</v>
      </c>
      <c r="Z133" s="6">
        <f t="shared" si="11"/>
        <v>0.318181818181818</v>
      </c>
    </row>
    <row r="134" spans="1:26">
      <c r="A134" t="s">
        <v>950</v>
      </c>
      <c r="B134" s="10">
        <v>1206436.95966</v>
      </c>
      <c r="C134" s="10">
        <f>SUM($B$33:B134)</f>
        <v>315896511.62126</v>
      </c>
      <c r="D134" s="12">
        <f t="shared" si="12"/>
        <v>0.892591498248029</v>
      </c>
      <c r="E134" t="str">
        <f t="shared" si="13"/>
        <v>B</v>
      </c>
      <c r="I134" t="s">
        <v>436</v>
      </c>
      <c r="J134" s="10">
        <v>1220545.7264</v>
      </c>
      <c r="K134" s="10">
        <f>SUM($J$34:J134)</f>
        <v>308598479.92793</v>
      </c>
      <c r="L134" s="6">
        <f t="shared" si="16"/>
        <v>0.848221536956168</v>
      </c>
      <c r="M134" t="str">
        <f t="shared" si="17"/>
        <v>B</v>
      </c>
      <c r="P134" t="s">
        <v>694</v>
      </c>
      <c r="Q134" s="10">
        <v>1905182.8698</v>
      </c>
      <c r="R134" s="10">
        <f>SUM($Q$33:Q134)</f>
        <v>395682959.48007</v>
      </c>
      <c r="S134" s="6">
        <f t="shared" si="14"/>
        <v>0.748471133924734</v>
      </c>
      <c r="T134" t="str">
        <f t="shared" si="15"/>
        <v>A</v>
      </c>
      <c r="W134" t="s">
        <v>1605</v>
      </c>
      <c r="X134" s="13">
        <v>2</v>
      </c>
      <c r="Y134" s="13">
        <v>12</v>
      </c>
      <c r="Z134" s="6">
        <f t="shared" si="11"/>
        <v>0.166666666666667</v>
      </c>
    </row>
    <row r="135" spans="1:26">
      <c r="A135" t="s">
        <v>658</v>
      </c>
      <c r="B135" s="10">
        <v>1192947.28644</v>
      </c>
      <c r="C135" s="10">
        <f>SUM($B$33:B135)</f>
        <v>317089458.9077</v>
      </c>
      <c r="D135" s="12">
        <f t="shared" si="12"/>
        <v>0.895962268631879</v>
      </c>
      <c r="E135" t="str">
        <f t="shared" si="13"/>
        <v>B</v>
      </c>
      <c r="I135" t="s">
        <v>593</v>
      </c>
      <c r="J135" s="10">
        <v>1209126.1264</v>
      </c>
      <c r="K135" s="10">
        <f>SUM($J$34:J135)</f>
        <v>309807606.05433</v>
      </c>
      <c r="L135" s="6">
        <f t="shared" si="16"/>
        <v>0.851544971412321</v>
      </c>
      <c r="M135" t="str">
        <f t="shared" si="17"/>
        <v>B</v>
      </c>
      <c r="P135" t="s">
        <v>826</v>
      </c>
      <c r="Q135" s="10">
        <v>1902908.098</v>
      </c>
      <c r="R135" s="10">
        <f>SUM($Q$33:Q135)</f>
        <v>397585867.57807</v>
      </c>
      <c r="S135" s="6">
        <f t="shared" si="14"/>
        <v>0.752070661646969</v>
      </c>
      <c r="T135" t="str">
        <f t="shared" si="15"/>
        <v>A</v>
      </c>
      <c r="W135" t="s">
        <v>1608</v>
      </c>
      <c r="X135" s="13">
        <v>1</v>
      </c>
      <c r="Y135" s="13">
        <v>17</v>
      </c>
      <c r="Z135" s="6">
        <f t="shared" si="11"/>
        <v>0.0588235294117647</v>
      </c>
    </row>
    <row r="136" spans="1:26">
      <c r="A136" t="s">
        <v>1241</v>
      </c>
      <c r="B136" s="10">
        <v>1109995.4804</v>
      </c>
      <c r="C136" s="10">
        <f>SUM($B$33:B136)</f>
        <v>318199454.3881</v>
      </c>
      <c r="D136" s="12">
        <f t="shared" si="12"/>
        <v>0.899098651885413</v>
      </c>
      <c r="E136" t="str">
        <f t="shared" si="13"/>
        <v>B</v>
      </c>
      <c r="I136" t="s">
        <v>1267</v>
      </c>
      <c r="J136" s="10">
        <v>1166668.44294</v>
      </c>
      <c r="K136" s="10">
        <f>SUM($J$34:J136)</f>
        <v>310974274.49727</v>
      </c>
      <c r="L136" s="6">
        <f t="shared" si="16"/>
        <v>0.854751705612761</v>
      </c>
      <c r="M136" t="str">
        <f t="shared" si="17"/>
        <v>B</v>
      </c>
      <c r="P136" t="s">
        <v>1067</v>
      </c>
      <c r="Q136" s="10">
        <v>1893526.73184</v>
      </c>
      <c r="R136" s="10">
        <f>SUM($Q$33:Q136)</f>
        <v>399479394.30991</v>
      </c>
      <c r="S136" s="6">
        <f t="shared" si="14"/>
        <v>0.75565244364223</v>
      </c>
      <c r="T136" t="str">
        <f t="shared" si="15"/>
        <v>A</v>
      </c>
      <c r="V136" t="s">
        <v>1640</v>
      </c>
      <c r="X136" s="13">
        <v>10</v>
      </c>
      <c r="Y136" s="13">
        <v>51</v>
      </c>
      <c r="Z136" s="6">
        <f t="shared" si="11"/>
        <v>0.196078431372549</v>
      </c>
    </row>
    <row r="137" spans="1:26">
      <c r="A137" t="s">
        <v>1293</v>
      </c>
      <c r="B137" s="10">
        <v>1085964</v>
      </c>
      <c r="C137" s="10">
        <f>SUM($B$33:B137)</f>
        <v>319285418.3881</v>
      </c>
      <c r="D137" s="12">
        <f t="shared" si="12"/>
        <v>0.902167132220408</v>
      </c>
      <c r="E137" t="str">
        <f t="shared" si="13"/>
        <v>B</v>
      </c>
      <c r="I137" t="s">
        <v>1283</v>
      </c>
      <c r="J137" s="10">
        <v>1164726.62306</v>
      </c>
      <c r="K137" s="10">
        <f>SUM($J$34:J137)</f>
        <v>312139001.12033</v>
      </c>
      <c r="L137" s="6">
        <f t="shared" si="16"/>
        <v>0.857953102478282</v>
      </c>
      <c r="M137" t="str">
        <f t="shared" si="17"/>
        <v>B</v>
      </c>
      <c r="P137" t="s">
        <v>1063</v>
      </c>
      <c r="Q137" s="10">
        <v>1818173.343</v>
      </c>
      <c r="R137" s="10">
        <f>SUM($Q$33:Q137)</f>
        <v>401297567.65291</v>
      </c>
      <c r="S137" s="6">
        <f t="shared" si="14"/>
        <v>0.759091687691291</v>
      </c>
      <c r="T137" t="str">
        <f t="shared" si="15"/>
        <v>A</v>
      </c>
      <c r="V137" t="s">
        <v>214</v>
      </c>
      <c r="W137" t="s">
        <v>1607</v>
      </c>
      <c r="X137" s="13">
        <v>5</v>
      </c>
      <c r="Y137" s="13">
        <v>15</v>
      </c>
      <c r="Z137" s="6">
        <f t="shared" si="11"/>
        <v>0.333333333333333</v>
      </c>
    </row>
    <row r="138" spans="1:26">
      <c r="A138" t="s">
        <v>882</v>
      </c>
      <c r="B138" s="10">
        <v>1079963.97586</v>
      </c>
      <c r="C138" s="10">
        <f>SUM($B$33:B138)</f>
        <v>320365382.36396</v>
      </c>
      <c r="D138" s="12">
        <f t="shared" si="12"/>
        <v>0.905218658995172</v>
      </c>
      <c r="E138" t="str">
        <f t="shared" si="13"/>
        <v>B</v>
      </c>
      <c r="I138" t="s">
        <v>1482</v>
      </c>
      <c r="J138" s="10">
        <v>1143905.10016</v>
      </c>
      <c r="K138" s="10">
        <f>SUM($J$34:J138)</f>
        <v>313282906.22049</v>
      </c>
      <c r="L138" s="6">
        <f t="shared" si="16"/>
        <v>0.861097268782719</v>
      </c>
      <c r="M138" t="str">
        <f t="shared" si="17"/>
        <v>B</v>
      </c>
      <c r="P138" t="s">
        <v>522</v>
      </c>
      <c r="Q138" s="10">
        <v>1805805.32868</v>
      </c>
      <c r="R138" s="10">
        <f>SUM($Q$33:Q138)</f>
        <v>403103372.98159</v>
      </c>
      <c r="S138" s="6">
        <f t="shared" si="14"/>
        <v>0.762507536490493</v>
      </c>
      <c r="T138" t="str">
        <f t="shared" si="15"/>
        <v>A</v>
      </c>
      <c r="W138" t="s">
        <v>1605</v>
      </c>
      <c r="X138" s="13">
        <v>2</v>
      </c>
      <c r="Y138" s="13">
        <v>9</v>
      </c>
      <c r="Z138" s="6">
        <f t="shared" si="11"/>
        <v>0.222222222222222</v>
      </c>
    </row>
    <row r="139" spans="1:26">
      <c r="A139" t="s">
        <v>746</v>
      </c>
      <c r="B139" s="10">
        <v>1069135.3556</v>
      </c>
      <c r="C139" s="10">
        <f>SUM($B$33:B139)</f>
        <v>321434517.71956</v>
      </c>
      <c r="D139" s="12">
        <f t="shared" si="12"/>
        <v>0.908239588615405</v>
      </c>
      <c r="E139" t="str">
        <f t="shared" si="13"/>
        <v>B</v>
      </c>
      <c r="I139" t="s">
        <v>1317</v>
      </c>
      <c r="J139" s="10">
        <v>1140696</v>
      </c>
      <c r="K139" s="10">
        <f>SUM($J$34:J139)</f>
        <v>314423602.22049</v>
      </c>
      <c r="L139" s="6">
        <f t="shared" si="16"/>
        <v>0.864232614473811</v>
      </c>
      <c r="M139" t="str">
        <f t="shared" si="17"/>
        <v>B</v>
      </c>
      <c r="P139" t="s">
        <v>786</v>
      </c>
      <c r="Q139" s="10">
        <v>1803582.8538</v>
      </c>
      <c r="R139" s="10">
        <f>SUM($Q$33:Q139)</f>
        <v>404906955.83539</v>
      </c>
      <c r="S139" s="6">
        <f t="shared" si="14"/>
        <v>0.76591918127167</v>
      </c>
      <c r="T139" t="str">
        <f t="shared" si="15"/>
        <v>A</v>
      </c>
      <c r="W139" t="s">
        <v>1608</v>
      </c>
      <c r="X139" s="13">
        <v>2</v>
      </c>
      <c r="Y139" s="13">
        <v>20</v>
      </c>
      <c r="Z139" s="6">
        <f t="shared" si="11"/>
        <v>0.1</v>
      </c>
    </row>
    <row r="140" spans="1:26">
      <c r="A140" t="s">
        <v>528</v>
      </c>
      <c r="B140" s="10">
        <v>1066480.5696</v>
      </c>
      <c r="C140" s="10">
        <f>SUM($B$33:B140)</f>
        <v>322500998.28916</v>
      </c>
      <c r="D140" s="12">
        <f t="shared" si="12"/>
        <v>0.911253016920093</v>
      </c>
      <c r="E140" t="str">
        <f t="shared" si="13"/>
        <v>B</v>
      </c>
      <c r="I140" t="s">
        <v>1492</v>
      </c>
      <c r="J140" s="10">
        <v>1137721.69836</v>
      </c>
      <c r="K140" s="10">
        <f>SUM($J$34:J140)</f>
        <v>315561323.91885</v>
      </c>
      <c r="L140" s="6">
        <f t="shared" si="16"/>
        <v>0.867359784924672</v>
      </c>
      <c r="M140" t="str">
        <f t="shared" si="17"/>
        <v>B</v>
      </c>
      <c r="P140" t="s">
        <v>1018</v>
      </c>
      <c r="Q140" s="10">
        <v>1780182.1026</v>
      </c>
      <c r="R140" s="10">
        <f>SUM($Q$33:Q140)</f>
        <v>406687137.93799</v>
      </c>
      <c r="S140" s="6">
        <f t="shared" si="14"/>
        <v>0.769286561354644</v>
      </c>
      <c r="T140" t="str">
        <f t="shared" si="15"/>
        <v>A</v>
      </c>
      <c r="V140" t="s">
        <v>1641</v>
      </c>
      <c r="X140" s="13">
        <v>9</v>
      </c>
      <c r="Y140" s="13">
        <v>44</v>
      </c>
      <c r="Z140" s="6">
        <f t="shared" si="11"/>
        <v>0.204545454545455</v>
      </c>
    </row>
    <row r="141" spans="1:26">
      <c r="A141" t="s">
        <v>1155</v>
      </c>
      <c r="B141" s="10">
        <v>1054451.12832</v>
      </c>
      <c r="C141" s="10">
        <f>SUM($B$33:B141)</f>
        <v>323555449.41748</v>
      </c>
      <c r="D141" s="12">
        <f t="shared" si="12"/>
        <v>0.914232455051986</v>
      </c>
      <c r="E141" t="str">
        <f t="shared" si="13"/>
        <v>B</v>
      </c>
      <c r="I141" t="s">
        <v>445</v>
      </c>
      <c r="J141" s="10">
        <v>1122976.90624</v>
      </c>
      <c r="K141" s="10">
        <f>SUM($J$34:J141)</f>
        <v>316684300.82509</v>
      </c>
      <c r="L141" s="6">
        <f t="shared" si="16"/>
        <v>0.870446427469378</v>
      </c>
      <c r="M141" t="str">
        <f t="shared" si="17"/>
        <v>B</v>
      </c>
      <c r="P141" t="s">
        <v>898</v>
      </c>
      <c r="Q141" s="10">
        <v>1761552.84375</v>
      </c>
      <c r="R141" s="10">
        <f>SUM($Q$33:Q141)</f>
        <v>408448690.78174</v>
      </c>
      <c r="S141" s="6">
        <f t="shared" si="14"/>
        <v>0.772618702461156</v>
      </c>
      <c r="T141" t="str">
        <f t="shared" si="15"/>
        <v>A</v>
      </c>
      <c r="V141" t="s">
        <v>1599</v>
      </c>
      <c r="X141" s="13">
        <v>172</v>
      </c>
      <c r="Y141" s="13">
        <v>631</v>
      </c>
      <c r="Z141" s="6">
        <f t="shared" si="11"/>
        <v>0.272583201267829</v>
      </c>
    </row>
    <row r="142" spans="1:26">
      <c r="A142" t="s">
        <v>896</v>
      </c>
      <c r="B142" s="10">
        <v>1053500.46692</v>
      </c>
      <c r="C142" s="10">
        <f>SUM($B$33:B142)</f>
        <v>324608949.8844</v>
      </c>
      <c r="D142" s="12">
        <f t="shared" si="12"/>
        <v>0.917209207012136</v>
      </c>
      <c r="E142" t="str">
        <f t="shared" si="13"/>
        <v>B</v>
      </c>
      <c r="I142" t="s">
        <v>1203</v>
      </c>
      <c r="J142" s="10">
        <v>1095998.69736</v>
      </c>
      <c r="K142" s="10">
        <f>SUM($J$34:J142)</f>
        <v>317780299.52245</v>
      </c>
      <c r="L142" s="6">
        <f t="shared" si="16"/>
        <v>0.873458917031199</v>
      </c>
      <c r="M142" t="str">
        <f t="shared" si="17"/>
        <v>B</v>
      </c>
      <c r="P142" t="s">
        <v>1370</v>
      </c>
      <c r="Q142" s="10">
        <v>1735704.62208</v>
      </c>
      <c r="R142" s="10">
        <f>SUM($Q$33:Q142)</f>
        <v>410184395.40382</v>
      </c>
      <c r="S142" s="6">
        <f t="shared" si="14"/>
        <v>0.775901949251348</v>
      </c>
      <c r="T142" t="str">
        <f t="shared" si="15"/>
        <v>A</v>
      </c>
    </row>
    <row r="143" spans="1:26">
      <c r="A143" t="s">
        <v>822</v>
      </c>
      <c r="B143" s="10">
        <v>1031948.9425</v>
      </c>
      <c r="C143" s="10">
        <f>SUM($B$33:B143)</f>
        <v>325640898.8269</v>
      </c>
      <c r="D143" s="12">
        <f t="shared" si="12"/>
        <v>0.920125063372734</v>
      </c>
      <c r="E143" t="str">
        <f t="shared" si="13"/>
        <v>B</v>
      </c>
      <c r="I143" t="s">
        <v>395</v>
      </c>
      <c r="J143" s="10">
        <v>1087191.59544</v>
      </c>
      <c r="K143" s="10">
        <f>SUM($J$34:J143)</f>
        <v>318867491.11789</v>
      </c>
      <c r="L143" s="6">
        <f t="shared" si="16"/>
        <v>0.876447199171362</v>
      </c>
      <c r="M143" t="str">
        <f t="shared" si="17"/>
        <v>B</v>
      </c>
      <c r="P143" t="s">
        <v>432</v>
      </c>
      <c r="Q143" s="10">
        <v>1675555.6644</v>
      </c>
      <c r="R143" s="10">
        <f>SUM($Q$33:Q143)</f>
        <v>411859951.06822</v>
      </c>
      <c r="S143" s="6">
        <f t="shared" si="14"/>
        <v>0.779071418691567</v>
      </c>
      <c r="T143" t="str">
        <f t="shared" si="15"/>
        <v>A</v>
      </c>
    </row>
    <row r="144" spans="1:26">
      <c r="A144" t="s">
        <v>1105</v>
      </c>
      <c r="B144" s="10">
        <v>1017616.6161</v>
      </c>
      <c r="C144" s="10">
        <f>SUM($B$33:B144)</f>
        <v>326658515.443</v>
      </c>
      <c r="D144" s="12">
        <f t="shared" si="12"/>
        <v>0.923000422569786</v>
      </c>
      <c r="E144" t="str">
        <f t="shared" si="13"/>
        <v>B</v>
      </c>
      <c r="I144" t="s">
        <v>1313</v>
      </c>
      <c r="J144" s="10">
        <v>1071993.57525</v>
      </c>
      <c r="K144" s="10">
        <f>SUM($J$34:J144)</f>
        <v>319939484.69314</v>
      </c>
      <c r="L144" s="6">
        <f t="shared" si="16"/>
        <v>0.879393707651306</v>
      </c>
      <c r="M144" t="str">
        <f t="shared" si="17"/>
        <v>B</v>
      </c>
      <c r="P144" t="s">
        <v>471</v>
      </c>
      <c r="Q144" s="10">
        <v>1668508.6152</v>
      </c>
      <c r="R144" s="10">
        <f>SUM($Q$33:Q144)</f>
        <v>413528459.68342</v>
      </c>
      <c r="S144" s="6">
        <f t="shared" si="14"/>
        <v>0.782227557982536</v>
      </c>
      <c r="T144" t="str">
        <f t="shared" si="15"/>
        <v>A</v>
      </c>
    </row>
    <row r="145" spans="1:20">
      <c r="A145" t="s">
        <v>814</v>
      </c>
      <c r="B145" s="10">
        <v>989112.8925</v>
      </c>
      <c r="C145" s="10">
        <f>SUM($B$33:B145)</f>
        <v>327647628.3355</v>
      </c>
      <c r="D145" s="12">
        <f t="shared" si="12"/>
        <v>0.925795242158397</v>
      </c>
      <c r="E145" t="str">
        <f t="shared" si="13"/>
        <v>B</v>
      </c>
      <c r="I145" t="s">
        <v>1035</v>
      </c>
      <c r="J145" s="10">
        <v>1068843.24576</v>
      </c>
      <c r="K145" s="10">
        <f>SUM($J$34:J145)</f>
        <v>321008327.9389</v>
      </c>
      <c r="L145" s="6">
        <f t="shared" si="16"/>
        <v>0.882331557056448</v>
      </c>
      <c r="M145" t="str">
        <f t="shared" si="17"/>
        <v>B</v>
      </c>
      <c r="P145" t="s">
        <v>1514</v>
      </c>
      <c r="Q145" s="10">
        <v>1660109.22273</v>
      </c>
      <c r="R145" s="10">
        <f>SUM($Q$33:Q145)</f>
        <v>415188568.90615</v>
      </c>
      <c r="S145" s="6">
        <f t="shared" si="14"/>
        <v>0.785367809041132</v>
      </c>
      <c r="T145" t="str">
        <f t="shared" si="15"/>
        <v>A</v>
      </c>
    </row>
    <row r="146" spans="1:20">
      <c r="A146" t="s">
        <v>870</v>
      </c>
      <c r="B146" s="10">
        <v>978135.0784</v>
      </c>
      <c r="C146" s="10">
        <f>SUM($B$33:B146)</f>
        <v>328625763.4139</v>
      </c>
      <c r="D146" s="12">
        <f t="shared" si="12"/>
        <v>0.928559043033048</v>
      </c>
      <c r="E146" t="str">
        <f t="shared" si="13"/>
        <v>B</v>
      </c>
      <c r="I146" t="s">
        <v>990</v>
      </c>
      <c r="J146" s="10">
        <v>1003849.08336</v>
      </c>
      <c r="K146" s="10">
        <f>SUM($J$34:J146)</f>
        <v>322012177.02226</v>
      </c>
      <c r="L146" s="6">
        <f t="shared" si="16"/>
        <v>0.885090761873524</v>
      </c>
      <c r="M146" t="str">
        <f t="shared" si="17"/>
        <v>B</v>
      </c>
      <c r="P146" t="s">
        <v>1207</v>
      </c>
      <c r="Q146" s="10">
        <v>1659091.3632</v>
      </c>
      <c r="R146" s="10">
        <f>SUM($Q$33:Q146)</f>
        <v>416847660.26935</v>
      </c>
      <c r="S146" s="6">
        <f t="shared" si="14"/>
        <v>0.788506134723721</v>
      </c>
      <c r="T146" t="str">
        <f t="shared" si="15"/>
        <v>A</v>
      </c>
    </row>
    <row r="147" spans="1:20">
      <c r="A147" t="s">
        <v>589</v>
      </c>
      <c r="B147" s="10">
        <v>939297.07116</v>
      </c>
      <c r="C147" s="10">
        <f>SUM($B$33:B147)</f>
        <v>329565060.48506</v>
      </c>
      <c r="D147" s="12">
        <f t="shared" si="12"/>
        <v>0.931213103933385</v>
      </c>
      <c r="E147" t="str">
        <f t="shared" si="13"/>
        <v>B</v>
      </c>
      <c r="I147" t="s">
        <v>1388</v>
      </c>
      <c r="J147" s="10">
        <v>985935.41544</v>
      </c>
      <c r="K147" s="10">
        <f>SUM($J$34:J147)</f>
        <v>322998112.4377</v>
      </c>
      <c r="L147" s="6">
        <f t="shared" si="16"/>
        <v>0.887800728732789</v>
      </c>
      <c r="M147" t="str">
        <f t="shared" si="17"/>
        <v>B</v>
      </c>
      <c r="P147" t="s">
        <v>1173</v>
      </c>
      <c r="Q147" s="10">
        <v>1657629.98608</v>
      </c>
      <c r="R147" s="10">
        <f>SUM($Q$33:Q147)</f>
        <v>418505290.25543</v>
      </c>
      <c r="S147" s="6">
        <f t="shared" si="14"/>
        <v>0.791641696075514</v>
      </c>
      <c r="T147" t="str">
        <f t="shared" si="15"/>
        <v>A</v>
      </c>
    </row>
    <row r="148" spans="1:20">
      <c r="A148" t="s">
        <v>1281</v>
      </c>
      <c r="B148" s="10">
        <v>929200.3786</v>
      </c>
      <c r="C148" s="10">
        <f>SUM($B$33:B148)</f>
        <v>330494260.86366</v>
      </c>
      <c r="D148" s="12">
        <f t="shared" si="12"/>
        <v>0.933838635800928</v>
      </c>
      <c r="E148" t="str">
        <f t="shared" si="13"/>
        <v>B</v>
      </c>
      <c r="I148" t="s">
        <v>631</v>
      </c>
      <c r="J148" s="10">
        <v>966639.70683</v>
      </c>
      <c r="K148" s="10">
        <f>SUM($J$34:J148)</f>
        <v>323964752.14453</v>
      </c>
      <c r="L148" s="6">
        <f t="shared" si="16"/>
        <v>0.89045765892247</v>
      </c>
      <c r="M148" t="str">
        <f t="shared" si="17"/>
        <v>B</v>
      </c>
      <c r="P148" t="s">
        <v>243</v>
      </c>
      <c r="Q148" s="10">
        <v>1610179.38344</v>
      </c>
      <c r="R148" s="10">
        <f>SUM($Q$33:Q148)</f>
        <v>420115469.63887</v>
      </c>
      <c r="S148" s="6">
        <f t="shared" si="14"/>
        <v>0.794687500197403</v>
      </c>
      <c r="T148" t="str">
        <f t="shared" si="15"/>
        <v>A</v>
      </c>
    </row>
    <row r="149" spans="1:20">
      <c r="A149" t="s">
        <v>1265</v>
      </c>
      <c r="B149" s="10">
        <v>890240.8109</v>
      </c>
      <c r="C149" s="10">
        <f>SUM($B$33:B149)</f>
        <v>331384501.67456</v>
      </c>
      <c r="D149" s="12">
        <f t="shared" si="12"/>
        <v>0.936354084215108</v>
      </c>
      <c r="E149" t="str">
        <f t="shared" si="13"/>
        <v>B</v>
      </c>
      <c r="I149" t="s">
        <v>646</v>
      </c>
      <c r="J149" s="10">
        <v>966340.785</v>
      </c>
      <c r="K149" s="10">
        <f>SUM($J$34:J149)</f>
        <v>324931092.92953</v>
      </c>
      <c r="L149" s="6">
        <f t="shared" si="16"/>
        <v>0.893113767488097</v>
      </c>
      <c r="M149" t="str">
        <f t="shared" si="17"/>
        <v>B</v>
      </c>
      <c r="P149" t="s">
        <v>1053</v>
      </c>
      <c r="Q149" s="10">
        <v>1598403.02842</v>
      </c>
      <c r="R149" s="10">
        <f>SUM($Q$33:Q149)</f>
        <v>421713872.66729</v>
      </c>
      <c r="S149" s="6">
        <f t="shared" si="14"/>
        <v>0.797711028248048</v>
      </c>
      <c r="T149" t="str">
        <f t="shared" si="15"/>
        <v>A</v>
      </c>
    </row>
    <row r="150" spans="1:20">
      <c r="A150" t="s">
        <v>1179</v>
      </c>
      <c r="B150" s="10">
        <v>872424.105</v>
      </c>
      <c r="C150" s="10">
        <f>SUM($B$33:B150)</f>
        <v>332256925.77956</v>
      </c>
      <c r="D150" s="12">
        <f t="shared" si="12"/>
        <v>0.938819190065733</v>
      </c>
      <c r="E150" t="str">
        <f t="shared" si="13"/>
        <v>B</v>
      </c>
      <c r="I150" t="s">
        <v>1209</v>
      </c>
      <c r="J150" s="10">
        <v>951917.07132</v>
      </c>
      <c r="K150" s="10">
        <f>SUM($J$34:J150)</f>
        <v>325883010.00085</v>
      </c>
      <c r="L150" s="6">
        <f t="shared" si="16"/>
        <v>0.895730230671838</v>
      </c>
      <c r="M150" t="str">
        <f t="shared" si="17"/>
        <v>B</v>
      </c>
      <c r="P150" t="s">
        <v>732</v>
      </c>
      <c r="Q150" s="10">
        <v>1587449.1486</v>
      </c>
      <c r="R150" s="10">
        <f>SUM($Q$33:Q150)</f>
        <v>423301321.81589</v>
      </c>
      <c r="S150" s="6">
        <f t="shared" si="14"/>
        <v>0.800713836015817</v>
      </c>
      <c r="T150" t="str">
        <f t="shared" si="15"/>
        <v>B</v>
      </c>
    </row>
    <row r="151" spans="1:20">
      <c r="A151" t="s">
        <v>740</v>
      </c>
      <c r="B151" s="10">
        <v>871696.6875</v>
      </c>
      <c r="C151" s="10">
        <f>SUM($B$33:B151)</f>
        <v>333128622.46706</v>
      </c>
      <c r="D151" s="12">
        <f t="shared" si="12"/>
        <v>0.941282240538561</v>
      </c>
      <c r="E151" t="str">
        <f t="shared" si="13"/>
        <v>B</v>
      </c>
      <c r="I151" t="s">
        <v>920</v>
      </c>
      <c r="J151" s="10">
        <v>949702.32</v>
      </c>
      <c r="K151" s="10">
        <f>SUM($J$34:J151)</f>
        <v>326832712.32085</v>
      </c>
      <c r="L151" s="6">
        <f t="shared" si="16"/>
        <v>0.898340606334445</v>
      </c>
      <c r="M151" t="str">
        <f t="shared" si="17"/>
        <v>B</v>
      </c>
      <c r="P151" t="s">
        <v>1277</v>
      </c>
      <c r="Q151" s="10">
        <v>1563353.2668</v>
      </c>
      <c r="R151" s="10">
        <f>SUM($Q$33:Q151)</f>
        <v>424864675.08269</v>
      </c>
      <c r="S151" s="6">
        <f t="shared" si="14"/>
        <v>0.803671064181175</v>
      </c>
      <c r="T151" t="str">
        <f t="shared" si="15"/>
        <v>B</v>
      </c>
    </row>
    <row r="152" spans="1:20">
      <c r="A152" t="s">
        <v>1472</v>
      </c>
      <c r="B152" s="10">
        <v>867135.12314</v>
      </c>
      <c r="C152" s="10">
        <f>SUM($B$33:B152)</f>
        <v>333995757.5902</v>
      </c>
      <c r="D152" s="12">
        <f t="shared" si="12"/>
        <v>0.943732401937225</v>
      </c>
      <c r="E152" t="str">
        <f t="shared" si="13"/>
        <v>B</v>
      </c>
      <c r="I152" t="s">
        <v>1486</v>
      </c>
      <c r="J152" s="10">
        <v>925614</v>
      </c>
      <c r="K152" s="10">
        <f>SUM($J$34:J152)</f>
        <v>327758326.32085</v>
      </c>
      <c r="L152" s="6">
        <f t="shared" si="16"/>
        <v>0.900884772235364</v>
      </c>
      <c r="M152" t="str">
        <f t="shared" si="17"/>
        <v>B</v>
      </c>
      <c r="P152" t="s">
        <v>1025</v>
      </c>
      <c r="Q152" s="10">
        <v>1560488.6976</v>
      </c>
      <c r="R152" s="10">
        <f>SUM($Q$33:Q152)</f>
        <v>426425163.78029</v>
      </c>
      <c r="S152" s="6">
        <f t="shared" si="14"/>
        <v>0.806622873747359</v>
      </c>
      <c r="T152" t="str">
        <f t="shared" si="15"/>
        <v>B</v>
      </c>
    </row>
    <row r="153" spans="1:20">
      <c r="A153" t="s">
        <v>546</v>
      </c>
      <c r="B153" s="10">
        <v>829375.0542</v>
      </c>
      <c r="C153" s="10">
        <f>SUM($B$33:B153)</f>
        <v>334825132.6444</v>
      </c>
      <c r="D153" s="12">
        <f t="shared" si="12"/>
        <v>0.946075869164636</v>
      </c>
      <c r="E153" t="str">
        <f t="shared" si="13"/>
        <v>B</v>
      </c>
      <c r="I153" t="s">
        <v>722</v>
      </c>
      <c r="J153" s="10">
        <v>916454.6209</v>
      </c>
      <c r="K153" s="10">
        <f>SUM($J$34:J153)</f>
        <v>328674780.94175</v>
      </c>
      <c r="L153" s="6">
        <f t="shared" si="16"/>
        <v>0.903403762436715</v>
      </c>
      <c r="M153" t="str">
        <f t="shared" si="17"/>
        <v>B</v>
      </c>
      <c r="P153" t="s">
        <v>1474</v>
      </c>
      <c r="Q153" s="10">
        <v>1543171.89411</v>
      </c>
      <c r="R153" s="10">
        <f>SUM($Q$33:Q153)</f>
        <v>427968335.6744</v>
      </c>
      <c r="S153" s="6">
        <f t="shared" si="14"/>
        <v>0.809541926968511</v>
      </c>
      <c r="T153" t="str">
        <f t="shared" si="15"/>
        <v>B</v>
      </c>
    </row>
    <row r="154" spans="1:20">
      <c r="A154" t="s">
        <v>1422</v>
      </c>
      <c r="B154" s="10">
        <v>825330.12428</v>
      </c>
      <c r="C154" s="10">
        <f>SUM($B$33:B154)</f>
        <v>335650462.76868</v>
      </c>
      <c r="D154" s="12">
        <f t="shared" si="12"/>
        <v>0.948407907110859</v>
      </c>
      <c r="E154" t="str">
        <f t="shared" si="13"/>
        <v>B</v>
      </c>
      <c r="I154" t="s">
        <v>565</v>
      </c>
      <c r="J154" s="10">
        <v>908072.86416</v>
      </c>
      <c r="K154" s="10">
        <f>SUM($J$34:J154)</f>
        <v>329582853.80591</v>
      </c>
      <c r="L154" s="6">
        <f t="shared" si="16"/>
        <v>0.905899714330859</v>
      </c>
      <c r="M154" t="str">
        <f t="shared" si="17"/>
        <v>B</v>
      </c>
      <c r="P154" t="s">
        <v>1197</v>
      </c>
      <c r="Q154" s="10">
        <v>1534101.01439</v>
      </c>
      <c r="R154" s="10">
        <f>SUM($Q$33:Q154)</f>
        <v>429502436.68879</v>
      </c>
      <c r="S154" s="6">
        <f t="shared" si="14"/>
        <v>0.812443821776679</v>
      </c>
      <c r="T154" t="str">
        <f t="shared" si="15"/>
        <v>B</v>
      </c>
    </row>
    <row r="155" spans="1:20">
      <c r="A155" t="s">
        <v>260</v>
      </c>
      <c r="B155" s="10">
        <v>765153.3672</v>
      </c>
      <c r="C155" s="10">
        <f>SUM($B$33:B155)</f>
        <v>336415616.13588</v>
      </c>
      <c r="D155" s="12">
        <f t="shared" si="12"/>
        <v>0.95056991069524</v>
      </c>
      <c r="E155" t="str">
        <f t="shared" si="13"/>
        <v>C</v>
      </c>
      <c r="I155" t="s">
        <v>1177</v>
      </c>
      <c r="J155" s="10">
        <v>907871.61312</v>
      </c>
      <c r="K155" s="10">
        <f>SUM($J$34:J155)</f>
        <v>330490725.41903</v>
      </c>
      <c r="L155" s="6">
        <f t="shared" si="16"/>
        <v>0.908395113061337</v>
      </c>
      <c r="M155" t="str">
        <f t="shared" si="17"/>
        <v>B</v>
      </c>
      <c r="P155" t="s">
        <v>1416</v>
      </c>
      <c r="Q155" s="10">
        <v>1494892.9016</v>
      </c>
      <c r="R155" s="10">
        <f>SUM($Q$33:Q155)</f>
        <v>430997329.59039</v>
      </c>
      <c r="S155" s="6">
        <f t="shared" si="14"/>
        <v>0.81527155079141</v>
      </c>
      <c r="T155" t="str">
        <f t="shared" si="15"/>
        <v>B</v>
      </c>
    </row>
    <row r="156" spans="1:20">
      <c r="A156" t="s">
        <v>401</v>
      </c>
      <c r="B156" s="10">
        <v>744057.93528</v>
      </c>
      <c r="C156" s="10">
        <f>SUM($B$33:B156)</f>
        <v>337159674.07116</v>
      </c>
      <c r="D156" s="12">
        <f t="shared" si="12"/>
        <v>0.952672307406829</v>
      </c>
      <c r="E156" t="str">
        <f t="shared" si="13"/>
        <v>C</v>
      </c>
      <c r="I156" t="s">
        <v>802</v>
      </c>
      <c r="J156" s="10">
        <v>906192.3114</v>
      </c>
      <c r="K156" s="10">
        <f>SUM($J$34:J156)</f>
        <v>331396917.73043</v>
      </c>
      <c r="L156" s="6">
        <f t="shared" si="16"/>
        <v>0.910885896020906</v>
      </c>
      <c r="M156" t="str">
        <f t="shared" si="17"/>
        <v>B</v>
      </c>
      <c r="P156" t="s">
        <v>1380</v>
      </c>
      <c r="Q156" s="10">
        <v>1491206.50584</v>
      </c>
      <c r="R156" s="10">
        <f>SUM($Q$33:Q156)</f>
        <v>432488536.09623</v>
      </c>
      <c r="S156" s="6">
        <f t="shared" si="14"/>
        <v>0.818092306645563</v>
      </c>
      <c r="T156" t="str">
        <f t="shared" si="15"/>
        <v>B</v>
      </c>
    </row>
    <row r="157" spans="1:20">
      <c r="A157" t="s">
        <v>1083</v>
      </c>
      <c r="B157" s="10">
        <v>699757.51032</v>
      </c>
      <c r="C157" s="10">
        <f>SUM($B$33:B157)</f>
        <v>337859431.58148</v>
      </c>
      <c r="D157" s="12">
        <f t="shared" si="12"/>
        <v>0.954649529634897</v>
      </c>
      <c r="E157" t="str">
        <f t="shared" si="13"/>
        <v>C</v>
      </c>
      <c r="I157" t="s">
        <v>1085</v>
      </c>
      <c r="J157" s="10">
        <v>904519.02046</v>
      </c>
      <c r="K157" s="10">
        <f>SUM($J$34:J157)</f>
        <v>332301436.75089</v>
      </c>
      <c r="L157" s="6">
        <f t="shared" si="16"/>
        <v>0.913372079730949</v>
      </c>
      <c r="M157" t="str">
        <f t="shared" si="17"/>
        <v>B</v>
      </c>
      <c r="P157" t="s">
        <v>1095</v>
      </c>
      <c r="Q157" s="10">
        <v>1439328.9832</v>
      </c>
      <c r="R157" s="10">
        <f>SUM($Q$33:Q157)</f>
        <v>433927865.07943</v>
      </c>
      <c r="S157" s="6">
        <f t="shared" si="14"/>
        <v>0.820814931338732</v>
      </c>
      <c r="T157" t="str">
        <f t="shared" si="15"/>
        <v>B</v>
      </c>
    </row>
    <row r="158" spans="1:20">
      <c r="A158" t="s">
        <v>800</v>
      </c>
      <c r="B158" s="10">
        <v>694680</v>
      </c>
      <c r="C158" s="10">
        <f>SUM($B$33:B158)</f>
        <v>338554111.58148</v>
      </c>
      <c r="D158" s="12">
        <f t="shared" si="12"/>
        <v>0.956612404941182</v>
      </c>
      <c r="E158" t="str">
        <f t="shared" si="13"/>
        <v>C</v>
      </c>
      <c r="I158" t="s">
        <v>1464</v>
      </c>
      <c r="J158" s="10">
        <v>887423.8464</v>
      </c>
      <c r="K158" s="10">
        <f>SUM($J$34:J158)</f>
        <v>333188860.59729</v>
      </c>
      <c r="L158" s="6">
        <f t="shared" si="16"/>
        <v>0.915811275215971</v>
      </c>
      <c r="M158" t="str">
        <f t="shared" si="17"/>
        <v>B</v>
      </c>
      <c r="P158" t="s">
        <v>1059</v>
      </c>
      <c r="Q158" s="10">
        <v>1436706.543</v>
      </c>
      <c r="R158" s="10">
        <f>SUM($Q$33:Q158)</f>
        <v>435364571.62243</v>
      </c>
      <c r="S158" s="6">
        <f t="shared" si="14"/>
        <v>0.823532595442259</v>
      </c>
      <c r="T158" t="str">
        <f t="shared" si="15"/>
        <v>B</v>
      </c>
    </row>
    <row r="159" spans="1:20">
      <c r="A159" t="s">
        <v>1235</v>
      </c>
      <c r="B159" s="10">
        <v>661739.66936</v>
      </c>
      <c r="C159" s="10">
        <f>SUM($B$33:B159)</f>
        <v>339215851.25084</v>
      </c>
      <c r="D159" s="12">
        <f t="shared" si="12"/>
        <v>0.958482204642017</v>
      </c>
      <c r="E159" t="str">
        <f t="shared" si="13"/>
        <v>C</v>
      </c>
      <c r="I159" t="s">
        <v>696</v>
      </c>
      <c r="J159" s="10">
        <v>871501.08969</v>
      </c>
      <c r="K159" s="10">
        <f>SUM($J$34:J159)</f>
        <v>334060361.68698</v>
      </c>
      <c r="L159" s="6">
        <f t="shared" si="16"/>
        <v>0.918206705011764</v>
      </c>
      <c r="M159" t="str">
        <f t="shared" si="17"/>
        <v>B</v>
      </c>
      <c r="P159" t="s">
        <v>704</v>
      </c>
      <c r="Q159" s="10">
        <v>1429851.1491</v>
      </c>
      <c r="R159" s="10">
        <f>SUM($Q$33:Q159)</f>
        <v>436794422.77153</v>
      </c>
      <c r="S159" s="6">
        <f t="shared" si="14"/>
        <v>0.826237291930368</v>
      </c>
      <c r="T159" t="str">
        <f t="shared" si="15"/>
        <v>B</v>
      </c>
    </row>
    <row r="160" spans="1:20">
      <c r="A160" t="s">
        <v>449</v>
      </c>
      <c r="B160" s="10">
        <v>652240.7424</v>
      </c>
      <c r="C160" s="10">
        <f>SUM($B$33:B160)</f>
        <v>339868091.99324</v>
      </c>
      <c r="D160" s="12">
        <f t="shared" si="12"/>
        <v>0.96032516434578</v>
      </c>
      <c r="E160" t="str">
        <f t="shared" si="13"/>
        <v>C</v>
      </c>
      <c r="I160" t="s">
        <v>642</v>
      </c>
      <c r="J160" s="10">
        <v>869400.6594</v>
      </c>
      <c r="K160" s="10">
        <f>SUM($J$34:J160)</f>
        <v>334929762.34638</v>
      </c>
      <c r="L160" s="6">
        <f t="shared" si="16"/>
        <v>0.920596361512079</v>
      </c>
      <c r="M160" t="str">
        <f t="shared" si="17"/>
        <v>B</v>
      </c>
      <c r="P160" t="s">
        <v>764</v>
      </c>
      <c r="Q160" s="10">
        <v>1419946.5686</v>
      </c>
      <c r="R160" s="10">
        <f>SUM($Q$33:Q160)</f>
        <v>438214369.34013</v>
      </c>
      <c r="S160" s="6">
        <f t="shared" si="14"/>
        <v>0.828923252982896</v>
      </c>
      <c r="T160" t="str">
        <f t="shared" si="15"/>
        <v>B</v>
      </c>
    </row>
    <row r="161" spans="1:20">
      <c r="A161" t="s">
        <v>726</v>
      </c>
      <c r="B161" s="10">
        <v>651891.66273</v>
      </c>
      <c r="C161" s="10">
        <f>SUM($B$33:B161)</f>
        <v>340519983.65597</v>
      </c>
      <c r="D161" s="12">
        <f t="shared" si="12"/>
        <v>0.962167137696309</v>
      </c>
      <c r="E161" t="str">
        <f t="shared" si="13"/>
        <v>C</v>
      </c>
      <c r="I161" t="s">
        <v>806</v>
      </c>
      <c r="J161" s="10">
        <v>860564.00864</v>
      </c>
      <c r="K161" s="10">
        <f>SUM($J$34:J161)</f>
        <v>335790326.35502</v>
      </c>
      <c r="L161" s="6">
        <f t="shared" si="16"/>
        <v>0.922961729372051</v>
      </c>
      <c r="M161" t="str">
        <f t="shared" si="17"/>
        <v>B</v>
      </c>
      <c r="P161" t="s">
        <v>1444</v>
      </c>
      <c r="Q161" s="10">
        <v>1419181.3203</v>
      </c>
      <c r="R161" s="10">
        <f>SUM($Q$33:Q161)</f>
        <v>439633550.66043</v>
      </c>
      <c r="S161" s="6">
        <f t="shared" si="14"/>
        <v>0.831607766497063</v>
      </c>
      <c r="T161" t="str">
        <f t="shared" si="15"/>
        <v>B</v>
      </c>
    </row>
    <row r="162" spans="1:20">
      <c r="A162" t="s">
        <v>872</v>
      </c>
      <c r="B162" s="10">
        <v>644352.1056</v>
      </c>
      <c r="C162" s="10">
        <f>SUM($B$33:B162)</f>
        <v>341164335.76157</v>
      </c>
      <c r="D162" s="12">
        <f t="shared" ref="D162:D201" si="19">C162/$C$30</f>
        <v>0.963987807409897</v>
      </c>
      <c r="E162" t="str">
        <f t="shared" ref="E162:E201" si="20">IF(D162&lt;=0.8,"A",IF(D162&lt;=0.95,"B","C"))</f>
        <v>C</v>
      </c>
      <c r="I162" t="s">
        <v>601</v>
      </c>
      <c r="J162" s="10">
        <v>835786.9284</v>
      </c>
      <c r="K162" s="10">
        <f>SUM($J$34:J162)</f>
        <v>336626113.28342</v>
      </c>
      <c r="L162" s="6">
        <f t="shared" si="16"/>
        <v>0.925258994326632</v>
      </c>
      <c r="M162" t="str">
        <f t="shared" si="17"/>
        <v>B</v>
      </c>
      <c r="P162" t="s">
        <v>430</v>
      </c>
      <c r="Q162" s="10">
        <v>1412609.4807</v>
      </c>
      <c r="R162" s="10">
        <f>SUM($Q$33:Q162)</f>
        <v>441046160.14113</v>
      </c>
      <c r="S162" s="6">
        <f t="shared" ref="S162:S225" si="21">(R162/$R$30)</f>
        <v>0.834279848765154</v>
      </c>
      <c r="T162" t="str">
        <f t="shared" ref="T162:T225" si="22">IF(S162&lt;=0.8,"A",IF(S162&lt;=0.95,"B","C"))</f>
        <v>B</v>
      </c>
    </row>
    <row r="163" spans="1:20">
      <c r="A163" t="s">
        <v>1069</v>
      </c>
      <c r="B163" s="10">
        <v>599978.0739</v>
      </c>
      <c r="C163" s="10">
        <f>SUM($B$33:B163)</f>
        <v>341764313.83547</v>
      </c>
      <c r="D163" s="12">
        <f t="shared" si="19"/>
        <v>0.965683094658084</v>
      </c>
      <c r="E163" t="str">
        <f t="shared" si="20"/>
        <v>C</v>
      </c>
      <c r="I163" t="s">
        <v>524</v>
      </c>
      <c r="J163" s="10">
        <v>821666.02408</v>
      </c>
      <c r="K163" s="10">
        <f>SUM($J$34:J163)</f>
        <v>337447779.3075</v>
      </c>
      <c r="L163" s="6">
        <f t="shared" ref="L163:L226" si="23">(K163/$K$31)</f>
        <v>0.927517446208743</v>
      </c>
      <c r="M163" t="str">
        <f t="shared" ref="M163:M226" si="24">IF(L163&lt;=0.8,"A",IF(L163&lt;=0.95,"B","C"))</f>
        <v>B</v>
      </c>
      <c r="P163" t="s">
        <v>324</v>
      </c>
      <c r="Q163" s="10">
        <v>1386439.87392</v>
      </c>
      <c r="R163" s="10">
        <f>SUM($Q$33:Q163)</f>
        <v>442432600.01505</v>
      </c>
      <c r="S163" s="6">
        <f t="shared" si="21"/>
        <v>0.836902428787086</v>
      </c>
      <c r="T163" t="str">
        <f t="shared" si="22"/>
        <v>B</v>
      </c>
    </row>
    <row r="164" spans="1:20">
      <c r="A164" t="s">
        <v>538</v>
      </c>
      <c r="B164" s="10">
        <v>588401.59275</v>
      </c>
      <c r="C164" s="10">
        <f>SUM($B$33:B164)</f>
        <v>342352715.42822</v>
      </c>
      <c r="D164" s="12">
        <f t="shared" si="19"/>
        <v>0.967345671609469</v>
      </c>
      <c r="E164" t="str">
        <f t="shared" si="20"/>
        <v>C</v>
      </c>
      <c r="I164" t="s">
        <v>688</v>
      </c>
      <c r="J164" s="10">
        <v>799986.70464</v>
      </c>
      <c r="K164" s="10">
        <f>SUM($J$34:J164)</f>
        <v>338247766.01214</v>
      </c>
      <c r="L164" s="6">
        <f t="shared" si="23"/>
        <v>0.929716309768643</v>
      </c>
      <c r="M164" t="str">
        <f t="shared" si="24"/>
        <v>B</v>
      </c>
      <c r="P164" t="s">
        <v>1352</v>
      </c>
      <c r="Q164" s="10">
        <v>1366720.39712</v>
      </c>
      <c r="R164" s="10">
        <f>SUM($Q$33:Q164)</f>
        <v>443799320.41217</v>
      </c>
      <c r="S164" s="6">
        <f t="shared" si="21"/>
        <v>0.839487707583865</v>
      </c>
      <c r="T164" t="str">
        <f t="shared" si="22"/>
        <v>B</v>
      </c>
    </row>
    <row r="165" spans="1:20">
      <c r="A165" t="s">
        <v>1079</v>
      </c>
      <c r="B165" s="10">
        <v>580913.17416</v>
      </c>
      <c r="C165" s="10">
        <f>SUM($B$33:B165)</f>
        <v>342933628.60238</v>
      </c>
      <c r="D165" s="12">
        <f t="shared" si="19"/>
        <v>0.968987089420049</v>
      </c>
      <c r="E165" t="str">
        <f t="shared" si="20"/>
        <v>C</v>
      </c>
      <c r="I165" t="s">
        <v>1157</v>
      </c>
      <c r="J165" s="10">
        <v>784868.57725</v>
      </c>
      <c r="K165" s="10">
        <f>SUM($J$34:J165)</f>
        <v>339032634.58939</v>
      </c>
      <c r="L165" s="6">
        <f t="shared" si="23"/>
        <v>0.931873619263684</v>
      </c>
      <c r="M165" t="str">
        <f t="shared" si="24"/>
        <v>B</v>
      </c>
      <c r="P165" t="s">
        <v>573</v>
      </c>
      <c r="Q165" s="10">
        <v>1347456.1104</v>
      </c>
      <c r="R165" s="10">
        <f>SUM($Q$33:Q165)</f>
        <v>445146776.52257</v>
      </c>
      <c r="S165" s="6">
        <f t="shared" si="21"/>
        <v>0.842036546189879</v>
      </c>
      <c r="T165" t="str">
        <f t="shared" si="22"/>
        <v>B</v>
      </c>
    </row>
    <row r="166" spans="1:20">
      <c r="A166" t="s">
        <v>357</v>
      </c>
      <c r="B166" s="10">
        <v>578580</v>
      </c>
      <c r="C166" s="10">
        <f>SUM($B$33:B166)</f>
        <v>343512208.60238</v>
      </c>
      <c r="D166" s="12">
        <f t="shared" si="19"/>
        <v>0.970621914655712</v>
      </c>
      <c r="E166" t="str">
        <f t="shared" si="20"/>
        <v>C</v>
      </c>
      <c r="I166" t="s">
        <v>621</v>
      </c>
      <c r="J166" s="10">
        <v>751543.8996</v>
      </c>
      <c r="K166" s="10">
        <f>SUM($J$34:J166)</f>
        <v>339784178.48899</v>
      </c>
      <c r="L166" s="6">
        <f t="shared" si="23"/>
        <v>0.933939331712292</v>
      </c>
      <c r="M166" t="str">
        <f t="shared" si="24"/>
        <v>B</v>
      </c>
      <c r="P166" t="s">
        <v>559</v>
      </c>
      <c r="Q166" s="10">
        <v>1332114</v>
      </c>
      <c r="R166" s="10">
        <f>SUM($Q$33:Q166)</f>
        <v>446478890.52257</v>
      </c>
      <c r="S166" s="6">
        <f t="shared" si="21"/>
        <v>0.844556363766576</v>
      </c>
      <c r="T166" t="str">
        <f t="shared" si="22"/>
        <v>B</v>
      </c>
    </row>
    <row r="167" spans="1:20">
      <c r="A167" t="s">
        <v>932</v>
      </c>
      <c r="B167" s="10">
        <v>567171.40725</v>
      </c>
      <c r="C167" s="10">
        <f>SUM($B$33:B167)</f>
        <v>344079380.00963</v>
      </c>
      <c r="D167" s="12">
        <f t="shared" si="19"/>
        <v>0.972224503977014</v>
      </c>
      <c r="E167" t="str">
        <f t="shared" si="20"/>
        <v>C</v>
      </c>
      <c r="I167" t="s">
        <v>318</v>
      </c>
      <c r="J167" s="10">
        <v>736923.95431</v>
      </c>
      <c r="K167" s="10">
        <f>SUM($J$34:J167)</f>
        <v>340521102.4433</v>
      </c>
      <c r="L167" s="6">
        <f t="shared" si="23"/>
        <v>0.93596485941188</v>
      </c>
      <c r="M167" t="str">
        <f t="shared" si="24"/>
        <v>B</v>
      </c>
      <c r="P167" t="s">
        <v>1440</v>
      </c>
      <c r="Q167" s="10">
        <v>1319084.18352</v>
      </c>
      <c r="R167" s="10">
        <f>SUM($Q$33:Q167)</f>
        <v>447797974.70609</v>
      </c>
      <c r="S167" s="6">
        <f t="shared" si="21"/>
        <v>0.847051534233049</v>
      </c>
      <c r="T167" t="str">
        <f t="shared" si="22"/>
        <v>B</v>
      </c>
    </row>
    <row r="168" spans="1:20">
      <c r="A168" t="s">
        <v>204</v>
      </c>
      <c r="B168" s="10">
        <v>562662.59104</v>
      </c>
      <c r="C168" s="10">
        <f>SUM($B$33:B168)</f>
        <v>344642042.60067</v>
      </c>
      <c r="D168" s="12">
        <f t="shared" si="19"/>
        <v>0.973814353268375</v>
      </c>
      <c r="E168" t="str">
        <f t="shared" si="20"/>
        <v>C</v>
      </c>
      <c r="I168" t="s">
        <v>345</v>
      </c>
      <c r="J168" s="10">
        <v>713557</v>
      </c>
      <c r="K168" s="10">
        <f>SUM($J$34:J168)</f>
        <v>341234659.4433</v>
      </c>
      <c r="L168" s="6">
        <f t="shared" si="23"/>
        <v>0.937926160113643</v>
      </c>
      <c r="M168" t="str">
        <f t="shared" si="24"/>
        <v>B</v>
      </c>
      <c r="P168" t="s">
        <v>1414</v>
      </c>
      <c r="Q168" s="10">
        <v>1301991.8904</v>
      </c>
      <c r="R168" s="10">
        <f>SUM($Q$33:Q168)</f>
        <v>449099966.59649</v>
      </c>
      <c r="S168" s="6">
        <f t="shared" si="21"/>
        <v>0.849514373036744</v>
      </c>
      <c r="T168" t="str">
        <f t="shared" si="22"/>
        <v>B</v>
      </c>
    </row>
    <row r="169" spans="1:20">
      <c r="A169" t="s">
        <v>1229</v>
      </c>
      <c r="B169" s="10">
        <v>541111.05906</v>
      </c>
      <c r="C169" s="10">
        <f>SUM($B$33:B169)</f>
        <v>345183153.65973</v>
      </c>
      <c r="D169" s="12">
        <f t="shared" si="19"/>
        <v>0.975343306938823</v>
      </c>
      <c r="E169" t="str">
        <f t="shared" si="20"/>
        <v>C</v>
      </c>
      <c r="I169" t="s">
        <v>1448</v>
      </c>
      <c r="J169" s="10">
        <v>707259.4496</v>
      </c>
      <c r="K169" s="10">
        <f>SUM($J$34:J169)</f>
        <v>341941918.8929</v>
      </c>
      <c r="L169" s="6">
        <f t="shared" si="23"/>
        <v>0.939870151210121</v>
      </c>
      <c r="M169" t="str">
        <f t="shared" si="24"/>
        <v>B</v>
      </c>
      <c r="P169" t="s">
        <v>842</v>
      </c>
      <c r="Q169" s="10">
        <v>1291626.30688</v>
      </c>
      <c r="R169" s="10">
        <f>SUM($Q$33:Q169)</f>
        <v>450391592.90337</v>
      </c>
      <c r="S169" s="6">
        <f t="shared" si="21"/>
        <v>0.851957604374752</v>
      </c>
      <c r="T169" t="str">
        <f t="shared" si="22"/>
        <v>B</v>
      </c>
    </row>
    <row r="170" spans="1:20">
      <c r="A170" t="s">
        <v>1289</v>
      </c>
      <c r="B170" s="10">
        <v>535973.4336</v>
      </c>
      <c r="C170" s="10">
        <f>SUM($B$33:B170)</f>
        <v>345719127.09333</v>
      </c>
      <c r="D170" s="12">
        <f t="shared" si="19"/>
        <v>0.976857743827229</v>
      </c>
      <c r="E170" t="str">
        <f t="shared" si="20"/>
        <v>C</v>
      </c>
      <c r="I170" t="s">
        <v>1460</v>
      </c>
      <c r="J170" s="10">
        <v>686760.39225</v>
      </c>
      <c r="K170" s="10">
        <f>SUM($J$34:J170)</f>
        <v>342628679.28515</v>
      </c>
      <c r="L170" s="6">
        <f t="shared" si="23"/>
        <v>0.941757798082429</v>
      </c>
      <c r="M170" t="str">
        <f t="shared" si="24"/>
        <v>B</v>
      </c>
      <c r="P170" t="s">
        <v>862</v>
      </c>
      <c r="Q170" s="10">
        <v>1269928</v>
      </c>
      <c r="R170" s="10">
        <f>SUM($Q$33:Q170)</f>
        <v>451661520.90337</v>
      </c>
      <c r="S170" s="6">
        <f t="shared" si="21"/>
        <v>0.854359791346392</v>
      </c>
      <c r="T170" t="str">
        <f t="shared" si="22"/>
        <v>B</v>
      </c>
    </row>
    <row r="171" spans="1:20">
      <c r="A171" t="s">
        <v>986</v>
      </c>
      <c r="B171" s="10">
        <v>520685.54824</v>
      </c>
      <c r="C171" s="10">
        <f>SUM($B$33:B171)</f>
        <v>346239812.64157</v>
      </c>
      <c r="D171" s="12">
        <f t="shared" si="19"/>
        <v>0.978328983541889</v>
      </c>
      <c r="E171" t="str">
        <f t="shared" si="20"/>
        <v>C</v>
      </c>
      <c r="I171" t="s">
        <v>772</v>
      </c>
      <c r="J171" s="10">
        <v>682665.99516</v>
      </c>
      <c r="K171" s="10">
        <f>SUM($J$34:J171)</f>
        <v>343311345.28031</v>
      </c>
      <c r="L171" s="6">
        <f t="shared" si="23"/>
        <v>0.943634190992004</v>
      </c>
      <c r="M171" t="str">
        <f t="shared" si="24"/>
        <v>B</v>
      </c>
      <c r="P171" t="s">
        <v>281</v>
      </c>
      <c r="Q171" s="10">
        <v>1241348.592</v>
      </c>
      <c r="R171" s="10">
        <f>SUM($Q$33:Q171)</f>
        <v>452902869.49537</v>
      </c>
      <c r="S171" s="6">
        <f t="shared" si="21"/>
        <v>0.856707917708646</v>
      </c>
      <c r="T171" t="str">
        <f t="shared" si="22"/>
        <v>B</v>
      </c>
    </row>
    <row r="172" spans="1:20">
      <c r="A172" t="s">
        <v>834</v>
      </c>
      <c r="B172" s="10">
        <v>508960.8174</v>
      </c>
      <c r="C172" s="10">
        <f>SUM($B$33:B172)</f>
        <v>346748773.45897</v>
      </c>
      <c r="D172" s="12">
        <f t="shared" si="19"/>
        <v>0.97976709406809</v>
      </c>
      <c r="E172" t="str">
        <f t="shared" si="20"/>
        <v>C</v>
      </c>
      <c r="I172" t="s">
        <v>1470</v>
      </c>
      <c r="J172" s="10">
        <v>672476.8617</v>
      </c>
      <c r="K172" s="10">
        <f>SUM($J$34:J172)</f>
        <v>343983822.14201</v>
      </c>
      <c r="L172" s="6">
        <f t="shared" si="23"/>
        <v>0.945482577793299</v>
      </c>
      <c r="M172" t="str">
        <f t="shared" si="24"/>
        <v>B</v>
      </c>
      <c r="P172" t="s">
        <v>1251</v>
      </c>
      <c r="Q172" s="10">
        <v>1237444.05512</v>
      </c>
      <c r="R172" s="10">
        <f>SUM($Q$33:Q172)</f>
        <v>454140313.55049</v>
      </c>
      <c r="S172" s="6">
        <f t="shared" si="21"/>
        <v>0.859048658276097</v>
      </c>
      <c r="T172" t="str">
        <f t="shared" si="22"/>
        <v>B</v>
      </c>
    </row>
    <row r="173" spans="1:20">
      <c r="A173" t="s">
        <v>1392</v>
      </c>
      <c r="B173" s="10">
        <v>492810.27212</v>
      </c>
      <c r="C173" s="10">
        <f>SUM($B$33:B173)</f>
        <v>347241583.73109</v>
      </c>
      <c r="D173" s="12">
        <f t="shared" si="19"/>
        <v>0.981159569904198</v>
      </c>
      <c r="E173" t="str">
        <f t="shared" si="20"/>
        <v>C</v>
      </c>
      <c r="I173" t="s">
        <v>700</v>
      </c>
      <c r="J173" s="10">
        <v>656161.75248</v>
      </c>
      <c r="K173" s="10">
        <f>SUM($J$34:J173)</f>
        <v>344639983.89449</v>
      </c>
      <c r="L173" s="6">
        <f t="shared" si="23"/>
        <v>0.947286120475397</v>
      </c>
      <c r="M173" t="str">
        <f t="shared" si="24"/>
        <v>B</v>
      </c>
      <c r="P173" t="s">
        <v>888</v>
      </c>
      <c r="Q173" s="10">
        <v>1236126.2508</v>
      </c>
      <c r="R173" s="10">
        <f>SUM($Q$33:Q173)</f>
        <v>455376439.80129</v>
      </c>
      <c r="S173" s="6">
        <f t="shared" si="21"/>
        <v>0.861386906094063</v>
      </c>
      <c r="T173" t="str">
        <f t="shared" si="22"/>
        <v>B</v>
      </c>
    </row>
    <row r="174" spans="1:20">
      <c r="A174" t="s">
        <v>294</v>
      </c>
      <c r="B174" s="10">
        <v>454369.3275</v>
      </c>
      <c r="C174" s="10">
        <f>SUM($B$33:B174)</f>
        <v>347695953.05859</v>
      </c>
      <c r="D174" s="12">
        <f t="shared" si="19"/>
        <v>0.982443427698986</v>
      </c>
      <c r="E174" t="str">
        <f t="shared" si="20"/>
        <v>C</v>
      </c>
      <c r="I174" t="s">
        <v>730</v>
      </c>
      <c r="J174" s="10">
        <v>648337.33776</v>
      </c>
      <c r="K174" s="10">
        <f>SUM($J$34:J174)</f>
        <v>345288321.23225</v>
      </c>
      <c r="L174" s="6">
        <f t="shared" si="23"/>
        <v>0.949068156774568</v>
      </c>
      <c r="M174" t="str">
        <f t="shared" si="24"/>
        <v>B</v>
      </c>
      <c r="P174" t="s">
        <v>1508</v>
      </c>
      <c r="Q174" s="10">
        <v>1204261.64488</v>
      </c>
      <c r="R174" s="10">
        <f>SUM($Q$33:Q174)</f>
        <v>456580701.44617</v>
      </c>
      <c r="S174" s="6">
        <f t="shared" si="21"/>
        <v>0.863664879045109</v>
      </c>
      <c r="T174" t="str">
        <f t="shared" si="22"/>
        <v>B</v>
      </c>
    </row>
    <row r="175" spans="1:20">
      <c r="A175" t="s">
        <v>1430</v>
      </c>
      <c r="B175" s="10">
        <v>444496.37516</v>
      </c>
      <c r="C175" s="10">
        <f>SUM($B$33:B175)</f>
        <v>348140449.43375</v>
      </c>
      <c r="D175" s="12">
        <f t="shared" si="19"/>
        <v>0.983699388657319</v>
      </c>
      <c r="E175" t="str">
        <f t="shared" si="20"/>
        <v>C</v>
      </c>
      <c r="I175" t="s">
        <v>1354</v>
      </c>
      <c r="J175" s="10">
        <v>631074.79962</v>
      </c>
      <c r="K175" s="10">
        <f>SUM($J$34:J175)</f>
        <v>345919396.03187</v>
      </c>
      <c r="L175" s="6">
        <f t="shared" si="23"/>
        <v>0.950802744827604</v>
      </c>
      <c r="M175" t="str">
        <f t="shared" si="24"/>
        <v>C</v>
      </c>
      <c r="P175" t="s">
        <v>581</v>
      </c>
      <c r="Q175" s="10">
        <v>1187797.57884</v>
      </c>
      <c r="R175" s="10">
        <f>SUM($Q$33:Q175)</f>
        <v>457768499.02501</v>
      </c>
      <c r="S175" s="6">
        <f t="shared" si="21"/>
        <v>0.865911708683352</v>
      </c>
      <c r="T175" t="str">
        <f t="shared" si="22"/>
        <v>B</v>
      </c>
    </row>
    <row r="176" spans="1:20">
      <c r="A176" t="s">
        <v>742</v>
      </c>
      <c r="B176" s="10">
        <v>438912.6708</v>
      </c>
      <c r="C176" s="10">
        <f>SUM($B$33:B176)</f>
        <v>348579362.10455</v>
      </c>
      <c r="D176" s="12">
        <f t="shared" si="19"/>
        <v>0.984939572401099</v>
      </c>
      <c r="E176" t="str">
        <f t="shared" si="20"/>
        <v>C</v>
      </c>
      <c r="I176" t="s">
        <v>880</v>
      </c>
      <c r="J176" s="10">
        <v>628896.3142</v>
      </c>
      <c r="K176" s="10">
        <f>SUM($J$34:J176)</f>
        <v>346548292.34607</v>
      </c>
      <c r="L176" s="6">
        <f t="shared" si="23"/>
        <v>0.952531345040869</v>
      </c>
      <c r="M176" t="str">
        <f t="shared" si="24"/>
        <v>C</v>
      </c>
      <c r="P176" t="s">
        <v>926</v>
      </c>
      <c r="Q176" s="10">
        <v>1148943.44656</v>
      </c>
      <c r="R176" s="10">
        <f>SUM($Q$33:Q176)</f>
        <v>458917442.47157</v>
      </c>
      <c r="S176" s="6">
        <f t="shared" si="21"/>
        <v>0.868085042115229</v>
      </c>
      <c r="T176" t="str">
        <f t="shared" si="22"/>
        <v>B</v>
      </c>
    </row>
    <row r="177" spans="1:20">
      <c r="A177" t="s">
        <v>1004</v>
      </c>
      <c r="B177" s="10">
        <v>438519.51108</v>
      </c>
      <c r="C177" s="10">
        <f>SUM($B$33:B177)</f>
        <v>349017881.61563</v>
      </c>
      <c r="D177" s="12">
        <f t="shared" si="19"/>
        <v>0.986178645239849</v>
      </c>
      <c r="E177" t="str">
        <f t="shared" si="20"/>
        <v>C</v>
      </c>
      <c r="I177" t="s">
        <v>666</v>
      </c>
      <c r="J177" s="10">
        <v>623427.3968</v>
      </c>
      <c r="K177" s="10">
        <f>SUM($J$34:J177)</f>
        <v>347171719.74287</v>
      </c>
      <c r="L177" s="6">
        <f t="shared" si="23"/>
        <v>0.954244913250336</v>
      </c>
      <c r="M177" t="str">
        <f t="shared" si="24"/>
        <v>C</v>
      </c>
      <c r="P177" t="s">
        <v>510</v>
      </c>
      <c r="Q177" s="10">
        <v>1146466.1416</v>
      </c>
      <c r="R177" s="10">
        <f>SUM($Q$33:Q177)</f>
        <v>460063908.61317</v>
      </c>
      <c r="S177" s="6">
        <f t="shared" si="21"/>
        <v>0.870253689494275</v>
      </c>
      <c r="T177" t="str">
        <f t="shared" si="22"/>
        <v>B</v>
      </c>
    </row>
    <row r="178" spans="1:20">
      <c r="A178" t="s">
        <v>557</v>
      </c>
      <c r="B178" s="10">
        <v>436357.2429</v>
      </c>
      <c r="C178" s="10">
        <f>SUM($B$33:B178)</f>
        <v>349454238.85853</v>
      </c>
      <c r="D178" s="12">
        <f t="shared" si="19"/>
        <v>0.987411608412543</v>
      </c>
      <c r="E178" t="str">
        <f t="shared" si="20"/>
        <v>C</v>
      </c>
      <c r="I178" t="s">
        <v>1149</v>
      </c>
      <c r="J178" s="10">
        <v>622516.20288</v>
      </c>
      <c r="K178" s="10">
        <f>SUM($J$34:J178)</f>
        <v>347794235.94575</v>
      </c>
      <c r="L178" s="6">
        <f t="shared" si="23"/>
        <v>0.955955976929296</v>
      </c>
      <c r="M178" t="str">
        <f t="shared" si="24"/>
        <v>C</v>
      </c>
      <c r="P178" t="s">
        <v>399</v>
      </c>
      <c r="Q178" s="10">
        <v>1141683.1272</v>
      </c>
      <c r="R178" s="10">
        <f>SUM($Q$33:Q178)</f>
        <v>461205591.74037</v>
      </c>
      <c r="S178" s="6">
        <f t="shared" si="21"/>
        <v>0.872413289356551</v>
      </c>
      <c r="T178" t="str">
        <f t="shared" si="22"/>
        <v>B</v>
      </c>
    </row>
    <row r="179" spans="1:20">
      <c r="A179" t="s">
        <v>1279</v>
      </c>
      <c r="B179" s="10">
        <v>434293.9744</v>
      </c>
      <c r="C179" s="10">
        <f>SUM($B$33:B179)</f>
        <v>349888532.83293</v>
      </c>
      <c r="D179" s="12">
        <f t="shared" si="19"/>
        <v>0.988638741650894</v>
      </c>
      <c r="E179" t="str">
        <f t="shared" si="20"/>
        <v>C</v>
      </c>
      <c r="I179" t="s">
        <v>500</v>
      </c>
      <c r="J179" s="10">
        <v>620579.0758</v>
      </c>
      <c r="K179" s="10">
        <f>SUM($J$34:J179)</f>
        <v>348414815.02155</v>
      </c>
      <c r="L179" s="6">
        <f t="shared" si="23"/>
        <v>0.957661716172085</v>
      </c>
      <c r="M179" t="str">
        <f t="shared" si="24"/>
        <v>C</v>
      </c>
      <c r="P179" t="s">
        <v>1299</v>
      </c>
      <c r="Q179" s="10">
        <v>1136223.84428</v>
      </c>
      <c r="R179" s="10">
        <f>SUM($Q$33:Q179)</f>
        <v>462341815.58465</v>
      </c>
      <c r="S179" s="6">
        <f t="shared" si="21"/>
        <v>0.874562562477228</v>
      </c>
      <c r="T179" t="str">
        <f t="shared" si="22"/>
        <v>B</v>
      </c>
    </row>
    <row r="180" spans="1:20">
      <c r="A180" t="s">
        <v>530</v>
      </c>
      <c r="B180" s="10">
        <v>429012.24408</v>
      </c>
      <c r="C180" s="10">
        <f>SUM($B$33:B180)</f>
        <v>350317545.07701</v>
      </c>
      <c r="D180" s="12">
        <f t="shared" si="19"/>
        <v>0.989850950927106</v>
      </c>
      <c r="E180" t="str">
        <f t="shared" si="20"/>
        <v>C</v>
      </c>
      <c r="I180" t="s">
        <v>637</v>
      </c>
      <c r="J180" s="10">
        <v>611121.80646</v>
      </c>
      <c r="K180" s="10">
        <f>SUM($J$34:J180)</f>
        <v>349025936.82801</v>
      </c>
      <c r="L180" s="6">
        <f t="shared" si="23"/>
        <v>0.959341460926706</v>
      </c>
      <c r="M180" t="str">
        <f t="shared" si="24"/>
        <v>C</v>
      </c>
      <c r="P180" t="s">
        <v>914</v>
      </c>
      <c r="Q180" s="10">
        <v>1116854.96832</v>
      </c>
      <c r="R180" s="10">
        <f>SUM($Q$33:Q180)</f>
        <v>463458670.55297</v>
      </c>
      <c r="S180" s="6">
        <f t="shared" si="21"/>
        <v>0.876675197566863</v>
      </c>
      <c r="T180" t="str">
        <f t="shared" si="22"/>
        <v>B</v>
      </c>
    </row>
    <row r="181" spans="1:20">
      <c r="A181" t="s">
        <v>918</v>
      </c>
      <c r="B181" s="10">
        <v>426000.15315</v>
      </c>
      <c r="C181" s="10">
        <f>SUM($B$33:B181)</f>
        <v>350743545.23016</v>
      </c>
      <c r="D181" s="12">
        <f t="shared" si="19"/>
        <v>0.991054649293392</v>
      </c>
      <c r="E181" t="str">
        <f t="shared" si="20"/>
        <v>C</v>
      </c>
      <c r="I181" t="s">
        <v>1516</v>
      </c>
      <c r="J181" s="10">
        <v>599385.55908</v>
      </c>
      <c r="K181" s="10">
        <f>SUM($J$34:J181)</f>
        <v>349625322.38709</v>
      </c>
      <c r="L181" s="6">
        <f t="shared" si="23"/>
        <v>0.960988947136848</v>
      </c>
      <c r="M181" t="str">
        <f t="shared" si="24"/>
        <v>C</v>
      </c>
      <c r="P181" t="s">
        <v>1271</v>
      </c>
      <c r="Q181" s="10">
        <v>1094920.0191</v>
      </c>
      <c r="R181" s="10">
        <f>SUM($Q$33:Q181)</f>
        <v>464553590.57207</v>
      </c>
      <c r="S181" s="6">
        <f t="shared" si="21"/>
        <v>0.878746340659124</v>
      </c>
      <c r="T181" t="str">
        <f t="shared" si="22"/>
        <v>B</v>
      </c>
    </row>
    <row r="182" spans="1:20">
      <c r="A182" t="s">
        <v>219</v>
      </c>
      <c r="B182" s="10">
        <v>414176</v>
      </c>
      <c r="C182" s="10">
        <f>SUM($B$33:B182)</f>
        <v>351157721.23016</v>
      </c>
      <c r="D182" s="12">
        <f t="shared" si="19"/>
        <v>0.99222493754533</v>
      </c>
      <c r="E182" t="str">
        <f t="shared" si="20"/>
        <v>C</v>
      </c>
      <c r="I182" t="s">
        <v>417</v>
      </c>
      <c r="J182" s="10">
        <v>598042.56798</v>
      </c>
      <c r="K182" s="10">
        <f>SUM($J$34:J182)</f>
        <v>350223364.95507</v>
      </c>
      <c r="L182" s="6">
        <f t="shared" si="23"/>
        <v>0.962632741967904</v>
      </c>
      <c r="M182" t="str">
        <f t="shared" si="24"/>
        <v>C</v>
      </c>
      <c r="P182" t="s">
        <v>1390</v>
      </c>
      <c r="Q182" s="10">
        <v>1090088.2356</v>
      </c>
      <c r="R182" s="10">
        <f>SUM($Q$33:Q182)</f>
        <v>465643678.80767</v>
      </c>
      <c r="S182" s="6">
        <f t="shared" si="21"/>
        <v>0.880808343983325</v>
      </c>
      <c r="T182" t="str">
        <f t="shared" si="22"/>
        <v>B</v>
      </c>
    </row>
    <row r="183" spans="1:20">
      <c r="A183" t="s">
        <v>297</v>
      </c>
      <c r="B183" s="10">
        <v>391320</v>
      </c>
      <c r="C183" s="10">
        <f>SUM($B$33:B183)</f>
        <v>351549041.23016</v>
      </c>
      <c r="D183" s="12">
        <f t="shared" si="19"/>
        <v>0.993330644294992</v>
      </c>
      <c r="E183" t="str">
        <f t="shared" si="20"/>
        <v>C</v>
      </c>
      <c r="I183" t="s">
        <v>780</v>
      </c>
      <c r="J183" s="10">
        <v>549231.762</v>
      </c>
      <c r="K183" s="10">
        <f>SUM($J$34:J183)</f>
        <v>350772596.71707</v>
      </c>
      <c r="L183" s="6">
        <f t="shared" si="23"/>
        <v>0.964142374191036</v>
      </c>
      <c r="M183" t="str">
        <f t="shared" si="24"/>
        <v>C</v>
      </c>
      <c r="P183" t="s">
        <v>1494</v>
      </c>
      <c r="Q183" s="10">
        <v>1082920.68144</v>
      </c>
      <c r="R183" s="10">
        <f>SUM($Q$33:Q183)</f>
        <v>466726599.48911</v>
      </c>
      <c r="S183" s="6">
        <f t="shared" si="21"/>
        <v>0.882856789211932</v>
      </c>
      <c r="T183" t="str">
        <f t="shared" si="22"/>
        <v>B</v>
      </c>
    </row>
    <row r="184" spans="1:20">
      <c r="A184" t="s">
        <v>754</v>
      </c>
      <c r="B184" s="10">
        <v>348740.62892</v>
      </c>
      <c r="C184" s="10">
        <f>SUM($B$33:B184)</f>
        <v>351897781.85908</v>
      </c>
      <c r="D184" s="12">
        <f t="shared" si="19"/>
        <v>0.994316039540005</v>
      </c>
      <c r="E184" t="str">
        <f t="shared" si="20"/>
        <v>C</v>
      </c>
      <c r="I184" t="s">
        <v>1458</v>
      </c>
      <c r="J184" s="10">
        <v>541361.75688</v>
      </c>
      <c r="K184" s="10">
        <f>SUM($J$34:J184)</f>
        <v>351313958.47395</v>
      </c>
      <c r="L184" s="6">
        <f t="shared" si="23"/>
        <v>0.965630374720324</v>
      </c>
      <c r="M184" t="str">
        <f t="shared" si="24"/>
        <v>C</v>
      </c>
      <c r="P184" t="s">
        <v>303</v>
      </c>
      <c r="Q184" s="10">
        <v>1073091.59738</v>
      </c>
      <c r="R184" s="10">
        <f>SUM($Q$33:Q184)</f>
        <v>467799691.08649</v>
      </c>
      <c r="S184" s="6">
        <f t="shared" si="21"/>
        <v>0.884886641813498</v>
      </c>
      <c r="T184" t="str">
        <f t="shared" si="22"/>
        <v>B</v>
      </c>
    </row>
    <row r="185" spans="1:20">
      <c r="A185" t="s">
        <v>520</v>
      </c>
      <c r="B185" s="10">
        <v>324382.2687</v>
      </c>
      <c r="C185" s="10">
        <f>SUM($B$33:B185)</f>
        <v>352222164.12778</v>
      </c>
      <c r="D185" s="12">
        <f t="shared" si="19"/>
        <v>0.995232608240742</v>
      </c>
      <c r="E185" t="str">
        <f t="shared" si="20"/>
        <v>C</v>
      </c>
      <c r="I185" t="s">
        <v>623</v>
      </c>
      <c r="J185" s="10">
        <v>533609.25618</v>
      </c>
      <c r="K185" s="10">
        <f>SUM($J$34:J185)</f>
        <v>351847567.73013</v>
      </c>
      <c r="L185" s="6">
        <f t="shared" si="23"/>
        <v>0.967097066531368</v>
      </c>
      <c r="M185" t="str">
        <f t="shared" si="24"/>
        <v>C</v>
      </c>
      <c r="P185" t="s">
        <v>635</v>
      </c>
      <c r="Q185" s="10">
        <v>1065213.63</v>
      </c>
      <c r="R185" s="10">
        <f>SUM($Q$33:Q185)</f>
        <v>468864904.71649</v>
      </c>
      <c r="S185" s="6">
        <f t="shared" si="21"/>
        <v>0.886901592506765</v>
      </c>
      <c r="T185" t="str">
        <f t="shared" si="22"/>
        <v>B</v>
      </c>
    </row>
    <row r="186" spans="1:20">
      <c r="A186" t="s">
        <v>359</v>
      </c>
      <c r="B186" s="10">
        <v>307370.56558</v>
      </c>
      <c r="C186" s="10">
        <f>SUM($B$33:B186)</f>
        <v>352529534.69336</v>
      </c>
      <c r="D186" s="12">
        <f t="shared" si="19"/>
        <v>0.996101108979292</v>
      </c>
      <c r="E186" t="str">
        <f t="shared" si="20"/>
        <v>C</v>
      </c>
      <c r="I186" t="s">
        <v>1253</v>
      </c>
      <c r="J186" s="10">
        <v>527357.41198</v>
      </c>
      <c r="K186" s="10">
        <f>SUM($J$34:J186)</f>
        <v>352374925.14211</v>
      </c>
      <c r="L186" s="6">
        <f t="shared" si="23"/>
        <v>0.968546574366336</v>
      </c>
      <c r="M186" t="str">
        <f t="shared" si="24"/>
        <v>C</v>
      </c>
      <c r="P186" t="s">
        <v>334</v>
      </c>
      <c r="Q186" s="10">
        <v>1055874</v>
      </c>
      <c r="R186" s="10">
        <f>SUM($Q$33:Q186)</f>
        <v>469920778.71649</v>
      </c>
      <c r="S186" s="6">
        <f t="shared" si="21"/>
        <v>0.888898876420886</v>
      </c>
      <c r="T186" t="str">
        <f t="shared" si="22"/>
        <v>B</v>
      </c>
    </row>
    <row r="187" spans="1:20">
      <c r="A187" t="s">
        <v>924</v>
      </c>
      <c r="B187" s="10">
        <v>271191.6108</v>
      </c>
      <c r="C187" s="10">
        <f>SUM($B$33:B187)</f>
        <v>352800726.30416</v>
      </c>
      <c r="D187" s="12">
        <f t="shared" si="19"/>
        <v>0.996867383114305</v>
      </c>
      <c r="E187" t="str">
        <f t="shared" si="20"/>
        <v>C</v>
      </c>
      <c r="I187" t="s">
        <v>1225</v>
      </c>
      <c r="J187" s="10">
        <v>520815.6261</v>
      </c>
      <c r="K187" s="10">
        <f>SUM($J$34:J187)</f>
        <v>352895740.76821</v>
      </c>
      <c r="L187" s="6">
        <f t="shared" si="23"/>
        <v>0.969978101284241</v>
      </c>
      <c r="M187" t="str">
        <f t="shared" si="24"/>
        <v>C</v>
      </c>
      <c r="P187" t="s">
        <v>311</v>
      </c>
      <c r="Q187" s="10">
        <v>1052323.30528</v>
      </c>
      <c r="R187" s="10">
        <f>SUM($Q$33:Q187)</f>
        <v>470973102.02177</v>
      </c>
      <c r="S187" s="6">
        <f t="shared" si="21"/>
        <v>0.890889443865573</v>
      </c>
      <c r="T187" t="str">
        <f t="shared" si="22"/>
        <v>B</v>
      </c>
    </row>
    <row r="188" spans="1:20">
      <c r="A188" t="s">
        <v>1087</v>
      </c>
      <c r="B188" s="10">
        <v>231610.3056</v>
      </c>
      <c r="C188" s="10">
        <f>SUM($B$33:B188)</f>
        <v>353032336.60976</v>
      </c>
      <c r="D188" s="12">
        <f t="shared" si="19"/>
        <v>0.997521817025665</v>
      </c>
      <c r="E188" t="str">
        <f t="shared" si="20"/>
        <v>C</v>
      </c>
      <c r="I188" t="s">
        <v>892</v>
      </c>
      <c r="J188" s="10">
        <v>519183.00336</v>
      </c>
      <c r="K188" s="10">
        <f>SUM($J$34:J188)</f>
        <v>353414923.77157</v>
      </c>
      <c r="L188" s="6">
        <f t="shared" si="23"/>
        <v>0.971405140734255</v>
      </c>
      <c r="M188" t="str">
        <f t="shared" si="24"/>
        <v>C</v>
      </c>
      <c r="P188" t="s">
        <v>788</v>
      </c>
      <c r="Q188" s="10">
        <v>1041884.6576</v>
      </c>
      <c r="R188" s="10">
        <f>SUM($Q$33:Q188)</f>
        <v>472014986.67937</v>
      </c>
      <c r="S188" s="6">
        <f t="shared" si="21"/>
        <v>0.892860265636916</v>
      </c>
      <c r="T188" t="str">
        <f t="shared" si="22"/>
        <v>B</v>
      </c>
    </row>
    <row r="189" spans="1:20">
      <c r="A189" t="s">
        <v>958</v>
      </c>
      <c r="B189" s="10">
        <v>220680</v>
      </c>
      <c r="C189" s="10">
        <f>SUM($B$33:B189)</f>
        <v>353253016.60976</v>
      </c>
      <c r="D189" s="12">
        <f t="shared" si="19"/>
        <v>0.998145366462227</v>
      </c>
      <c r="E189" t="str">
        <f t="shared" si="20"/>
        <v>C</v>
      </c>
      <c r="I189" t="s">
        <v>1002</v>
      </c>
      <c r="J189" s="10">
        <v>515742.2136</v>
      </c>
      <c r="K189" s="10">
        <f>SUM($J$34:J189)</f>
        <v>353930665.98517</v>
      </c>
      <c r="L189" s="6">
        <f t="shared" si="23"/>
        <v>0.972822722743068</v>
      </c>
      <c r="M189" t="str">
        <f t="shared" si="24"/>
        <v>C</v>
      </c>
      <c r="P189" t="s">
        <v>290</v>
      </c>
      <c r="Q189" s="10">
        <v>1031472.21056</v>
      </c>
      <c r="R189" s="10">
        <f>SUM($Q$33:Q189)</f>
        <v>473046458.88993</v>
      </c>
      <c r="S189" s="6">
        <f t="shared" si="21"/>
        <v>0.894811391295863</v>
      </c>
      <c r="T189" t="str">
        <f t="shared" si="22"/>
        <v>B</v>
      </c>
    </row>
    <row r="190" spans="1:20">
      <c r="A190" t="s">
        <v>1215</v>
      </c>
      <c r="B190" s="10">
        <v>110691.3969</v>
      </c>
      <c r="C190" s="10">
        <f>SUM($B$33:B190)</f>
        <v>353363708.00666</v>
      </c>
      <c r="D190" s="12">
        <f t="shared" si="19"/>
        <v>0.998458134081264</v>
      </c>
      <c r="E190" t="str">
        <f t="shared" si="20"/>
        <v>C</v>
      </c>
      <c r="I190" t="s">
        <v>856</v>
      </c>
      <c r="J190" s="10">
        <v>509592.33105</v>
      </c>
      <c r="K190" s="10">
        <f>SUM($J$34:J190)</f>
        <v>354440258.31622</v>
      </c>
      <c r="L190" s="6">
        <f t="shared" si="23"/>
        <v>0.974223401030159</v>
      </c>
      <c r="M190" t="str">
        <f t="shared" si="24"/>
        <v>C</v>
      </c>
      <c r="P190" t="s">
        <v>607</v>
      </c>
      <c r="Q190" s="10">
        <v>1029678.3796</v>
      </c>
      <c r="R190" s="10">
        <f>SUM($Q$33:Q190)</f>
        <v>474076137.26953</v>
      </c>
      <c r="S190" s="6">
        <f t="shared" si="21"/>
        <v>0.896759123756643</v>
      </c>
      <c r="T190" t="str">
        <f t="shared" si="22"/>
        <v>B</v>
      </c>
    </row>
    <row r="191" spans="1:20">
      <c r="A191" t="s">
        <v>1406</v>
      </c>
      <c r="B191" s="10">
        <v>89793.49536</v>
      </c>
      <c r="C191" s="10">
        <f>SUM($B$33:B191)</f>
        <v>353453501.50202</v>
      </c>
      <c r="D191" s="12">
        <f t="shared" si="19"/>
        <v>0.998711852965797</v>
      </c>
      <c r="E191" t="str">
        <f t="shared" si="20"/>
        <v>C</v>
      </c>
      <c r="I191" t="s">
        <v>964</v>
      </c>
      <c r="J191" s="10">
        <v>507914.32252</v>
      </c>
      <c r="K191" s="10">
        <f>SUM($J$34:J191)</f>
        <v>354948172.63874</v>
      </c>
      <c r="L191" s="6">
        <f t="shared" si="23"/>
        <v>0.975619467100836</v>
      </c>
      <c r="M191" t="str">
        <f t="shared" si="24"/>
        <v>C</v>
      </c>
      <c r="P191" t="s">
        <v>660</v>
      </c>
      <c r="Q191" s="10">
        <v>1023795.19242</v>
      </c>
      <c r="R191" s="10">
        <f>SUM($Q$33:Q191)</f>
        <v>475099932.46195</v>
      </c>
      <c r="S191" s="6">
        <f t="shared" si="21"/>
        <v>0.898695727621476</v>
      </c>
      <c r="T191" t="str">
        <f t="shared" si="22"/>
        <v>B</v>
      </c>
    </row>
    <row r="192" spans="1:20">
      <c r="A192" t="s">
        <v>1325</v>
      </c>
      <c r="B192" s="10">
        <v>70324.0998</v>
      </c>
      <c r="C192" s="10">
        <f>SUM($B$33:B192)</f>
        <v>353523825.60182</v>
      </c>
      <c r="D192" s="12">
        <f t="shared" si="19"/>
        <v>0.998910559476614</v>
      </c>
      <c r="E192" t="str">
        <f t="shared" si="20"/>
        <v>C</v>
      </c>
      <c r="I192" t="s">
        <v>569</v>
      </c>
      <c r="J192" s="10">
        <v>506396.5128</v>
      </c>
      <c r="K192" s="10">
        <f>SUM($J$34:J192)</f>
        <v>355454569.15154</v>
      </c>
      <c r="L192" s="6">
        <f t="shared" si="23"/>
        <v>0.977011361281575</v>
      </c>
      <c r="M192" t="str">
        <f t="shared" si="24"/>
        <v>C</v>
      </c>
      <c r="P192" t="s">
        <v>575</v>
      </c>
      <c r="Q192" s="10">
        <v>1001099.54468</v>
      </c>
      <c r="R192" s="10">
        <f>SUM($Q$33:Q192)</f>
        <v>476101032.00663</v>
      </c>
      <c r="S192" s="6">
        <f t="shared" si="21"/>
        <v>0.900589400556905</v>
      </c>
      <c r="T192" t="str">
        <f t="shared" si="22"/>
        <v>B</v>
      </c>
    </row>
    <row r="193" spans="1:20">
      <c r="A193" t="s">
        <v>828</v>
      </c>
      <c r="B193" s="10">
        <v>66774</v>
      </c>
      <c r="C193" s="10">
        <f>SUM($B$33:B193)</f>
        <v>353590599.60182</v>
      </c>
      <c r="D193" s="12">
        <f t="shared" si="19"/>
        <v>0.999099234889325</v>
      </c>
      <c r="E193" t="str">
        <f t="shared" si="20"/>
        <v>C</v>
      </c>
      <c r="I193" t="s">
        <v>1239</v>
      </c>
      <c r="J193" s="10">
        <v>500364.33656</v>
      </c>
      <c r="K193" s="10">
        <f>SUM($J$34:J193)</f>
        <v>355954933.4881</v>
      </c>
      <c r="L193" s="6">
        <f t="shared" si="23"/>
        <v>0.978386675271113</v>
      </c>
      <c r="M193" t="str">
        <f t="shared" si="24"/>
        <v>C</v>
      </c>
      <c r="P193" t="s">
        <v>405</v>
      </c>
      <c r="Q193" s="10">
        <v>983111.72022</v>
      </c>
      <c r="R193" s="10">
        <f>SUM($Q$33:Q193)</f>
        <v>477084143.72685</v>
      </c>
      <c r="S193" s="6">
        <f t="shared" si="21"/>
        <v>0.902449047848703</v>
      </c>
      <c r="T193" t="str">
        <f t="shared" si="22"/>
        <v>B</v>
      </c>
    </row>
    <row r="194" spans="1:20">
      <c r="A194" t="s">
        <v>502</v>
      </c>
      <c r="B194" s="10">
        <v>61930.35849</v>
      </c>
      <c r="C194" s="10">
        <f>SUM($B$33:B194)</f>
        <v>353652529.96031</v>
      </c>
      <c r="D194" s="12">
        <f t="shared" si="19"/>
        <v>0.999274224195753</v>
      </c>
      <c r="E194" t="str">
        <f t="shared" si="20"/>
        <v>C</v>
      </c>
      <c r="I194" t="s">
        <v>744</v>
      </c>
      <c r="J194" s="10">
        <v>484990.54912</v>
      </c>
      <c r="K194" s="10">
        <f>SUM($J$34:J194)</f>
        <v>356439924.03722</v>
      </c>
      <c r="L194" s="6">
        <f t="shared" si="23"/>
        <v>0.979719732482152</v>
      </c>
      <c r="M194" t="str">
        <f t="shared" si="24"/>
        <v>C</v>
      </c>
      <c r="P194" t="s">
        <v>536</v>
      </c>
      <c r="Q194" s="10">
        <v>978535.92384</v>
      </c>
      <c r="R194" s="10">
        <f>SUM($Q$33:Q194)</f>
        <v>478062679.65069</v>
      </c>
      <c r="S194" s="6">
        <f t="shared" si="21"/>
        <v>0.904300039595897</v>
      </c>
      <c r="T194" t="str">
        <f t="shared" si="22"/>
        <v>B</v>
      </c>
    </row>
    <row r="195" spans="1:20">
      <c r="A195" t="s">
        <v>473</v>
      </c>
      <c r="B195" s="10">
        <v>60016.66437</v>
      </c>
      <c r="C195" s="10">
        <f>SUM($B$33:B195)</f>
        <v>353712546.62468</v>
      </c>
      <c r="D195" s="12">
        <f t="shared" si="19"/>
        <v>0.999443806202515</v>
      </c>
      <c r="E195" t="str">
        <f t="shared" si="20"/>
        <v>C</v>
      </c>
      <c r="I195" t="s">
        <v>1187</v>
      </c>
      <c r="J195" s="10">
        <v>477518.0676</v>
      </c>
      <c r="K195" s="10">
        <f>SUM($J$34:J195)</f>
        <v>356917442.10482</v>
      </c>
      <c r="L195" s="6">
        <f t="shared" si="23"/>
        <v>0.981032250642704</v>
      </c>
      <c r="M195" t="str">
        <f t="shared" si="24"/>
        <v>C</v>
      </c>
      <c r="P195" t="s">
        <v>514</v>
      </c>
      <c r="Q195" s="10">
        <v>971874.93872</v>
      </c>
      <c r="R195" s="10">
        <f>SUM($Q$33:Q195)</f>
        <v>479034554.58941</v>
      </c>
      <c r="S195" s="6">
        <f t="shared" si="21"/>
        <v>0.906138431469968</v>
      </c>
      <c r="T195" t="str">
        <f t="shared" si="22"/>
        <v>B</v>
      </c>
    </row>
    <row r="196" spans="1:20">
      <c r="A196" t="s">
        <v>790</v>
      </c>
      <c r="B196" s="10">
        <v>59390.12832</v>
      </c>
      <c r="C196" s="10">
        <f>SUM($B$33:B196)</f>
        <v>353771936.753</v>
      </c>
      <c r="D196" s="12">
        <f t="shared" si="19"/>
        <v>0.999611617880289</v>
      </c>
      <c r="E196" t="str">
        <f t="shared" si="20"/>
        <v>C</v>
      </c>
      <c r="I196" t="s">
        <v>650</v>
      </c>
      <c r="J196" s="10">
        <v>474024.45648</v>
      </c>
      <c r="K196" s="10">
        <f>SUM($J$34:J196)</f>
        <v>357391466.5613</v>
      </c>
      <c r="L196" s="6">
        <f t="shared" si="23"/>
        <v>0.982335166175937</v>
      </c>
      <c r="M196" t="str">
        <f t="shared" si="24"/>
        <v>C</v>
      </c>
      <c r="P196" t="s">
        <v>928</v>
      </c>
      <c r="Q196" s="10">
        <v>970707.9928</v>
      </c>
      <c r="R196" s="10">
        <f>SUM($Q$33:Q196)</f>
        <v>480005262.58221</v>
      </c>
      <c r="S196" s="6">
        <f t="shared" si="21"/>
        <v>0.907974615957255</v>
      </c>
      <c r="T196" t="str">
        <f t="shared" si="22"/>
        <v>B</v>
      </c>
    </row>
    <row r="197" spans="1:20">
      <c r="A197" t="s">
        <v>1041</v>
      </c>
      <c r="B197" s="10">
        <v>46782.29248</v>
      </c>
      <c r="C197" s="10">
        <f>SUM($B$33:B197)</f>
        <v>353818719.04548</v>
      </c>
      <c r="D197" s="12">
        <f t="shared" si="19"/>
        <v>0.999743805084009</v>
      </c>
      <c r="E197" t="str">
        <f t="shared" si="20"/>
        <v>C</v>
      </c>
      <c r="I197" t="s">
        <v>1010</v>
      </c>
      <c r="J197" s="10">
        <v>426096.07806</v>
      </c>
      <c r="K197" s="10">
        <f>SUM($J$34:J197)</f>
        <v>357817562.63936</v>
      </c>
      <c r="L197" s="6">
        <f t="shared" si="23"/>
        <v>0.983506344563814</v>
      </c>
      <c r="M197" t="str">
        <f t="shared" si="24"/>
        <v>C</v>
      </c>
      <c r="P197" t="s">
        <v>852</v>
      </c>
      <c r="Q197" s="10">
        <v>966995.784</v>
      </c>
      <c r="R197" s="10">
        <f>SUM($Q$33:Q197)</f>
        <v>480972258.36621</v>
      </c>
      <c r="S197" s="6">
        <f t="shared" si="21"/>
        <v>0.909803778456195</v>
      </c>
      <c r="T197" t="str">
        <f t="shared" si="22"/>
        <v>B</v>
      </c>
    </row>
    <row r="198" spans="1:20">
      <c r="A198" t="s">
        <v>1434</v>
      </c>
      <c r="B198" s="10">
        <v>37086</v>
      </c>
      <c r="C198" s="10">
        <f>SUM($B$33:B198)</f>
        <v>353855805.04548</v>
      </c>
      <c r="D198" s="12">
        <f t="shared" si="19"/>
        <v>0.999848594618196</v>
      </c>
      <c r="E198" t="str">
        <f t="shared" si="20"/>
        <v>C</v>
      </c>
      <c r="I198" t="s">
        <v>329</v>
      </c>
      <c r="J198" s="10">
        <v>408450.41838</v>
      </c>
      <c r="K198" s="10">
        <f>SUM($J$34:J198)</f>
        <v>358226013.05774</v>
      </c>
      <c r="L198" s="6">
        <f t="shared" si="23"/>
        <v>0.984629021648061</v>
      </c>
      <c r="M198" t="str">
        <f t="shared" si="24"/>
        <v>C</v>
      </c>
      <c r="P198" t="s">
        <v>894</v>
      </c>
      <c r="Q198" s="10">
        <v>964030.5909</v>
      </c>
      <c r="R198" s="10">
        <f>SUM($Q$33:Q198)</f>
        <v>481936288.95711</v>
      </c>
      <c r="S198" s="6">
        <f t="shared" si="21"/>
        <v>0.911627332016493</v>
      </c>
      <c r="T198" t="str">
        <f t="shared" si="22"/>
        <v>B</v>
      </c>
    </row>
    <row r="199" spans="1:20">
      <c r="A199" t="s">
        <v>1524</v>
      </c>
      <c r="B199" s="10">
        <v>32130.31822</v>
      </c>
      <c r="C199" s="10">
        <f>SUM($B$33:B199)</f>
        <v>353887935.3637</v>
      </c>
      <c r="D199" s="12">
        <f t="shared" si="19"/>
        <v>0.99993938146713</v>
      </c>
      <c r="E199" t="str">
        <f t="shared" si="20"/>
        <v>C</v>
      </c>
      <c r="I199" t="s">
        <v>1456</v>
      </c>
      <c r="J199" s="10">
        <v>361842.71</v>
      </c>
      <c r="K199" s="10">
        <f>SUM($J$34:J199)</f>
        <v>358587855.76774</v>
      </c>
      <c r="L199" s="6">
        <f t="shared" si="23"/>
        <v>0.985623591613812</v>
      </c>
      <c r="M199" t="str">
        <f t="shared" si="24"/>
        <v>C</v>
      </c>
      <c r="P199" t="s">
        <v>1323</v>
      </c>
      <c r="Q199" s="10">
        <v>962427.13866</v>
      </c>
      <c r="R199" s="10">
        <f>SUM($Q$33:Q199)</f>
        <v>482898716.09577</v>
      </c>
      <c r="S199" s="6">
        <f t="shared" si="21"/>
        <v>0.913447852497687</v>
      </c>
      <c r="T199" t="str">
        <f t="shared" si="22"/>
        <v>B</v>
      </c>
    </row>
    <row r="200" spans="1:20">
      <c r="A200" t="s">
        <v>1249</v>
      </c>
      <c r="B200" s="10">
        <v>12673.2492</v>
      </c>
      <c r="C200" s="10">
        <f>SUM($B$33:B200)</f>
        <v>353900608.6129</v>
      </c>
      <c r="D200" s="12">
        <f t="shared" si="19"/>
        <v>0.999975190771997</v>
      </c>
      <c r="E200" t="str">
        <f t="shared" si="20"/>
        <v>C</v>
      </c>
      <c r="I200" t="s">
        <v>858</v>
      </c>
      <c r="J200" s="10">
        <v>357334.66132</v>
      </c>
      <c r="K200" s="10">
        <f>SUM($J$34:J200)</f>
        <v>358945190.42906</v>
      </c>
      <c r="L200" s="6">
        <f t="shared" si="23"/>
        <v>0.986605770643674</v>
      </c>
      <c r="M200" t="str">
        <f t="shared" si="24"/>
        <v>C</v>
      </c>
      <c r="P200" t="s">
        <v>1269</v>
      </c>
      <c r="Q200" s="10">
        <v>959784.63745</v>
      </c>
      <c r="R200" s="10">
        <f>SUM($Q$33:Q200)</f>
        <v>483858500.73322</v>
      </c>
      <c r="S200" s="6">
        <f t="shared" si="21"/>
        <v>0.915263374441972</v>
      </c>
      <c r="T200" t="str">
        <f t="shared" si="22"/>
        <v>B</v>
      </c>
    </row>
    <row r="201" spans="1:20">
      <c r="A201" t="s">
        <v>836</v>
      </c>
      <c r="B201" s="10">
        <v>8780.21872</v>
      </c>
      <c r="C201" s="10">
        <f>SUM($B$33:B201)</f>
        <v>353909388.83162</v>
      </c>
      <c r="D201" s="12">
        <f t="shared" si="19"/>
        <v>1</v>
      </c>
      <c r="E201" t="str">
        <f t="shared" si="20"/>
        <v>C</v>
      </c>
      <c r="I201" t="s">
        <v>226</v>
      </c>
      <c r="J201" s="10">
        <v>337890.56964</v>
      </c>
      <c r="K201" s="10">
        <f>SUM($J$34:J201)</f>
        <v>359283080.9987</v>
      </c>
      <c r="L201" s="6">
        <f t="shared" si="23"/>
        <v>0.987534505154517</v>
      </c>
      <c r="M201" t="str">
        <f t="shared" si="24"/>
        <v>C</v>
      </c>
      <c r="P201" t="s">
        <v>629</v>
      </c>
      <c r="Q201" s="10">
        <v>954525.456</v>
      </c>
      <c r="R201" s="10">
        <f>SUM($Q$33:Q201)</f>
        <v>484813026.18922</v>
      </c>
      <c r="S201" s="6">
        <f t="shared" si="21"/>
        <v>0.917068948155207</v>
      </c>
      <c r="T201" t="str">
        <f t="shared" si="22"/>
        <v>B</v>
      </c>
    </row>
    <row r="202" spans="1:20">
      <c r="A202" t="s">
        <v>1599</v>
      </c>
      <c r="B202" s="10">
        <v>353909388.83162</v>
      </c>
      <c r="C202" s="10"/>
      <c r="D202" s="19"/>
      <c r="I202" t="s">
        <v>1478</v>
      </c>
      <c r="J202" s="10">
        <v>326381.13018</v>
      </c>
      <c r="K202" s="10">
        <f>SUM($J$34:J202)</f>
        <v>359609462.12888</v>
      </c>
      <c r="L202" s="6">
        <f t="shared" si="23"/>
        <v>0.988431604530831</v>
      </c>
      <c r="M202" t="str">
        <f t="shared" si="24"/>
        <v>C</v>
      </c>
      <c r="P202" t="s">
        <v>906</v>
      </c>
      <c r="Q202" s="10">
        <v>952483.7476</v>
      </c>
      <c r="R202" s="10">
        <f>SUM($Q$33:Q202)</f>
        <v>485765509.93682</v>
      </c>
      <c r="S202" s="6">
        <f t="shared" si="21"/>
        <v>0.918870659787035</v>
      </c>
      <c r="T202" t="str">
        <f t="shared" si="22"/>
        <v>B</v>
      </c>
    </row>
    <row r="203" spans="1:20">
      <c r="C203" s="10"/>
      <c r="D203" s="8"/>
      <c r="I203" t="s">
        <v>728</v>
      </c>
      <c r="J203" s="10">
        <v>325412.0836</v>
      </c>
      <c r="K203" s="10">
        <f>SUM($J$34:J203)</f>
        <v>359934874.21248</v>
      </c>
      <c r="L203" s="6">
        <f t="shared" si="23"/>
        <v>0.989326040361364</v>
      </c>
      <c r="M203" t="str">
        <f t="shared" si="24"/>
        <v>C</v>
      </c>
      <c r="P203" t="s">
        <v>397</v>
      </c>
      <c r="Q203" s="10">
        <v>939604.9625</v>
      </c>
      <c r="R203" s="10">
        <f>SUM($Q$33:Q203)</f>
        <v>486705114.89932</v>
      </c>
      <c r="S203" s="6">
        <f t="shared" si="21"/>
        <v>0.920648009998547</v>
      </c>
      <c r="T203" t="str">
        <f t="shared" si="22"/>
        <v>B</v>
      </c>
    </row>
    <row r="204" spans="1:20">
      <c r="C204" s="10"/>
      <c r="D204" s="8"/>
      <c r="I204" t="s">
        <v>900</v>
      </c>
      <c r="J204" s="10">
        <v>295643.6041</v>
      </c>
      <c r="K204" s="10">
        <f>SUM($J$34:J204)</f>
        <v>360230517.81658</v>
      </c>
      <c r="L204" s="6">
        <f t="shared" si="23"/>
        <v>0.990138653801065</v>
      </c>
      <c r="M204" t="str">
        <f t="shared" si="24"/>
        <v>C</v>
      </c>
      <c r="P204" t="s">
        <v>692</v>
      </c>
      <c r="Q204" s="10">
        <v>930289.14936</v>
      </c>
      <c r="R204" s="10">
        <f>SUM($Q$33:Q204)</f>
        <v>487635404.04868</v>
      </c>
      <c r="S204" s="6">
        <f t="shared" si="21"/>
        <v>0.922407738482721</v>
      </c>
      <c r="T204" t="str">
        <f t="shared" si="22"/>
        <v>B</v>
      </c>
    </row>
    <row r="205" spans="1:20">
      <c r="C205" s="10"/>
      <c r="D205" s="8"/>
      <c r="I205" t="s">
        <v>1045</v>
      </c>
      <c r="J205" s="10">
        <v>281833.7635</v>
      </c>
      <c r="K205" s="10">
        <f>SUM($J$34:J205)</f>
        <v>360512351.58008</v>
      </c>
      <c r="L205" s="6">
        <f t="shared" si="23"/>
        <v>0.990913309165855</v>
      </c>
      <c r="M205" t="str">
        <f t="shared" si="24"/>
        <v>C</v>
      </c>
      <c r="P205" t="s">
        <v>1335</v>
      </c>
      <c r="Q205" s="10">
        <v>917954.20724</v>
      </c>
      <c r="R205" s="10">
        <f>SUM($Q$33:Q205)</f>
        <v>488553358.25592</v>
      </c>
      <c r="S205" s="6">
        <f t="shared" si="21"/>
        <v>0.924144134276178</v>
      </c>
      <c r="T205" t="str">
        <f t="shared" si="22"/>
        <v>B</v>
      </c>
    </row>
    <row r="206" spans="1:20">
      <c r="C206" s="10"/>
      <c r="D206" s="8"/>
      <c r="I206" t="s">
        <v>1127</v>
      </c>
      <c r="J206" s="10">
        <v>278194.124</v>
      </c>
      <c r="K206" s="10">
        <f>SUM($J$34:J206)</f>
        <v>360790545.70408</v>
      </c>
      <c r="L206" s="6">
        <f t="shared" si="23"/>
        <v>0.991677960526051</v>
      </c>
      <c r="M206" t="str">
        <f t="shared" si="24"/>
        <v>C</v>
      </c>
      <c r="P206" t="s">
        <v>1259</v>
      </c>
      <c r="Q206" s="10">
        <v>916197.4696</v>
      </c>
      <c r="R206" s="10">
        <f>SUM($Q$33:Q206)</f>
        <v>489469555.72552</v>
      </c>
      <c r="S206" s="6">
        <f t="shared" si="21"/>
        <v>0.925877207036935</v>
      </c>
      <c r="T206" t="str">
        <f t="shared" si="22"/>
        <v>B</v>
      </c>
    </row>
    <row r="207" spans="1:20">
      <c r="C207" s="10"/>
      <c r="D207" s="8"/>
      <c r="I207" t="s">
        <v>698</v>
      </c>
      <c r="J207" s="10">
        <v>277023.96672</v>
      </c>
      <c r="K207" s="10">
        <f>SUM($J$34:J207)</f>
        <v>361067569.6708</v>
      </c>
      <c r="L207" s="6">
        <f t="shared" si="23"/>
        <v>0.992439395562542</v>
      </c>
      <c r="M207" t="str">
        <f t="shared" si="24"/>
        <v>C</v>
      </c>
      <c r="P207" t="s">
        <v>1450</v>
      </c>
      <c r="Q207" s="10">
        <v>908622.52</v>
      </c>
      <c r="R207" s="10">
        <f>SUM($Q$33:Q207)</f>
        <v>490378178.24552</v>
      </c>
      <c r="S207" s="6">
        <f t="shared" si="21"/>
        <v>0.927595951075716</v>
      </c>
      <c r="T207" t="str">
        <f t="shared" si="22"/>
        <v>B</v>
      </c>
    </row>
    <row r="208" spans="1:20">
      <c r="C208" s="10"/>
      <c r="D208" s="8"/>
      <c r="I208" t="s">
        <v>1315</v>
      </c>
      <c r="J208" s="10">
        <v>247821.98805</v>
      </c>
      <c r="K208" s="10">
        <f>SUM($J$34:J208)</f>
        <v>361315391.65885</v>
      </c>
      <c r="L208" s="6">
        <f t="shared" si="23"/>
        <v>0.99312056530662</v>
      </c>
      <c r="M208" t="str">
        <f t="shared" si="24"/>
        <v>C</v>
      </c>
      <c r="P208" t="s">
        <v>1442</v>
      </c>
      <c r="Q208" s="10">
        <v>902235</v>
      </c>
      <c r="R208" s="10">
        <f>SUM($Q$33:Q208)</f>
        <v>491280413.24552</v>
      </c>
      <c r="S208" s="6">
        <f t="shared" si="21"/>
        <v>0.929302612526096</v>
      </c>
      <c r="T208" t="str">
        <f t="shared" si="22"/>
        <v>B</v>
      </c>
    </row>
    <row r="209" spans="3:20">
      <c r="C209" s="10"/>
      <c r="D209" s="8"/>
      <c r="I209" t="s">
        <v>1364</v>
      </c>
      <c r="J209" s="10">
        <v>233869.14408</v>
      </c>
      <c r="K209" s="10">
        <f>SUM($J$34:J209)</f>
        <v>361549260.80293</v>
      </c>
      <c r="L209" s="6">
        <f t="shared" si="23"/>
        <v>0.993763383913129</v>
      </c>
      <c r="M209" t="str">
        <f t="shared" si="24"/>
        <v>C</v>
      </c>
      <c r="P209" t="s">
        <v>1303</v>
      </c>
      <c r="Q209" s="10">
        <v>900751.7232</v>
      </c>
      <c r="R209" s="10">
        <f>SUM($Q$33:Q209)</f>
        <v>492181164.96872</v>
      </c>
      <c r="S209" s="6">
        <f t="shared" si="21"/>
        <v>0.931006468220397</v>
      </c>
      <c r="T209" t="str">
        <f t="shared" si="22"/>
        <v>B</v>
      </c>
    </row>
    <row r="210" spans="3:20">
      <c r="C210" s="10"/>
      <c r="D210" s="8"/>
      <c r="I210" t="s">
        <v>1426</v>
      </c>
      <c r="J210" s="10">
        <v>232214.0076</v>
      </c>
      <c r="K210" s="10">
        <f>SUM($J$34:J210)</f>
        <v>361781474.81053</v>
      </c>
      <c r="L210" s="6">
        <f t="shared" si="23"/>
        <v>0.994401653169916</v>
      </c>
      <c r="M210" t="str">
        <f t="shared" si="24"/>
        <v>C</v>
      </c>
      <c r="P210" t="s">
        <v>440</v>
      </c>
      <c r="Q210" s="10">
        <v>898344.7326</v>
      </c>
      <c r="R210" s="10">
        <f>SUM($Q$33:Q210)</f>
        <v>493079509.70132</v>
      </c>
      <c r="S210" s="6">
        <f t="shared" si="21"/>
        <v>0.932705770868022</v>
      </c>
      <c r="T210" t="str">
        <f t="shared" si="22"/>
        <v>B</v>
      </c>
    </row>
    <row r="211" spans="3:20">
      <c r="C211" s="10"/>
      <c r="D211" s="8"/>
      <c r="I211" t="s">
        <v>613</v>
      </c>
      <c r="J211" s="10">
        <v>199612.07568</v>
      </c>
      <c r="K211" s="10">
        <f>SUM($J$34:J211)</f>
        <v>361981086.88621</v>
      </c>
      <c r="L211" s="6">
        <f t="shared" si="23"/>
        <v>0.994950311937347</v>
      </c>
      <c r="M211" t="str">
        <f t="shared" si="24"/>
        <v>C</v>
      </c>
      <c r="P211" t="s">
        <v>1071</v>
      </c>
      <c r="Q211" s="10">
        <v>880012.1011</v>
      </c>
      <c r="R211" s="10">
        <f>SUM($Q$33:Q211)</f>
        <v>493959521.80242</v>
      </c>
      <c r="S211" s="6">
        <f t="shared" si="21"/>
        <v>0.934370395637416</v>
      </c>
      <c r="T211" t="str">
        <f t="shared" si="22"/>
        <v>B</v>
      </c>
    </row>
    <row r="212" spans="3:20">
      <c r="C212" s="10"/>
      <c r="D212" s="8"/>
      <c r="I212" t="s">
        <v>1153</v>
      </c>
      <c r="J212" s="10">
        <v>198020.53872</v>
      </c>
      <c r="K212" s="10">
        <f>SUM($J$34:J212)</f>
        <v>362179107.42493</v>
      </c>
      <c r="L212" s="6">
        <f t="shared" si="23"/>
        <v>0.995494596166295</v>
      </c>
      <c r="M212" t="str">
        <f t="shared" si="24"/>
        <v>C</v>
      </c>
      <c r="P212" t="s">
        <v>782</v>
      </c>
      <c r="Q212" s="10">
        <v>878879.8432</v>
      </c>
      <c r="R212" s="10">
        <f>SUM($Q$33:Q212)</f>
        <v>494838401.64562</v>
      </c>
      <c r="S212" s="6">
        <f t="shared" si="21"/>
        <v>0.936032878635643</v>
      </c>
      <c r="T212" t="str">
        <f t="shared" si="22"/>
        <v>B</v>
      </c>
    </row>
    <row r="213" spans="3:20">
      <c r="C213" s="10"/>
      <c r="D213" s="8"/>
      <c r="I213" t="s">
        <v>686</v>
      </c>
      <c r="J213" s="10">
        <v>197438.4072</v>
      </c>
      <c r="K213" s="10">
        <f>SUM($J$34:J213)</f>
        <v>362376545.83213</v>
      </c>
      <c r="L213" s="6">
        <f t="shared" si="23"/>
        <v>0.996037280333917</v>
      </c>
      <c r="M213" t="str">
        <f t="shared" si="24"/>
        <v>C</v>
      </c>
      <c r="P213" t="s">
        <v>1097</v>
      </c>
      <c r="Q213" s="10">
        <v>874976.8115</v>
      </c>
      <c r="R213" s="10">
        <f>SUM($Q$33:Q213)</f>
        <v>495713378.45712</v>
      </c>
      <c r="S213" s="6">
        <f t="shared" si="21"/>
        <v>0.937687978686253</v>
      </c>
      <c r="T213" t="str">
        <f t="shared" si="22"/>
        <v>B</v>
      </c>
    </row>
    <row r="214" spans="3:20">
      <c r="C214" s="10"/>
      <c r="D214" s="8"/>
      <c r="I214" t="s">
        <v>292</v>
      </c>
      <c r="J214" s="10">
        <v>175670</v>
      </c>
      <c r="K214" s="10">
        <f>SUM($J$34:J214)</f>
        <v>362552215.83213</v>
      </c>
      <c r="L214" s="6">
        <f t="shared" si="23"/>
        <v>0.996520131310474</v>
      </c>
      <c r="M214" t="str">
        <f t="shared" si="24"/>
        <v>C</v>
      </c>
      <c r="P214" t="s">
        <v>1137</v>
      </c>
      <c r="Q214" s="10">
        <v>859273.00914</v>
      </c>
      <c r="R214" s="10">
        <f>SUM($Q$33:Q214)</f>
        <v>496572651.46626</v>
      </c>
      <c r="S214" s="6">
        <f t="shared" si="21"/>
        <v>0.93931337353355</v>
      </c>
      <c r="T214" t="str">
        <f t="shared" si="22"/>
        <v>B</v>
      </c>
    </row>
    <row r="215" spans="3:20">
      <c r="C215" s="10"/>
      <c r="D215" s="8"/>
      <c r="I215" t="s">
        <v>874</v>
      </c>
      <c r="J215" s="10">
        <v>170591.15072</v>
      </c>
      <c r="K215" s="10">
        <f>SUM($J$34:J215)</f>
        <v>362722806.98285</v>
      </c>
      <c r="L215" s="6">
        <f t="shared" si="23"/>
        <v>0.996989022434269</v>
      </c>
      <c r="M215" t="str">
        <f t="shared" si="24"/>
        <v>C</v>
      </c>
      <c r="P215" t="s">
        <v>1454</v>
      </c>
      <c r="Q215" s="10">
        <v>849009.76875</v>
      </c>
      <c r="R215" s="10">
        <f>SUM($Q$33:Q215)</f>
        <v>497421661.23501</v>
      </c>
      <c r="S215" s="6">
        <f t="shared" si="21"/>
        <v>0.940919354506712</v>
      </c>
      <c r="T215" t="str">
        <f t="shared" si="22"/>
        <v>B</v>
      </c>
    </row>
    <row r="216" spans="3:20">
      <c r="C216" s="10"/>
      <c r="D216" s="8"/>
      <c r="I216" t="s">
        <v>846</v>
      </c>
      <c r="J216" s="10">
        <v>130003.87708</v>
      </c>
      <c r="K216" s="10">
        <f>SUM($J$34:J216)</f>
        <v>362852810.85993</v>
      </c>
      <c r="L216" s="6">
        <f t="shared" si="23"/>
        <v>0.997346354357786</v>
      </c>
      <c r="M216" t="str">
        <f t="shared" si="24"/>
        <v>C</v>
      </c>
      <c r="P216" t="s">
        <v>804</v>
      </c>
      <c r="Q216" s="10">
        <v>834355.4635</v>
      </c>
      <c r="R216" s="10">
        <f>SUM($Q$33:Q216)</f>
        <v>498256016.69851</v>
      </c>
      <c r="S216" s="6">
        <f t="shared" si="21"/>
        <v>0.942497615497993</v>
      </c>
      <c r="T216" t="str">
        <f t="shared" si="22"/>
        <v>B</v>
      </c>
    </row>
    <row r="217" spans="3:20">
      <c r="C217" s="10"/>
      <c r="D217" s="8"/>
      <c r="I217" t="s">
        <v>972</v>
      </c>
      <c r="J217" s="10">
        <v>128515.2896</v>
      </c>
      <c r="K217" s="10">
        <f>SUM($J$34:J217)</f>
        <v>362981326.14953</v>
      </c>
      <c r="L217" s="6">
        <f t="shared" si="23"/>
        <v>0.997699594712348</v>
      </c>
      <c r="M217" t="str">
        <f t="shared" si="24"/>
        <v>C</v>
      </c>
      <c r="P217" t="s">
        <v>1247</v>
      </c>
      <c r="Q217" s="10">
        <v>818017.48149</v>
      </c>
      <c r="R217" s="10">
        <f>SUM($Q$33:Q217)</f>
        <v>499074034.18</v>
      </c>
      <c r="S217" s="6">
        <f t="shared" si="21"/>
        <v>0.944044971676146</v>
      </c>
      <c r="T217" t="str">
        <f t="shared" si="22"/>
        <v>B</v>
      </c>
    </row>
    <row r="218" spans="3:20">
      <c r="C218" s="10"/>
      <c r="D218" s="8"/>
      <c r="I218" t="s">
        <v>750</v>
      </c>
      <c r="J218" s="10">
        <v>97958.30304</v>
      </c>
      <c r="K218" s="10">
        <f>SUM($J$34:J218)</f>
        <v>363079284.45257</v>
      </c>
      <c r="L218" s="6">
        <f t="shared" si="23"/>
        <v>0.997968845365759</v>
      </c>
      <c r="M218" t="str">
        <f t="shared" si="24"/>
        <v>C</v>
      </c>
      <c r="P218" t="s">
        <v>1384</v>
      </c>
      <c r="Q218" s="10">
        <v>790312.383</v>
      </c>
      <c r="R218" s="10">
        <f>SUM($Q$33:Q218)</f>
        <v>499864346.563</v>
      </c>
      <c r="S218" s="6">
        <f t="shared" si="21"/>
        <v>0.945539921082701</v>
      </c>
      <c r="T218" t="str">
        <f t="shared" si="22"/>
        <v>B</v>
      </c>
    </row>
    <row r="219" spans="3:20">
      <c r="C219" s="10"/>
      <c r="D219" s="8"/>
      <c r="I219" t="s">
        <v>1099</v>
      </c>
      <c r="J219" s="10">
        <v>94486.51836</v>
      </c>
      <c r="K219" s="10">
        <f>SUM($J$34:J219)</f>
        <v>363173770.97093</v>
      </c>
      <c r="L219" s="6">
        <f t="shared" si="23"/>
        <v>0.998228553384553</v>
      </c>
      <c r="M219" t="str">
        <f t="shared" si="24"/>
        <v>C</v>
      </c>
      <c r="P219" t="s">
        <v>850</v>
      </c>
      <c r="Q219" s="10">
        <v>784037.145</v>
      </c>
      <c r="R219" s="10">
        <f>SUM($Q$33:Q219)</f>
        <v>500648383.708</v>
      </c>
      <c r="S219" s="6">
        <f t="shared" si="21"/>
        <v>0.947023000292704</v>
      </c>
      <c r="T219" t="str">
        <f t="shared" si="22"/>
        <v>B</v>
      </c>
    </row>
    <row r="220" spans="3:20">
      <c r="C220" s="10"/>
      <c r="D220" s="8"/>
      <c r="I220" t="s">
        <v>1496</v>
      </c>
      <c r="J220" s="10">
        <v>94151.86704</v>
      </c>
      <c r="K220" s="10">
        <f>SUM($J$34:J220)</f>
        <v>363267922.83797</v>
      </c>
      <c r="L220" s="6">
        <f t="shared" si="23"/>
        <v>0.998487341572319</v>
      </c>
      <c r="M220" t="str">
        <f t="shared" si="24"/>
        <v>C</v>
      </c>
      <c r="P220" t="s">
        <v>1418</v>
      </c>
      <c r="Q220" s="10">
        <v>777265.2734</v>
      </c>
      <c r="R220" s="10">
        <f>SUM($Q$33:Q220)</f>
        <v>501425648.9814</v>
      </c>
      <c r="S220" s="6">
        <f t="shared" si="21"/>
        <v>0.948493269877491</v>
      </c>
      <c r="T220" t="str">
        <f t="shared" si="22"/>
        <v>B</v>
      </c>
    </row>
    <row r="221" spans="3:20">
      <c r="C221" s="10"/>
      <c r="D221" s="8"/>
      <c r="I221" t="s">
        <v>494</v>
      </c>
      <c r="J221" s="10">
        <v>90722.34195</v>
      </c>
      <c r="K221" s="10">
        <f>SUM($J$34:J221)</f>
        <v>363358645.17992</v>
      </c>
      <c r="L221" s="6">
        <f t="shared" si="23"/>
        <v>0.99873670328124</v>
      </c>
      <c r="M221" t="str">
        <f t="shared" si="24"/>
        <v>C</v>
      </c>
      <c r="P221" t="s">
        <v>409</v>
      </c>
      <c r="Q221" s="10">
        <v>775016.47286</v>
      </c>
      <c r="R221" s="10">
        <f>SUM($Q$33:Q221)</f>
        <v>502200665.45426</v>
      </c>
      <c r="S221" s="6">
        <f t="shared" si="21"/>
        <v>0.949959285646818</v>
      </c>
      <c r="T221" t="str">
        <f t="shared" si="22"/>
        <v>B</v>
      </c>
    </row>
    <row r="222" spans="3:20">
      <c r="C222" s="10"/>
      <c r="D222" s="8"/>
      <c r="I222" t="s">
        <v>230</v>
      </c>
      <c r="J222" s="10">
        <v>84831.10776</v>
      </c>
      <c r="K222" s="10">
        <f>SUM($J$34:J222)</f>
        <v>363443476.28768</v>
      </c>
      <c r="L222" s="6">
        <f t="shared" si="23"/>
        <v>0.99896987219582</v>
      </c>
      <c r="M222" t="str">
        <f t="shared" si="24"/>
        <v>C</v>
      </c>
      <c r="P222" t="s">
        <v>1311</v>
      </c>
      <c r="Q222" s="10">
        <v>774013.9356</v>
      </c>
      <c r="R222" s="10">
        <f>SUM($Q$33:Q222)</f>
        <v>502974679.38986</v>
      </c>
      <c r="S222" s="6">
        <f t="shared" si="21"/>
        <v>0.951423405023637</v>
      </c>
      <c r="T222" t="str">
        <f t="shared" si="22"/>
        <v>C</v>
      </c>
    </row>
    <row r="223" spans="3:20">
      <c r="C223" s="10"/>
      <c r="D223" s="8"/>
      <c r="I223" t="s">
        <v>355</v>
      </c>
      <c r="J223" s="10">
        <v>84789.132</v>
      </c>
      <c r="K223" s="10">
        <f>SUM($J$34:J223)</f>
        <v>363528265.41968</v>
      </c>
      <c r="L223" s="6">
        <f t="shared" si="23"/>
        <v>0.999202925734771</v>
      </c>
      <c r="M223" t="str">
        <f t="shared" si="24"/>
        <v>C</v>
      </c>
      <c r="P223" t="s">
        <v>257</v>
      </c>
      <c r="Q223" s="10">
        <v>757884</v>
      </c>
      <c r="R223" s="10">
        <f>SUM($Q$33:Q223)</f>
        <v>503732563.38986</v>
      </c>
      <c r="S223" s="6">
        <f t="shared" si="21"/>
        <v>0.95285701312647</v>
      </c>
      <c r="T223" t="str">
        <f t="shared" si="22"/>
        <v>C</v>
      </c>
    </row>
    <row r="224" spans="3:20">
      <c r="C224" s="10"/>
      <c r="D224" s="8"/>
      <c r="I224" t="s">
        <v>758</v>
      </c>
      <c r="J224" s="10">
        <v>71423.98668</v>
      </c>
      <c r="K224" s="10">
        <f>SUM($J$34:J224)</f>
        <v>363599689.40636</v>
      </c>
      <c r="L224" s="6">
        <f t="shared" si="23"/>
        <v>0.999399243499432</v>
      </c>
      <c r="M224" t="str">
        <f t="shared" si="24"/>
        <v>C</v>
      </c>
      <c r="P224" t="s">
        <v>463</v>
      </c>
      <c r="Q224" s="10">
        <v>734386.4176</v>
      </c>
      <c r="R224" s="10">
        <f>SUM($Q$33:Q224)</f>
        <v>504466949.80746</v>
      </c>
      <c r="S224" s="6">
        <f t="shared" si="21"/>
        <v>0.954246173365875</v>
      </c>
      <c r="T224" t="str">
        <f t="shared" si="22"/>
        <v>C</v>
      </c>
    </row>
    <row r="225" spans="3:20">
      <c r="C225" s="10"/>
      <c r="D225" s="8"/>
      <c r="I225" t="s">
        <v>438</v>
      </c>
      <c r="J225" s="10">
        <v>66811.87504</v>
      </c>
      <c r="K225" s="10">
        <f>SUM($J$34:J225)</f>
        <v>363666501.2814</v>
      </c>
      <c r="L225" s="6">
        <f t="shared" si="23"/>
        <v>0.999582884298138</v>
      </c>
      <c r="M225" t="str">
        <f t="shared" si="24"/>
        <v>C</v>
      </c>
      <c r="P225" t="s">
        <v>577</v>
      </c>
      <c r="Q225" s="10">
        <v>733452.9547</v>
      </c>
      <c r="R225" s="10">
        <f>SUM($Q$33:Q225)</f>
        <v>505200402.76216</v>
      </c>
      <c r="S225" s="6">
        <f t="shared" si="21"/>
        <v>0.955633567873352</v>
      </c>
      <c r="T225" t="str">
        <f t="shared" si="22"/>
        <v>C</v>
      </c>
    </row>
    <row r="226" spans="3:20">
      <c r="C226" s="10"/>
      <c r="D226" s="8"/>
      <c r="I226" t="s">
        <v>426</v>
      </c>
      <c r="J226" s="10">
        <v>66711.26175</v>
      </c>
      <c r="K226" s="10">
        <f>SUM($J$34:J226)</f>
        <v>363733212.54315</v>
      </c>
      <c r="L226" s="6">
        <f t="shared" si="23"/>
        <v>0.999766248548626</v>
      </c>
      <c r="M226" t="str">
        <f t="shared" si="24"/>
        <v>C</v>
      </c>
      <c r="P226" t="s">
        <v>467</v>
      </c>
      <c r="Q226" s="10">
        <v>725561.634</v>
      </c>
      <c r="R226" s="10">
        <f>SUM($Q$33:Q226)</f>
        <v>505925964.39616</v>
      </c>
      <c r="S226" s="6">
        <f t="shared" ref="S226:S289" si="25">(R226/$R$30)</f>
        <v>0.957006035213482</v>
      </c>
      <c r="T226" t="str">
        <f t="shared" ref="T226:T289" si="26">IF(S226&lt;=0.8,"A",IF(S226&lt;=0.95,"B","C"))</f>
        <v>C</v>
      </c>
    </row>
    <row r="227" spans="3:20">
      <c r="C227" s="10"/>
      <c r="D227" s="8"/>
      <c r="I227" t="s">
        <v>1327</v>
      </c>
      <c r="J227" s="10">
        <v>60267.21696</v>
      </c>
      <c r="K227" s="10">
        <f>SUM($J$34:J227)</f>
        <v>363793479.76011</v>
      </c>
      <c r="L227" s="6">
        <f t="shared" ref="L227:L229" si="27">(K227/$K$31)</f>
        <v>0.999931900535667</v>
      </c>
      <c r="M227" t="str">
        <f t="shared" ref="M227:M229" si="28">IF(L227&lt;=0.8,"A",IF(L227&lt;=0.95,"B","C"))</f>
        <v>C</v>
      </c>
      <c r="P227" t="s">
        <v>1020</v>
      </c>
      <c r="Q227" s="10">
        <v>723595.67896</v>
      </c>
      <c r="R227" s="10">
        <f>SUM($Q$33:Q227)</f>
        <v>506649560.07512</v>
      </c>
      <c r="S227" s="6">
        <f t="shared" si="25"/>
        <v>0.958374783766732</v>
      </c>
      <c r="T227" t="str">
        <f t="shared" si="26"/>
        <v>C</v>
      </c>
    </row>
    <row r="228" spans="3:20">
      <c r="C228" s="10"/>
      <c r="D228" s="8"/>
      <c r="I228" t="s">
        <v>453</v>
      </c>
      <c r="J228" s="10">
        <v>17188.86756</v>
      </c>
      <c r="K228" s="10">
        <f>SUM($J$34:J228)</f>
        <v>363810668.62767</v>
      </c>
      <c r="L228" s="6">
        <f t="shared" si="27"/>
        <v>0.999979146288996</v>
      </c>
      <c r="M228" t="str">
        <f t="shared" si="28"/>
        <v>C</v>
      </c>
      <c r="P228" t="s">
        <v>818</v>
      </c>
      <c r="Q228" s="10">
        <v>713473.02648</v>
      </c>
      <c r="R228" s="10">
        <f>SUM($Q$33:Q228)</f>
        <v>507363033.1016</v>
      </c>
      <c r="S228" s="6">
        <f t="shared" si="25"/>
        <v>0.959724384380961</v>
      </c>
      <c r="T228" t="str">
        <f t="shared" si="26"/>
        <v>C</v>
      </c>
    </row>
    <row r="229" spans="3:20">
      <c r="C229" s="10"/>
      <c r="D229" s="8"/>
      <c r="I229" t="s">
        <v>860</v>
      </c>
      <c r="J229" s="10">
        <v>7586.96076</v>
      </c>
      <c r="K229" s="10">
        <f>SUM($J$34:J229)</f>
        <v>363818255.58843</v>
      </c>
      <c r="L229" s="6">
        <f t="shared" si="27"/>
        <v>1</v>
      </c>
      <c r="M229" t="str">
        <f t="shared" si="28"/>
        <v>C</v>
      </c>
      <c r="P229" t="s">
        <v>676</v>
      </c>
      <c r="Q229" s="10">
        <v>696445.2502</v>
      </c>
      <c r="R229" s="10">
        <f>SUM($Q$33:Q229)</f>
        <v>508059478.3518</v>
      </c>
      <c r="S229" s="6">
        <f t="shared" si="25"/>
        <v>0.961041775372018</v>
      </c>
      <c r="T229" t="str">
        <f t="shared" si="26"/>
        <v>C</v>
      </c>
    </row>
    <row r="230" spans="3:20">
      <c r="C230" s="10"/>
      <c r="D230" s="8"/>
      <c r="I230" t="s">
        <v>1599</v>
      </c>
      <c r="J230" s="10">
        <v>363818255.58843</v>
      </c>
      <c r="K230" s="10"/>
      <c r="L230" s="10"/>
      <c r="P230" t="s">
        <v>407</v>
      </c>
      <c r="Q230" s="10">
        <v>671938.12</v>
      </c>
      <c r="R230" s="10">
        <f>SUM($Q$33:Q230)</f>
        <v>508731416.4718</v>
      </c>
      <c r="S230" s="6">
        <f t="shared" si="25"/>
        <v>0.962312808846051</v>
      </c>
      <c r="T230" t="str">
        <f t="shared" si="26"/>
        <v>C</v>
      </c>
    </row>
    <row r="231" spans="3:20">
      <c r="C231" s="10"/>
      <c r="D231" s="8"/>
      <c r="P231" t="s">
        <v>1233</v>
      </c>
      <c r="Q231" s="10">
        <v>667144.66172</v>
      </c>
      <c r="R231" s="10">
        <f>SUM($Q$33:Q231)</f>
        <v>509398561.13352</v>
      </c>
      <c r="S231" s="6">
        <f t="shared" si="25"/>
        <v>0.963574775047743</v>
      </c>
      <c r="T231" t="str">
        <f t="shared" si="26"/>
        <v>C</v>
      </c>
    </row>
    <row r="232" spans="3:20">
      <c r="C232" s="10"/>
      <c r="D232" s="8"/>
      <c r="P232" t="s">
        <v>1245</v>
      </c>
      <c r="Q232" s="10">
        <v>666410</v>
      </c>
      <c r="R232" s="10">
        <f>SUM($Q$33:Q232)</f>
        <v>510064971.13352</v>
      </c>
      <c r="S232" s="6">
        <f t="shared" si="25"/>
        <v>0.964835351568436</v>
      </c>
      <c r="T232" t="str">
        <f t="shared" si="26"/>
        <v>C</v>
      </c>
    </row>
    <row r="233" spans="3:20">
      <c r="C233" s="10"/>
      <c r="D233" s="8"/>
      <c r="P233" t="s">
        <v>1135</v>
      </c>
      <c r="Q233" s="10">
        <v>624599.40422</v>
      </c>
      <c r="R233" s="10">
        <f>SUM($Q$33:Q233)</f>
        <v>510689570.53774</v>
      </c>
      <c r="S233" s="6">
        <f t="shared" si="25"/>
        <v>0.96601683945697</v>
      </c>
      <c r="T233" t="str">
        <f t="shared" si="26"/>
        <v>C</v>
      </c>
    </row>
    <row r="234" spans="3:20">
      <c r="C234" s="10"/>
      <c r="D234" s="8"/>
      <c r="P234" t="s">
        <v>1424</v>
      </c>
      <c r="Q234" s="10">
        <v>619918.002</v>
      </c>
      <c r="R234" s="10">
        <f>SUM($Q$33:Q234)</f>
        <v>511309488.53974</v>
      </c>
      <c r="S234" s="6">
        <f t="shared" si="25"/>
        <v>0.967189472037628</v>
      </c>
      <c r="T234" t="str">
        <f t="shared" si="26"/>
        <v>C</v>
      </c>
    </row>
    <row r="235" spans="3:20">
      <c r="C235" s="10"/>
      <c r="D235" s="8"/>
      <c r="P235" t="s">
        <v>587</v>
      </c>
      <c r="Q235" s="10">
        <v>608416.6244</v>
      </c>
      <c r="R235" s="10">
        <f>SUM($Q$33:Q235)</f>
        <v>511917905.16414</v>
      </c>
      <c r="S235" s="6">
        <f t="shared" si="25"/>
        <v>0.968340348692417</v>
      </c>
      <c r="T235" t="str">
        <f t="shared" si="26"/>
        <v>C</v>
      </c>
    </row>
    <row r="236" spans="3:20">
      <c r="C236" s="10"/>
      <c r="D236" s="8"/>
      <c r="P236" t="s">
        <v>718</v>
      </c>
      <c r="Q236" s="10">
        <v>592702.623</v>
      </c>
      <c r="R236" s="10">
        <f>SUM($Q$33:Q236)</f>
        <v>512510607.78714</v>
      </c>
      <c r="S236" s="6">
        <f t="shared" si="25"/>
        <v>0.969461500851458</v>
      </c>
      <c r="T236" t="str">
        <f t="shared" si="26"/>
        <v>C</v>
      </c>
    </row>
    <row r="237" spans="3:20">
      <c r="C237" s="10"/>
      <c r="D237" s="8"/>
      <c r="P237" t="s">
        <v>457</v>
      </c>
      <c r="Q237" s="10">
        <v>586298.10904</v>
      </c>
      <c r="R237" s="10">
        <f>SUM($Q$33:Q237)</f>
        <v>513096905.89618</v>
      </c>
      <c r="S237" s="6">
        <f t="shared" si="25"/>
        <v>0.97057053827644</v>
      </c>
      <c r="T237" t="str">
        <f t="shared" si="26"/>
        <v>C</v>
      </c>
    </row>
    <row r="238" spans="3:20">
      <c r="C238" s="10"/>
      <c r="D238" s="8"/>
      <c r="P238" t="s">
        <v>424</v>
      </c>
      <c r="Q238" s="10">
        <v>581571.0696</v>
      </c>
      <c r="R238" s="10">
        <f>SUM($Q$33:Q238)</f>
        <v>513678476.96578</v>
      </c>
      <c r="S238" s="6">
        <f t="shared" si="25"/>
        <v>0.971670634066497</v>
      </c>
      <c r="T238" t="str">
        <f t="shared" si="26"/>
        <v>C</v>
      </c>
    </row>
    <row r="239" spans="3:20">
      <c r="C239" s="10"/>
      <c r="D239" s="8"/>
      <c r="P239" t="s">
        <v>930</v>
      </c>
      <c r="Q239" s="10">
        <v>577008.3924</v>
      </c>
      <c r="R239" s="10">
        <f>SUM($Q$33:Q239)</f>
        <v>514255485.35818</v>
      </c>
      <c r="S239" s="6">
        <f t="shared" si="25"/>
        <v>0.972762099128099</v>
      </c>
      <c r="T239" t="str">
        <f t="shared" si="26"/>
        <v>C</v>
      </c>
    </row>
    <row r="240" spans="3:20">
      <c r="C240" s="10"/>
      <c r="D240" s="8"/>
      <c r="P240" t="s">
        <v>371</v>
      </c>
      <c r="Q240" s="10">
        <v>573645.6108</v>
      </c>
      <c r="R240" s="10">
        <f>SUM($Q$33:Q240)</f>
        <v>514829130.96898</v>
      </c>
      <c r="S240" s="6">
        <f t="shared" si="25"/>
        <v>0.973847203175417</v>
      </c>
      <c r="T240" t="str">
        <f t="shared" si="26"/>
        <v>C</v>
      </c>
    </row>
    <row r="241" spans="3:20">
      <c r="C241" s="10"/>
      <c r="D241" s="8"/>
      <c r="P241" t="s">
        <v>367</v>
      </c>
      <c r="Q241" s="10">
        <v>560734.5068</v>
      </c>
      <c r="R241" s="10">
        <f>SUM($Q$33:Q241)</f>
        <v>515389865.47578</v>
      </c>
      <c r="S241" s="6">
        <f t="shared" si="25"/>
        <v>0.974907884668213</v>
      </c>
      <c r="T241" t="str">
        <f t="shared" si="26"/>
        <v>C</v>
      </c>
    </row>
    <row r="242" spans="3:20">
      <c r="C242" s="10"/>
      <c r="D242" s="8"/>
      <c r="P242" t="s">
        <v>249</v>
      </c>
      <c r="Q242" s="10">
        <v>547884.504</v>
      </c>
      <c r="R242" s="10">
        <f>SUM($Q$33:Q242)</f>
        <v>515937749.97978</v>
      </c>
      <c r="S242" s="6">
        <f t="shared" si="25"/>
        <v>0.975944259185093</v>
      </c>
      <c r="T242" t="str">
        <f t="shared" si="26"/>
        <v>C</v>
      </c>
    </row>
    <row r="243" spans="3:20">
      <c r="C243" s="10"/>
      <c r="D243" s="8"/>
      <c r="P243" t="s">
        <v>184</v>
      </c>
      <c r="Q243" s="10">
        <v>547396.2288</v>
      </c>
      <c r="R243" s="10">
        <f>SUM($Q$33:Q243)</f>
        <v>516485146.20858</v>
      </c>
      <c r="S243" s="6">
        <f t="shared" si="25"/>
        <v>0.976979710084</v>
      </c>
      <c r="T243" t="str">
        <f t="shared" si="26"/>
        <v>C</v>
      </c>
    </row>
    <row r="244" spans="3:20">
      <c r="C244" s="10"/>
      <c r="D244" s="8"/>
      <c r="P244" t="s">
        <v>526</v>
      </c>
      <c r="Q244" s="10">
        <v>514167.84342</v>
      </c>
      <c r="R244" s="10">
        <f>SUM($Q$33:Q244)</f>
        <v>516999314.052</v>
      </c>
      <c r="S244" s="6">
        <f t="shared" si="25"/>
        <v>0.977952306400248</v>
      </c>
      <c r="T244" t="str">
        <f t="shared" si="26"/>
        <v>C</v>
      </c>
    </row>
    <row r="245" spans="3:20">
      <c r="C245" s="10"/>
      <c r="D245" s="8"/>
      <c r="P245" t="s">
        <v>1217</v>
      </c>
      <c r="Q245" s="10">
        <v>503643.6146</v>
      </c>
      <c r="R245" s="10">
        <f>SUM($Q$33:Q245)</f>
        <v>517502957.6666</v>
      </c>
      <c r="S245" s="6">
        <f t="shared" si="25"/>
        <v>0.978904995158462</v>
      </c>
      <c r="T245" t="str">
        <f t="shared" si="26"/>
        <v>C</v>
      </c>
    </row>
    <row r="246" spans="3:20">
      <c r="C246" s="10"/>
      <c r="D246" s="8"/>
      <c r="P246" t="s">
        <v>1348</v>
      </c>
      <c r="Q246" s="10">
        <v>503126.97984</v>
      </c>
      <c r="R246" s="10">
        <f>SUM($Q$33:Q246)</f>
        <v>518006084.64644</v>
      </c>
      <c r="S246" s="6">
        <f t="shared" si="25"/>
        <v>0.979856706653958</v>
      </c>
      <c r="T246" t="str">
        <f t="shared" si="26"/>
        <v>C</v>
      </c>
    </row>
    <row r="247" spans="3:20">
      <c r="C247" s="10"/>
      <c r="D247" s="8"/>
      <c r="P247" t="s">
        <v>1404</v>
      </c>
      <c r="Q247" s="10">
        <v>498191.148</v>
      </c>
      <c r="R247" s="10">
        <f>SUM($Q$33:Q247)</f>
        <v>518504275.79444</v>
      </c>
      <c r="S247" s="6">
        <f t="shared" si="25"/>
        <v>0.980799081564277</v>
      </c>
      <c r="T247" t="str">
        <f t="shared" si="26"/>
        <v>C</v>
      </c>
    </row>
    <row r="248" spans="3:20">
      <c r="C248" s="10"/>
      <c r="D248" s="8"/>
      <c r="P248" t="s">
        <v>708</v>
      </c>
      <c r="Q248" s="10">
        <v>496058.2364</v>
      </c>
      <c r="R248" s="10">
        <f>SUM($Q$33:Q248)</f>
        <v>519000334.03084</v>
      </c>
      <c r="S248" s="6">
        <f t="shared" si="25"/>
        <v>0.981737421873849</v>
      </c>
      <c r="T248" t="str">
        <f t="shared" si="26"/>
        <v>C</v>
      </c>
    </row>
    <row r="249" spans="3:20">
      <c r="C249" s="10"/>
      <c r="D249" s="8"/>
      <c r="P249" t="s">
        <v>1420</v>
      </c>
      <c r="Q249" s="10">
        <v>458500.59864</v>
      </c>
      <c r="R249" s="10">
        <f>SUM($Q$33:Q249)</f>
        <v>519458834.62948</v>
      </c>
      <c r="S249" s="6">
        <f t="shared" si="25"/>
        <v>0.982604718417072</v>
      </c>
      <c r="T249" t="str">
        <f t="shared" si="26"/>
        <v>C</v>
      </c>
    </row>
    <row r="250" spans="3:20">
      <c r="C250" s="10"/>
      <c r="D250" s="8"/>
      <c r="P250" t="s">
        <v>878</v>
      </c>
      <c r="Q250" s="10">
        <v>441493.60128</v>
      </c>
      <c r="R250" s="10">
        <f>SUM($Q$33:Q250)</f>
        <v>519900328.23076</v>
      </c>
      <c r="S250" s="6">
        <f t="shared" si="25"/>
        <v>0.983439844642383</v>
      </c>
      <c r="T250" t="str">
        <f t="shared" si="26"/>
        <v>C</v>
      </c>
    </row>
    <row r="251" spans="3:20">
      <c r="C251" s="10"/>
      <c r="D251" s="8"/>
      <c r="P251" t="s">
        <v>652</v>
      </c>
      <c r="Q251" s="10">
        <v>433188.41976</v>
      </c>
      <c r="R251" s="10">
        <f>SUM($Q$33:Q251)</f>
        <v>520333516.65052</v>
      </c>
      <c r="S251" s="6">
        <f t="shared" si="25"/>
        <v>0.984259260844099</v>
      </c>
      <c r="T251" t="str">
        <f t="shared" si="26"/>
        <v>C</v>
      </c>
    </row>
    <row r="252" spans="3:20">
      <c r="C252" s="10"/>
      <c r="D252" s="8"/>
      <c r="P252" t="s">
        <v>980</v>
      </c>
      <c r="Q252" s="10">
        <v>407180</v>
      </c>
      <c r="R252" s="10">
        <f>SUM($Q$33:Q252)</f>
        <v>520740696.65052</v>
      </c>
      <c r="S252" s="6">
        <f t="shared" si="25"/>
        <v>0.985029479699902</v>
      </c>
      <c r="T252" t="str">
        <f t="shared" si="26"/>
        <v>C</v>
      </c>
    </row>
    <row r="253" spans="3:20">
      <c r="C253" s="10"/>
      <c r="D253" s="8"/>
      <c r="P253" t="s">
        <v>760</v>
      </c>
      <c r="Q253" s="10">
        <v>403156.04</v>
      </c>
      <c r="R253" s="10">
        <f>SUM($Q$33:Q253)</f>
        <v>521143852.69052</v>
      </c>
      <c r="S253" s="6">
        <f t="shared" si="25"/>
        <v>0.985792086860958</v>
      </c>
      <c r="T253" t="str">
        <f t="shared" si="26"/>
        <v>C</v>
      </c>
    </row>
    <row r="254" spans="3:20">
      <c r="C254" s="10"/>
      <c r="D254" s="8"/>
      <c r="P254" t="s">
        <v>1285</v>
      </c>
      <c r="Q254" s="10">
        <v>399699.79056</v>
      </c>
      <c r="R254" s="10">
        <f>SUM($Q$33:Q254)</f>
        <v>521543552.48108</v>
      </c>
      <c r="S254" s="6">
        <f t="shared" si="25"/>
        <v>0.986548156204614</v>
      </c>
      <c r="T254" t="str">
        <f t="shared" si="26"/>
        <v>C</v>
      </c>
    </row>
    <row r="255" spans="3:20">
      <c r="C255" s="10"/>
      <c r="D255" s="8"/>
      <c r="P255" t="s">
        <v>940</v>
      </c>
      <c r="Q255" s="10">
        <v>396611.8416</v>
      </c>
      <c r="R255" s="10">
        <f>SUM($Q$33:Q255)</f>
        <v>521940164.32268</v>
      </c>
      <c r="S255" s="6">
        <f t="shared" si="25"/>
        <v>0.987298384405496</v>
      </c>
      <c r="T255" t="str">
        <f t="shared" si="26"/>
        <v>C</v>
      </c>
    </row>
    <row r="256" spans="3:20">
      <c r="C256" s="10"/>
      <c r="D256" s="8"/>
      <c r="P256" t="s">
        <v>1342</v>
      </c>
      <c r="Q256" s="10">
        <v>366373.637</v>
      </c>
      <c r="R256" s="10">
        <f>SUM($Q$33:Q256)</f>
        <v>522306537.95968</v>
      </c>
      <c r="S256" s="6">
        <f t="shared" si="25"/>
        <v>0.987991414228883</v>
      </c>
      <c r="T256" t="str">
        <f t="shared" si="26"/>
        <v>C</v>
      </c>
    </row>
    <row r="257" spans="3:20">
      <c r="C257" s="10"/>
      <c r="D257" s="8"/>
      <c r="P257" t="s">
        <v>1195</v>
      </c>
      <c r="Q257" s="10">
        <v>351962.1567</v>
      </c>
      <c r="R257" s="10">
        <f>SUM($Q$33:Q257)</f>
        <v>522658500.11638</v>
      </c>
      <c r="S257" s="6">
        <f t="shared" si="25"/>
        <v>0.988657183396375</v>
      </c>
      <c r="T257" t="str">
        <f t="shared" si="26"/>
        <v>C</v>
      </c>
    </row>
    <row r="258" spans="3:20">
      <c r="C258" s="10"/>
      <c r="D258" s="8"/>
      <c r="P258" t="s">
        <v>1402</v>
      </c>
      <c r="Q258" s="10">
        <v>347803.10784</v>
      </c>
      <c r="R258" s="10">
        <f>SUM($Q$33:Q258)</f>
        <v>523006303.22422</v>
      </c>
      <c r="S258" s="6">
        <f t="shared" si="25"/>
        <v>0.989315085335972</v>
      </c>
      <c r="T258" t="str">
        <f t="shared" si="26"/>
        <v>C</v>
      </c>
    </row>
    <row r="259" spans="3:20">
      <c r="C259" s="10"/>
      <c r="D259" s="8"/>
      <c r="P259" t="s">
        <v>952</v>
      </c>
      <c r="Q259" s="10">
        <v>341539.33478</v>
      </c>
      <c r="R259" s="10">
        <f>SUM($Q$33:Q259)</f>
        <v>523347842.559</v>
      </c>
      <c r="S259" s="6">
        <f t="shared" si="25"/>
        <v>0.989961138766018</v>
      </c>
      <c r="T259" t="str">
        <f t="shared" si="26"/>
        <v>C</v>
      </c>
    </row>
    <row r="260" spans="3:20">
      <c r="C260" s="10"/>
      <c r="D260" s="8"/>
      <c r="P260" t="s">
        <v>778</v>
      </c>
      <c r="Q260" s="10">
        <v>297564.64056</v>
      </c>
      <c r="R260" s="10">
        <f>SUM($Q$33:Q260)</f>
        <v>523645407.19956</v>
      </c>
      <c r="S260" s="6">
        <f t="shared" si="25"/>
        <v>0.990524009970349</v>
      </c>
      <c r="T260" t="str">
        <f t="shared" si="26"/>
        <v>C</v>
      </c>
    </row>
    <row r="261" spans="3:20">
      <c r="C261" s="10"/>
      <c r="D261" s="8"/>
      <c r="P261" t="s">
        <v>1141</v>
      </c>
      <c r="Q261" s="10">
        <v>291396.47844</v>
      </c>
      <c r="R261" s="10">
        <f>SUM($Q$33:Q261)</f>
        <v>523936803.678</v>
      </c>
      <c r="S261" s="6">
        <f t="shared" si="25"/>
        <v>0.991075213522117</v>
      </c>
      <c r="T261" t="str">
        <f t="shared" si="26"/>
        <v>C</v>
      </c>
    </row>
    <row r="262" spans="3:20">
      <c r="C262" s="10"/>
      <c r="D262" s="8"/>
      <c r="P262" t="s">
        <v>1504</v>
      </c>
      <c r="Q262" s="10">
        <v>288799.83132</v>
      </c>
      <c r="R262" s="10">
        <f>SUM($Q$33:Q262)</f>
        <v>524225603.50932</v>
      </c>
      <c r="S262" s="6">
        <f t="shared" si="25"/>
        <v>0.991621505274255</v>
      </c>
      <c r="T262" t="str">
        <f t="shared" si="26"/>
        <v>C</v>
      </c>
    </row>
    <row r="263" spans="3:20">
      <c r="C263" s="10"/>
      <c r="D263" s="8"/>
      <c r="P263" t="s">
        <v>603</v>
      </c>
      <c r="Q263" s="10">
        <v>268646.0622</v>
      </c>
      <c r="R263" s="10">
        <f>SUM($Q$33:Q263)</f>
        <v>524494249.57152</v>
      </c>
      <c r="S263" s="6">
        <f t="shared" si="25"/>
        <v>0.992129674296907</v>
      </c>
      <c r="T263" t="str">
        <f t="shared" si="26"/>
        <v>C</v>
      </c>
    </row>
    <row r="264" spans="3:20">
      <c r="C264" s="10"/>
      <c r="D264" s="8"/>
      <c r="P264" t="s">
        <v>916</v>
      </c>
      <c r="Q264" s="10">
        <v>247699.92232</v>
      </c>
      <c r="R264" s="10">
        <f>SUM($Q$33:Q264)</f>
        <v>524741949.49384</v>
      </c>
      <c r="S264" s="6">
        <f t="shared" si="25"/>
        <v>0.992598221747056</v>
      </c>
      <c r="T264" t="str">
        <f t="shared" si="26"/>
        <v>C</v>
      </c>
    </row>
    <row r="265" spans="3:20">
      <c r="C265" s="10"/>
      <c r="D265" s="8"/>
      <c r="P265" t="s">
        <v>1131</v>
      </c>
      <c r="Q265" s="10">
        <v>247561.08312</v>
      </c>
      <c r="R265" s="10">
        <f>SUM($Q$33:Q265)</f>
        <v>524989510.57696</v>
      </c>
      <c r="S265" s="6">
        <f t="shared" si="25"/>
        <v>0.993066506569941</v>
      </c>
      <c r="T265" t="str">
        <f t="shared" si="26"/>
        <v>C</v>
      </c>
    </row>
    <row r="266" spans="3:20">
      <c r="C266" s="10"/>
      <c r="D266" s="8"/>
      <c r="P266" t="s">
        <v>1191</v>
      </c>
      <c r="Q266" s="10">
        <v>242718.60592</v>
      </c>
      <c r="R266" s="10">
        <f>SUM($Q$33:Q266)</f>
        <v>525232229.18288</v>
      </c>
      <c r="S266" s="6">
        <f t="shared" si="25"/>
        <v>0.993525631396636</v>
      </c>
      <c r="T266" t="str">
        <f t="shared" si="26"/>
        <v>C</v>
      </c>
    </row>
    <row r="267" spans="3:20">
      <c r="C267" s="10"/>
      <c r="D267" s="8"/>
      <c r="P267" t="s">
        <v>488</v>
      </c>
      <c r="Q267" s="10">
        <v>240063.9835</v>
      </c>
      <c r="R267" s="10">
        <f>SUM($Q$33:Q267)</f>
        <v>525472293.16638</v>
      </c>
      <c r="S267" s="6">
        <f t="shared" si="25"/>
        <v>0.993979734758026</v>
      </c>
      <c r="T267" t="str">
        <f t="shared" si="26"/>
        <v>C</v>
      </c>
    </row>
    <row r="268" spans="3:20">
      <c r="C268" s="10"/>
      <c r="D268" s="8"/>
      <c r="P268" t="s">
        <v>1480</v>
      </c>
      <c r="Q268" s="10">
        <v>235791.71</v>
      </c>
      <c r="R268" s="10">
        <f>SUM($Q$33:Q268)</f>
        <v>525708084.87638</v>
      </c>
      <c r="S268" s="6">
        <f t="shared" si="25"/>
        <v>0.99442575671658</v>
      </c>
      <c r="T268" t="str">
        <f t="shared" si="26"/>
        <v>C</v>
      </c>
    </row>
    <row r="269" spans="3:20">
      <c r="C269" s="10"/>
      <c r="D269" s="8"/>
      <c r="P269" t="s">
        <v>512</v>
      </c>
      <c r="Q269" s="10">
        <v>227341.48584</v>
      </c>
      <c r="R269" s="10">
        <f>SUM($Q$33:Q269)</f>
        <v>525935426.36222</v>
      </c>
      <c r="S269" s="6">
        <f t="shared" si="25"/>
        <v>0.99485579428989</v>
      </c>
      <c r="T269" t="str">
        <f t="shared" si="26"/>
        <v>C</v>
      </c>
    </row>
    <row r="270" spans="3:20">
      <c r="C270" s="10"/>
      <c r="D270" s="8"/>
      <c r="P270" t="s">
        <v>1189</v>
      </c>
      <c r="Q270" s="10">
        <v>215142.8916</v>
      </c>
      <c r="R270" s="10">
        <f>SUM($Q$33:Q270)</f>
        <v>526150569.25382</v>
      </c>
      <c r="S270" s="6">
        <f t="shared" si="25"/>
        <v>0.995262757087184</v>
      </c>
      <c r="T270" t="str">
        <f t="shared" si="26"/>
        <v>C</v>
      </c>
    </row>
    <row r="271" spans="3:20">
      <c r="C271" s="10"/>
      <c r="D271" s="8"/>
      <c r="P271" t="s">
        <v>434</v>
      </c>
      <c r="Q271" s="10">
        <v>203421.8466</v>
      </c>
      <c r="R271" s="10">
        <f>SUM($Q$33:Q271)</f>
        <v>526353991.10042</v>
      </c>
      <c r="S271" s="6">
        <f t="shared" si="25"/>
        <v>0.995647548437284</v>
      </c>
      <c r="T271" t="str">
        <f t="shared" si="26"/>
        <v>C</v>
      </c>
    </row>
    <row r="272" spans="3:20">
      <c r="C272" s="10"/>
      <c r="D272" s="8"/>
      <c r="P272" t="s">
        <v>542</v>
      </c>
      <c r="Q272" s="10">
        <v>194764.2507</v>
      </c>
      <c r="R272" s="10">
        <f>SUM($Q$33:Q272)</f>
        <v>526548755.35112</v>
      </c>
      <c r="S272" s="6">
        <f t="shared" si="25"/>
        <v>0.996015963139198</v>
      </c>
      <c r="T272" t="str">
        <f t="shared" si="26"/>
        <v>C</v>
      </c>
    </row>
    <row r="273" spans="3:20">
      <c r="C273" s="10"/>
      <c r="D273" s="8"/>
      <c r="P273" t="s">
        <v>1183</v>
      </c>
      <c r="Q273" s="10">
        <v>185992.77456</v>
      </c>
      <c r="R273" s="10">
        <f>SUM($Q$33:Q273)</f>
        <v>526734748.12568</v>
      </c>
      <c r="S273" s="6">
        <f t="shared" si="25"/>
        <v>0.996367785777857</v>
      </c>
      <c r="T273" t="str">
        <f t="shared" si="26"/>
        <v>C</v>
      </c>
    </row>
    <row r="274" spans="3:20">
      <c r="C274" s="10"/>
      <c r="D274" s="8"/>
      <c r="P274" t="s">
        <v>477</v>
      </c>
      <c r="Q274" s="10">
        <v>166040</v>
      </c>
      <c r="R274" s="10">
        <f>SUM($Q$33:Q274)</f>
        <v>526900788.12568</v>
      </c>
      <c r="S274" s="6">
        <f t="shared" si="25"/>
        <v>0.996681865886943</v>
      </c>
      <c r="T274" t="str">
        <f t="shared" si="26"/>
        <v>C</v>
      </c>
    </row>
    <row r="275" spans="3:20">
      <c r="C275" s="10"/>
      <c r="D275" s="8"/>
      <c r="P275" t="s">
        <v>946</v>
      </c>
      <c r="Q275" s="10">
        <v>154881.9976</v>
      </c>
      <c r="R275" s="10">
        <f>SUM($Q$33:Q275)</f>
        <v>527055670.12328</v>
      </c>
      <c r="S275" s="6">
        <f t="shared" si="25"/>
        <v>0.9969748395963</v>
      </c>
      <c r="T275" t="str">
        <f t="shared" si="26"/>
        <v>C</v>
      </c>
    </row>
    <row r="276" spans="3:20">
      <c r="C276" s="10"/>
      <c r="D276" s="8"/>
      <c r="P276" t="s">
        <v>1243</v>
      </c>
      <c r="Q276" s="10">
        <v>154735</v>
      </c>
      <c r="R276" s="10">
        <f>SUM($Q$33:Q276)</f>
        <v>527210405.12328</v>
      </c>
      <c r="S276" s="6">
        <f t="shared" si="25"/>
        <v>0.997267535246019</v>
      </c>
      <c r="T276" t="str">
        <f t="shared" si="26"/>
        <v>C</v>
      </c>
    </row>
    <row r="277" spans="3:20">
      <c r="C277" s="10"/>
      <c r="D277" s="8"/>
      <c r="P277" t="s">
        <v>490</v>
      </c>
      <c r="Q277" s="10">
        <v>149922</v>
      </c>
      <c r="R277" s="10">
        <f>SUM($Q$33:Q277)</f>
        <v>527360327.12328</v>
      </c>
      <c r="S277" s="6">
        <f t="shared" si="25"/>
        <v>0.997551126658416</v>
      </c>
      <c r="T277" t="str">
        <f t="shared" si="26"/>
        <v>C</v>
      </c>
    </row>
    <row r="278" spans="3:20">
      <c r="C278" s="10"/>
      <c r="D278" s="8"/>
      <c r="P278" t="s">
        <v>1502</v>
      </c>
      <c r="Q278" s="10">
        <v>123240.3174</v>
      </c>
      <c r="R278" s="10">
        <f>SUM($Q$33:Q278)</f>
        <v>527483567.44068</v>
      </c>
      <c r="S278" s="6">
        <f t="shared" si="25"/>
        <v>0.997784247185595</v>
      </c>
      <c r="T278" t="str">
        <f t="shared" si="26"/>
        <v>C</v>
      </c>
    </row>
    <row r="279" spans="3:20">
      <c r="C279" s="10"/>
      <c r="D279" s="8"/>
      <c r="P279" t="s">
        <v>1466</v>
      </c>
      <c r="Q279" s="10">
        <v>114298.7902</v>
      </c>
      <c r="R279" s="10">
        <f>SUM($Q$33:Q279)</f>
        <v>527597866.23088</v>
      </c>
      <c r="S279" s="6">
        <f t="shared" si="25"/>
        <v>0.998000453982116</v>
      </c>
      <c r="T279" t="str">
        <f t="shared" si="26"/>
        <v>C</v>
      </c>
    </row>
    <row r="280" spans="3:20">
      <c r="C280" s="10"/>
      <c r="D280" s="8"/>
      <c r="P280" t="s">
        <v>706</v>
      </c>
      <c r="Q280" s="10">
        <v>113842.287</v>
      </c>
      <c r="R280" s="10">
        <f>SUM($Q$33:Q280)</f>
        <v>527711708.51788</v>
      </c>
      <c r="S280" s="6">
        <f t="shared" si="25"/>
        <v>0.998215797260359</v>
      </c>
      <c r="T280" t="str">
        <f t="shared" si="26"/>
        <v>C</v>
      </c>
    </row>
    <row r="281" spans="3:20">
      <c r="C281" s="10"/>
      <c r="D281" s="8"/>
      <c r="P281" t="s">
        <v>1297</v>
      </c>
      <c r="Q281" s="10">
        <v>113022.93592</v>
      </c>
      <c r="R281" s="10">
        <f>SUM($Q$33:Q281)</f>
        <v>527824731.4538</v>
      </c>
      <c r="S281" s="6">
        <f t="shared" si="25"/>
        <v>0.998429590659799</v>
      </c>
      <c r="T281" t="str">
        <f t="shared" si="26"/>
        <v>C</v>
      </c>
    </row>
    <row r="282" spans="3:20">
      <c r="C282" s="10"/>
      <c r="D282" s="8"/>
      <c r="P282" t="s">
        <v>1185</v>
      </c>
      <c r="Q282" s="10">
        <v>106656.23574</v>
      </c>
      <c r="R282" s="10">
        <f>SUM($Q$33:Q282)</f>
        <v>527931387.68954</v>
      </c>
      <c r="S282" s="6">
        <f t="shared" si="25"/>
        <v>0.998631340853462</v>
      </c>
      <c r="T282" t="str">
        <f t="shared" si="26"/>
        <v>C</v>
      </c>
    </row>
    <row r="283" spans="3:20">
      <c r="C283" s="10"/>
      <c r="D283" s="8"/>
      <c r="P283" t="s">
        <v>518</v>
      </c>
      <c r="Q283" s="10">
        <v>103750.95277</v>
      </c>
      <c r="R283" s="10">
        <f>SUM($Q$33:Q283)</f>
        <v>528035138.64231</v>
      </c>
      <c r="S283" s="6">
        <f t="shared" si="25"/>
        <v>0.998827595434068</v>
      </c>
      <c r="T283" t="str">
        <f t="shared" si="26"/>
        <v>C</v>
      </c>
    </row>
    <row r="284" spans="3:20">
      <c r="C284" s="10"/>
      <c r="D284" s="8"/>
      <c r="P284" t="s">
        <v>886</v>
      </c>
      <c r="Q284" s="10">
        <v>92006.5784</v>
      </c>
      <c r="R284" s="10">
        <f>SUM($Q$33:Q284)</f>
        <v>528127145.22071</v>
      </c>
      <c r="S284" s="6">
        <f t="shared" si="25"/>
        <v>0.999001634437805</v>
      </c>
      <c r="T284" t="str">
        <f t="shared" si="26"/>
        <v>C</v>
      </c>
    </row>
    <row r="285" spans="3:20">
      <c r="C285" s="10"/>
      <c r="D285" s="8"/>
      <c r="P285" t="s">
        <v>1301</v>
      </c>
      <c r="Q285" s="10">
        <v>89937.90882</v>
      </c>
      <c r="R285" s="10">
        <f>SUM($Q$33:Q285)</f>
        <v>528217083.12953</v>
      </c>
      <c r="S285" s="6">
        <f t="shared" si="25"/>
        <v>0.999171760360553</v>
      </c>
      <c r="T285" t="str">
        <f t="shared" si="26"/>
        <v>C</v>
      </c>
    </row>
    <row r="286" spans="3:20">
      <c r="C286" s="10"/>
      <c r="D286" s="8"/>
      <c r="P286" t="s">
        <v>910</v>
      </c>
      <c r="Q286" s="10">
        <v>85194.7928</v>
      </c>
      <c r="R286" s="10">
        <f>SUM($Q$33:Q286)</f>
        <v>528302277.92233</v>
      </c>
      <c r="S286" s="6">
        <f t="shared" si="25"/>
        <v>0.999332914238029</v>
      </c>
      <c r="T286" t="str">
        <f t="shared" si="26"/>
        <v>C</v>
      </c>
    </row>
    <row r="287" spans="3:20">
      <c r="C287" s="10"/>
      <c r="D287" s="8"/>
      <c r="P287" t="s">
        <v>724</v>
      </c>
      <c r="Q287" s="10">
        <v>78188.11008</v>
      </c>
      <c r="R287" s="10">
        <f>SUM($Q$33:Q287)</f>
        <v>528380466.03241</v>
      </c>
      <c r="S287" s="6">
        <f t="shared" si="25"/>
        <v>0.999480814323208</v>
      </c>
      <c r="T287" t="str">
        <f t="shared" si="26"/>
        <v>C</v>
      </c>
    </row>
    <row r="288" spans="3:20">
      <c r="C288" s="10"/>
      <c r="D288" s="8"/>
      <c r="P288" t="s">
        <v>479</v>
      </c>
      <c r="Q288" s="10">
        <v>71146.7001</v>
      </c>
      <c r="R288" s="10">
        <f>SUM($Q$33:Q288)</f>
        <v>528451612.73251</v>
      </c>
      <c r="S288" s="6">
        <f t="shared" si="25"/>
        <v>0.999615394926247</v>
      </c>
      <c r="T288" t="str">
        <f t="shared" si="26"/>
        <v>C</v>
      </c>
    </row>
    <row r="289" spans="3:20">
      <c r="C289" s="10"/>
      <c r="D289" s="8"/>
      <c r="P289" t="s">
        <v>1412</v>
      </c>
      <c r="Q289" s="10">
        <v>56471.5866</v>
      </c>
      <c r="R289" s="10">
        <f>SUM($Q$33:Q289)</f>
        <v>528508084.31911</v>
      </c>
      <c r="S289" s="6">
        <f t="shared" si="25"/>
        <v>0.999722216186663</v>
      </c>
      <c r="T289" t="str">
        <f t="shared" si="26"/>
        <v>C</v>
      </c>
    </row>
    <row r="290" spans="3:20">
      <c r="C290" s="10"/>
      <c r="D290" s="8"/>
      <c r="P290" t="s">
        <v>619</v>
      </c>
      <c r="Q290" s="10">
        <v>39047.76291</v>
      </c>
      <c r="R290" s="10">
        <f>SUM($Q$33:Q290)</f>
        <v>528547132.08202</v>
      </c>
      <c r="S290" s="6">
        <f t="shared" ref="S290:S296" si="29">(R290/$R$30)</f>
        <v>0.999796078663382</v>
      </c>
      <c r="T290" t="str">
        <f t="shared" ref="T290:T297" si="30">IF(S290&lt;=0.8,"A",IF(S290&lt;=0.95,"B","C"))</f>
        <v>C</v>
      </c>
    </row>
    <row r="291" spans="3:20">
      <c r="C291" s="10"/>
      <c r="D291" s="8"/>
      <c r="P291" t="s">
        <v>197</v>
      </c>
      <c r="Q291" s="10">
        <v>36743.80248</v>
      </c>
      <c r="R291" s="10">
        <f>SUM($Q$33:Q291)</f>
        <v>528583875.8845</v>
      </c>
      <c r="S291" s="6">
        <f t="shared" si="29"/>
        <v>0.999865582984576</v>
      </c>
      <c r="T291" t="str">
        <f t="shared" si="30"/>
        <v>C</v>
      </c>
    </row>
    <row r="292" spans="3:20">
      <c r="C292" s="10"/>
      <c r="D292" s="8"/>
      <c r="P292" t="s">
        <v>369</v>
      </c>
      <c r="Q292" s="10">
        <v>29489.866</v>
      </c>
      <c r="R292" s="10">
        <f>SUM($Q$33:Q292)</f>
        <v>528613365.7505</v>
      </c>
      <c r="S292" s="6">
        <f t="shared" si="29"/>
        <v>0.999921365809981</v>
      </c>
      <c r="T292" t="str">
        <f t="shared" si="30"/>
        <v>C</v>
      </c>
    </row>
    <row r="293" spans="3:20">
      <c r="C293" s="10"/>
      <c r="D293" s="8"/>
      <c r="P293" t="s">
        <v>361</v>
      </c>
      <c r="Q293" s="10">
        <v>25103.7984</v>
      </c>
      <c r="R293" s="10">
        <f>SUM($Q$33:Q293)</f>
        <v>528638469.5489</v>
      </c>
      <c r="S293" s="6">
        <f t="shared" si="29"/>
        <v>0.999968851980422</v>
      </c>
      <c r="T293" t="str">
        <f t="shared" si="30"/>
        <v>C</v>
      </c>
    </row>
    <row r="294" spans="3:20">
      <c r="C294" s="10"/>
      <c r="D294" s="8"/>
      <c r="P294" t="s">
        <v>609</v>
      </c>
      <c r="Q294" s="10">
        <v>10175.2154</v>
      </c>
      <c r="R294" s="10">
        <f>SUM($Q$33:Q294)</f>
        <v>528648644.7643</v>
      </c>
      <c r="S294" s="6">
        <f t="shared" si="29"/>
        <v>0.999988099347097</v>
      </c>
      <c r="T294" t="str">
        <f t="shared" si="30"/>
        <v>C</v>
      </c>
    </row>
    <row r="295" spans="3:20">
      <c r="C295" s="10"/>
      <c r="D295" s="8"/>
      <c r="P295" t="s">
        <v>485</v>
      </c>
      <c r="Q295" s="10">
        <v>3928.35906</v>
      </c>
      <c r="R295" s="10">
        <f>SUM($Q$33:Q295)</f>
        <v>528652573.12336</v>
      </c>
      <c r="S295" s="6">
        <f t="shared" si="29"/>
        <v>0.999995530203771</v>
      </c>
      <c r="T295" t="str">
        <f t="shared" si="30"/>
        <v>C</v>
      </c>
    </row>
    <row r="296" spans="3:20">
      <c r="C296" s="10"/>
      <c r="D296" s="8"/>
      <c r="P296" t="s">
        <v>625</v>
      </c>
      <c r="Q296" s="10">
        <v>2362.97984</v>
      </c>
      <c r="R296" s="10">
        <f>SUM($Q$33:Q296)</f>
        <v>528654936.1032</v>
      </c>
      <c r="S296" s="6">
        <f t="shared" si="29"/>
        <v>1</v>
      </c>
      <c r="T296" t="str">
        <f t="shared" si="30"/>
        <v>C</v>
      </c>
    </row>
    <row r="297" spans="3:20">
      <c r="C297" s="10"/>
      <c r="D297" s="8"/>
      <c r="P297" t="s">
        <v>1599</v>
      </c>
      <c r="Q297" s="10">
        <v>528654936.1032</v>
      </c>
      <c r="R297" s="10">
        <f>SUM($Q$33:Q297)</f>
        <v>1057309872.2064</v>
      </c>
    </row>
    <row r="298" spans="3:20">
      <c r="C298" s="10"/>
      <c r="D298" s="8"/>
    </row>
    <row r="299" spans="3:20">
      <c r="C299" s="10"/>
      <c r="D299" s="8"/>
    </row>
    <row r="300" spans="3:20">
      <c r="C300" s="10"/>
      <c r="D300" s="8"/>
    </row>
    <row r="301" spans="3:20">
      <c r="C301" s="10"/>
      <c r="D301" s="8"/>
    </row>
    <row r="302" spans="3:20">
      <c r="C302" s="10"/>
      <c r="D302" s="8"/>
    </row>
    <row r="303" spans="3:20">
      <c r="C303" s="10"/>
      <c r="D303" s="8"/>
    </row>
    <row r="304" spans="3:20">
      <c r="C304" s="10"/>
      <c r="D304" s="8"/>
    </row>
    <row r="305" spans="3:4">
      <c r="C305" s="10"/>
      <c r="D305" s="8"/>
    </row>
    <row r="306" spans="3:4">
      <c r="C306" s="10"/>
      <c r="D306" s="8"/>
    </row>
    <row r="307" spans="3:4">
      <c r="C307" s="10"/>
      <c r="D307" s="8"/>
    </row>
    <row r="308" spans="3:4">
      <c r="C308" s="10"/>
      <c r="D308" s="8"/>
    </row>
    <row r="309" spans="3:4">
      <c r="C309" s="10"/>
      <c r="D309" s="8"/>
    </row>
    <row r="310" spans="3:4">
      <c r="C310" s="10"/>
      <c r="D310" s="8"/>
    </row>
    <row r="311" spans="3:4">
      <c r="C311" s="10"/>
      <c r="D311" s="8"/>
    </row>
    <row r="312" spans="3:4">
      <c r="C312" s="10"/>
      <c r="D312" s="8"/>
    </row>
    <row r="313" spans="3:4">
      <c r="C313" s="10"/>
      <c r="D313" s="8"/>
    </row>
    <row r="314" spans="3:4">
      <c r="C314" s="10"/>
      <c r="D314" s="8"/>
    </row>
    <row r="315" spans="3:4">
      <c r="C315" s="10"/>
      <c r="D315" s="8"/>
    </row>
    <row r="316" spans="3:4">
      <c r="C316" s="10"/>
      <c r="D316" s="8"/>
    </row>
    <row r="317" spans="3:4">
      <c r="C317" s="10"/>
      <c r="D317" s="8"/>
    </row>
    <row r="318" spans="3:4">
      <c r="C318" s="10"/>
      <c r="D318" s="8"/>
    </row>
    <row r="319" spans="3:4">
      <c r="C319" s="10"/>
      <c r="D319" s="8"/>
    </row>
    <row r="320" spans="3:4">
      <c r="C320" s="10"/>
      <c r="D320" s="8"/>
    </row>
    <row r="321" spans="3:4">
      <c r="C321" s="10"/>
      <c r="D321" s="8"/>
    </row>
    <row r="322" spans="3:4">
      <c r="C322" s="10"/>
      <c r="D322" s="8"/>
    </row>
    <row r="323" spans="3:4">
      <c r="C323" s="10"/>
      <c r="D323" s="8"/>
    </row>
    <row r="324" spans="3:4">
      <c r="C324" s="10"/>
      <c r="D324" s="8"/>
    </row>
    <row r="325" spans="3:4">
      <c r="C325" s="10"/>
      <c r="D325" s="8"/>
    </row>
    <row r="326" spans="3:4">
      <c r="C326" s="10"/>
      <c r="D326" s="8"/>
    </row>
    <row r="327" spans="3:4">
      <c r="C327" s="10"/>
      <c r="D327" s="8"/>
    </row>
    <row r="328" spans="3:4">
      <c r="C328" s="10"/>
      <c r="D328" s="8"/>
    </row>
    <row r="329" spans="3:4">
      <c r="C329" s="10"/>
      <c r="D329" s="8"/>
    </row>
    <row r="330" spans="3:4">
      <c r="C330" s="10"/>
      <c r="D330" s="8"/>
    </row>
    <row r="331" spans="3:4">
      <c r="C331" s="10"/>
      <c r="D331" s="8"/>
    </row>
    <row r="332" spans="3:4">
      <c r="C332" s="10"/>
      <c r="D332" s="8"/>
    </row>
    <row r="333" spans="3:4">
      <c r="C333" s="10"/>
      <c r="D333" s="8"/>
    </row>
    <row r="334" spans="3:4">
      <c r="C334" s="10"/>
      <c r="D334" s="8"/>
    </row>
    <row r="335" spans="3:4">
      <c r="C335" s="10"/>
      <c r="D335" s="8"/>
    </row>
    <row r="336" spans="3:4">
      <c r="C336" s="10"/>
      <c r="D336" s="8"/>
    </row>
    <row r="337" spans="3:4">
      <c r="C337" s="10"/>
      <c r="D337" s="8"/>
    </row>
    <row r="338" spans="3:4">
      <c r="C338" s="10"/>
      <c r="D338" s="8"/>
    </row>
    <row r="339" spans="3:4">
      <c r="C339" s="10"/>
      <c r="D339" s="8"/>
    </row>
    <row r="340" spans="3:4">
      <c r="C340" s="10"/>
      <c r="D340" s="8"/>
    </row>
    <row r="341" spans="3:4">
      <c r="C341" s="10"/>
      <c r="D341" s="8"/>
    </row>
    <row r="342" spans="3:4">
      <c r="C342" s="10"/>
      <c r="D342" s="8"/>
    </row>
    <row r="343" spans="3:4">
      <c r="C343" s="10"/>
      <c r="D343" s="8"/>
    </row>
    <row r="344" spans="3:4">
      <c r="C344" s="10"/>
      <c r="D344" s="8"/>
    </row>
    <row r="345" spans="3:4">
      <c r="C345" s="10"/>
      <c r="D345" s="8"/>
    </row>
    <row r="346" spans="3:4">
      <c r="C346" s="10"/>
      <c r="D346" s="8"/>
    </row>
    <row r="347" spans="3:4">
      <c r="C347" s="10"/>
      <c r="D347" s="8"/>
    </row>
    <row r="348" spans="3:4">
      <c r="C348" s="10"/>
      <c r="D348" s="8"/>
    </row>
    <row r="349" spans="3:4">
      <c r="C349" s="10"/>
      <c r="D349" s="8"/>
    </row>
    <row r="350" spans="3:4">
      <c r="C350" s="10"/>
      <c r="D350" s="8"/>
    </row>
    <row r="351" spans="3:4">
      <c r="C351" s="10"/>
      <c r="D351" s="8"/>
    </row>
    <row r="352" spans="3:4">
      <c r="C352" s="10"/>
      <c r="D352" s="8"/>
    </row>
    <row r="353" spans="3:4">
      <c r="C353" s="10"/>
      <c r="D353" s="8"/>
    </row>
    <row r="354" spans="3:4">
      <c r="C354" s="10"/>
      <c r="D354" s="8"/>
    </row>
    <row r="355" spans="3:4">
      <c r="C355" s="10"/>
      <c r="D355" s="8"/>
    </row>
    <row r="356" spans="3:4">
      <c r="C356" s="10"/>
      <c r="D356" s="8"/>
    </row>
    <row r="357" spans="3:4">
      <c r="C357" s="10"/>
      <c r="D357" s="8"/>
    </row>
    <row r="358" spans="3:4">
      <c r="C358" s="10"/>
      <c r="D358" s="8"/>
    </row>
    <row r="359" spans="3:4">
      <c r="C359" s="10"/>
      <c r="D359" s="8"/>
    </row>
    <row r="360" spans="3:4">
      <c r="C360" s="10"/>
      <c r="D360" s="8"/>
    </row>
    <row r="361" spans="3:4">
      <c r="C361" s="10"/>
      <c r="D361" s="8"/>
    </row>
    <row r="362" spans="3:4">
      <c r="C362" s="10"/>
      <c r="D362" s="8"/>
    </row>
    <row r="363" spans="3:4">
      <c r="C363" s="10"/>
      <c r="D363" s="8"/>
    </row>
    <row r="364" spans="3:4">
      <c r="C364" s="10"/>
      <c r="D364" s="8"/>
    </row>
    <row r="365" spans="3:4">
      <c r="C365" s="10"/>
      <c r="D365" s="8"/>
    </row>
    <row r="366" spans="3:4">
      <c r="C366" s="10"/>
      <c r="D366" s="8"/>
    </row>
    <row r="367" spans="3:4">
      <c r="C367" s="10"/>
      <c r="D367" s="8"/>
    </row>
    <row r="368" spans="3:4">
      <c r="C368" s="10"/>
      <c r="D368" s="8"/>
    </row>
    <row r="369" spans="3:4">
      <c r="C369" s="10"/>
      <c r="D369" s="8"/>
    </row>
    <row r="370" spans="3:4">
      <c r="C370" s="10"/>
      <c r="D370" s="8"/>
    </row>
    <row r="371" spans="3:4">
      <c r="C371" s="10"/>
      <c r="D371" s="8"/>
    </row>
    <row r="372" spans="3:4">
      <c r="C372" s="10"/>
      <c r="D372" s="8"/>
    </row>
    <row r="373" spans="3:4">
      <c r="C373" s="10"/>
      <c r="D373" s="8"/>
    </row>
    <row r="374" spans="3:4">
      <c r="C374" s="10"/>
      <c r="D374" s="8"/>
    </row>
    <row r="375" spans="3:4">
      <c r="C375" s="10"/>
      <c r="D375" s="8"/>
    </row>
    <row r="376" spans="3:4">
      <c r="C376" s="10"/>
      <c r="D376" s="8"/>
    </row>
    <row r="377" spans="3:4">
      <c r="C377" s="10"/>
      <c r="D377" s="8"/>
    </row>
    <row r="378" spans="3:4">
      <c r="C378" s="10"/>
      <c r="D378" s="8"/>
    </row>
    <row r="379" spans="3:4">
      <c r="C379" s="10"/>
      <c r="D379" s="8"/>
    </row>
    <row r="380" spans="3:4">
      <c r="C380" s="10"/>
      <c r="D380" s="8"/>
    </row>
    <row r="381" spans="3:4">
      <c r="C381" s="10"/>
      <c r="D381" s="8"/>
    </row>
    <row r="382" spans="3:4">
      <c r="C382" s="10"/>
      <c r="D382" s="8"/>
    </row>
    <row r="383" spans="3:4">
      <c r="C383" s="10"/>
      <c r="D383" s="8"/>
    </row>
    <row r="384" spans="3:4">
      <c r="C384" s="10"/>
      <c r="D384" s="8"/>
    </row>
    <row r="385" spans="3:4">
      <c r="C385" s="10"/>
      <c r="D385" s="8"/>
    </row>
    <row r="386" spans="3:4">
      <c r="C386" s="10"/>
      <c r="D386" s="8"/>
    </row>
    <row r="387" spans="3:4">
      <c r="C387" s="10"/>
      <c r="D387" s="8"/>
    </row>
    <row r="388" spans="3:4">
      <c r="C388" s="10"/>
      <c r="D388" s="8"/>
    </row>
    <row r="389" spans="3:4">
      <c r="C389" s="10"/>
      <c r="D389" s="8"/>
    </row>
    <row r="390" spans="3:4">
      <c r="C390" s="10"/>
      <c r="D390" s="8"/>
    </row>
    <row r="391" spans="3:4">
      <c r="C391" s="10"/>
      <c r="D391" s="8"/>
    </row>
    <row r="392" spans="3:4">
      <c r="C392" s="10"/>
      <c r="D392" s="8"/>
    </row>
    <row r="393" spans="3:4">
      <c r="C393" s="10"/>
      <c r="D393" s="8"/>
    </row>
    <row r="394" spans="3:4">
      <c r="C394" s="10"/>
      <c r="D394" s="8"/>
    </row>
    <row r="395" spans="3:4">
      <c r="C395" s="10"/>
      <c r="D395" s="8"/>
    </row>
    <row r="396" spans="3:4">
      <c r="C396" s="10"/>
      <c r="D396" s="8"/>
    </row>
    <row r="397" spans="3:4">
      <c r="C397" s="10"/>
      <c r="D397" s="8"/>
    </row>
    <row r="398" spans="3:4">
      <c r="C398" s="10"/>
      <c r="D398" s="8"/>
    </row>
    <row r="399" spans="3:4">
      <c r="C399" s="10"/>
      <c r="D399" s="8"/>
    </row>
    <row r="400" spans="3:4">
      <c r="C400" s="10"/>
      <c r="D400" s="8"/>
    </row>
    <row r="401" spans="3:4">
      <c r="C401" s="10"/>
      <c r="D401" s="8"/>
    </row>
    <row r="402" spans="3:4">
      <c r="C402" s="10"/>
      <c r="D402" s="8"/>
    </row>
    <row r="403" spans="3:4">
      <c r="C403" s="10"/>
      <c r="D403" s="8"/>
    </row>
    <row r="404" spans="3:4">
      <c r="C404" s="10"/>
      <c r="D404" s="8"/>
    </row>
    <row r="405" spans="3:4">
      <c r="C405" s="10"/>
      <c r="D405" s="8"/>
    </row>
    <row r="406" spans="3:4">
      <c r="C406" s="10"/>
      <c r="D406" s="8"/>
    </row>
    <row r="407" spans="3:4">
      <c r="C407" s="10"/>
      <c r="D407" s="8"/>
    </row>
    <row r="408" spans="3:4">
      <c r="C408" s="10"/>
      <c r="D408" s="8"/>
    </row>
    <row r="409" spans="3:4">
      <c r="C409" s="10"/>
      <c r="D409" s="8"/>
    </row>
    <row r="410" spans="3:4">
      <c r="C410" s="10"/>
      <c r="D410" s="8"/>
    </row>
    <row r="411" spans="3:4">
      <c r="C411" s="10"/>
      <c r="D411" s="8"/>
    </row>
    <row r="412" spans="3:4">
      <c r="C412" s="10"/>
      <c r="D412" s="8"/>
    </row>
    <row r="413" spans="3:4">
      <c r="C413" s="10"/>
      <c r="D413" s="8"/>
    </row>
    <row r="414" spans="3:4">
      <c r="C414" s="10"/>
      <c r="D414" s="8"/>
    </row>
    <row r="415" spans="3:4">
      <c r="C415" s="10"/>
      <c r="D415" s="8"/>
    </row>
    <row r="416" spans="3:4">
      <c r="C416" s="10"/>
      <c r="D416" s="8"/>
    </row>
    <row r="417" spans="3:4">
      <c r="C417" s="10"/>
      <c r="D417" s="8"/>
    </row>
    <row r="418" spans="3:4">
      <c r="C418" s="10"/>
      <c r="D418" s="8"/>
    </row>
    <row r="419" spans="3:4">
      <c r="C419" s="10"/>
      <c r="D419" s="8"/>
    </row>
    <row r="420" spans="3:4">
      <c r="C420" s="10"/>
      <c r="D420" s="8"/>
    </row>
    <row r="421" spans="3:4">
      <c r="C421" s="10"/>
      <c r="D421" s="8"/>
    </row>
    <row r="422" spans="3:4">
      <c r="C422" s="10"/>
      <c r="D422" s="8"/>
    </row>
    <row r="423" spans="3:4">
      <c r="C423" s="10"/>
      <c r="D423" s="8"/>
    </row>
    <row r="424" spans="3:4">
      <c r="C424" s="10"/>
      <c r="D424" s="8"/>
    </row>
    <row r="425" spans="3:4">
      <c r="C425" s="10"/>
      <c r="D425" s="8"/>
    </row>
    <row r="426" spans="3:4">
      <c r="C426" s="10"/>
      <c r="D426" s="8"/>
    </row>
    <row r="427" spans="3:4">
      <c r="C427" s="10"/>
      <c r="D427" s="8"/>
    </row>
    <row r="428" spans="3:4">
      <c r="C428" s="10"/>
      <c r="D428" s="8"/>
    </row>
    <row r="429" spans="3:4">
      <c r="C429" s="10"/>
      <c r="D429" s="8"/>
    </row>
    <row r="430" spans="3:4">
      <c r="C430" s="10"/>
      <c r="D430" s="8"/>
    </row>
    <row r="431" spans="3:4">
      <c r="C431" s="10"/>
      <c r="D431" s="8"/>
    </row>
    <row r="432" spans="3:4">
      <c r="C432" s="10"/>
      <c r="D432" s="8"/>
    </row>
    <row r="433" spans="3:4">
      <c r="C433" s="10"/>
      <c r="D433" s="8"/>
    </row>
    <row r="434" spans="3:4">
      <c r="C434" s="10"/>
      <c r="D434" s="8"/>
    </row>
    <row r="435" spans="3:4">
      <c r="C435" s="10"/>
      <c r="D435" s="8"/>
    </row>
    <row r="436" spans="3:4">
      <c r="C436" s="10"/>
      <c r="D436" s="8"/>
    </row>
    <row r="437" spans="3:4">
      <c r="C437" s="10"/>
      <c r="D437" s="8"/>
    </row>
    <row r="438" spans="3:4">
      <c r="C438" s="10"/>
      <c r="D438" s="8"/>
    </row>
    <row r="439" spans="3:4">
      <c r="C439" s="10"/>
      <c r="D439" s="8"/>
    </row>
    <row r="440" spans="3:4">
      <c r="C440" s="10"/>
      <c r="D440" s="8"/>
    </row>
    <row r="441" spans="3:4">
      <c r="C441" s="10"/>
      <c r="D441" s="8"/>
    </row>
    <row r="442" spans="3:4">
      <c r="C442" s="10"/>
      <c r="D442" s="8"/>
    </row>
    <row r="443" spans="3:4">
      <c r="C443" s="10"/>
      <c r="D443" s="8"/>
    </row>
    <row r="444" spans="3:4">
      <c r="C444" s="10"/>
      <c r="D444" s="8"/>
    </row>
    <row r="445" spans="3:4">
      <c r="C445" s="10"/>
      <c r="D445" s="8"/>
    </row>
    <row r="446" spans="3:4">
      <c r="C446" s="10"/>
      <c r="D446" s="8"/>
    </row>
    <row r="447" spans="3:4">
      <c r="C447" s="10"/>
      <c r="D447" s="8"/>
    </row>
    <row r="448" spans="3:4">
      <c r="C448" s="10"/>
      <c r="D448" s="8"/>
    </row>
    <row r="449" spans="3:4">
      <c r="C449" s="10"/>
      <c r="D449" s="8"/>
    </row>
    <row r="450" spans="3:4">
      <c r="C450" s="10"/>
      <c r="D450" s="8"/>
    </row>
    <row r="451" spans="3:4">
      <c r="C451" s="10"/>
      <c r="D451" s="8"/>
    </row>
    <row r="452" spans="3:4">
      <c r="C452" s="10"/>
      <c r="D452" s="8"/>
    </row>
    <row r="453" spans="3:4">
      <c r="C453" s="10"/>
      <c r="D453" s="8"/>
    </row>
    <row r="454" spans="3:4">
      <c r="C454" s="10"/>
      <c r="D454" s="8"/>
    </row>
    <row r="455" spans="3:4">
      <c r="C455" s="10"/>
      <c r="D455" s="8"/>
    </row>
    <row r="456" spans="3:4">
      <c r="C456" s="10"/>
      <c r="D456" s="8"/>
    </row>
    <row r="457" spans="3:4">
      <c r="C457" s="10"/>
      <c r="D457" s="8"/>
    </row>
    <row r="458" spans="3:4">
      <c r="C458" s="10"/>
      <c r="D458" s="8"/>
    </row>
    <row r="459" spans="3:4">
      <c r="C459" s="10"/>
      <c r="D459" s="8"/>
    </row>
    <row r="460" spans="3:4">
      <c r="C460" s="10"/>
      <c r="D460" s="8"/>
    </row>
    <row r="461" spans="3:4">
      <c r="C461" s="10"/>
      <c r="D461" s="8"/>
    </row>
    <row r="462" spans="3:4">
      <c r="C462" s="10"/>
      <c r="D462" s="8"/>
    </row>
    <row r="463" spans="3:4">
      <c r="C463" s="10"/>
      <c r="D463" s="8"/>
    </row>
    <row r="464" spans="3:4">
      <c r="C464" s="10"/>
      <c r="D464" s="8"/>
    </row>
    <row r="465" spans="3:4">
      <c r="C465" s="10"/>
      <c r="D465" s="8"/>
    </row>
    <row r="466" spans="3:4">
      <c r="C466" s="10"/>
      <c r="D466" s="8"/>
    </row>
    <row r="467" spans="3:4">
      <c r="C467" s="10"/>
      <c r="D467" s="8"/>
    </row>
    <row r="468" spans="3:4">
      <c r="C468" s="10"/>
      <c r="D468" s="8"/>
    </row>
    <row r="469" spans="3:4">
      <c r="C469" s="10"/>
      <c r="D469" s="8"/>
    </row>
    <row r="470" spans="3:4">
      <c r="C470" s="10"/>
      <c r="D470" s="8"/>
    </row>
    <row r="471" spans="3:4">
      <c r="C471" s="10"/>
      <c r="D471" s="8"/>
    </row>
    <row r="472" spans="3:4">
      <c r="C472" s="10"/>
      <c r="D472" s="8"/>
    </row>
    <row r="473" spans="3:4">
      <c r="C473" s="10"/>
      <c r="D473" s="8"/>
    </row>
    <row r="474" spans="3:4">
      <c r="C474" s="10"/>
      <c r="D474" s="8"/>
    </row>
    <row r="475" spans="3:4">
      <c r="C475" s="10"/>
      <c r="D475" s="8"/>
    </row>
    <row r="476" spans="3:4">
      <c r="C476" s="10"/>
      <c r="D476" s="8"/>
    </row>
    <row r="477" spans="3:4">
      <c r="C477" s="10"/>
      <c r="D477" s="8"/>
    </row>
    <row r="478" spans="3:4">
      <c r="C478" s="10"/>
      <c r="D478" s="8"/>
    </row>
    <row r="479" spans="3:4">
      <c r="C479" s="10"/>
      <c r="D479" s="8"/>
    </row>
    <row r="480" spans="3:4">
      <c r="C480" s="10"/>
      <c r="D480" s="8"/>
    </row>
    <row r="481" spans="3:4">
      <c r="C481" s="10"/>
      <c r="D481" s="8"/>
    </row>
    <row r="482" spans="3:4">
      <c r="C482" s="10"/>
      <c r="D482" s="8"/>
    </row>
    <row r="483" spans="3:4">
      <c r="C483" s="10"/>
      <c r="D483" s="8"/>
    </row>
    <row r="484" spans="3:4">
      <c r="C484" s="10"/>
      <c r="D484" s="8"/>
    </row>
    <row r="485" spans="3:4">
      <c r="C485" s="10"/>
      <c r="D485" s="8"/>
    </row>
    <row r="486" spans="3:4">
      <c r="C486" s="10"/>
      <c r="D486" s="8"/>
    </row>
    <row r="487" spans="3:4">
      <c r="C487" s="10"/>
      <c r="D487" s="8"/>
    </row>
    <row r="488" spans="3:4">
      <c r="C488" s="10"/>
      <c r="D488" s="8"/>
    </row>
    <row r="489" spans="3:4">
      <c r="C489" s="10"/>
      <c r="D489" s="8"/>
    </row>
    <row r="490" spans="3:4">
      <c r="C490" s="10"/>
      <c r="D490" s="8"/>
    </row>
    <row r="491" spans="3:4">
      <c r="C491" s="10"/>
      <c r="D491" s="8"/>
    </row>
    <row r="492" spans="3:4">
      <c r="C492" s="10"/>
      <c r="D492" s="8"/>
    </row>
    <row r="493" spans="3:4">
      <c r="C493" s="10"/>
      <c r="D493" s="8"/>
    </row>
    <row r="494" spans="3:4">
      <c r="C494" s="10"/>
      <c r="D494" s="8"/>
    </row>
    <row r="495" spans="3:4">
      <c r="C495" s="10"/>
      <c r="D495" s="8"/>
    </row>
    <row r="496" spans="3:4">
      <c r="C496" s="10"/>
      <c r="D496" s="8"/>
    </row>
    <row r="497" spans="3:4">
      <c r="C497" s="10"/>
      <c r="D497" s="8"/>
    </row>
    <row r="498" spans="3:4">
      <c r="C498" s="10"/>
      <c r="D498" s="8"/>
    </row>
    <row r="499" spans="3:4">
      <c r="C499" s="10"/>
      <c r="D499" s="8"/>
    </row>
    <row r="500" spans="3:4">
      <c r="C500" s="10"/>
      <c r="D500" s="8"/>
    </row>
    <row r="501" spans="3:4">
      <c r="C501" s="10"/>
      <c r="D501" s="8"/>
    </row>
    <row r="502" spans="3:4">
      <c r="C502" s="10"/>
      <c r="D502" s="8"/>
    </row>
    <row r="503" spans="3:4">
      <c r="C503" s="10"/>
      <c r="D503" s="8"/>
    </row>
    <row r="504" spans="3:4">
      <c r="C504" s="10"/>
      <c r="D504" s="8"/>
    </row>
    <row r="505" spans="3:4">
      <c r="C505" s="10"/>
      <c r="D505" s="8"/>
    </row>
    <row r="506" spans="3:4">
      <c r="C506" s="10"/>
      <c r="D506" s="8"/>
    </row>
    <row r="507" spans="3:4">
      <c r="C507" s="10"/>
      <c r="D507" s="8"/>
    </row>
    <row r="508" spans="3:4">
      <c r="C508" s="10"/>
      <c r="D508" s="8"/>
    </row>
    <row r="509" spans="3:4">
      <c r="C509" s="10"/>
      <c r="D509" s="8"/>
    </row>
    <row r="510" spans="3:4">
      <c r="C510" s="10"/>
      <c r="D510" s="8"/>
    </row>
    <row r="511" spans="3:4">
      <c r="C511" s="10"/>
      <c r="D511" s="8"/>
    </row>
    <row r="512" spans="3:4">
      <c r="C512" s="10"/>
      <c r="D512" s="8"/>
    </row>
    <row r="513" spans="3:4">
      <c r="C513" s="10"/>
      <c r="D513" s="8"/>
    </row>
    <row r="514" spans="3:4">
      <c r="C514" s="10"/>
      <c r="D514" s="8"/>
    </row>
    <row r="515" spans="3:4">
      <c r="C515" s="10"/>
      <c r="D515" s="8"/>
    </row>
    <row r="516" spans="3:4">
      <c r="C516" s="10"/>
      <c r="D516" s="8"/>
    </row>
    <row r="517" spans="3:4">
      <c r="C517" s="10"/>
      <c r="D517" s="8"/>
    </row>
    <row r="518" spans="3:4">
      <c r="C518" s="10"/>
      <c r="D518" s="8"/>
    </row>
    <row r="519" spans="3:4">
      <c r="C519" s="10"/>
      <c r="D519" s="8"/>
    </row>
    <row r="520" spans="3:4">
      <c r="C520" s="10"/>
      <c r="D520" s="8"/>
    </row>
    <row r="521" spans="3:4">
      <c r="C521" s="10"/>
      <c r="D521" s="8"/>
    </row>
    <row r="522" spans="3:4">
      <c r="C522" s="10"/>
      <c r="D522" s="8"/>
    </row>
    <row r="523" spans="3:4">
      <c r="C523" s="10"/>
      <c r="D523" s="8"/>
    </row>
    <row r="524" spans="3:4">
      <c r="C524" s="10"/>
      <c r="D524" s="8"/>
    </row>
    <row r="525" spans="3:4">
      <c r="C525" s="10"/>
      <c r="D525" s="8"/>
    </row>
    <row r="526" spans="3:4">
      <c r="C526" s="10"/>
      <c r="D526" s="8"/>
    </row>
    <row r="527" spans="3:4">
      <c r="C527" s="10"/>
      <c r="D527" s="8"/>
    </row>
    <row r="528" spans="3:4">
      <c r="C528" s="10"/>
      <c r="D528" s="8"/>
    </row>
    <row r="529" spans="3:4">
      <c r="C529" s="10"/>
      <c r="D529" s="8"/>
    </row>
    <row r="530" spans="3:4">
      <c r="C530" s="10"/>
      <c r="D530" s="8"/>
    </row>
    <row r="531" spans="3:4">
      <c r="C531" s="10"/>
      <c r="D531" s="8"/>
    </row>
    <row r="532" spans="3:4">
      <c r="C532" s="10"/>
      <c r="D532" s="8"/>
    </row>
    <row r="533" spans="3:4">
      <c r="C533" s="10"/>
      <c r="D533" s="8"/>
    </row>
    <row r="534" spans="3:4">
      <c r="C534" s="10"/>
      <c r="D534" s="8"/>
    </row>
    <row r="535" spans="3:4">
      <c r="C535" s="10"/>
      <c r="D535" s="8"/>
    </row>
    <row r="536" spans="3:4">
      <c r="C536" s="10"/>
      <c r="D536" s="8"/>
    </row>
    <row r="537" spans="3:4">
      <c r="C537" s="10"/>
      <c r="D537" s="8"/>
    </row>
    <row r="538" spans="3:4">
      <c r="C538" s="10"/>
      <c r="D538" s="8"/>
    </row>
    <row r="539" spans="3:4">
      <c r="C539" s="10"/>
      <c r="D539" s="8"/>
    </row>
    <row r="540" spans="3:4">
      <c r="C540" s="10"/>
      <c r="D540" s="8"/>
    </row>
    <row r="541" spans="3:4">
      <c r="C541" s="10"/>
      <c r="D541" s="8"/>
    </row>
    <row r="542" spans="3:4">
      <c r="C542" s="10"/>
      <c r="D542" s="8"/>
    </row>
    <row r="543" spans="3:4">
      <c r="C543" s="10"/>
      <c r="D543" s="8"/>
    </row>
    <row r="544" spans="3:4">
      <c r="C544" s="10"/>
      <c r="D544" s="8"/>
    </row>
    <row r="545" spans="3:4">
      <c r="C545" s="10"/>
      <c r="D545" s="8"/>
    </row>
    <row r="546" spans="3:4">
      <c r="C546" s="10"/>
      <c r="D546" s="8"/>
    </row>
    <row r="547" spans="3:4">
      <c r="C547" s="10"/>
      <c r="D547" s="8"/>
    </row>
    <row r="548" spans="3:4">
      <c r="C548" s="10"/>
      <c r="D548" s="8"/>
    </row>
    <row r="549" spans="3:4">
      <c r="C549" s="10"/>
      <c r="D549" s="8"/>
    </row>
    <row r="550" spans="3:4">
      <c r="C550" s="10"/>
      <c r="D550" s="8"/>
    </row>
    <row r="551" spans="3:4">
      <c r="C551" s="10"/>
      <c r="D551" s="8"/>
    </row>
    <row r="552" spans="3:4">
      <c r="C552" s="10"/>
      <c r="D552" s="8"/>
    </row>
    <row r="553" spans="3:4">
      <c r="C553" s="10"/>
      <c r="D553" s="8"/>
    </row>
    <row r="554" spans="3:4">
      <c r="C554" s="10"/>
      <c r="D554" s="8"/>
    </row>
    <row r="555" spans="3:4">
      <c r="C555" s="10"/>
      <c r="D555" s="8"/>
    </row>
    <row r="556" spans="3:4">
      <c r="C556" s="10"/>
      <c r="D556" s="8"/>
    </row>
    <row r="557" spans="3:4">
      <c r="C557" s="10"/>
      <c r="D557" s="8"/>
    </row>
    <row r="558" spans="3:4">
      <c r="C558" s="10"/>
      <c r="D558" s="8"/>
    </row>
    <row r="559" spans="3:4">
      <c r="C559" s="10"/>
      <c r="D559" s="8"/>
    </row>
    <row r="560" spans="3:4">
      <c r="C560" s="10"/>
      <c r="D560" s="8"/>
    </row>
    <row r="561" spans="3:4">
      <c r="C561" s="10"/>
      <c r="D561" s="8"/>
    </row>
    <row r="562" spans="3:4">
      <c r="C562" s="10"/>
      <c r="D562" s="8"/>
    </row>
    <row r="563" spans="3:4">
      <c r="C563" s="10"/>
      <c r="D563" s="8"/>
    </row>
    <row r="564" spans="3:4">
      <c r="C564" s="10"/>
      <c r="D564" s="8"/>
    </row>
    <row r="565" spans="3:4">
      <c r="C565" s="10"/>
      <c r="D565" s="8"/>
    </row>
    <row r="566" spans="3:4">
      <c r="C566" s="10"/>
      <c r="D566" s="8"/>
    </row>
    <row r="567" spans="3:4">
      <c r="C567" s="10"/>
      <c r="D567" s="8"/>
    </row>
    <row r="568" spans="3:4">
      <c r="C568" s="10"/>
      <c r="D568" s="8"/>
    </row>
    <row r="569" spans="3:4">
      <c r="C569" s="10"/>
      <c r="D569" s="8"/>
    </row>
    <row r="570" spans="3:4">
      <c r="C570" s="10"/>
      <c r="D570" s="8"/>
    </row>
    <row r="571" spans="3:4">
      <c r="C571" s="10"/>
      <c r="D571" s="8"/>
    </row>
    <row r="572" spans="3:4">
      <c r="C572" s="10"/>
      <c r="D572" s="8"/>
    </row>
    <row r="573" spans="3:4">
      <c r="C573" s="10"/>
      <c r="D573" s="8"/>
    </row>
    <row r="574" spans="3:4">
      <c r="C574" s="10"/>
      <c r="D574" s="8"/>
    </row>
    <row r="575" spans="3:4">
      <c r="C575" s="10"/>
      <c r="D575" s="8"/>
    </row>
    <row r="576" spans="3:4">
      <c r="C576" s="10"/>
      <c r="D576" s="8"/>
    </row>
    <row r="577" spans="3:4">
      <c r="C577" s="10"/>
      <c r="D577" s="8"/>
    </row>
    <row r="578" spans="3:4">
      <c r="C578" s="10"/>
      <c r="D578" s="8"/>
    </row>
    <row r="579" spans="3:4">
      <c r="C579" s="10"/>
      <c r="D579" s="8"/>
    </row>
    <row r="580" spans="3:4">
      <c r="C580" s="10"/>
      <c r="D580" s="8"/>
    </row>
    <row r="581" spans="3:4">
      <c r="C581" s="10"/>
      <c r="D581" s="8"/>
    </row>
    <row r="582" spans="3:4">
      <c r="C582" s="10"/>
      <c r="D582" s="8"/>
    </row>
    <row r="583" spans="3:4">
      <c r="C583" s="10"/>
      <c r="D583" s="8"/>
    </row>
    <row r="584" spans="3:4">
      <c r="C584" s="10"/>
      <c r="D584" s="8"/>
    </row>
    <row r="585" spans="3:4">
      <c r="C585" s="10"/>
      <c r="D585" s="8"/>
    </row>
    <row r="586" spans="3:4">
      <c r="C586" s="10"/>
      <c r="D586" s="8"/>
    </row>
    <row r="587" spans="3:4">
      <c r="C587" s="10"/>
      <c r="D587" s="8"/>
    </row>
    <row r="588" spans="3:4">
      <c r="C588" s="10"/>
      <c r="D588" s="8"/>
    </row>
    <row r="589" spans="3:4">
      <c r="C589" s="10"/>
      <c r="D589" s="8"/>
    </row>
    <row r="590" spans="3:4">
      <c r="C590" s="10"/>
      <c r="D590" s="8"/>
    </row>
    <row r="591" spans="3:4">
      <c r="C591" s="10"/>
      <c r="D591" s="8"/>
    </row>
    <row r="592" spans="3:4">
      <c r="C592" s="10"/>
      <c r="D592" s="8"/>
    </row>
    <row r="593" spans="3:4">
      <c r="C593" s="10"/>
      <c r="D593" s="8"/>
    </row>
    <row r="594" spans="3:4">
      <c r="C594" s="10"/>
      <c r="D594" s="8"/>
    </row>
    <row r="595" spans="3:4">
      <c r="C595" s="10"/>
      <c r="D595" s="8"/>
    </row>
    <row r="596" spans="3:4">
      <c r="C596" s="10"/>
      <c r="D596" s="8"/>
    </row>
    <row r="597" spans="3:4">
      <c r="C597" s="10"/>
      <c r="D597" s="8"/>
    </row>
    <row r="598" spans="3:4">
      <c r="C598" s="10"/>
      <c r="D598" s="8"/>
    </row>
    <row r="599" spans="3:4">
      <c r="C599" s="10"/>
      <c r="D599" s="8"/>
    </row>
    <row r="600" spans="3:4">
      <c r="C600" s="10"/>
      <c r="D600" s="8"/>
    </row>
    <row r="601" spans="3:4">
      <c r="C601" s="10"/>
      <c r="D601" s="8"/>
    </row>
    <row r="602" spans="3:4">
      <c r="C602" s="10"/>
      <c r="D602" s="8"/>
    </row>
    <row r="603" spans="3:4">
      <c r="C603" s="10"/>
      <c r="D603" s="8"/>
    </row>
    <row r="604" spans="3:4">
      <c r="C604" s="10"/>
      <c r="D604" s="8"/>
    </row>
    <row r="605" spans="3:4">
      <c r="C605" s="10"/>
      <c r="D605" s="8"/>
    </row>
    <row r="606" spans="3:4">
      <c r="C606" s="10"/>
      <c r="D606" s="8"/>
    </row>
    <row r="607" spans="3:4">
      <c r="C607" s="10"/>
      <c r="D607" s="8"/>
    </row>
    <row r="608" spans="3:4">
      <c r="C608" s="10"/>
      <c r="D608" s="8"/>
    </row>
    <row r="609" spans="3:4">
      <c r="C609" s="10"/>
      <c r="D609" s="8"/>
    </row>
    <row r="610" spans="3:4">
      <c r="C610" s="10"/>
      <c r="D610" s="8"/>
    </row>
    <row r="611" spans="3:4">
      <c r="C611" s="10"/>
      <c r="D611" s="8"/>
    </row>
    <row r="612" spans="3:4">
      <c r="C612" s="10"/>
      <c r="D612" s="8"/>
    </row>
    <row r="613" spans="3:4">
      <c r="C613" s="10"/>
      <c r="D613" s="8"/>
    </row>
    <row r="614" spans="3:4">
      <c r="C614" s="10"/>
      <c r="D614" s="8"/>
    </row>
    <row r="615" spans="3:4">
      <c r="C615" s="10"/>
      <c r="D615" s="8"/>
    </row>
    <row r="616" spans="3:4">
      <c r="C616" s="10"/>
      <c r="D616" s="8"/>
    </row>
    <row r="617" spans="3:4">
      <c r="C617" s="10"/>
      <c r="D617" s="8"/>
    </row>
    <row r="618" spans="3:4">
      <c r="C618" s="10"/>
      <c r="D618" s="8"/>
    </row>
    <row r="619" spans="3:4">
      <c r="C619" s="10"/>
      <c r="D619" s="8"/>
    </row>
    <row r="620" spans="3:4">
      <c r="C620" s="10"/>
      <c r="D620" s="8"/>
    </row>
    <row r="621" spans="3:4">
      <c r="C621" s="10"/>
      <c r="D621" s="8"/>
    </row>
    <row r="622" spans="3:4">
      <c r="C622" s="10"/>
      <c r="D622" s="8"/>
    </row>
    <row r="623" spans="3:4">
      <c r="C623" s="10"/>
      <c r="D623" s="8"/>
    </row>
    <row r="624" spans="3:4">
      <c r="C624" s="10"/>
      <c r="D624" s="8"/>
    </row>
    <row r="625" spans="3:4">
      <c r="C625" s="10"/>
      <c r="D625" s="8"/>
    </row>
    <row r="626" spans="3:4">
      <c r="C626" s="10"/>
      <c r="D626" s="8"/>
    </row>
    <row r="627" spans="3:4">
      <c r="C627" s="10"/>
      <c r="D627" s="8"/>
    </row>
    <row r="628" spans="3:4">
      <c r="C628" s="10"/>
      <c r="D628" s="8"/>
    </row>
    <row r="629" spans="3:4">
      <c r="C629" s="10"/>
      <c r="D629" s="8"/>
    </row>
    <row r="630" spans="3:4">
      <c r="C630" s="10"/>
      <c r="D630" s="8"/>
    </row>
    <row r="631" spans="3:4">
      <c r="C631" s="10"/>
      <c r="D631" s="8"/>
    </row>
    <row r="632" spans="3:4">
      <c r="C632" s="10"/>
      <c r="D632" s="8"/>
    </row>
    <row r="633" spans="3:4">
      <c r="C633" s="10"/>
      <c r="D633" s="8"/>
    </row>
    <row r="634" spans="3:4">
      <c r="C634" s="10"/>
      <c r="D634" s="8"/>
    </row>
    <row r="635" spans="3:4">
      <c r="C635" s="10"/>
      <c r="D635" s="8"/>
    </row>
    <row r="636" spans="3:4">
      <c r="C636" s="10"/>
      <c r="D636" s="8"/>
    </row>
    <row r="637" spans="3:4">
      <c r="C637" s="10"/>
      <c r="D637" s="8"/>
    </row>
    <row r="638" spans="3:4">
      <c r="C638" s="10"/>
      <c r="D638" s="8"/>
    </row>
    <row r="639" spans="3:4">
      <c r="C639" s="10"/>
      <c r="D639" s="8"/>
    </row>
    <row r="640" spans="3:4">
      <c r="C640" s="10"/>
      <c r="D640" s="8"/>
    </row>
    <row r="641" spans="3:4">
      <c r="C641" s="10"/>
      <c r="D641" s="8"/>
    </row>
    <row r="642" spans="3:4">
      <c r="C642" s="10"/>
      <c r="D642" s="8"/>
    </row>
    <row r="643" spans="3:4">
      <c r="C643" s="10"/>
      <c r="D643" s="8"/>
    </row>
    <row r="644" spans="3:4">
      <c r="C644" s="10"/>
      <c r="D644" s="8"/>
    </row>
    <row r="645" spans="3:4">
      <c r="C645" s="10"/>
      <c r="D645" s="8"/>
    </row>
    <row r="646" spans="3:4">
      <c r="C646" s="10"/>
      <c r="D646" s="8"/>
    </row>
    <row r="647" spans="3:4">
      <c r="C647" s="10"/>
      <c r="D647" s="8"/>
    </row>
    <row r="648" spans="3:4">
      <c r="C648" s="10"/>
      <c r="D648" s="8"/>
    </row>
    <row r="649" spans="3:4">
      <c r="C649" s="10"/>
      <c r="D649" s="8"/>
    </row>
    <row r="650" spans="3:4">
      <c r="C650" s="10"/>
      <c r="D650" s="8"/>
    </row>
    <row r="651" spans="3:4">
      <c r="C651" s="10"/>
      <c r="D651" s="8"/>
    </row>
    <row r="652" spans="3:4">
      <c r="C652" s="10"/>
      <c r="D652" s="8"/>
    </row>
    <row r="653" spans="3:4">
      <c r="C653" s="10"/>
      <c r="D653" s="8"/>
    </row>
    <row r="654" spans="3:4">
      <c r="C654" s="10"/>
      <c r="D654" s="8"/>
    </row>
    <row r="655" spans="3:4">
      <c r="C655" s="10"/>
      <c r="D655" s="8"/>
    </row>
    <row r="656" spans="3:4">
      <c r="C656" s="10"/>
      <c r="D656" s="8"/>
    </row>
    <row r="657" spans="3:4">
      <c r="C657" s="10"/>
      <c r="D657" s="8"/>
    </row>
    <row r="658" spans="3:4">
      <c r="C658" s="10"/>
      <c r="D658" s="8"/>
    </row>
    <row r="659" spans="3:4">
      <c r="C659" s="10"/>
      <c r="D659" s="8"/>
    </row>
    <row r="660" spans="3:4">
      <c r="C660" s="10"/>
      <c r="D660" s="8"/>
    </row>
    <row r="661" spans="3:4">
      <c r="C661" s="10"/>
      <c r="D661" s="8"/>
    </row>
    <row r="662" spans="3:4">
      <c r="C662" s="10"/>
      <c r="D662" s="8"/>
    </row>
    <row r="663" spans="3:4">
      <c r="C663" s="10"/>
      <c r="D663" s="10"/>
    </row>
    <row r="664" spans="3:4">
      <c r="D664" s="10"/>
    </row>
    <row r="665" spans="3:4">
      <c r="D665" s="10"/>
    </row>
    <row r="666" spans="3:4">
      <c r="D666" s="10"/>
    </row>
    <row r="667" spans="3:4">
      <c r="D667" s="10"/>
    </row>
    <row r="668" spans="3:4">
      <c r="D668" s="10"/>
    </row>
    <row r="669" spans="3:4">
      <c r="D669" s="10"/>
    </row>
    <row r="670" spans="3:4">
      <c r="D670" s="10"/>
    </row>
    <row r="671" spans="3:4">
      <c r="D671" s="10"/>
    </row>
    <row r="672" spans="3:4">
      <c r="D672" s="10"/>
    </row>
    <row r="673" spans="4:4">
      <c r="D673" s="10"/>
    </row>
    <row r="674" spans="4:4">
      <c r="D674" s="10"/>
    </row>
    <row r="675" spans="4:4">
      <c r="D675" s="10"/>
    </row>
    <row r="676" spans="4:4">
      <c r="D676" s="10"/>
    </row>
    <row r="677" spans="4:4">
      <c r="D677" s="10"/>
    </row>
    <row r="678" spans="4:4">
      <c r="D678" s="10"/>
    </row>
    <row r="679" spans="4:4">
      <c r="D679" s="10"/>
    </row>
    <row r="680" spans="4:4">
      <c r="D680" s="10"/>
    </row>
    <row r="681" spans="4:4">
      <c r="D681" s="10"/>
    </row>
    <row r="682" spans="4:4">
      <c r="D682" s="10"/>
    </row>
    <row r="683" spans="4:4">
      <c r="D683" s="10"/>
    </row>
    <row r="684" spans="4:4">
      <c r="D684" s="10"/>
    </row>
    <row r="685" spans="4:4">
      <c r="D685" s="10"/>
    </row>
    <row r="686" spans="4:4">
      <c r="D686" s="10"/>
    </row>
    <row r="687" spans="4:4">
      <c r="D687" s="10"/>
    </row>
    <row r="688" spans="4:4">
      <c r="D688" s="10"/>
    </row>
    <row r="689" spans="4:4">
      <c r="D689" s="10"/>
    </row>
    <row r="690" spans="4:4">
      <c r="D690" s="10"/>
    </row>
    <row r="691" spans="4:4">
      <c r="D691" s="10"/>
    </row>
    <row r="692" spans="4:4">
      <c r="D692" s="10"/>
    </row>
    <row r="693" spans="4:4">
      <c r="D693" s="10"/>
    </row>
    <row r="694" spans="4:4">
      <c r="D694" s="10"/>
    </row>
    <row r="695" spans="4:4">
      <c r="D695" s="10"/>
    </row>
    <row r="696" spans="4:4">
      <c r="D696" s="10"/>
    </row>
    <row r="697" spans="4:4">
      <c r="D697" s="10"/>
    </row>
    <row r="698" spans="4:4">
      <c r="D698" s="10"/>
    </row>
    <row r="699" spans="4:4">
      <c r="D699" s="10"/>
    </row>
    <row r="700" spans="4:4">
      <c r="D700" s="10"/>
    </row>
    <row r="701" spans="4:4">
      <c r="D701" s="10"/>
    </row>
    <row r="702" spans="4:4">
      <c r="D702" s="10"/>
    </row>
    <row r="703" spans="4:4">
      <c r="D703" s="10"/>
    </row>
    <row r="704" spans="4:4">
      <c r="D704" s="10"/>
    </row>
    <row r="705" spans="4:4">
      <c r="D705" s="10"/>
    </row>
    <row r="706" spans="4:4">
      <c r="D706" s="10"/>
    </row>
    <row r="707" spans="4:4">
      <c r="D707" s="10"/>
    </row>
    <row r="708" spans="4:4">
      <c r="D708" s="10"/>
    </row>
    <row r="709" spans="4:4">
      <c r="D709" s="10"/>
    </row>
    <row r="710" spans="4:4">
      <c r="D710" s="10"/>
    </row>
    <row r="711" spans="4:4">
      <c r="D711" s="10"/>
    </row>
    <row r="712" spans="4:4">
      <c r="D712" s="10"/>
    </row>
    <row r="713" spans="4:4">
      <c r="D713" s="10"/>
    </row>
    <row r="714" spans="4:4">
      <c r="D714" s="10"/>
    </row>
    <row r="715" spans="4:4">
      <c r="D715" s="10"/>
    </row>
    <row r="716" spans="4:4">
      <c r="D716" s="10"/>
    </row>
    <row r="717" spans="4:4">
      <c r="D717" s="10"/>
    </row>
    <row r="718" spans="4:4">
      <c r="D718" s="10"/>
    </row>
    <row r="719" spans="4:4">
      <c r="D719" s="10"/>
    </row>
    <row r="720" spans="4:4">
      <c r="D720" s="10"/>
    </row>
    <row r="721" spans="4:4">
      <c r="D721" s="10"/>
    </row>
    <row r="722" spans="4:4">
      <c r="D722" s="10"/>
    </row>
    <row r="723" spans="4:4">
      <c r="D723" s="10"/>
    </row>
    <row r="724" spans="4:4">
      <c r="D724" s="10"/>
    </row>
    <row r="725" spans="4:4">
      <c r="D725" s="10"/>
    </row>
    <row r="726" spans="4:4">
      <c r="D726" s="10"/>
    </row>
    <row r="727" spans="4:4">
      <c r="D727" s="10"/>
    </row>
    <row r="728" spans="4:4">
      <c r="D728" s="10"/>
    </row>
    <row r="729" spans="4:4">
      <c r="D729" s="10"/>
    </row>
    <row r="730" spans="4:4">
      <c r="D730" s="10"/>
    </row>
    <row r="731" spans="4:4">
      <c r="D731" s="10"/>
    </row>
    <row r="732" spans="4:4">
      <c r="D732" s="10"/>
    </row>
    <row r="733" spans="4:4">
      <c r="D733" s="10"/>
    </row>
    <row r="734" spans="4:4">
      <c r="D734" s="10"/>
    </row>
    <row r="735" spans="4:4">
      <c r="D735" s="10"/>
    </row>
    <row r="736" spans="4:4">
      <c r="D736" s="10"/>
    </row>
    <row r="737" spans="4:4">
      <c r="D737" s="10"/>
    </row>
    <row r="738" spans="4:4">
      <c r="D738" s="10"/>
    </row>
    <row r="739" spans="4:4">
      <c r="D739" s="10"/>
    </row>
    <row r="740" spans="4:4">
      <c r="D740" s="10"/>
    </row>
    <row r="741" spans="4:4">
      <c r="D741" s="10"/>
    </row>
    <row r="742" spans="4:4">
      <c r="D742" s="10"/>
    </row>
    <row r="743" spans="4:4">
      <c r="D743" s="10"/>
    </row>
    <row r="744" spans="4:4">
      <c r="D744" s="10"/>
    </row>
    <row r="745" spans="4:4">
      <c r="D745" s="10"/>
    </row>
    <row r="746" spans="4:4">
      <c r="D746" s="10"/>
    </row>
    <row r="747" spans="4:4">
      <c r="D747" s="10"/>
    </row>
    <row r="748" spans="4:4">
      <c r="D748" s="10"/>
    </row>
    <row r="749" spans="4:4">
      <c r="D749" s="10"/>
    </row>
    <row r="750" spans="4:4">
      <c r="D750" s="10"/>
    </row>
    <row r="751" spans="4:4">
      <c r="D751" s="10"/>
    </row>
    <row r="752" spans="4:4">
      <c r="D752" s="10"/>
    </row>
    <row r="753" spans="4:4">
      <c r="D753" s="10"/>
    </row>
    <row r="754" spans="4:4">
      <c r="D754" s="10"/>
    </row>
    <row r="755" spans="4:4">
      <c r="D755" s="10"/>
    </row>
    <row r="756" spans="4:4">
      <c r="D756" s="10"/>
    </row>
    <row r="757" spans="4:4">
      <c r="D757" s="10"/>
    </row>
    <row r="758" spans="4:4">
      <c r="D758" s="10"/>
    </row>
    <row r="759" spans="4:4">
      <c r="D759" s="10"/>
    </row>
    <row r="760" spans="4:4">
      <c r="D760" s="10"/>
    </row>
    <row r="761" spans="4:4">
      <c r="D761" s="10"/>
    </row>
    <row r="762" spans="4:4">
      <c r="D762" s="10"/>
    </row>
    <row r="763" spans="4:4">
      <c r="D763" s="10"/>
    </row>
    <row r="764" spans="4:4">
      <c r="D764" s="10"/>
    </row>
    <row r="765" spans="4:4">
      <c r="D765" s="10"/>
    </row>
    <row r="766" spans="4:4">
      <c r="D766" s="10"/>
    </row>
    <row r="767" spans="4:4">
      <c r="D767" s="10"/>
    </row>
    <row r="768" spans="4:4">
      <c r="D768" s="10"/>
    </row>
    <row r="769" spans="4:4">
      <c r="D769" s="10"/>
    </row>
    <row r="770" spans="4:4">
      <c r="D770" s="10"/>
    </row>
    <row r="771" spans="4:4">
      <c r="D771" s="10"/>
    </row>
    <row r="772" spans="4:4">
      <c r="D772" s="10"/>
    </row>
    <row r="773" spans="4:4">
      <c r="D773" s="10"/>
    </row>
    <row r="774" spans="4:4">
      <c r="D774" s="10"/>
    </row>
    <row r="775" spans="4:4">
      <c r="D775" s="10"/>
    </row>
    <row r="776" spans="4:4">
      <c r="D776" s="10"/>
    </row>
    <row r="777" spans="4:4">
      <c r="D777" s="10"/>
    </row>
    <row r="778" spans="4:4">
      <c r="D778" s="10"/>
    </row>
    <row r="779" spans="4:4">
      <c r="D779" s="10"/>
    </row>
    <row r="780" spans="4:4">
      <c r="D780" s="10"/>
    </row>
    <row r="781" spans="4:4">
      <c r="D781" s="10"/>
    </row>
    <row r="782" spans="4:4">
      <c r="D782" s="10"/>
    </row>
    <row r="783" spans="4:4">
      <c r="D783" s="10"/>
    </row>
    <row r="784" spans="4:4">
      <c r="D784" s="10"/>
    </row>
    <row r="785" spans="4:4">
      <c r="D785" s="10"/>
    </row>
    <row r="786" spans="4:4">
      <c r="D786" s="10"/>
    </row>
    <row r="787" spans="4:4">
      <c r="D787" s="10"/>
    </row>
    <row r="788" spans="4:4">
      <c r="D788" s="10"/>
    </row>
    <row r="789" spans="4:4">
      <c r="D789" s="10"/>
    </row>
    <row r="790" spans="4:4">
      <c r="D790" s="10"/>
    </row>
    <row r="791" spans="4:4">
      <c r="D791" s="10"/>
    </row>
    <row r="792" spans="4:4">
      <c r="D792" s="10"/>
    </row>
    <row r="793" spans="4:4">
      <c r="D793" s="10"/>
    </row>
    <row r="794" spans="4:4">
      <c r="D794" s="10"/>
    </row>
    <row r="795" spans="4:4">
      <c r="D795" s="10"/>
    </row>
    <row r="796" spans="4:4">
      <c r="D796" s="10"/>
    </row>
    <row r="797" spans="4:4">
      <c r="D797" s="10"/>
    </row>
    <row r="798" spans="4:4">
      <c r="D798" s="10"/>
    </row>
    <row r="799" spans="4:4">
      <c r="D799" s="10"/>
    </row>
    <row r="800" spans="4:4">
      <c r="D800" s="10"/>
    </row>
    <row r="801" spans="4:4">
      <c r="D801" s="10"/>
    </row>
    <row r="802" spans="4:4">
      <c r="D802" s="10"/>
    </row>
    <row r="803" spans="4:4">
      <c r="D803" s="10"/>
    </row>
    <row r="804" spans="4:4">
      <c r="D804" s="10"/>
    </row>
    <row r="805" spans="4:4">
      <c r="D805" s="10"/>
    </row>
    <row r="806" spans="4:4">
      <c r="D806" s="10"/>
    </row>
    <row r="807" spans="4:4">
      <c r="D807" s="10"/>
    </row>
    <row r="808" spans="4:4">
      <c r="D808" s="10"/>
    </row>
    <row r="809" spans="4:4">
      <c r="D809" s="10"/>
    </row>
    <row r="810" spans="4:4">
      <c r="D810" s="10"/>
    </row>
    <row r="811" spans="4:4">
      <c r="D811" s="10"/>
    </row>
    <row r="812" spans="4:4">
      <c r="D812" s="10"/>
    </row>
    <row r="813" spans="4:4">
      <c r="D813" s="10"/>
    </row>
    <row r="814" spans="4:4">
      <c r="D814" s="10"/>
    </row>
    <row r="815" spans="4:4">
      <c r="D815" s="10"/>
    </row>
    <row r="816" spans="4:4">
      <c r="D816" s="10"/>
    </row>
    <row r="817" spans="4:4">
      <c r="D817" s="10"/>
    </row>
    <row r="818" spans="4:4">
      <c r="D818" s="10"/>
    </row>
    <row r="819" spans="4:4">
      <c r="D819" s="10"/>
    </row>
    <row r="820" spans="4:4">
      <c r="D820" s="10"/>
    </row>
    <row r="821" spans="4:4">
      <c r="D821" s="10"/>
    </row>
    <row r="822" spans="4:4">
      <c r="D822" s="10"/>
    </row>
    <row r="823" spans="4:4">
      <c r="D823" s="10"/>
    </row>
    <row r="824" spans="4:4">
      <c r="D824" s="10"/>
    </row>
    <row r="825" spans="4:4">
      <c r="D825" s="10"/>
    </row>
    <row r="826" spans="4:4">
      <c r="D826" s="10"/>
    </row>
    <row r="827" spans="4:4">
      <c r="D827" s="10"/>
    </row>
    <row r="828" spans="4:4">
      <c r="D828" s="10"/>
    </row>
    <row r="829" spans="4:4">
      <c r="D829" s="10"/>
    </row>
    <row r="830" spans="4:4">
      <c r="D830" s="10"/>
    </row>
    <row r="831" spans="4:4">
      <c r="D831" s="10"/>
    </row>
    <row r="832" spans="4:4">
      <c r="D832" s="10"/>
    </row>
    <row r="833" spans="4:4">
      <c r="D833" s="10"/>
    </row>
    <row r="834" spans="4:4">
      <c r="D834" s="10"/>
    </row>
    <row r="835" spans="4:4">
      <c r="D835" s="10"/>
    </row>
    <row r="836" spans="4:4">
      <c r="D836" s="10"/>
    </row>
    <row r="837" spans="4:4">
      <c r="D837" s="10"/>
    </row>
    <row r="838" spans="4:4">
      <c r="D838" s="10"/>
    </row>
    <row r="839" spans="4:4">
      <c r="D839" s="10"/>
    </row>
    <row r="840" spans="4:4">
      <c r="D840" s="10"/>
    </row>
    <row r="841" spans="4:4">
      <c r="D841" s="10"/>
    </row>
    <row r="842" spans="4:4">
      <c r="D842" s="10"/>
    </row>
    <row r="843" spans="4:4">
      <c r="D843" s="10"/>
    </row>
    <row r="844" spans="4:4">
      <c r="D844" s="10"/>
    </row>
    <row r="845" spans="4:4">
      <c r="D845" s="10"/>
    </row>
    <row r="846" spans="4:4">
      <c r="D846" s="10"/>
    </row>
    <row r="847" spans="4:4">
      <c r="D847" s="10"/>
    </row>
    <row r="848" spans="4:4">
      <c r="D848" s="10"/>
    </row>
    <row r="849" spans="4:4">
      <c r="D849" s="10"/>
    </row>
    <row r="850" spans="4:4">
      <c r="D850" s="10"/>
    </row>
    <row r="851" spans="4:4">
      <c r="D851" s="10"/>
    </row>
    <row r="852" spans="4:4">
      <c r="D852" s="10"/>
    </row>
    <row r="853" spans="4:4">
      <c r="D853" s="10"/>
    </row>
    <row r="854" spans="4:4">
      <c r="D854" s="10"/>
    </row>
    <row r="855" spans="4:4">
      <c r="D855" s="10"/>
    </row>
    <row r="856" spans="4:4">
      <c r="D856" s="10"/>
    </row>
    <row r="857" spans="4:4">
      <c r="D857" s="10"/>
    </row>
    <row r="858" spans="4:4">
      <c r="D858" s="10"/>
    </row>
    <row r="859" spans="4:4">
      <c r="D859" s="10"/>
    </row>
    <row r="860" spans="4:4">
      <c r="D860" s="10"/>
    </row>
    <row r="861" spans="4:4">
      <c r="D861" s="10"/>
    </row>
    <row r="862" spans="4:4">
      <c r="D862" s="10"/>
    </row>
    <row r="863" spans="4:4">
      <c r="D863" s="10"/>
    </row>
    <row r="864" spans="4:4">
      <c r="D864" s="10"/>
    </row>
    <row r="865" spans="4:4">
      <c r="D865" s="10"/>
    </row>
    <row r="866" spans="4:4">
      <c r="D866" s="10"/>
    </row>
    <row r="867" spans="4:4">
      <c r="D867" s="10"/>
    </row>
    <row r="868" spans="4:4">
      <c r="D868" s="10"/>
    </row>
    <row r="869" spans="4:4">
      <c r="D869" s="10"/>
    </row>
    <row r="870" spans="4:4">
      <c r="D870" s="10"/>
    </row>
    <row r="871" spans="4:4">
      <c r="D871" s="10"/>
    </row>
    <row r="872" spans="4:4">
      <c r="D872" s="10"/>
    </row>
    <row r="873" spans="4:4">
      <c r="D873" s="10"/>
    </row>
    <row r="874" spans="4:4">
      <c r="D874" s="10"/>
    </row>
    <row r="875" spans="4:4">
      <c r="D875" s="10"/>
    </row>
    <row r="876" spans="4:4">
      <c r="D876" s="10"/>
    </row>
    <row r="877" spans="4:4">
      <c r="D877" s="10"/>
    </row>
    <row r="878" spans="4:4">
      <c r="D878" s="10"/>
    </row>
    <row r="879" spans="4:4">
      <c r="D879" s="10"/>
    </row>
    <row r="880" spans="4:4">
      <c r="D880" s="10"/>
    </row>
    <row r="881" spans="4:4">
      <c r="D881" s="10"/>
    </row>
    <row r="882" spans="4:4">
      <c r="D882" s="10"/>
    </row>
    <row r="883" spans="4:4">
      <c r="D883" s="10"/>
    </row>
    <row r="884" spans="4:4">
      <c r="D884" s="10"/>
    </row>
    <row r="885" spans="4:4">
      <c r="D885" s="10"/>
    </row>
    <row r="886" spans="4:4">
      <c r="D886" s="10"/>
    </row>
    <row r="887" spans="4:4">
      <c r="D887" s="10"/>
    </row>
    <row r="888" spans="4:4">
      <c r="D888" s="10"/>
    </row>
    <row r="889" spans="4:4">
      <c r="D889" s="10"/>
    </row>
    <row r="890" spans="4:4">
      <c r="D890" s="10"/>
    </row>
    <row r="891" spans="4:4">
      <c r="D891" s="10"/>
    </row>
    <row r="892" spans="4:4">
      <c r="D892" s="10"/>
    </row>
    <row r="893" spans="4:4">
      <c r="D893" s="10"/>
    </row>
    <row r="894" spans="4:4">
      <c r="D894" s="10"/>
    </row>
    <row r="895" spans="4:4">
      <c r="D895" s="10"/>
    </row>
    <row r="896" spans="4:4">
      <c r="D896" s="10"/>
    </row>
    <row r="897" spans="4:4">
      <c r="D897" s="10"/>
    </row>
    <row r="898" spans="4:4">
      <c r="D898" s="10"/>
    </row>
    <row r="899" spans="4:4">
      <c r="D899" s="10"/>
    </row>
    <row r="900" spans="4:4">
      <c r="D900" s="10"/>
    </row>
    <row r="901" spans="4:4">
      <c r="D901" s="10"/>
    </row>
    <row r="902" spans="4:4">
      <c r="D902" s="10"/>
    </row>
    <row r="903" spans="4:4">
      <c r="D903" s="10"/>
    </row>
    <row r="904" spans="4:4">
      <c r="D904" s="10"/>
    </row>
    <row r="905" spans="4:4">
      <c r="D905" s="10"/>
    </row>
    <row r="906" spans="4:4">
      <c r="D906" s="10"/>
    </row>
    <row r="907" spans="4:4">
      <c r="D907" s="10"/>
    </row>
    <row r="908" spans="4:4">
      <c r="D908" s="10"/>
    </row>
    <row r="909" spans="4:4">
      <c r="D909" s="10"/>
    </row>
    <row r="910" spans="4:4">
      <c r="D910" s="10"/>
    </row>
    <row r="911" spans="4:4">
      <c r="D911" s="10"/>
    </row>
    <row r="912" spans="4:4">
      <c r="D912" s="10"/>
    </row>
    <row r="913" spans="4:4">
      <c r="D913" s="10"/>
    </row>
    <row r="914" spans="4:4">
      <c r="D914" s="10"/>
    </row>
    <row r="915" spans="4:4">
      <c r="D915" s="10"/>
    </row>
    <row r="916" spans="4:4">
      <c r="D916" s="10"/>
    </row>
    <row r="917" spans="4:4">
      <c r="D917" s="10"/>
    </row>
    <row r="918" spans="4:4">
      <c r="D918" s="10"/>
    </row>
    <row r="919" spans="4:4">
      <c r="D919" s="10"/>
    </row>
    <row r="920" spans="4:4">
      <c r="D920" s="10"/>
    </row>
    <row r="921" spans="4:4">
      <c r="D921" s="10"/>
    </row>
    <row r="922" spans="4:4">
      <c r="D922" s="10"/>
    </row>
    <row r="923" spans="4:4">
      <c r="D923" s="10"/>
    </row>
    <row r="924" spans="4:4">
      <c r="D924" s="10"/>
    </row>
    <row r="925" spans="4:4">
      <c r="D925" s="10"/>
    </row>
    <row r="926" spans="4:4">
      <c r="D926" s="10"/>
    </row>
    <row r="927" spans="4:4">
      <c r="D927" s="10"/>
    </row>
    <row r="928" spans="4:4">
      <c r="D928" s="10"/>
    </row>
    <row r="929" spans="4:4">
      <c r="D929" s="10"/>
    </row>
    <row r="930" spans="4:4">
      <c r="D930" s="10"/>
    </row>
    <row r="931" spans="4:4">
      <c r="D931" s="10"/>
    </row>
    <row r="932" spans="4:4">
      <c r="D932" s="10"/>
    </row>
    <row r="933" spans="4:4">
      <c r="D933" s="10"/>
    </row>
    <row r="934" spans="4:4">
      <c r="D934" s="10"/>
    </row>
    <row r="935" spans="4:4">
      <c r="D935" s="10"/>
    </row>
    <row r="936" spans="4:4">
      <c r="D936" s="10"/>
    </row>
    <row r="937" spans="4:4">
      <c r="D937" s="10"/>
    </row>
    <row r="938" spans="4:4">
      <c r="D938" s="10"/>
    </row>
    <row r="939" spans="4:4">
      <c r="D939" s="10"/>
    </row>
    <row r="940" spans="4:4">
      <c r="D940" s="10"/>
    </row>
    <row r="941" spans="4:4">
      <c r="D941" s="10"/>
    </row>
    <row r="942" spans="4:4">
      <c r="D942" s="10"/>
    </row>
    <row r="943" spans="4:4">
      <c r="D943" s="10"/>
    </row>
    <row r="944" spans="4:4">
      <c r="D944" s="10"/>
    </row>
    <row r="945" spans="4:4">
      <c r="D945" s="10"/>
    </row>
    <row r="946" spans="4:4">
      <c r="D946" s="10"/>
    </row>
    <row r="947" spans="4:4">
      <c r="D947" s="10"/>
    </row>
    <row r="948" spans="4:4">
      <c r="D948" s="10"/>
    </row>
    <row r="949" spans="4:4">
      <c r="D949" s="10"/>
    </row>
    <row r="950" spans="4:4">
      <c r="D950" s="10"/>
    </row>
    <row r="951" spans="4:4">
      <c r="D951" s="10"/>
    </row>
    <row r="952" spans="4:4">
      <c r="D952" s="10"/>
    </row>
    <row r="953" spans="4:4">
      <c r="D953" s="10"/>
    </row>
    <row r="954" spans="4:4">
      <c r="D954" s="10"/>
    </row>
    <row r="955" spans="4:4">
      <c r="D955" s="10"/>
    </row>
    <row r="956" spans="4:4">
      <c r="D956" s="10"/>
    </row>
    <row r="957" spans="4:4">
      <c r="D957" s="10"/>
    </row>
    <row r="958" spans="4:4">
      <c r="D958" s="10"/>
    </row>
    <row r="959" spans="4:4">
      <c r="D959" s="10"/>
    </row>
    <row r="960" spans="4:4">
      <c r="D960" s="10"/>
    </row>
    <row r="961" spans="4:4">
      <c r="D961" s="10"/>
    </row>
    <row r="962" spans="4:4">
      <c r="D962" s="10"/>
    </row>
    <row r="963" spans="4:4">
      <c r="D963" s="10"/>
    </row>
    <row r="964" spans="4:4">
      <c r="D964" s="10"/>
    </row>
    <row r="965" spans="4:4">
      <c r="D965" s="10"/>
    </row>
    <row r="966" spans="4:4">
      <c r="D966" s="10"/>
    </row>
    <row r="967" spans="4:4">
      <c r="D967" s="10"/>
    </row>
    <row r="968" spans="4:4">
      <c r="D968" s="10"/>
    </row>
    <row r="969" spans="4:4">
      <c r="D969" s="10"/>
    </row>
    <row r="970" spans="4:4">
      <c r="D970" s="10"/>
    </row>
    <row r="971" spans="4:4">
      <c r="D971" s="10"/>
    </row>
    <row r="972" spans="4:4">
      <c r="D972" s="10"/>
    </row>
    <row r="973" spans="4:4">
      <c r="D973" s="10"/>
    </row>
    <row r="974" spans="4:4">
      <c r="D974" s="10"/>
    </row>
    <row r="975" spans="4:4">
      <c r="D975" s="10"/>
    </row>
    <row r="976" spans="4:4">
      <c r="D976" s="10"/>
    </row>
    <row r="977" spans="4:4">
      <c r="D977" s="10"/>
    </row>
    <row r="978" spans="4:4">
      <c r="D978" s="10"/>
    </row>
    <row r="979" spans="4:4">
      <c r="D979" s="10"/>
    </row>
    <row r="980" spans="4:4">
      <c r="D980" s="10"/>
    </row>
    <row r="981" spans="4:4">
      <c r="D981" s="10"/>
    </row>
    <row r="982" spans="4:4">
      <c r="D982" s="10"/>
    </row>
    <row r="983" spans="4:4">
      <c r="D983" s="10"/>
    </row>
    <row r="984" spans="4:4">
      <c r="D984" s="10"/>
    </row>
    <row r="985" spans="4:4">
      <c r="D985" s="10"/>
    </row>
    <row r="986" spans="4:4">
      <c r="D986" s="10"/>
    </row>
    <row r="987" spans="4:4">
      <c r="D987" s="10"/>
    </row>
    <row r="988" spans="4:4">
      <c r="D988" s="10"/>
    </row>
    <row r="989" spans="4:4">
      <c r="D989" s="10"/>
    </row>
    <row r="990" spans="4:4">
      <c r="D990" s="10"/>
    </row>
    <row r="991" spans="4:4">
      <c r="D991" s="10"/>
    </row>
    <row r="992" spans="4:4">
      <c r="D992" s="10"/>
    </row>
    <row r="993" spans="4:4">
      <c r="D993" s="10"/>
    </row>
    <row r="994" spans="4:4">
      <c r="D994" s="10"/>
    </row>
    <row r="995" spans="4:4">
      <c r="D995" s="10"/>
    </row>
    <row r="996" spans="4:4">
      <c r="D996" s="10"/>
    </row>
    <row r="997" spans="4:4">
      <c r="D997" s="10"/>
    </row>
    <row r="998" spans="4:4">
      <c r="D998" s="10"/>
    </row>
    <row r="999" spans="4:4">
      <c r="D999" s="10"/>
    </row>
    <row r="1000" spans="4:4">
      <c r="D1000" s="10"/>
    </row>
    <row r="1001" spans="4:4">
      <c r="D1001" s="10"/>
    </row>
    <row r="1002" spans="4:4">
      <c r="D1002" s="10"/>
    </row>
    <row r="1003" spans="4:4">
      <c r="D1003" s="10"/>
    </row>
    <row r="1004" spans="4:4">
      <c r="D1004" s="10"/>
    </row>
    <row r="1005" spans="4:4">
      <c r="D1005" s="10"/>
    </row>
    <row r="1006" spans="4:4">
      <c r="D1006" s="10"/>
    </row>
    <row r="1007" spans="4:4">
      <c r="D1007" s="10"/>
    </row>
    <row r="1008" spans="4:4">
      <c r="D1008" s="10"/>
    </row>
    <row r="1009" spans="4:4">
      <c r="D1009" s="10"/>
    </row>
    <row r="1010" spans="4:4">
      <c r="D1010" s="10"/>
    </row>
    <row r="1011" spans="4:4">
      <c r="D1011" s="10"/>
    </row>
    <row r="1012" spans="4:4">
      <c r="D1012" s="10"/>
    </row>
    <row r="1013" spans="4:4">
      <c r="D1013" s="10"/>
    </row>
    <row r="1014" spans="4:4">
      <c r="D1014" s="10"/>
    </row>
    <row r="1015" spans="4:4">
      <c r="D1015" s="10"/>
    </row>
    <row r="1016" spans="4:4">
      <c r="D1016" s="10"/>
    </row>
    <row r="1017" spans="4:4">
      <c r="D1017" s="10"/>
    </row>
    <row r="1018" spans="4:4">
      <c r="D1018" s="10"/>
    </row>
    <row r="1019" spans="4:4">
      <c r="D1019" s="10"/>
    </row>
    <row r="1020" spans="4:4">
      <c r="D1020" s="10"/>
    </row>
    <row r="1021" spans="4:4">
      <c r="D1021" s="10"/>
    </row>
    <row r="1022" spans="4:4">
      <c r="D1022" s="10"/>
    </row>
    <row r="1023" spans="4:4">
      <c r="D1023" s="10"/>
    </row>
    <row r="1024" spans="4:4">
      <c r="D1024" s="10"/>
    </row>
    <row r="1025" spans="4:4">
      <c r="D1025" s="10"/>
    </row>
    <row r="1026" spans="4:4">
      <c r="D1026" s="10"/>
    </row>
    <row r="1027" spans="4:4">
      <c r="D1027" s="10"/>
    </row>
    <row r="1028" spans="4:4">
      <c r="D1028" s="10"/>
    </row>
    <row r="1029" spans="4:4">
      <c r="D1029" s="10"/>
    </row>
    <row r="1030" spans="4:4">
      <c r="D1030" s="10"/>
    </row>
    <row r="1031" spans="4:4">
      <c r="D1031" s="10"/>
    </row>
    <row r="1032" spans="4:4">
      <c r="D1032" s="10"/>
    </row>
    <row r="1033" spans="4:4">
      <c r="D1033" s="10"/>
    </row>
    <row r="1034" spans="4:4">
      <c r="D1034" s="10"/>
    </row>
    <row r="1035" spans="4:4">
      <c r="D1035" s="10"/>
    </row>
    <row r="1036" spans="4:4">
      <c r="D1036" s="10"/>
    </row>
    <row r="1037" spans="4:4">
      <c r="D1037" s="10"/>
    </row>
    <row r="1038" spans="4:4">
      <c r="D1038" s="10"/>
    </row>
    <row r="1039" spans="4:4">
      <c r="D1039" s="10"/>
    </row>
    <row r="1040" spans="4:4">
      <c r="D1040" s="10"/>
    </row>
    <row r="1041" spans="4:4">
      <c r="D1041" s="10"/>
    </row>
    <row r="1042" spans="4:4">
      <c r="D1042" s="10"/>
    </row>
    <row r="1043" spans="4:4">
      <c r="D1043" s="10"/>
    </row>
    <row r="1044" spans="4:4">
      <c r="D1044" s="10"/>
    </row>
    <row r="1045" spans="4:4">
      <c r="D1045" s="10"/>
    </row>
    <row r="1046" spans="4:4">
      <c r="D1046" s="10"/>
    </row>
    <row r="1047" spans="4:4">
      <c r="D1047" s="10"/>
    </row>
    <row r="1048" spans="4:4">
      <c r="D1048" s="10"/>
    </row>
    <row r="1049" spans="4:4">
      <c r="D1049" s="10"/>
    </row>
    <row r="1050" spans="4:4">
      <c r="D1050" s="10"/>
    </row>
    <row r="1051" spans="4:4">
      <c r="D1051" s="10"/>
    </row>
    <row r="1052" spans="4:4">
      <c r="D1052" s="10"/>
    </row>
    <row r="1053" spans="4:4">
      <c r="D1053" s="10"/>
    </row>
    <row r="1054" spans="4:4">
      <c r="D1054" s="10"/>
    </row>
    <row r="1055" spans="4:4">
      <c r="D1055" s="10"/>
    </row>
    <row r="1056" spans="4:4">
      <c r="D1056" s="10"/>
    </row>
    <row r="1057" spans="4:4">
      <c r="D1057" s="10"/>
    </row>
    <row r="1058" spans="4:4">
      <c r="D1058" s="10"/>
    </row>
    <row r="1059" spans="4:4">
      <c r="D1059" s="10"/>
    </row>
    <row r="1060" spans="4:4">
      <c r="D1060" s="10"/>
    </row>
    <row r="1061" spans="4:4">
      <c r="D1061" s="10"/>
    </row>
    <row r="1062" spans="4:4">
      <c r="D1062" s="10"/>
    </row>
    <row r="1063" spans="4:4">
      <c r="D1063" s="10"/>
    </row>
    <row r="1064" spans="4:4">
      <c r="D1064" s="10"/>
    </row>
    <row r="1065" spans="4:4">
      <c r="D1065" s="10"/>
    </row>
    <row r="1066" spans="4:4">
      <c r="D1066" s="10"/>
    </row>
    <row r="1067" spans="4:4">
      <c r="D1067" s="10"/>
    </row>
    <row r="1068" spans="4:4">
      <c r="D1068" s="10"/>
    </row>
    <row r="1069" spans="4:4">
      <c r="D1069" s="10"/>
    </row>
    <row r="1070" spans="4:4">
      <c r="D1070" s="10"/>
    </row>
    <row r="1071" spans="4:4">
      <c r="D1071" s="10"/>
    </row>
    <row r="1072" spans="4:4">
      <c r="D1072" s="10"/>
    </row>
    <row r="1073" spans="4:4">
      <c r="D1073" s="10"/>
    </row>
    <row r="1074" spans="4:4">
      <c r="D1074" s="10"/>
    </row>
    <row r="1075" spans="4:4">
      <c r="D1075" s="10"/>
    </row>
    <row r="1076" spans="4:4">
      <c r="D1076" s="10"/>
    </row>
    <row r="1077" spans="4:4">
      <c r="D1077" s="10"/>
    </row>
    <row r="1078" spans="4:4">
      <c r="D1078" s="10"/>
    </row>
    <row r="1079" spans="4:4">
      <c r="D1079" s="10"/>
    </row>
    <row r="1080" spans="4:4">
      <c r="D1080" s="10"/>
    </row>
    <row r="1081" spans="4:4">
      <c r="D1081" s="10"/>
    </row>
    <row r="1082" spans="4:4">
      <c r="D1082" s="10"/>
    </row>
    <row r="1083" spans="4:4">
      <c r="D1083" s="10"/>
    </row>
    <row r="1084" spans="4:4">
      <c r="D1084" s="10"/>
    </row>
    <row r="1085" spans="4:4">
      <c r="D1085" s="10"/>
    </row>
    <row r="1086" spans="4:4">
      <c r="D1086" s="10"/>
    </row>
    <row r="1087" spans="4:4">
      <c r="D1087" s="10"/>
    </row>
    <row r="1088" spans="4:4">
      <c r="D1088" s="10"/>
    </row>
    <row r="1089" spans="4:4">
      <c r="D1089" s="10"/>
    </row>
    <row r="1090" spans="4:4">
      <c r="D1090" s="10"/>
    </row>
    <row r="1091" spans="4:4">
      <c r="D1091" s="10"/>
    </row>
    <row r="1092" spans="4:4">
      <c r="D1092" s="10"/>
    </row>
    <row r="1093" spans="4:4">
      <c r="D1093" s="10"/>
    </row>
    <row r="1094" spans="4:4">
      <c r="D1094" s="10"/>
    </row>
    <row r="1095" spans="4:4">
      <c r="D1095" s="10"/>
    </row>
    <row r="1096" spans="4:4">
      <c r="D1096" s="10"/>
    </row>
    <row r="1097" spans="4:4">
      <c r="D1097" s="10"/>
    </row>
    <row r="1098" spans="4:4">
      <c r="D1098" s="10"/>
    </row>
    <row r="1099" spans="4:4">
      <c r="D1099" s="10"/>
    </row>
    <row r="1100" spans="4:4">
      <c r="D1100" s="10"/>
    </row>
    <row r="1101" spans="4:4">
      <c r="D1101" s="10"/>
    </row>
    <row r="1102" spans="4:4">
      <c r="D1102" s="10"/>
    </row>
    <row r="1103" spans="4:4">
      <c r="D1103" s="10"/>
    </row>
    <row r="1104" spans="4:4">
      <c r="D1104" s="10"/>
    </row>
    <row r="1105" spans="4:4">
      <c r="D1105" s="10"/>
    </row>
    <row r="1106" spans="4:4">
      <c r="D1106" s="10"/>
    </row>
    <row r="1107" spans="4:4">
      <c r="D1107" s="10"/>
    </row>
    <row r="1108" spans="4:4">
      <c r="D1108" s="10"/>
    </row>
    <row r="1109" spans="4:4">
      <c r="D1109" s="10"/>
    </row>
    <row r="1110" spans="4:4">
      <c r="D1110" s="10"/>
    </row>
    <row r="1111" spans="4:4">
      <c r="D1111" s="10"/>
    </row>
    <row r="1112" spans="4:4">
      <c r="D1112" s="10"/>
    </row>
    <row r="1113" spans="4:4">
      <c r="D1113" s="10"/>
    </row>
    <row r="1114" spans="4:4">
      <c r="D1114" s="10"/>
    </row>
    <row r="1115" spans="4:4">
      <c r="D1115" s="10"/>
    </row>
    <row r="1116" spans="4:4">
      <c r="D1116" s="10"/>
    </row>
    <row r="1117" spans="4:4">
      <c r="D1117" s="10"/>
    </row>
    <row r="1118" spans="4:4">
      <c r="D1118" s="10"/>
    </row>
    <row r="1119" spans="4:4">
      <c r="D1119" s="10"/>
    </row>
    <row r="1120" spans="4:4">
      <c r="D1120" s="10"/>
    </row>
    <row r="1121" spans="4:4">
      <c r="D1121" s="10"/>
    </row>
    <row r="1122" spans="4:4">
      <c r="D1122" s="10"/>
    </row>
    <row r="1123" spans="4:4">
      <c r="D1123" s="10"/>
    </row>
    <row r="1124" spans="4:4">
      <c r="D1124" s="10"/>
    </row>
    <row r="1125" spans="4:4">
      <c r="D1125" s="10"/>
    </row>
    <row r="1126" spans="4:4">
      <c r="D1126" s="10"/>
    </row>
    <row r="1127" spans="4:4">
      <c r="D1127" s="10"/>
    </row>
    <row r="1128" spans="4:4">
      <c r="D1128" s="10"/>
    </row>
    <row r="1129" spans="4:4">
      <c r="D1129" s="10"/>
    </row>
    <row r="1130" spans="4:4">
      <c r="D1130" s="10"/>
    </row>
    <row r="1131" spans="4:4">
      <c r="D1131" s="10"/>
    </row>
    <row r="1132" spans="4:4">
      <c r="D1132" s="10"/>
    </row>
    <row r="1133" spans="4:4">
      <c r="D1133" s="10"/>
    </row>
    <row r="1134" spans="4:4">
      <c r="D1134" s="10"/>
    </row>
    <row r="1135" spans="4:4">
      <c r="D1135" s="10"/>
    </row>
    <row r="1136" spans="4:4">
      <c r="D1136" s="10"/>
    </row>
    <row r="1137" spans="4:4">
      <c r="D1137" s="10"/>
    </row>
    <row r="1138" spans="4:4">
      <c r="D1138" s="10"/>
    </row>
    <row r="1139" spans="4:4">
      <c r="D1139" s="10"/>
    </row>
    <row r="1140" spans="4:4">
      <c r="D1140" s="10"/>
    </row>
    <row r="1141" spans="4:4">
      <c r="D1141" s="10"/>
    </row>
    <row r="1142" spans="4:4">
      <c r="D1142" s="10"/>
    </row>
    <row r="1143" spans="4:4">
      <c r="D1143" s="10"/>
    </row>
    <row r="1144" spans="4:4">
      <c r="D1144" s="10"/>
    </row>
    <row r="1145" spans="4:4">
      <c r="D1145" s="10"/>
    </row>
    <row r="1146" spans="4:4">
      <c r="D1146" s="10"/>
    </row>
    <row r="1147" spans="4:4">
      <c r="D1147" s="10"/>
    </row>
    <row r="1148" spans="4:4">
      <c r="D1148" s="10"/>
    </row>
    <row r="1149" spans="4:4">
      <c r="D1149" s="10"/>
    </row>
    <row r="1150" spans="4:4">
      <c r="D1150" s="10"/>
    </row>
    <row r="1151" spans="4:4">
      <c r="D1151" s="10"/>
    </row>
    <row r="1152" spans="4:4">
      <c r="D1152" s="10"/>
    </row>
    <row r="1153" spans="4:4">
      <c r="D1153" s="10"/>
    </row>
    <row r="1154" spans="4:4">
      <c r="D1154" s="10"/>
    </row>
    <row r="1155" spans="4:4">
      <c r="D1155" s="10"/>
    </row>
    <row r="1156" spans="4:4">
      <c r="D1156" s="10"/>
    </row>
    <row r="1157" spans="4:4">
      <c r="D1157" s="10"/>
    </row>
    <row r="1158" spans="4:4">
      <c r="D1158" s="10"/>
    </row>
    <row r="1159" spans="4:4">
      <c r="D1159" s="10"/>
    </row>
    <row r="1160" spans="4:4">
      <c r="D1160" s="10"/>
    </row>
    <row r="1161" spans="4:4">
      <c r="D1161" s="10"/>
    </row>
    <row r="1162" spans="4:4">
      <c r="D1162" s="10"/>
    </row>
    <row r="1163" spans="4:4">
      <c r="D1163" s="10"/>
    </row>
    <row r="1164" spans="4:4">
      <c r="D1164" s="10"/>
    </row>
    <row r="1165" spans="4:4">
      <c r="D1165" s="10"/>
    </row>
    <row r="1166" spans="4:4">
      <c r="D1166" s="10"/>
    </row>
    <row r="1167" spans="4:4">
      <c r="D1167" s="10"/>
    </row>
    <row r="1168" spans="4:4">
      <c r="D1168" s="10"/>
    </row>
    <row r="1169" spans="4:4">
      <c r="D1169" s="10"/>
    </row>
    <row r="1170" spans="4:4">
      <c r="D1170" s="10"/>
    </row>
    <row r="1171" spans="4:4">
      <c r="D1171" s="10"/>
    </row>
    <row r="1172" spans="4:4">
      <c r="D1172" s="10"/>
    </row>
    <row r="1173" spans="4:4">
      <c r="D1173" s="10"/>
    </row>
    <row r="1174" spans="4:4">
      <c r="D1174" s="10"/>
    </row>
    <row r="1175" spans="4:4">
      <c r="D1175" s="10"/>
    </row>
    <row r="1176" spans="4:4">
      <c r="D1176" s="10"/>
    </row>
    <row r="1177" spans="4:4">
      <c r="D1177" s="10"/>
    </row>
    <row r="1178" spans="4:4">
      <c r="D1178" s="10"/>
    </row>
    <row r="1179" spans="4:4">
      <c r="D1179" s="10"/>
    </row>
    <row r="1180" spans="4:4">
      <c r="D1180" s="10"/>
    </row>
    <row r="1181" spans="4:4">
      <c r="D1181" s="10"/>
    </row>
    <row r="1182" spans="4:4">
      <c r="D1182" s="10"/>
    </row>
    <row r="1183" spans="4:4">
      <c r="D1183" s="10"/>
    </row>
    <row r="1184" spans="4:4">
      <c r="D1184" s="10"/>
    </row>
    <row r="1185" spans="4:4">
      <c r="D1185" s="10"/>
    </row>
    <row r="1186" spans="4:4">
      <c r="D1186" s="10"/>
    </row>
    <row r="1187" spans="4:4">
      <c r="D1187" s="10"/>
    </row>
    <row r="1188" spans="4:4">
      <c r="D1188" s="10"/>
    </row>
    <row r="1189" spans="4:4">
      <c r="D1189" s="10"/>
    </row>
    <row r="1190" spans="4:4">
      <c r="D1190" s="10"/>
    </row>
    <row r="1191" spans="4:4">
      <c r="D1191" s="10"/>
    </row>
    <row r="1192" spans="4:4">
      <c r="D1192" s="10"/>
    </row>
    <row r="1193" spans="4:4">
      <c r="D1193" s="10"/>
    </row>
    <row r="1194" spans="4:4">
      <c r="D1194" s="10"/>
    </row>
    <row r="1195" spans="4:4">
      <c r="D1195" s="10"/>
    </row>
    <row r="1196" spans="4:4">
      <c r="D1196" s="10"/>
    </row>
    <row r="1197" spans="4:4">
      <c r="D1197" s="10"/>
    </row>
    <row r="1198" spans="4:4">
      <c r="D1198" s="10"/>
    </row>
    <row r="1199" spans="4:4">
      <c r="D1199" s="10"/>
    </row>
    <row r="1200" spans="4:4">
      <c r="D1200" s="10"/>
    </row>
    <row r="1201" spans="4:4">
      <c r="D1201" s="10"/>
    </row>
    <row r="1202" spans="4:4">
      <c r="D1202" s="10"/>
    </row>
    <row r="1203" spans="4:4">
      <c r="D1203" s="10"/>
    </row>
    <row r="1204" spans="4:4">
      <c r="D1204" s="10"/>
    </row>
    <row r="1205" spans="4:4">
      <c r="D1205" s="10"/>
    </row>
    <row r="1206" spans="4:4">
      <c r="D1206" s="10"/>
    </row>
    <row r="1207" spans="4:4">
      <c r="D1207" s="10"/>
    </row>
    <row r="1208" spans="4:4">
      <c r="D1208" s="10"/>
    </row>
    <row r="1209" spans="4:4">
      <c r="D1209" s="10"/>
    </row>
    <row r="1210" spans="4:4">
      <c r="D1210" s="10"/>
    </row>
    <row r="1211" spans="4:4">
      <c r="D1211" s="10"/>
    </row>
    <row r="1212" spans="4:4">
      <c r="D1212" s="10"/>
    </row>
    <row r="1213" spans="4:4">
      <c r="D1213" s="10"/>
    </row>
    <row r="1214" spans="4:4">
      <c r="D1214" s="10"/>
    </row>
    <row r="1215" spans="4:4">
      <c r="D1215" s="10"/>
    </row>
    <row r="1216" spans="4:4">
      <c r="D1216" s="10"/>
    </row>
    <row r="1217" spans="4:4">
      <c r="D1217" s="10"/>
    </row>
    <row r="1218" spans="4:4">
      <c r="D1218" s="10"/>
    </row>
    <row r="1219" spans="4:4">
      <c r="D1219" s="10"/>
    </row>
    <row r="1220" spans="4:4">
      <c r="D1220" s="10"/>
    </row>
    <row r="1221" spans="4:4">
      <c r="D1221" s="10"/>
    </row>
    <row r="1222" spans="4:4">
      <c r="D1222" s="10"/>
    </row>
    <row r="1223" spans="4:4">
      <c r="D1223" s="10"/>
    </row>
    <row r="1224" spans="4:4">
      <c r="D1224" s="10"/>
    </row>
    <row r="1225" spans="4:4">
      <c r="D1225" s="10"/>
    </row>
    <row r="1226" spans="4:4">
      <c r="D1226" s="10"/>
    </row>
    <row r="1227" spans="4:4">
      <c r="D1227" s="10"/>
    </row>
    <row r="1228" spans="4:4">
      <c r="D1228" s="10"/>
    </row>
    <row r="1229" spans="4:4">
      <c r="D1229" s="10"/>
    </row>
    <row r="1230" spans="4:4">
      <c r="D1230" s="10"/>
    </row>
    <row r="1231" spans="4:4">
      <c r="D1231" s="10"/>
    </row>
    <row r="1232" spans="4:4">
      <c r="D1232" s="10"/>
    </row>
    <row r="1233" spans="4:4">
      <c r="D1233" s="10"/>
    </row>
    <row r="1234" spans="4:4">
      <c r="D1234" s="10"/>
    </row>
    <row r="1235" spans="4:4">
      <c r="D1235" s="10"/>
    </row>
    <row r="1236" spans="4:4">
      <c r="D1236" s="10"/>
    </row>
    <row r="1237" spans="4:4">
      <c r="D1237" s="10"/>
    </row>
    <row r="1238" spans="4:4">
      <c r="D1238" s="10"/>
    </row>
    <row r="1239" spans="4:4">
      <c r="D1239" s="10"/>
    </row>
    <row r="1240" spans="4:4">
      <c r="D1240" s="10"/>
    </row>
    <row r="1241" spans="4:4">
      <c r="D1241" s="10"/>
    </row>
    <row r="1242" spans="4:4">
      <c r="D1242" s="10"/>
    </row>
    <row r="1243" spans="4:4">
      <c r="D1243" s="10"/>
    </row>
    <row r="1244" spans="4:4">
      <c r="D1244" s="10"/>
    </row>
    <row r="1245" spans="4:4">
      <c r="D1245" s="10"/>
    </row>
    <row r="1246" spans="4:4">
      <c r="D1246" s="10"/>
    </row>
    <row r="1247" spans="4:4">
      <c r="D1247" s="10"/>
    </row>
    <row r="1248" spans="4:4">
      <c r="D1248" s="10"/>
    </row>
    <row r="1249" spans="4:4">
      <c r="D1249" s="10"/>
    </row>
    <row r="1250" spans="4:4">
      <c r="D1250" s="10"/>
    </row>
    <row r="1251" spans="4:4">
      <c r="D1251" s="10"/>
    </row>
    <row r="1252" spans="4:4">
      <c r="D1252" s="10"/>
    </row>
    <row r="1253" spans="4:4">
      <c r="D1253" s="10"/>
    </row>
    <row r="1254" spans="4:4">
      <c r="D1254" s="10"/>
    </row>
    <row r="1255" spans="4:4">
      <c r="D1255" s="10"/>
    </row>
    <row r="1256" spans="4:4">
      <c r="D1256" s="10"/>
    </row>
    <row r="1257" spans="4:4">
      <c r="D1257" s="10"/>
    </row>
    <row r="1258" spans="4:4">
      <c r="D1258" s="10"/>
    </row>
    <row r="1259" spans="4:4">
      <c r="D1259" s="10"/>
    </row>
    <row r="1260" spans="4:4">
      <c r="D1260" s="10"/>
    </row>
    <row r="1261" spans="4:4">
      <c r="D1261" s="10"/>
    </row>
    <row r="1262" spans="4:4">
      <c r="D1262" s="10"/>
    </row>
    <row r="1263" spans="4:4">
      <c r="D1263" s="10"/>
    </row>
    <row r="1264" spans="4:4">
      <c r="D1264" s="10"/>
    </row>
    <row r="1265" spans="4:4">
      <c r="D1265" s="10"/>
    </row>
    <row r="1266" spans="4:4">
      <c r="D1266" s="10"/>
    </row>
    <row r="1267" spans="4:4">
      <c r="D1267" s="10"/>
    </row>
    <row r="1268" spans="4:4">
      <c r="D1268" s="10"/>
    </row>
    <row r="1269" spans="4:4">
      <c r="D1269" s="10"/>
    </row>
    <row r="1270" spans="4:4">
      <c r="D1270" s="10"/>
    </row>
    <row r="1271" spans="4:4">
      <c r="D1271" s="10"/>
    </row>
    <row r="1272" spans="4:4">
      <c r="D1272" s="10"/>
    </row>
    <row r="1273" spans="4:4">
      <c r="D1273" s="10"/>
    </row>
    <row r="1274" spans="4:4">
      <c r="D1274" s="10"/>
    </row>
    <row r="1275" spans="4:4">
      <c r="D1275" s="10"/>
    </row>
    <row r="1276" spans="4:4">
      <c r="D1276" s="10"/>
    </row>
    <row r="1277" spans="4:4">
      <c r="D1277" s="10"/>
    </row>
    <row r="1278" spans="4:4">
      <c r="D1278" s="10"/>
    </row>
    <row r="1279" spans="4:4">
      <c r="D1279" s="10"/>
    </row>
    <row r="1280" spans="4:4">
      <c r="D1280" s="10"/>
    </row>
    <row r="1281" spans="4:4">
      <c r="D1281" s="10"/>
    </row>
    <row r="1282" spans="4:4">
      <c r="D1282" s="10"/>
    </row>
    <row r="1283" spans="4:4">
      <c r="D1283" s="10"/>
    </row>
    <row r="1284" spans="4:4">
      <c r="D1284" s="10"/>
    </row>
    <row r="1285" spans="4:4">
      <c r="D1285" s="10"/>
    </row>
    <row r="1286" spans="4:4">
      <c r="D1286" s="10"/>
    </row>
    <row r="1287" spans="4:4">
      <c r="D1287" s="10"/>
    </row>
    <row r="1288" spans="4:4">
      <c r="D1288" s="10"/>
    </row>
    <row r="1289" spans="4:4">
      <c r="D1289" s="10"/>
    </row>
    <row r="1290" spans="4:4">
      <c r="D1290" s="10"/>
    </row>
    <row r="1291" spans="4:4">
      <c r="D1291" s="10"/>
    </row>
    <row r="1292" spans="4:4">
      <c r="D1292" s="10"/>
    </row>
  </sheetData>
  <conditionalFormatting sqref="AD27">
    <cfRule type="top10" dxfId="4" priority="5" rank="3"/>
  </conditionalFormatting>
  <conditionalFormatting sqref="V35:V37">
    <cfRule type="top10" dxfId="5" priority="7" bottom="1" rank="3"/>
  </conditionalFormatting>
  <conditionalFormatting sqref="V35:V50">
    <cfRule type="top10" dxfId="5" priority="6" rank="3"/>
  </conditionalFormatting>
  <conditionalFormatting sqref="Z35:Z50">
    <cfRule type="top10" dxfId="6" priority="4" rank="3"/>
    <cfRule type="top10" dxfId="4" priority="3" bottom="1" rank="3"/>
  </conditionalFormatting>
  <conditionalFormatting sqref="Z93:Z141">
    <cfRule type="cellIs" dxfId="7" priority="2" operator="greaterThan">
      <formula>0.5</formula>
    </cfRule>
  </conditionalFormatting>
  <conditionalFormatting sqref="AL34:AL102">
    <cfRule type="cellIs" dxfId="8" priority="1" operator="greaterThan">
      <formula>0.3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28" sqref="G28"/>
    </sheetView>
  </sheetViews>
  <sheetFormatPr defaultColWidth="9" defaultRowHeight="15" outlineLevelRow="3" outlineLevelCol="1"/>
  <cols>
    <col min="1" max="1" width="19.2857142857143" customWidth="1"/>
    <col min="2" max="2" width="15.5714285714286" customWidth="1"/>
    <col min="10" max="10" width="19.5714285714286" customWidth="1"/>
    <col min="11" max="11" width="16.8571428571429" customWidth="1"/>
  </cols>
  <sheetData>
    <row r="1" spans="1:2">
      <c r="A1" s="2" t="s">
        <v>1642</v>
      </c>
      <c r="B1" s="2" t="s">
        <v>1643</v>
      </c>
    </row>
    <row r="2" spans="1:2">
      <c r="A2" t="s">
        <v>1644</v>
      </c>
      <c r="B2" s="6">
        <v>0.25</v>
      </c>
    </row>
    <row r="3" spans="1:2">
      <c r="A3" t="s">
        <v>1645</v>
      </c>
      <c r="B3" s="6">
        <v>0.15</v>
      </c>
    </row>
    <row r="4" spans="1:2">
      <c r="A4" t="s">
        <v>1646</v>
      </c>
      <c r="B4" s="6">
        <v>0.2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2"/>
  <sheetViews>
    <sheetView tabSelected="1" workbookViewId="0">
      <selection activeCell="AE14" sqref="AE14"/>
    </sheetView>
  </sheetViews>
  <sheetFormatPr defaultColWidth="9.14285714285714" defaultRowHeight="15"/>
  <cols>
    <col min="1" max="1" width="25.2857142857143" customWidth="1"/>
    <col min="2" max="2" width="12.8571428571429"/>
    <col min="3" max="3" width="17.2857142857143" customWidth="1"/>
    <col min="4" max="4" width="20.4285714285714" customWidth="1"/>
    <col min="15" max="15" width="19.5714285714286"/>
    <col min="16" max="21" width="19.1428571428571"/>
    <col min="22" max="644" width="12.8571428571429"/>
    <col min="645" max="645" width="11.8571428571429"/>
    <col min="646" max="646" width="17.7142857142857"/>
    <col min="647" max="647" width="11.8571428571429"/>
  </cols>
  <sheetData>
    <row r="1" spans="1:22">
      <c r="A1" s="2" t="s">
        <v>1544</v>
      </c>
      <c r="B1" s="2" t="s">
        <v>1647</v>
      </c>
      <c r="C1" t="s">
        <v>1648</v>
      </c>
    </row>
    <row r="2" spans="1:22">
      <c r="A2" s="5" t="s">
        <v>1560</v>
      </c>
      <c r="B2" cm="1">
        <f t="array" ref="B2:B632">('Staging Data'!W2:W632)</f>
        <v>547396.2288</v>
      </c>
      <c r="C2" cm="1">
        <f t="array" ref="C2:C632">('Staging Data'!Y2:Y632)</f>
        <v>541916.1288</v>
      </c>
    </row>
    <row r="3" spans="1:22">
      <c r="A3" t="s">
        <v>1561</v>
      </c>
      <c r="B3">
        <v>2348344.20249</v>
      </c>
      <c r="C3">
        <v>2324804.97249</v>
      </c>
      <c r="O3" t="s">
        <v>1618</v>
      </c>
      <c r="P3" t="s">
        <v>168</v>
      </c>
    </row>
    <row r="4" spans="1:22">
      <c r="A4" t="s">
        <v>1562</v>
      </c>
      <c r="B4">
        <v>36743.80248</v>
      </c>
      <c r="C4">
        <v>36375.88248</v>
      </c>
      <c r="O4" t="s">
        <v>164</v>
      </c>
      <c r="P4" t="s">
        <v>259</v>
      </c>
      <c r="Q4" t="s">
        <v>216</v>
      </c>
      <c r="R4" t="s">
        <v>201</v>
      </c>
      <c r="S4" t="s">
        <v>189</v>
      </c>
      <c r="T4" t="s">
        <v>181</v>
      </c>
      <c r="U4" t="s">
        <v>1579</v>
      </c>
      <c r="V4" t="s">
        <v>1599</v>
      </c>
    </row>
    <row r="5" spans="1:22">
      <c r="A5" t="s">
        <v>1563</v>
      </c>
      <c r="B5">
        <v>562662.59104</v>
      </c>
      <c r="C5">
        <v>557031.91104</v>
      </c>
      <c r="O5" t="s">
        <v>177</v>
      </c>
      <c r="P5">
        <v>51639175.1737</v>
      </c>
      <c r="Q5">
        <v>71652398.42447</v>
      </c>
      <c r="R5">
        <v>60465651.63456</v>
      </c>
      <c r="S5">
        <v>49118796.93627</v>
      </c>
      <c r="T5">
        <v>57579124.61467</v>
      </c>
      <c r="U5">
        <v>3609830.60423</v>
      </c>
      <c r="V5">
        <v>294064977.3879</v>
      </c>
    </row>
    <row r="6" spans="1:22">
      <c r="A6" t="s">
        <v>1564</v>
      </c>
      <c r="B6">
        <v>414176</v>
      </c>
      <c r="C6">
        <v>410034.24</v>
      </c>
      <c r="O6" t="s">
        <v>213</v>
      </c>
      <c r="P6">
        <v>83993930.48591</v>
      </c>
      <c r="Q6">
        <v>64748449.93192</v>
      </c>
      <c r="R6">
        <v>41283676.96752</v>
      </c>
      <c r="S6">
        <v>77740324.85437</v>
      </c>
      <c r="T6">
        <v>35052867.61922</v>
      </c>
      <c r="U6">
        <v>916357.86</v>
      </c>
      <c r="V6">
        <v>303735607.71894</v>
      </c>
    </row>
    <row r="7" spans="1:22">
      <c r="A7" t="s">
        <v>1565</v>
      </c>
      <c r="B7">
        <v>337890.56964</v>
      </c>
      <c r="C7">
        <v>334506.68964</v>
      </c>
      <c r="O7" t="s">
        <v>206</v>
      </c>
      <c r="P7">
        <v>72282992.55636</v>
      </c>
      <c r="Q7">
        <v>58660862.64599</v>
      </c>
      <c r="R7">
        <v>65326485.68273</v>
      </c>
      <c r="S7">
        <v>45426208.10969</v>
      </c>
      <c r="T7">
        <v>76398295.92014</v>
      </c>
      <c r="U7">
        <v>4904448.09549</v>
      </c>
      <c r="V7">
        <v>322999293.0104</v>
      </c>
    </row>
    <row r="8" spans="1:22">
      <c r="A8" t="s">
        <v>1564</v>
      </c>
      <c r="B8">
        <v>84831.10776</v>
      </c>
      <c r="C8">
        <v>83981.14776</v>
      </c>
      <c r="O8" t="s">
        <v>239</v>
      </c>
      <c r="P8">
        <v>96491540.55204</v>
      </c>
      <c r="Q8">
        <v>34869902.8322</v>
      </c>
      <c r="R8">
        <v>64505110.75025</v>
      </c>
      <c r="S8">
        <v>65817867.02277</v>
      </c>
      <c r="T8">
        <v>49505381.67229</v>
      </c>
      <c r="U8">
        <v>1913629.16646</v>
      </c>
      <c r="V8">
        <v>313103431.99601</v>
      </c>
    </row>
    <row r="9" spans="1:22">
      <c r="A9" t="s">
        <v>1566</v>
      </c>
      <c r="B9">
        <v>1518015.26934</v>
      </c>
      <c r="C9">
        <v>1502830.40934</v>
      </c>
      <c r="O9" t="s">
        <v>1599</v>
      </c>
      <c r="P9">
        <v>304407638.76801</v>
      </c>
      <c r="Q9">
        <v>229931613.83458</v>
      </c>
      <c r="R9">
        <v>231580925.03506</v>
      </c>
      <c r="S9">
        <v>238103196.9231</v>
      </c>
      <c r="T9">
        <v>218535669.82632</v>
      </c>
      <c r="U9">
        <v>11344265.72618</v>
      </c>
      <c r="V9">
        <v>1233903310.11325</v>
      </c>
    </row>
    <row r="10" spans="1:22">
      <c r="A10" t="s">
        <v>1567</v>
      </c>
      <c r="B10">
        <v>7148968.14236</v>
      </c>
      <c r="C10">
        <v>7077371.78236</v>
      </c>
    </row>
    <row r="11" spans="1:22">
      <c r="A11" t="s">
        <v>1568</v>
      </c>
      <c r="B11">
        <v>1610179.38344</v>
      </c>
      <c r="C11">
        <v>1594076.62344</v>
      </c>
    </row>
    <row r="12" spans="1:22">
      <c r="A12" t="s">
        <v>1569</v>
      </c>
      <c r="B12">
        <v>1379283.15</v>
      </c>
      <c r="C12">
        <v>1365455.75</v>
      </c>
    </row>
    <row r="13" spans="1:22">
      <c r="A13" t="s">
        <v>1563</v>
      </c>
      <c r="B13">
        <v>547884.504</v>
      </c>
      <c r="C13">
        <v>542400.504</v>
      </c>
    </row>
    <row r="14" spans="1:22">
      <c r="A14" t="s">
        <v>1568</v>
      </c>
      <c r="B14">
        <v>2158515</v>
      </c>
      <c r="C14">
        <v>2136929.85</v>
      </c>
    </row>
    <row r="15" spans="1:22">
      <c r="A15" t="s">
        <v>1570</v>
      </c>
      <c r="B15">
        <v>757884</v>
      </c>
      <c r="C15">
        <v>750305.16</v>
      </c>
    </row>
    <row r="16" spans="1:22">
      <c r="A16" t="s">
        <v>1571</v>
      </c>
      <c r="B16">
        <v>765153.3672</v>
      </c>
      <c r="C16">
        <v>757496.1672</v>
      </c>
    </row>
    <row r="17" spans="1:26">
      <c r="A17" t="s">
        <v>1565</v>
      </c>
      <c r="B17">
        <v>2909105.6148</v>
      </c>
      <c r="C17">
        <v>2879982.8148</v>
      </c>
      <c r="P17" t="s">
        <v>171</v>
      </c>
    </row>
    <row r="18" spans="1:26">
      <c r="A18" t="s">
        <v>1570</v>
      </c>
      <c r="B18">
        <v>4320990.09104</v>
      </c>
      <c r="C18">
        <v>4277700.97104</v>
      </c>
      <c r="P18" t="s">
        <v>542</v>
      </c>
      <c r="Q18" t="s">
        <v>1508</v>
      </c>
      <c r="R18" t="s">
        <v>930</v>
      </c>
      <c r="S18" t="s">
        <v>1095</v>
      </c>
      <c r="T18" t="s">
        <v>944</v>
      </c>
      <c r="U18" t="s">
        <v>1053</v>
      </c>
      <c r="V18" t="s">
        <v>1147</v>
      </c>
      <c r="W18" t="s">
        <v>850</v>
      </c>
      <c r="X18" t="s">
        <v>1247</v>
      </c>
      <c r="Y18" t="s">
        <v>1440</v>
      </c>
      <c r="Z18" t="s">
        <v>1599</v>
      </c>
    </row>
    <row r="19" spans="1:26">
      <c r="A19" t="s">
        <v>1572</v>
      </c>
      <c r="B19">
        <v>4271005.52406</v>
      </c>
      <c r="C19">
        <v>4228248.86406</v>
      </c>
      <c r="O19" t="s">
        <v>1602</v>
      </c>
      <c r="P19">
        <v>194764.2507</v>
      </c>
      <c r="Q19">
        <v>1204261.64488</v>
      </c>
      <c r="R19">
        <v>577008.3924</v>
      </c>
      <c r="S19">
        <v>1439328.9832</v>
      </c>
      <c r="T19">
        <v>3911893.008</v>
      </c>
      <c r="U19">
        <v>1598403.02842</v>
      </c>
      <c r="V19">
        <v>3732338.01501</v>
      </c>
      <c r="W19">
        <v>784037.145</v>
      </c>
      <c r="X19">
        <v>818017.48149</v>
      </c>
      <c r="Y19">
        <v>1319084.18352</v>
      </c>
      <c r="Z19">
        <v>15579136.13262</v>
      </c>
    </row>
    <row r="20" spans="1:26">
      <c r="A20" t="s">
        <v>1567</v>
      </c>
      <c r="B20">
        <v>4079915.04292</v>
      </c>
      <c r="C20">
        <v>4039100.38292</v>
      </c>
    </row>
    <row r="21" spans="1:26">
      <c r="A21" t="s">
        <v>1573</v>
      </c>
      <c r="B21">
        <v>2560903.82072</v>
      </c>
      <c r="C21">
        <v>2535276.33072</v>
      </c>
    </row>
    <row r="22" spans="1:26">
      <c r="A22" t="s">
        <v>1574</v>
      </c>
      <c r="B22">
        <v>2319150.86504</v>
      </c>
      <c r="C22">
        <v>2295926.14504</v>
      </c>
    </row>
    <row r="23" spans="1:26">
      <c r="A23" t="s">
        <v>1575</v>
      </c>
      <c r="B23">
        <v>1241348.592</v>
      </c>
      <c r="C23">
        <v>1228920.192</v>
      </c>
    </row>
    <row r="24" spans="1:26">
      <c r="A24" t="s">
        <v>1566</v>
      </c>
      <c r="B24">
        <v>2042747.7048</v>
      </c>
      <c r="C24">
        <v>2022318.1848</v>
      </c>
    </row>
    <row r="25" spans="1:26">
      <c r="A25" t="s">
        <v>1562</v>
      </c>
      <c r="B25">
        <v>2506816.51056</v>
      </c>
      <c r="C25">
        <v>2481746.59056</v>
      </c>
    </row>
    <row r="26" spans="1:26">
      <c r="A26" t="s">
        <v>1576</v>
      </c>
      <c r="B26">
        <v>1031472.21056</v>
      </c>
      <c r="C26">
        <v>1021140.13056</v>
      </c>
    </row>
    <row r="27" spans="1:26">
      <c r="A27" t="s">
        <v>1577</v>
      </c>
      <c r="B27">
        <v>175670</v>
      </c>
      <c r="C27">
        <v>173913.3</v>
      </c>
    </row>
    <row r="28" spans="1:26">
      <c r="A28" t="s">
        <v>1573</v>
      </c>
      <c r="B28">
        <v>454369.3275</v>
      </c>
      <c r="C28">
        <v>449819.9475</v>
      </c>
    </row>
    <row r="29" spans="1:26">
      <c r="A29" t="s">
        <v>1571</v>
      </c>
      <c r="B29">
        <v>391320</v>
      </c>
      <c r="C29">
        <v>387406.8</v>
      </c>
    </row>
    <row r="30" spans="1:26">
      <c r="A30" t="s">
        <v>1578</v>
      </c>
      <c r="B30">
        <v>2329409.61372</v>
      </c>
      <c r="C30">
        <v>2306083.09372</v>
      </c>
    </row>
    <row r="31" spans="1:26">
      <c r="A31" t="s">
        <v>1565</v>
      </c>
      <c r="B31">
        <v>1073091.59738</v>
      </c>
      <c r="C31">
        <v>1062351.33738</v>
      </c>
    </row>
    <row r="32" spans="1:26">
      <c r="A32" t="s">
        <v>1562</v>
      </c>
      <c r="B32">
        <v>2867957.24432</v>
      </c>
      <c r="C32">
        <v>2839252.12432</v>
      </c>
    </row>
    <row r="33" spans="1:3">
      <c r="A33" t="s">
        <v>1572</v>
      </c>
      <c r="B33">
        <v>1052323.30528</v>
      </c>
      <c r="C33">
        <v>1041791.22528</v>
      </c>
    </row>
    <row r="34" spans="1:3">
      <c r="A34" t="s">
        <v>1580</v>
      </c>
      <c r="B34">
        <v>1321850</v>
      </c>
      <c r="C34">
        <v>1308631.5</v>
      </c>
    </row>
    <row r="35" spans="1:3">
      <c r="A35" t="s">
        <v>1581</v>
      </c>
      <c r="B35">
        <v>2733183</v>
      </c>
      <c r="C35">
        <v>2705851.17</v>
      </c>
    </row>
    <row r="36" spans="1:3">
      <c r="A36" t="s">
        <v>1582</v>
      </c>
      <c r="B36">
        <v>736923.95431</v>
      </c>
      <c r="C36">
        <v>729547.26431</v>
      </c>
    </row>
    <row r="37" spans="1:3">
      <c r="A37" t="s">
        <v>1560</v>
      </c>
      <c r="B37">
        <v>2498191.60689</v>
      </c>
      <c r="C37">
        <v>2473148.83689</v>
      </c>
    </row>
    <row r="38" spans="1:3">
      <c r="A38" t="s">
        <v>1575</v>
      </c>
      <c r="B38">
        <v>1386439.87392</v>
      </c>
      <c r="C38">
        <v>1372556.59392</v>
      </c>
    </row>
    <row r="39" spans="1:3">
      <c r="A39" t="s">
        <v>1580</v>
      </c>
      <c r="B39">
        <v>1811156.919</v>
      </c>
      <c r="C39">
        <v>1793013.599</v>
      </c>
    </row>
    <row r="40" spans="1:3">
      <c r="A40" t="s">
        <v>1583</v>
      </c>
      <c r="B40">
        <v>408450.41838</v>
      </c>
      <c r="C40">
        <v>404360.63838</v>
      </c>
    </row>
    <row r="41" spans="1:3">
      <c r="A41" t="s">
        <v>1581</v>
      </c>
      <c r="B41">
        <v>4267039.61097</v>
      </c>
      <c r="C41">
        <v>4224353.42097</v>
      </c>
    </row>
    <row r="42" spans="1:3">
      <c r="A42" t="s">
        <v>1568</v>
      </c>
      <c r="B42">
        <v>1055874</v>
      </c>
      <c r="C42">
        <v>1045315.26</v>
      </c>
    </row>
    <row r="43" spans="1:3">
      <c r="A43" t="s">
        <v>1561</v>
      </c>
      <c r="B43">
        <v>4472841.1</v>
      </c>
      <c r="C43">
        <v>4427978.1</v>
      </c>
    </row>
    <row r="44" spans="1:3">
      <c r="A44" t="s">
        <v>1567</v>
      </c>
      <c r="B44">
        <v>1247149.49942</v>
      </c>
      <c r="C44">
        <v>1234659.76942</v>
      </c>
    </row>
    <row r="45" spans="1:3">
      <c r="A45" t="s">
        <v>1566</v>
      </c>
      <c r="B45">
        <v>2188002.57456</v>
      </c>
      <c r="C45">
        <v>2166082.65456</v>
      </c>
    </row>
    <row r="46" spans="1:3">
      <c r="A46" t="s">
        <v>1571</v>
      </c>
      <c r="B46">
        <v>3905129.1594</v>
      </c>
      <c r="C46">
        <v>3866011.7594</v>
      </c>
    </row>
    <row r="47" spans="1:3">
      <c r="A47" t="s">
        <v>1583</v>
      </c>
      <c r="B47">
        <v>713557</v>
      </c>
      <c r="C47">
        <v>706421.43</v>
      </c>
    </row>
    <row r="48" spans="1:3">
      <c r="A48" t="s">
        <v>1566</v>
      </c>
      <c r="B48">
        <v>10924400</v>
      </c>
      <c r="C48">
        <v>10815156</v>
      </c>
    </row>
    <row r="49" spans="1:3">
      <c r="A49" t="s">
        <v>1561</v>
      </c>
      <c r="B49">
        <v>4373270.66232</v>
      </c>
      <c r="C49">
        <v>4329456.02232</v>
      </c>
    </row>
    <row r="50" spans="1:3">
      <c r="A50" t="s">
        <v>1584</v>
      </c>
      <c r="B50">
        <v>3936048.32236</v>
      </c>
      <c r="C50">
        <v>3896638.18236</v>
      </c>
    </row>
    <row r="51" spans="1:3">
      <c r="A51" t="s">
        <v>1577</v>
      </c>
      <c r="B51">
        <v>2097656.904</v>
      </c>
      <c r="C51">
        <v>2076618.904</v>
      </c>
    </row>
    <row r="52" spans="1:3">
      <c r="A52" t="s">
        <v>1561</v>
      </c>
      <c r="B52">
        <v>84789.132</v>
      </c>
      <c r="C52">
        <v>83938.732</v>
      </c>
    </row>
    <row r="53" spans="1:3">
      <c r="A53" t="s">
        <v>1582</v>
      </c>
      <c r="B53">
        <v>578580</v>
      </c>
      <c r="C53">
        <v>572794.2</v>
      </c>
    </row>
    <row r="54" spans="1:3">
      <c r="A54" t="s">
        <v>1569</v>
      </c>
      <c r="B54">
        <v>307370.56558</v>
      </c>
      <c r="C54">
        <v>304291.25558</v>
      </c>
    </row>
    <row r="55" spans="1:3">
      <c r="A55" t="s">
        <v>1585</v>
      </c>
      <c r="B55">
        <v>25103.7984</v>
      </c>
      <c r="C55">
        <v>24852.3984</v>
      </c>
    </row>
    <row r="56" spans="1:3">
      <c r="A56" t="s">
        <v>1578</v>
      </c>
      <c r="B56">
        <v>3708584.35532</v>
      </c>
      <c r="C56">
        <v>3671443.91532</v>
      </c>
    </row>
    <row r="57" spans="1:3">
      <c r="A57" t="s">
        <v>1586</v>
      </c>
      <c r="B57">
        <v>3072467.25995</v>
      </c>
      <c r="C57">
        <v>3041731.82995</v>
      </c>
    </row>
    <row r="58" spans="1:3">
      <c r="A58" t="s">
        <v>1565</v>
      </c>
      <c r="B58">
        <v>560734.5068</v>
      </c>
      <c r="C58">
        <v>555118.9068</v>
      </c>
    </row>
    <row r="59" spans="1:3">
      <c r="A59" t="s">
        <v>1575</v>
      </c>
      <c r="B59">
        <v>29489.866</v>
      </c>
      <c r="C59">
        <v>29194.746</v>
      </c>
    </row>
    <row r="60" spans="1:3">
      <c r="A60" t="s">
        <v>1567</v>
      </c>
      <c r="B60">
        <v>573645.6108</v>
      </c>
      <c r="C60">
        <v>567897.3708</v>
      </c>
    </row>
    <row r="61" spans="1:3">
      <c r="A61" t="s">
        <v>1560</v>
      </c>
      <c r="B61">
        <v>3819229.7018</v>
      </c>
      <c r="C61">
        <v>3780991.9018</v>
      </c>
    </row>
    <row r="62" spans="1:3">
      <c r="A62" t="s">
        <v>1570</v>
      </c>
      <c r="B62">
        <v>3109112.2104</v>
      </c>
      <c r="C62">
        <v>3077986.8504</v>
      </c>
    </row>
    <row r="63" spans="1:3">
      <c r="A63" t="s">
        <v>1578</v>
      </c>
      <c r="B63">
        <v>1365751.024</v>
      </c>
      <c r="C63">
        <v>1352066.144</v>
      </c>
    </row>
    <row r="64" spans="1:3">
      <c r="A64" t="s">
        <v>1577</v>
      </c>
      <c r="B64">
        <v>9728928.80745</v>
      </c>
      <c r="C64">
        <v>9631390.79745</v>
      </c>
    </row>
    <row r="65" spans="1:3">
      <c r="A65" t="s">
        <v>1562</v>
      </c>
      <c r="B65">
        <v>3019549.476</v>
      </c>
      <c r="C65">
        <v>2989314.676</v>
      </c>
    </row>
    <row r="66" spans="1:3">
      <c r="A66" t="s">
        <v>1587</v>
      </c>
      <c r="B66">
        <v>1486630.55736</v>
      </c>
      <c r="C66">
        <v>1471736.84736</v>
      </c>
    </row>
    <row r="67" spans="1:3">
      <c r="A67" t="s">
        <v>1582</v>
      </c>
      <c r="B67">
        <v>1970828.0816</v>
      </c>
      <c r="C67">
        <v>1951082.4816</v>
      </c>
    </row>
    <row r="68" spans="1:3">
      <c r="A68" t="s">
        <v>1566</v>
      </c>
      <c r="B68">
        <v>1594736.76635</v>
      </c>
      <c r="C68">
        <v>1578772.63635</v>
      </c>
    </row>
    <row r="69" spans="1:3">
      <c r="A69" t="s">
        <v>1585</v>
      </c>
      <c r="B69">
        <v>1087191.59544</v>
      </c>
      <c r="C69">
        <v>1076297.45544</v>
      </c>
    </row>
    <row r="70" spans="1:3">
      <c r="A70" t="s">
        <v>1571</v>
      </c>
      <c r="B70">
        <v>939604.9625</v>
      </c>
      <c r="C70">
        <v>930204.2125</v>
      </c>
    </row>
    <row r="71" spans="1:3">
      <c r="A71" t="s">
        <v>1560</v>
      </c>
      <c r="B71">
        <v>1141683.1272</v>
      </c>
      <c r="C71">
        <v>1130258.5272</v>
      </c>
    </row>
    <row r="72" spans="1:3">
      <c r="A72" t="s">
        <v>1578</v>
      </c>
      <c r="B72">
        <v>744057.93528</v>
      </c>
      <c r="C72">
        <v>736606.77528</v>
      </c>
    </row>
    <row r="73" spans="1:3">
      <c r="A73" t="s">
        <v>1580</v>
      </c>
      <c r="B73">
        <v>2470468.16305</v>
      </c>
      <c r="C73">
        <v>2445717.69305</v>
      </c>
    </row>
    <row r="74" spans="1:3">
      <c r="A74" t="s">
        <v>1565</v>
      </c>
      <c r="B74">
        <v>983111.72022</v>
      </c>
      <c r="C74">
        <v>973275.98022</v>
      </c>
    </row>
    <row r="75" spans="1:3">
      <c r="A75" t="s">
        <v>1574</v>
      </c>
      <c r="B75">
        <v>671938.12</v>
      </c>
      <c r="C75">
        <v>665198.52</v>
      </c>
    </row>
    <row r="76" spans="1:3">
      <c r="A76" t="s">
        <v>1588</v>
      </c>
      <c r="B76">
        <v>775016.47286</v>
      </c>
      <c r="C76">
        <v>767257.46286</v>
      </c>
    </row>
    <row r="77" spans="1:3">
      <c r="A77" t="s">
        <v>1581</v>
      </c>
      <c r="B77">
        <v>4081852.9778</v>
      </c>
      <c r="C77">
        <v>4040979.6778</v>
      </c>
    </row>
    <row r="78" spans="1:3">
      <c r="A78" t="s">
        <v>1576</v>
      </c>
      <c r="B78">
        <v>3560175.82648</v>
      </c>
      <c r="C78">
        <v>3524548.41648</v>
      </c>
    </row>
    <row r="79" spans="1:3">
      <c r="A79" t="s">
        <v>1583</v>
      </c>
      <c r="B79">
        <v>1403623.3932</v>
      </c>
      <c r="C79">
        <v>1389550.9932</v>
      </c>
    </row>
    <row r="80" spans="1:3">
      <c r="A80" t="s">
        <v>1577</v>
      </c>
      <c r="B80">
        <v>598042.56798</v>
      </c>
      <c r="C80">
        <v>592050.99798</v>
      </c>
    </row>
    <row r="81" spans="1:3">
      <c r="A81" t="s">
        <v>1562</v>
      </c>
      <c r="B81">
        <v>7174700.1053</v>
      </c>
      <c r="C81">
        <v>7102837.4053</v>
      </c>
    </row>
    <row r="82" spans="1:3">
      <c r="A82" t="s">
        <v>1585</v>
      </c>
      <c r="B82">
        <v>2399850.38832</v>
      </c>
      <c r="C82">
        <v>2375793.90832</v>
      </c>
    </row>
    <row r="83" spans="1:3">
      <c r="A83" t="s">
        <v>1567</v>
      </c>
      <c r="B83">
        <v>581571.0696</v>
      </c>
      <c r="C83">
        <v>575750.4696</v>
      </c>
    </row>
    <row r="84" spans="1:3">
      <c r="A84" t="s">
        <v>1578</v>
      </c>
      <c r="B84">
        <v>66711.26175</v>
      </c>
      <c r="C84">
        <v>66042.71175</v>
      </c>
    </row>
    <row r="85" spans="1:3">
      <c r="A85" t="s">
        <v>1563</v>
      </c>
      <c r="B85">
        <v>2348293.23248</v>
      </c>
      <c r="C85">
        <v>2324785.85248</v>
      </c>
    </row>
    <row r="86" spans="1:3">
      <c r="A86" t="s">
        <v>1587</v>
      </c>
      <c r="B86">
        <v>1412609.4807</v>
      </c>
      <c r="C86">
        <v>1398473.4907</v>
      </c>
    </row>
    <row r="87" spans="1:3">
      <c r="A87" t="s">
        <v>1580</v>
      </c>
      <c r="B87">
        <v>1675555.6644</v>
      </c>
      <c r="C87">
        <v>1658774.2644</v>
      </c>
    </row>
    <row r="88" spans="1:3">
      <c r="A88" t="s">
        <v>1590</v>
      </c>
      <c r="B88">
        <v>203421.8466</v>
      </c>
      <c r="C88">
        <v>201383.7966</v>
      </c>
    </row>
    <row r="89" spans="1:3">
      <c r="A89" t="s">
        <v>1568</v>
      </c>
      <c r="B89">
        <v>1220545.7264</v>
      </c>
      <c r="C89">
        <v>1208336.6064</v>
      </c>
    </row>
    <row r="90" spans="1:3">
      <c r="A90" t="s">
        <v>1583</v>
      </c>
      <c r="B90">
        <v>66811.87504</v>
      </c>
      <c r="C90">
        <v>66143.31504</v>
      </c>
    </row>
    <row r="91" spans="1:3">
      <c r="A91" t="s">
        <v>1578</v>
      </c>
      <c r="B91">
        <v>898344.7326</v>
      </c>
      <c r="C91">
        <v>889354.6326</v>
      </c>
    </row>
    <row r="92" spans="1:3">
      <c r="A92" t="s">
        <v>1575</v>
      </c>
      <c r="B92">
        <v>2276017.808</v>
      </c>
      <c r="C92">
        <v>2253224.808</v>
      </c>
    </row>
    <row r="93" spans="1:3">
      <c r="A93" t="s">
        <v>1583</v>
      </c>
      <c r="B93">
        <v>1122976.90624</v>
      </c>
      <c r="C93">
        <v>1111736.34624</v>
      </c>
    </row>
    <row r="94" spans="1:3">
      <c r="A94" t="s">
        <v>1561</v>
      </c>
      <c r="B94">
        <v>2226355.72362</v>
      </c>
      <c r="C94">
        <v>2204070.10362</v>
      </c>
    </row>
    <row r="95" spans="1:3">
      <c r="A95" t="s">
        <v>1570</v>
      </c>
      <c r="B95">
        <v>652240.7424</v>
      </c>
      <c r="C95">
        <v>645707.8824</v>
      </c>
    </row>
    <row r="96" spans="1:3">
      <c r="A96" t="s">
        <v>1571</v>
      </c>
      <c r="B96">
        <v>4471461.18612</v>
      </c>
      <c r="C96">
        <v>4426731.36612</v>
      </c>
    </row>
    <row r="97" spans="1:3">
      <c r="A97" t="s">
        <v>1590</v>
      </c>
      <c r="B97">
        <v>17188.86756</v>
      </c>
      <c r="C97">
        <v>17016.72756</v>
      </c>
    </row>
    <row r="98" spans="1:3">
      <c r="A98" t="s">
        <v>1566</v>
      </c>
      <c r="B98">
        <v>3413916</v>
      </c>
      <c r="C98">
        <v>3379776.84</v>
      </c>
    </row>
    <row r="99" spans="1:3">
      <c r="A99" t="s">
        <v>1572</v>
      </c>
      <c r="B99">
        <v>586298.10904</v>
      </c>
      <c r="C99">
        <v>580429.72904</v>
      </c>
    </row>
    <row r="100" spans="1:3">
      <c r="A100" t="s">
        <v>1562</v>
      </c>
      <c r="B100">
        <v>3591587.85048</v>
      </c>
      <c r="C100">
        <v>3555566.79048</v>
      </c>
    </row>
    <row r="101" spans="1:3">
      <c r="A101" t="s">
        <v>1569</v>
      </c>
      <c r="B101">
        <v>5278007</v>
      </c>
      <c r="C101">
        <v>5225226.93</v>
      </c>
    </row>
    <row r="102" spans="1:3">
      <c r="A102" t="s">
        <v>1568</v>
      </c>
      <c r="B102">
        <v>734386.4176</v>
      </c>
      <c r="C102">
        <v>727032.2576</v>
      </c>
    </row>
    <row r="103" spans="1:3">
      <c r="A103" t="s">
        <v>1563</v>
      </c>
      <c r="B103">
        <v>1366981</v>
      </c>
      <c r="C103">
        <v>1353311.19</v>
      </c>
    </row>
    <row r="104" spans="1:3">
      <c r="A104" t="s">
        <v>1565</v>
      </c>
      <c r="B104">
        <v>725561.634</v>
      </c>
      <c r="C104">
        <v>718292.934</v>
      </c>
    </row>
    <row r="105" spans="1:3">
      <c r="A105" t="s">
        <v>1592</v>
      </c>
      <c r="B105">
        <v>1481926.30485</v>
      </c>
      <c r="C105">
        <v>1467081.95485</v>
      </c>
    </row>
    <row r="106" spans="1:3">
      <c r="A106" t="s">
        <v>1566</v>
      </c>
      <c r="B106">
        <v>1668508.6152</v>
      </c>
      <c r="C106">
        <v>1651777.0152</v>
      </c>
    </row>
    <row r="107" spans="1:3">
      <c r="A107" t="s">
        <v>1574</v>
      </c>
      <c r="B107">
        <v>60016.66437</v>
      </c>
      <c r="C107">
        <v>59415.67437</v>
      </c>
    </row>
    <row r="108" spans="1:3">
      <c r="A108" t="s">
        <v>1581</v>
      </c>
      <c r="B108">
        <v>2697649.80444</v>
      </c>
      <c r="C108">
        <v>2670640.08444</v>
      </c>
    </row>
    <row r="109" spans="1:3">
      <c r="A109" t="s">
        <v>1561</v>
      </c>
      <c r="B109">
        <v>166040</v>
      </c>
      <c r="C109">
        <v>164379.6</v>
      </c>
    </row>
    <row r="110" spans="1:3">
      <c r="A110" t="s">
        <v>1576</v>
      </c>
      <c r="B110">
        <v>71146.7001</v>
      </c>
      <c r="C110">
        <v>70433.6001</v>
      </c>
    </row>
    <row r="111" spans="1:3">
      <c r="A111" t="s">
        <v>1576</v>
      </c>
      <c r="B111">
        <v>2767635</v>
      </c>
      <c r="C111">
        <v>2739958.65</v>
      </c>
    </row>
    <row r="112" spans="1:3">
      <c r="A112" t="s">
        <v>1576</v>
      </c>
      <c r="B112">
        <v>3051422.78532</v>
      </c>
      <c r="C112">
        <v>3020904.89532</v>
      </c>
    </row>
    <row r="113" spans="1:3">
      <c r="A113" t="s">
        <v>1576</v>
      </c>
      <c r="B113">
        <v>3928.35906</v>
      </c>
      <c r="C113">
        <v>3889.02906</v>
      </c>
    </row>
    <row r="114" spans="1:3">
      <c r="A114" t="s">
        <v>1569</v>
      </c>
      <c r="B114">
        <v>240063.9835</v>
      </c>
      <c r="C114">
        <v>237660.4835</v>
      </c>
    </row>
    <row r="115" spans="1:3">
      <c r="A115" t="s">
        <v>1593</v>
      </c>
      <c r="B115">
        <v>149922</v>
      </c>
      <c r="C115">
        <v>148422.78</v>
      </c>
    </row>
    <row r="116" spans="1:3">
      <c r="A116" t="s">
        <v>1582</v>
      </c>
      <c r="B116">
        <v>2746246.84672</v>
      </c>
      <c r="C116">
        <v>2718754.68672</v>
      </c>
    </row>
    <row r="117" spans="1:3">
      <c r="A117" t="s">
        <v>1575</v>
      </c>
      <c r="B117">
        <v>90722.34195</v>
      </c>
      <c r="C117">
        <v>89813.69195</v>
      </c>
    </row>
    <row r="118" spans="1:3">
      <c r="A118" t="s">
        <v>1565</v>
      </c>
      <c r="B118">
        <v>7965626.2296</v>
      </c>
      <c r="C118">
        <v>7885823.1296</v>
      </c>
    </row>
    <row r="119" spans="1:3">
      <c r="A119" t="s">
        <v>1583</v>
      </c>
      <c r="B119">
        <v>620579.0758</v>
      </c>
      <c r="C119">
        <v>614368.8758</v>
      </c>
    </row>
    <row r="120" spans="1:3">
      <c r="A120" t="s">
        <v>1572</v>
      </c>
      <c r="B120">
        <v>61930.35849</v>
      </c>
      <c r="C120">
        <v>61310.78849</v>
      </c>
    </row>
    <row r="121" spans="1:3">
      <c r="A121" t="s">
        <v>1575</v>
      </c>
      <c r="B121">
        <v>4500364.73439</v>
      </c>
      <c r="C121">
        <v>4455305.66439</v>
      </c>
    </row>
    <row r="122" spans="1:3">
      <c r="A122" t="s">
        <v>1593</v>
      </c>
      <c r="B122">
        <v>2466969.61563</v>
      </c>
      <c r="C122">
        <v>2442282.88563</v>
      </c>
    </row>
    <row r="123" spans="1:3">
      <c r="A123" t="s">
        <v>1587</v>
      </c>
      <c r="B123">
        <v>2011212.93288</v>
      </c>
      <c r="C123">
        <v>1991059.89288</v>
      </c>
    </row>
    <row r="124" spans="1:3">
      <c r="A124" t="s">
        <v>1577</v>
      </c>
      <c r="B124">
        <v>1146466.1416</v>
      </c>
      <c r="C124">
        <v>1134994.9416</v>
      </c>
    </row>
    <row r="125" spans="1:3">
      <c r="A125" t="s">
        <v>1585</v>
      </c>
      <c r="B125">
        <v>227341.48584</v>
      </c>
      <c r="C125">
        <v>225066.04584</v>
      </c>
    </row>
    <row r="126" spans="1:3">
      <c r="A126" t="s">
        <v>1585</v>
      </c>
      <c r="B126">
        <v>971874.93872</v>
      </c>
      <c r="C126">
        <v>962148.01872</v>
      </c>
    </row>
    <row r="127" spans="1:3">
      <c r="A127" t="s">
        <v>1576</v>
      </c>
      <c r="B127">
        <v>7018754.56614</v>
      </c>
      <c r="C127">
        <v>6948515.74614</v>
      </c>
    </row>
    <row r="128" spans="1:3">
      <c r="A128" t="s">
        <v>1590</v>
      </c>
      <c r="B128">
        <v>103750.95277</v>
      </c>
      <c r="C128">
        <v>102711.58277</v>
      </c>
    </row>
    <row r="129" spans="1:3">
      <c r="A129" t="s">
        <v>1566</v>
      </c>
      <c r="B129">
        <v>324382.2687</v>
      </c>
      <c r="C129">
        <v>321132.3687</v>
      </c>
    </row>
    <row r="130" spans="1:3">
      <c r="A130" t="s">
        <v>1564</v>
      </c>
      <c r="B130">
        <v>1805805.32868</v>
      </c>
      <c r="C130">
        <v>1787727.20868</v>
      </c>
    </row>
    <row r="131" spans="1:3">
      <c r="A131" t="s">
        <v>1586</v>
      </c>
      <c r="B131">
        <v>821666.02408</v>
      </c>
      <c r="C131">
        <v>813444.18408</v>
      </c>
    </row>
    <row r="132" spans="1:3">
      <c r="A132" t="s">
        <v>1563</v>
      </c>
      <c r="B132">
        <v>514167.84342</v>
      </c>
      <c r="C132">
        <v>509018.85342</v>
      </c>
    </row>
    <row r="133" spans="1:3">
      <c r="A133" t="s">
        <v>1564</v>
      </c>
      <c r="B133">
        <v>1066480.5696</v>
      </c>
      <c r="C133">
        <v>1055792.2496</v>
      </c>
    </row>
    <row r="134" spans="1:3">
      <c r="A134" t="s">
        <v>1569</v>
      </c>
      <c r="B134">
        <v>429012.24408</v>
      </c>
      <c r="C134">
        <v>424714.08408</v>
      </c>
    </row>
    <row r="135" spans="1:3">
      <c r="A135" t="s">
        <v>1565</v>
      </c>
      <c r="B135">
        <v>1486187.03168</v>
      </c>
      <c r="C135">
        <v>1471296.57168</v>
      </c>
    </row>
    <row r="136" spans="1:3">
      <c r="A136" t="s">
        <v>1571</v>
      </c>
      <c r="B136">
        <v>3018191.23086</v>
      </c>
      <c r="C136">
        <v>2987980.92086</v>
      </c>
    </row>
    <row r="137" spans="1:3">
      <c r="A137" t="s">
        <v>1565</v>
      </c>
      <c r="B137">
        <v>978535.92384</v>
      </c>
      <c r="C137">
        <v>968749.68384</v>
      </c>
    </row>
    <row r="138" spans="1:3">
      <c r="A138" t="s">
        <v>1582</v>
      </c>
      <c r="B138">
        <v>588401.59275</v>
      </c>
      <c r="C138">
        <v>582501.94275</v>
      </c>
    </row>
    <row r="139" spans="1:3">
      <c r="A139" t="s">
        <v>1577</v>
      </c>
      <c r="B139">
        <v>4078284.21792</v>
      </c>
      <c r="C139">
        <v>4037448.69792</v>
      </c>
    </row>
    <row r="140" spans="1:3">
      <c r="A140" t="s">
        <v>1594</v>
      </c>
      <c r="B140">
        <v>194764.2507</v>
      </c>
      <c r="C140">
        <v>192811.5507</v>
      </c>
    </row>
    <row r="141" spans="1:3">
      <c r="A141" t="s">
        <v>1574</v>
      </c>
      <c r="B141">
        <v>9898162.36992</v>
      </c>
      <c r="C141">
        <v>9799063.80992</v>
      </c>
    </row>
    <row r="142" spans="1:3">
      <c r="A142" t="s">
        <v>1565</v>
      </c>
      <c r="B142">
        <v>829375.0542</v>
      </c>
      <c r="C142">
        <v>821080.4742</v>
      </c>
    </row>
    <row r="143" spans="1:3">
      <c r="A143" t="s">
        <v>1584</v>
      </c>
      <c r="B143">
        <v>3773607.23586</v>
      </c>
      <c r="C143">
        <v>3735814.09586</v>
      </c>
    </row>
    <row r="144" spans="1:3">
      <c r="A144" t="s">
        <v>1576</v>
      </c>
      <c r="B144">
        <v>1317217.89015</v>
      </c>
      <c r="C144">
        <v>1304013.36015</v>
      </c>
    </row>
    <row r="145" spans="1:3">
      <c r="A145" t="s">
        <v>1584</v>
      </c>
      <c r="B145">
        <v>2794234.84704</v>
      </c>
      <c r="C145">
        <v>2766269.56704</v>
      </c>
    </row>
    <row r="146" spans="1:3">
      <c r="A146" t="s">
        <v>1593</v>
      </c>
      <c r="B146">
        <v>1449103.79808</v>
      </c>
      <c r="C146">
        <v>1434597.23808</v>
      </c>
    </row>
    <row r="147" spans="1:3">
      <c r="A147" t="s">
        <v>1570</v>
      </c>
      <c r="B147">
        <v>436357.2429</v>
      </c>
      <c r="C147">
        <v>431985.5829</v>
      </c>
    </row>
    <row r="148" spans="1:3">
      <c r="A148" t="s">
        <v>1580</v>
      </c>
      <c r="B148">
        <v>1332114</v>
      </c>
      <c r="C148">
        <v>1318792.86</v>
      </c>
    </row>
    <row r="149" spans="1:3">
      <c r="A149" t="s">
        <v>1588</v>
      </c>
      <c r="B149">
        <v>1828755.464</v>
      </c>
      <c r="C149">
        <v>1810433.464</v>
      </c>
    </row>
    <row r="150" spans="1:3">
      <c r="A150" t="s">
        <v>1592</v>
      </c>
      <c r="B150">
        <v>4339824.44544</v>
      </c>
      <c r="C150">
        <v>4296417.08544</v>
      </c>
    </row>
    <row r="151" spans="1:3">
      <c r="A151" t="s">
        <v>1578</v>
      </c>
      <c r="B151">
        <v>908072.86416</v>
      </c>
      <c r="C151">
        <v>898980.22416</v>
      </c>
    </row>
    <row r="152" spans="1:3">
      <c r="A152" t="s">
        <v>1584</v>
      </c>
      <c r="B152">
        <v>2257893.4905</v>
      </c>
      <c r="C152">
        <v>2235304.3905</v>
      </c>
    </row>
    <row r="153" spans="1:3">
      <c r="A153" t="s">
        <v>1587</v>
      </c>
      <c r="B153">
        <v>506396.5128</v>
      </c>
      <c r="C153">
        <v>501323.2128</v>
      </c>
    </row>
    <row r="154" spans="1:3">
      <c r="A154" t="s">
        <v>1594</v>
      </c>
      <c r="B154">
        <v>3427604.11008</v>
      </c>
      <c r="C154">
        <v>3393281.39008</v>
      </c>
    </row>
    <row r="155" spans="1:3">
      <c r="A155" t="s">
        <v>1595</v>
      </c>
      <c r="B155">
        <v>1347456.1104</v>
      </c>
      <c r="C155">
        <v>1333956.7104</v>
      </c>
    </row>
    <row r="156" spans="1:3">
      <c r="A156" t="s">
        <v>1581</v>
      </c>
      <c r="B156">
        <v>1001099.54468</v>
      </c>
      <c r="C156">
        <v>991077.42468</v>
      </c>
    </row>
    <row r="157" spans="1:3">
      <c r="A157" t="s">
        <v>1594</v>
      </c>
      <c r="B157">
        <v>733452.9547</v>
      </c>
      <c r="C157">
        <v>726117.1047</v>
      </c>
    </row>
    <row r="158" spans="1:3">
      <c r="A158" t="s">
        <v>1581</v>
      </c>
      <c r="B158">
        <v>2476090.8225</v>
      </c>
      <c r="C158">
        <v>2451323.7225</v>
      </c>
    </row>
    <row r="159" spans="1:3">
      <c r="A159" t="s">
        <v>1586</v>
      </c>
      <c r="B159">
        <v>1187797.57884</v>
      </c>
      <c r="C159">
        <v>1175904.49884</v>
      </c>
    </row>
    <row r="160" spans="1:3">
      <c r="A160" t="s">
        <v>1590</v>
      </c>
      <c r="B160">
        <v>3566640.67452</v>
      </c>
      <c r="C160">
        <v>3530909.59452</v>
      </c>
    </row>
    <row r="161" spans="1:3">
      <c r="A161" t="s">
        <v>1562</v>
      </c>
      <c r="B161">
        <v>2610944.3715</v>
      </c>
      <c r="C161">
        <v>2584793.8715</v>
      </c>
    </row>
    <row r="162" spans="1:3">
      <c r="A162" t="s">
        <v>1561</v>
      </c>
      <c r="B162">
        <v>608416.6244</v>
      </c>
      <c r="C162">
        <v>602328.0744</v>
      </c>
    </row>
    <row r="163" spans="1:3">
      <c r="A163" t="s">
        <v>1580</v>
      </c>
      <c r="B163">
        <v>939297.07116</v>
      </c>
      <c r="C163">
        <v>929891.59116</v>
      </c>
    </row>
    <row r="164" spans="1:3">
      <c r="A164" t="s">
        <v>1582</v>
      </c>
      <c r="B164">
        <v>1416004.814</v>
      </c>
      <c r="C164">
        <v>1401824.914</v>
      </c>
    </row>
    <row r="165" spans="1:3">
      <c r="A165" t="s">
        <v>1576</v>
      </c>
      <c r="B165">
        <v>1209126.1264</v>
      </c>
      <c r="C165">
        <v>1197032.4464</v>
      </c>
    </row>
    <row r="166" spans="1:3">
      <c r="A166" t="s">
        <v>1562</v>
      </c>
      <c r="B166">
        <v>9038263.18032</v>
      </c>
      <c r="C166">
        <v>8947832.62032</v>
      </c>
    </row>
    <row r="167" spans="1:3">
      <c r="A167" t="s">
        <v>1571</v>
      </c>
      <c r="B167">
        <v>1795745.3987</v>
      </c>
      <c r="C167">
        <v>1777752.4987</v>
      </c>
    </row>
    <row r="168" spans="1:3">
      <c r="A168" t="s">
        <v>1566</v>
      </c>
      <c r="B168">
        <v>1659846.25458</v>
      </c>
      <c r="C168">
        <v>1643205.52458</v>
      </c>
    </row>
    <row r="169" spans="1:3">
      <c r="A169" t="s">
        <v>1595</v>
      </c>
      <c r="B169">
        <v>835786.9284</v>
      </c>
      <c r="C169">
        <v>827413.5684</v>
      </c>
    </row>
    <row r="170" spans="1:3">
      <c r="A170" t="s">
        <v>1561</v>
      </c>
      <c r="B170">
        <v>268646.0622</v>
      </c>
      <c r="C170">
        <v>265955.8622</v>
      </c>
    </row>
    <row r="171" spans="1:3">
      <c r="A171" t="s">
        <v>1573</v>
      </c>
      <c r="B171">
        <v>1945318.30912</v>
      </c>
      <c r="C171">
        <v>1925815.58912</v>
      </c>
    </row>
    <row r="172" spans="1:3">
      <c r="A172" t="s">
        <v>1588</v>
      </c>
      <c r="B172">
        <v>1029678.3796</v>
      </c>
      <c r="C172">
        <v>1019367.7796</v>
      </c>
    </row>
    <row r="173" spans="1:3">
      <c r="A173" t="s">
        <v>1562</v>
      </c>
      <c r="B173">
        <v>10175.2154</v>
      </c>
      <c r="C173">
        <v>10073.4154</v>
      </c>
    </row>
    <row r="174" spans="1:3">
      <c r="A174" t="s">
        <v>1567</v>
      </c>
      <c r="B174">
        <v>3419910.3876</v>
      </c>
      <c r="C174">
        <v>3385684.5876</v>
      </c>
    </row>
    <row r="175" spans="1:3">
      <c r="A175" t="s">
        <v>1566</v>
      </c>
      <c r="B175">
        <v>199612.07568</v>
      </c>
      <c r="C175">
        <v>197615.51568</v>
      </c>
    </row>
    <row r="176" spans="1:3">
      <c r="A176" t="s">
        <v>1578</v>
      </c>
      <c r="B176">
        <v>12413265.25</v>
      </c>
      <c r="C176">
        <v>12288815.25</v>
      </c>
    </row>
    <row r="177" spans="1:3">
      <c r="A177" t="s">
        <v>1585</v>
      </c>
      <c r="B177">
        <v>1720816.63056</v>
      </c>
      <c r="C177">
        <v>1703592.79056</v>
      </c>
    </row>
    <row r="178" spans="1:3">
      <c r="A178" t="s">
        <v>1594</v>
      </c>
      <c r="B178">
        <v>39047.76291</v>
      </c>
      <c r="C178">
        <v>38656.59291</v>
      </c>
    </row>
    <row r="179" spans="1:3">
      <c r="A179" t="s">
        <v>1571</v>
      </c>
      <c r="B179">
        <v>751543.8996</v>
      </c>
      <c r="C179">
        <v>744024.2496</v>
      </c>
    </row>
    <row r="180" spans="1:3">
      <c r="A180" t="s">
        <v>1590</v>
      </c>
      <c r="B180">
        <v>533609.25618</v>
      </c>
      <c r="C180">
        <v>528263.91618</v>
      </c>
    </row>
    <row r="181" spans="1:3">
      <c r="A181" t="s">
        <v>1570</v>
      </c>
      <c r="B181">
        <v>2362.97984</v>
      </c>
      <c r="C181">
        <v>2339.29984</v>
      </c>
    </row>
    <row r="182" spans="1:3">
      <c r="A182" t="s">
        <v>1561</v>
      </c>
      <c r="B182">
        <v>4410479.6462</v>
      </c>
      <c r="C182">
        <v>4366347.0462</v>
      </c>
    </row>
    <row r="183" spans="1:3">
      <c r="A183" t="s">
        <v>1586</v>
      </c>
      <c r="B183">
        <v>954525.456</v>
      </c>
      <c r="C183">
        <v>944961.456</v>
      </c>
    </row>
    <row r="184" spans="1:3">
      <c r="A184" t="s">
        <v>1585</v>
      </c>
      <c r="B184">
        <v>966639.70683</v>
      </c>
      <c r="C184">
        <v>956963.53683</v>
      </c>
    </row>
    <row r="185" spans="1:3">
      <c r="A185" t="s">
        <v>1561</v>
      </c>
      <c r="B185">
        <v>3113132.60841</v>
      </c>
      <c r="C185">
        <v>3081953.57841</v>
      </c>
    </row>
    <row r="186" spans="1:3">
      <c r="A186" t="s">
        <v>1583</v>
      </c>
      <c r="B186">
        <v>1065213.63</v>
      </c>
      <c r="C186">
        <v>1054558.83</v>
      </c>
    </row>
    <row r="187" spans="1:3">
      <c r="A187" t="s">
        <v>1569</v>
      </c>
      <c r="B187">
        <v>611121.80646</v>
      </c>
      <c r="C187">
        <v>604997.66646</v>
      </c>
    </row>
    <row r="188" spans="1:3">
      <c r="A188" t="s">
        <v>1564</v>
      </c>
      <c r="B188">
        <v>3480696.03775</v>
      </c>
      <c r="C188">
        <v>3445807.78775</v>
      </c>
    </row>
    <row r="189" spans="1:3">
      <c r="A189" t="s">
        <v>1584</v>
      </c>
      <c r="B189">
        <v>3179032.31016</v>
      </c>
      <c r="C189">
        <v>3147204.43016</v>
      </c>
    </row>
    <row r="190" spans="1:3">
      <c r="A190" t="s">
        <v>1566</v>
      </c>
      <c r="B190">
        <v>869400.6594</v>
      </c>
      <c r="C190">
        <v>860705.6094</v>
      </c>
    </row>
    <row r="191" spans="1:3">
      <c r="A191" t="s">
        <v>1594</v>
      </c>
      <c r="B191">
        <v>2484198.46535</v>
      </c>
      <c r="C191">
        <v>2459302.95535</v>
      </c>
    </row>
    <row r="192" spans="1:3">
      <c r="A192" t="s">
        <v>1585</v>
      </c>
      <c r="B192">
        <v>966340.785</v>
      </c>
      <c r="C192">
        <v>956668.285</v>
      </c>
    </row>
    <row r="193" spans="1:3">
      <c r="A193" t="s">
        <v>1581</v>
      </c>
      <c r="B193">
        <v>3182862.67488</v>
      </c>
      <c r="C193">
        <v>3150958.75488</v>
      </c>
    </row>
    <row r="194" spans="1:3">
      <c r="A194" t="s">
        <v>1595</v>
      </c>
      <c r="B194">
        <v>474024.45648</v>
      </c>
      <c r="C194">
        <v>469280.79648</v>
      </c>
    </row>
    <row r="195" spans="1:3">
      <c r="A195" t="s">
        <v>1574</v>
      </c>
      <c r="B195">
        <v>433188.41976</v>
      </c>
      <c r="C195">
        <v>428852.45976</v>
      </c>
    </row>
    <row r="196" spans="1:3">
      <c r="A196" t="s">
        <v>1592</v>
      </c>
      <c r="B196">
        <v>3702978.88716</v>
      </c>
      <c r="C196">
        <v>3665890.12716</v>
      </c>
    </row>
    <row r="197" spans="1:3">
      <c r="A197" t="s">
        <v>1561</v>
      </c>
      <c r="B197">
        <v>2655170.8298</v>
      </c>
      <c r="C197">
        <v>2628569.9098</v>
      </c>
    </row>
    <row r="198" spans="1:3">
      <c r="A198" t="s">
        <v>1594</v>
      </c>
      <c r="B198">
        <v>1192947.28644</v>
      </c>
      <c r="C198">
        <v>1181011.72644</v>
      </c>
    </row>
    <row r="199" spans="1:3">
      <c r="A199" t="s">
        <v>1564</v>
      </c>
      <c r="B199">
        <v>1023795.19242</v>
      </c>
      <c r="C199">
        <v>1013538.16242</v>
      </c>
    </row>
    <row r="200" spans="1:3">
      <c r="A200" t="s">
        <v>1571</v>
      </c>
      <c r="B200">
        <v>6602824.73375</v>
      </c>
      <c r="C200">
        <v>6536693.98375</v>
      </c>
    </row>
    <row r="201" spans="1:3">
      <c r="A201" t="s">
        <v>1564</v>
      </c>
      <c r="B201">
        <v>1585921.50918</v>
      </c>
      <c r="C201">
        <v>1570053.24918</v>
      </c>
    </row>
    <row r="202" spans="1:3">
      <c r="A202" t="s">
        <v>1568</v>
      </c>
      <c r="B202">
        <v>623427.3968</v>
      </c>
      <c r="C202">
        <v>617176.9968</v>
      </c>
    </row>
    <row r="203" spans="1:3">
      <c r="A203" t="s">
        <v>1585</v>
      </c>
      <c r="B203">
        <v>2529904</v>
      </c>
      <c r="C203">
        <v>2504604.96</v>
      </c>
    </row>
    <row r="204" spans="1:3">
      <c r="A204" t="s">
        <v>1564</v>
      </c>
      <c r="B204">
        <v>6320497.77758</v>
      </c>
      <c r="C204">
        <v>6257138.83758</v>
      </c>
    </row>
    <row r="205" spans="1:3">
      <c r="A205" t="s">
        <v>1586</v>
      </c>
      <c r="B205">
        <v>2702616.7428</v>
      </c>
      <c r="C205">
        <v>2675575.7028</v>
      </c>
    </row>
    <row r="206" spans="1:3">
      <c r="A206" t="s">
        <v>1571</v>
      </c>
      <c r="B206">
        <v>2690435.54736</v>
      </c>
      <c r="C206">
        <v>2663523.38736</v>
      </c>
    </row>
    <row r="207" spans="1:3">
      <c r="A207" t="s">
        <v>1584</v>
      </c>
      <c r="B207">
        <v>696445.2502</v>
      </c>
      <c r="C207">
        <v>689478.1502</v>
      </c>
    </row>
    <row r="208" spans="1:3">
      <c r="A208" t="s">
        <v>1569</v>
      </c>
      <c r="B208">
        <v>3326761.09584</v>
      </c>
      <c r="C208">
        <v>3293444.17584</v>
      </c>
    </row>
    <row r="209" spans="1:3">
      <c r="A209" t="s">
        <v>1592</v>
      </c>
      <c r="B209">
        <v>1981590.18937</v>
      </c>
      <c r="C209">
        <v>1961733.97937</v>
      </c>
    </row>
    <row r="210" spans="1:3">
      <c r="A210" t="s">
        <v>1572</v>
      </c>
      <c r="B210">
        <v>2062920.6072</v>
      </c>
      <c r="C210">
        <v>2042263.3072</v>
      </c>
    </row>
    <row r="211" spans="1:3">
      <c r="A211" t="s">
        <v>1561</v>
      </c>
      <c r="B211">
        <v>2126621.61432</v>
      </c>
      <c r="C211">
        <v>2105323.02432</v>
      </c>
    </row>
    <row r="212" spans="1:3">
      <c r="A212" t="s">
        <v>1572</v>
      </c>
      <c r="B212">
        <v>197438.4072</v>
      </c>
      <c r="C212">
        <v>195462.0072</v>
      </c>
    </row>
    <row r="213" spans="1:3">
      <c r="A213" t="s">
        <v>1592</v>
      </c>
      <c r="B213">
        <v>799986.70464</v>
      </c>
      <c r="C213">
        <v>791976.58464</v>
      </c>
    </row>
    <row r="214" spans="1:3">
      <c r="A214" t="s">
        <v>1569</v>
      </c>
      <c r="B214">
        <v>2422305</v>
      </c>
      <c r="C214">
        <v>2398081.95</v>
      </c>
    </row>
    <row r="215" spans="1:3">
      <c r="A215" t="s">
        <v>1593</v>
      </c>
      <c r="B215">
        <v>930289.14936</v>
      </c>
      <c r="C215">
        <v>920971.62936</v>
      </c>
    </row>
    <row r="216" spans="1:3">
      <c r="A216" t="s">
        <v>1594</v>
      </c>
      <c r="B216">
        <v>1905182.8698</v>
      </c>
      <c r="C216">
        <v>1886092.6698</v>
      </c>
    </row>
    <row r="217" spans="1:3">
      <c r="A217" t="s">
        <v>1587</v>
      </c>
      <c r="B217">
        <v>871501.08969</v>
      </c>
      <c r="C217">
        <v>862776.21969</v>
      </c>
    </row>
    <row r="218" spans="1:3">
      <c r="A218" t="s">
        <v>1564</v>
      </c>
      <c r="B218">
        <v>277023.96672</v>
      </c>
      <c r="C218">
        <v>274248.28672</v>
      </c>
    </row>
    <row r="219" spans="1:3">
      <c r="A219" t="s">
        <v>1561</v>
      </c>
      <c r="B219">
        <v>656161.75248</v>
      </c>
      <c r="C219">
        <v>649599.87248</v>
      </c>
    </row>
    <row r="220" spans="1:3">
      <c r="A220" t="s">
        <v>1592</v>
      </c>
      <c r="B220">
        <v>3833362.06124</v>
      </c>
      <c r="C220">
        <v>3794926.20124</v>
      </c>
    </row>
    <row r="221" spans="1:3">
      <c r="A221" t="s">
        <v>1590</v>
      </c>
      <c r="B221">
        <v>1429851.1491</v>
      </c>
      <c r="C221">
        <v>1415544.7691</v>
      </c>
    </row>
    <row r="222" spans="1:3">
      <c r="A222" t="s">
        <v>1588</v>
      </c>
      <c r="B222">
        <v>113842.287</v>
      </c>
      <c r="C222">
        <v>112701.537</v>
      </c>
    </row>
    <row r="223" spans="1:3">
      <c r="A223" t="s">
        <v>1585</v>
      </c>
      <c r="B223">
        <v>496058.2364</v>
      </c>
      <c r="C223">
        <v>491093.0364</v>
      </c>
    </row>
    <row r="224" spans="1:3">
      <c r="A224" t="s">
        <v>1572</v>
      </c>
      <c r="B224">
        <v>7055279.9712</v>
      </c>
      <c r="C224">
        <v>6984691.1712</v>
      </c>
    </row>
    <row r="225" spans="1:3">
      <c r="A225" t="s">
        <v>1571</v>
      </c>
      <c r="B225">
        <v>1631467.527</v>
      </c>
      <c r="C225">
        <v>1615144.527</v>
      </c>
    </row>
    <row r="226" spans="1:3">
      <c r="A226" t="s">
        <v>1587</v>
      </c>
      <c r="B226">
        <v>2525432.1495</v>
      </c>
      <c r="C226">
        <v>2500140.6495</v>
      </c>
    </row>
    <row r="227" spans="1:3">
      <c r="A227" t="s">
        <v>1584</v>
      </c>
      <c r="B227">
        <v>3502818.28897</v>
      </c>
      <c r="C227">
        <v>3467744.15897</v>
      </c>
    </row>
    <row r="228" spans="1:3">
      <c r="A228" t="s">
        <v>1595</v>
      </c>
      <c r="B228">
        <v>592702.623</v>
      </c>
      <c r="C228">
        <v>586771.623</v>
      </c>
    </row>
    <row r="229" spans="1:3">
      <c r="A229" t="s">
        <v>1590</v>
      </c>
      <c r="B229">
        <v>1891523.56081</v>
      </c>
      <c r="C229">
        <v>1872585.03081</v>
      </c>
    </row>
    <row r="230" spans="1:3">
      <c r="A230" t="s">
        <v>1582</v>
      </c>
      <c r="B230">
        <v>916454.6209</v>
      </c>
      <c r="C230">
        <v>907272.7209</v>
      </c>
    </row>
    <row r="231" spans="1:3">
      <c r="A231" t="s">
        <v>1574</v>
      </c>
      <c r="B231">
        <v>78188.11008</v>
      </c>
      <c r="C231">
        <v>77405.07008</v>
      </c>
    </row>
    <row r="232" spans="1:3">
      <c r="A232" t="s">
        <v>1578</v>
      </c>
      <c r="B232">
        <v>651891.66273</v>
      </c>
      <c r="C232">
        <v>645365.63273</v>
      </c>
    </row>
    <row r="233" spans="1:3">
      <c r="A233" t="s">
        <v>1592</v>
      </c>
      <c r="B233">
        <v>325412.0836</v>
      </c>
      <c r="C233">
        <v>322154.1836</v>
      </c>
    </row>
    <row r="234" spans="1:3">
      <c r="A234" t="s">
        <v>1592</v>
      </c>
      <c r="B234">
        <v>648337.33776</v>
      </c>
      <c r="C234">
        <v>641841.81776</v>
      </c>
    </row>
    <row r="235" spans="1:3">
      <c r="A235" t="s">
        <v>1582</v>
      </c>
      <c r="B235">
        <v>1587449.1486</v>
      </c>
      <c r="C235">
        <v>1571558.4486</v>
      </c>
    </row>
    <row r="236" spans="1:3">
      <c r="A236" t="s">
        <v>1568</v>
      </c>
      <c r="B236">
        <v>1861373.4048</v>
      </c>
      <c r="C236">
        <v>1842747.0048</v>
      </c>
    </row>
    <row r="237" spans="1:3">
      <c r="A237" t="s">
        <v>1592</v>
      </c>
      <c r="B237">
        <v>4232484.34176</v>
      </c>
      <c r="C237">
        <v>4190106.10176</v>
      </c>
    </row>
    <row r="238" spans="1:3">
      <c r="A238" t="s">
        <v>1572</v>
      </c>
      <c r="B238">
        <v>16792061.89032</v>
      </c>
      <c r="C238">
        <v>16623851.95032</v>
      </c>
    </row>
    <row r="239" spans="1:3">
      <c r="A239" t="s">
        <v>1593</v>
      </c>
      <c r="B239">
        <v>871696.6875</v>
      </c>
      <c r="C239">
        <v>862959.1875</v>
      </c>
    </row>
    <row r="240" spans="1:3">
      <c r="A240" t="s">
        <v>1560</v>
      </c>
      <c r="B240">
        <v>438912.6708</v>
      </c>
      <c r="C240">
        <v>434517.8308</v>
      </c>
    </row>
    <row r="241" spans="1:3">
      <c r="A241" t="s">
        <v>1588</v>
      </c>
      <c r="B241">
        <v>484990.54912</v>
      </c>
      <c r="C241">
        <v>480136.46912</v>
      </c>
    </row>
    <row r="242" spans="1:3">
      <c r="A242" t="s">
        <v>1567</v>
      </c>
      <c r="B242">
        <v>1069135.3556</v>
      </c>
      <c r="C242">
        <v>1058433.8356</v>
      </c>
    </row>
    <row r="243" spans="1:3">
      <c r="A243" t="s">
        <v>1590</v>
      </c>
      <c r="B243">
        <v>3939411.10464</v>
      </c>
      <c r="C243">
        <v>3899963.34464</v>
      </c>
    </row>
    <row r="244" spans="1:3">
      <c r="A244" t="s">
        <v>1565</v>
      </c>
      <c r="B244">
        <v>97958.30304</v>
      </c>
      <c r="C244">
        <v>96976.38304</v>
      </c>
    </row>
    <row r="245" spans="1:3">
      <c r="A245" t="s">
        <v>1571</v>
      </c>
      <c r="B245">
        <v>1482089.796</v>
      </c>
      <c r="C245">
        <v>1467242.916</v>
      </c>
    </row>
    <row r="246" spans="1:3">
      <c r="A246" t="s">
        <v>1560</v>
      </c>
      <c r="B246">
        <v>348740.62892</v>
      </c>
      <c r="C246">
        <v>345247.38892</v>
      </c>
    </row>
    <row r="247" spans="1:3">
      <c r="A247" t="s">
        <v>1594</v>
      </c>
      <c r="B247">
        <v>1322751.9888</v>
      </c>
      <c r="C247">
        <v>1309489.5888</v>
      </c>
    </row>
    <row r="248" spans="1:3">
      <c r="A248" t="s">
        <v>1578</v>
      </c>
      <c r="B248">
        <v>71423.98668</v>
      </c>
      <c r="C248">
        <v>70708.66668</v>
      </c>
    </row>
    <row r="249" spans="1:3">
      <c r="A249" t="s">
        <v>1577</v>
      </c>
      <c r="B249">
        <v>403156.04</v>
      </c>
      <c r="C249">
        <v>399120.04</v>
      </c>
    </row>
    <row r="250" spans="1:3">
      <c r="A250" t="s">
        <v>1570</v>
      </c>
      <c r="B250">
        <v>1321496.48416</v>
      </c>
      <c r="C250">
        <v>1308267.36416</v>
      </c>
    </row>
    <row r="251" spans="1:3">
      <c r="A251" t="s">
        <v>1592</v>
      </c>
      <c r="B251">
        <v>1419946.5686</v>
      </c>
      <c r="C251">
        <v>1405726.7686</v>
      </c>
    </row>
    <row r="252" spans="1:3">
      <c r="A252" t="s">
        <v>1582</v>
      </c>
      <c r="B252">
        <v>2185434.5436</v>
      </c>
      <c r="C252">
        <v>2163535.7436</v>
      </c>
    </row>
    <row r="253" spans="1:3">
      <c r="A253" t="s">
        <v>1560</v>
      </c>
      <c r="B253">
        <v>2277396.303</v>
      </c>
      <c r="C253">
        <v>2254570.983</v>
      </c>
    </row>
    <row r="254" spans="1:3">
      <c r="A254" t="s">
        <v>1573</v>
      </c>
      <c r="B254">
        <v>2898954.95488</v>
      </c>
      <c r="C254">
        <v>2869929.99488</v>
      </c>
    </row>
    <row r="255" spans="1:3">
      <c r="A255" t="s">
        <v>1561</v>
      </c>
      <c r="B255">
        <v>682665.99516</v>
      </c>
      <c r="C255">
        <v>675835.71516</v>
      </c>
    </row>
    <row r="256" spans="1:3">
      <c r="A256" t="s">
        <v>1580</v>
      </c>
      <c r="B256">
        <v>2500309.6056</v>
      </c>
      <c r="C256">
        <v>2475298.0056</v>
      </c>
    </row>
    <row r="257" spans="1:3">
      <c r="A257" t="s">
        <v>1595</v>
      </c>
      <c r="B257">
        <v>2302305.10965</v>
      </c>
      <c r="C257">
        <v>2279242.15965</v>
      </c>
    </row>
    <row r="258" spans="1:3">
      <c r="A258" t="s">
        <v>1571</v>
      </c>
      <c r="B258">
        <v>297564.64056</v>
      </c>
      <c r="C258">
        <v>294583.12056</v>
      </c>
    </row>
    <row r="259" spans="1:3">
      <c r="A259" t="s">
        <v>1575</v>
      </c>
      <c r="B259">
        <v>549231.762</v>
      </c>
      <c r="C259">
        <v>543728.162</v>
      </c>
    </row>
    <row r="260" spans="1:3">
      <c r="A260" t="s">
        <v>1595</v>
      </c>
      <c r="B260">
        <v>878879.8432</v>
      </c>
      <c r="C260">
        <v>870078.7232</v>
      </c>
    </row>
    <row r="261" spans="1:3">
      <c r="A261" t="s">
        <v>1574</v>
      </c>
      <c r="B261">
        <v>2479916.15544</v>
      </c>
      <c r="C261">
        <v>2455097.63544</v>
      </c>
    </row>
    <row r="262" spans="1:3">
      <c r="A262" t="s">
        <v>1574</v>
      </c>
      <c r="B262">
        <v>1803582.8538</v>
      </c>
      <c r="C262">
        <v>1785546.3038</v>
      </c>
    </row>
    <row r="263" spans="1:3">
      <c r="A263" t="s">
        <v>1585</v>
      </c>
      <c r="B263">
        <v>1041884.6576</v>
      </c>
      <c r="C263">
        <v>1031443.2576</v>
      </c>
    </row>
    <row r="264" spans="1:3">
      <c r="A264" t="s">
        <v>1575</v>
      </c>
      <c r="B264">
        <v>59390.12832</v>
      </c>
      <c r="C264">
        <v>58795.88832</v>
      </c>
    </row>
    <row r="265" spans="1:3">
      <c r="A265" t="s">
        <v>1578</v>
      </c>
      <c r="B265">
        <v>4586876.24462</v>
      </c>
      <c r="C265">
        <v>4540949.61462</v>
      </c>
    </row>
    <row r="266" spans="1:3">
      <c r="A266" t="s">
        <v>1570</v>
      </c>
      <c r="B266">
        <v>1563784.96224</v>
      </c>
      <c r="C266">
        <v>1548116.40224</v>
      </c>
    </row>
    <row r="267" spans="1:3">
      <c r="A267" t="s">
        <v>1561</v>
      </c>
      <c r="B267">
        <v>4748447.75016</v>
      </c>
      <c r="C267">
        <v>4700875.74016</v>
      </c>
    </row>
    <row r="268" spans="1:3">
      <c r="A268" t="s">
        <v>1574</v>
      </c>
      <c r="B268">
        <v>1968107.86888</v>
      </c>
      <c r="C268">
        <v>1948405.70888</v>
      </c>
    </row>
    <row r="269" spans="1:3">
      <c r="A269" t="s">
        <v>1587</v>
      </c>
      <c r="B269">
        <v>694680</v>
      </c>
      <c r="C269">
        <v>687733.2</v>
      </c>
    </row>
    <row r="270" spans="1:3">
      <c r="A270" t="s">
        <v>1568</v>
      </c>
      <c r="B270">
        <v>906192.3114</v>
      </c>
      <c r="C270">
        <v>897116.4114</v>
      </c>
    </row>
    <row r="271" spans="1:3">
      <c r="A271" t="s">
        <v>1585</v>
      </c>
      <c r="B271">
        <v>834355.4635</v>
      </c>
      <c r="C271">
        <v>826000.7135</v>
      </c>
    </row>
    <row r="272" spans="1:3">
      <c r="A272" t="s">
        <v>1586</v>
      </c>
      <c r="B272">
        <v>860564.00864</v>
      </c>
      <c r="C272">
        <v>851943.36864</v>
      </c>
    </row>
    <row r="273" spans="1:3">
      <c r="A273" t="s">
        <v>1560</v>
      </c>
      <c r="B273">
        <v>4016720.98632</v>
      </c>
      <c r="C273">
        <v>3976497.86632</v>
      </c>
    </row>
    <row r="274" spans="1:3">
      <c r="A274" t="s">
        <v>1584</v>
      </c>
      <c r="B274">
        <v>3527305.716</v>
      </c>
      <c r="C274">
        <v>3491974.716</v>
      </c>
    </row>
    <row r="275" spans="1:3">
      <c r="A275" t="s">
        <v>1560</v>
      </c>
      <c r="B275">
        <v>1318152.0891</v>
      </c>
      <c r="C275">
        <v>1304952.7491</v>
      </c>
    </row>
    <row r="276" spans="1:3">
      <c r="A276" t="s">
        <v>1568</v>
      </c>
      <c r="B276">
        <v>989112.8925</v>
      </c>
      <c r="C276">
        <v>979208.3925</v>
      </c>
    </row>
    <row r="277" spans="1:3">
      <c r="A277" t="s">
        <v>1560</v>
      </c>
      <c r="B277">
        <v>8978223.156</v>
      </c>
      <c r="C277">
        <v>8888337.556</v>
      </c>
    </row>
    <row r="278" spans="1:3">
      <c r="A278" t="s">
        <v>1575</v>
      </c>
      <c r="B278">
        <v>713473.02648</v>
      </c>
      <c r="C278">
        <v>706327.50648</v>
      </c>
    </row>
    <row r="279" spans="1:3">
      <c r="A279" t="s">
        <v>1576</v>
      </c>
      <c r="B279">
        <v>3954379.044</v>
      </c>
      <c r="C279">
        <v>3914787.744</v>
      </c>
    </row>
    <row r="280" spans="1:3">
      <c r="A280" t="s">
        <v>1595</v>
      </c>
      <c r="B280">
        <v>1031948.9425</v>
      </c>
      <c r="C280">
        <v>1021615.1925</v>
      </c>
    </row>
    <row r="281" spans="1:3">
      <c r="A281" t="s">
        <v>1583</v>
      </c>
      <c r="B281">
        <v>1961879.23152</v>
      </c>
      <c r="C281">
        <v>1942238.44152</v>
      </c>
    </row>
    <row r="282" spans="1:3">
      <c r="A282" t="s">
        <v>1563</v>
      </c>
      <c r="B282">
        <v>1902908.098</v>
      </c>
      <c r="C282">
        <v>1883821.758</v>
      </c>
    </row>
    <row r="283" spans="1:3">
      <c r="A283" t="s">
        <v>1585</v>
      </c>
      <c r="B283">
        <v>66774</v>
      </c>
      <c r="C283">
        <v>66106.26</v>
      </c>
    </row>
    <row r="284" spans="1:3">
      <c r="A284" t="s">
        <v>1567</v>
      </c>
      <c r="B284">
        <v>1318603.07688</v>
      </c>
      <c r="C284">
        <v>1305401.99688</v>
      </c>
    </row>
    <row r="285" spans="1:3">
      <c r="A285" t="s">
        <v>1568</v>
      </c>
      <c r="B285">
        <v>1832123.7996</v>
      </c>
      <c r="C285">
        <v>1813774.1196</v>
      </c>
    </row>
    <row r="286" spans="1:3">
      <c r="A286" t="s">
        <v>1583</v>
      </c>
      <c r="B286">
        <v>508960.8174</v>
      </c>
      <c r="C286">
        <v>503859.9874</v>
      </c>
    </row>
    <row r="287" spans="1:3">
      <c r="A287" t="s">
        <v>1578</v>
      </c>
      <c r="B287">
        <v>8780.21872</v>
      </c>
      <c r="C287">
        <v>8692.29872</v>
      </c>
    </row>
    <row r="288" spans="1:3">
      <c r="A288" t="s">
        <v>1592</v>
      </c>
      <c r="B288">
        <v>2309693.85738</v>
      </c>
      <c r="C288">
        <v>2286565.92738</v>
      </c>
    </row>
    <row r="289" spans="1:3">
      <c r="A289" t="s">
        <v>1568</v>
      </c>
      <c r="B289">
        <v>2863744.68024</v>
      </c>
      <c r="C289">
        <v>2835088.32024</v>
      </c>
    </row>
    <row r="290" spans="1:3">
      <c r="A290" t="s">
        <v>1584</v>
      </c>
      <c r="B290">
        <v>1291626.30688</v>
      </c>
      <c r="C290">
        <v>1278685.19688</v>
      </c>
    </row>
    <row r="291" spans="1:3">
      <c r="A291" t="s">
        <v>1590</v>
      </c>
      <c r="B291">
        <v>2229298.46532</v>
      </c>
      <c r="C291">
        <v>2206972.88532</v>
      </c>
    </row>
    <row r="292" spans="1:3">
      <c r="A292" t="s">
        <v>1563</v>
      </c>
      <c r="B292">
        <v>130003.87708</v>
      </c>
      <c r="C292">
        <v>128701.80708</v>
      </c>
    </row>
    <row r="293" spans="1:3">
      <c r="A293" t="s">
        <v>1595</v>
      </c>
      <c r="B293">
        <v>2941640.17406</v>
      </c>
      <c r="C293">
        <v>2912162.75406</v>
      </c>
    </row>
    <row r="294" spans="1:3">
      <c r="A294" t="s">
        <v>1585</v>
      </c>
      <c r="B294">
        <v>784037.145</v>
      </c>
      <c r="C294">
        <v>776192.145</v>
      </c>
    </row>
    <row r="295" spans="1:3">
      <c r="A295" t="s">
        <v>1578</v>
      </c>
      <c r="B295">
        <v>966995.784</v>
      </c>
      <c r="C295">
        <v>957318.084</v>
      </c>
    </row>
    <row r="296" spans="1:3">
      <c r="A296" t="s">
        <v>1575</v>
      </c>
      <c r="B296">
        <v>2303592.99513</v>
      </c>
      <c r="C296">
        <v>2280531.00513</v>
      </c>
    </row>
    <row r="297" spans="1:3">
      <c r="A297" t="s">
        <v>1560</v>
      </c>
      <c r="B297">
        <v>509592.33105</v>
      </c>
      <c r="C297">
        <v>504487.78105</v>
      </c>
    </row>
    <row r="298" spans="1:3">
      <c r="A298" t="s">
        <v>1583</v>
      </c>
      <c r="B298">
        <v>357334.66132</v>
      </c>
      <c r="C298">
        <v>353757.45132</v>
      </c>
    </row>
    <row r="299" spans="1:3">
      <c r="A299" t="s">
        <v>1560</v>
      </c>
      <c r="B299">
        <v>7586.96076</v>
      </c>
      <c r="C299">
        <v>7511.00076</v>
      </c>
    </row>
    <row r="300" spans="1:3">
      <c r="A300" t="s">
        <v>1569</v>
      </c>
      <c r="B300">
        <v>1269928</v>
      </c>
      <c r="C300">
        <v>1257228.72</v>
      </c>
    </row>
    <row r="301" spans="1:3">
      <c r="A301" t="s">
        <v>1567</v>
      </c>
      <c r="B301">
        <v>2707939.70408</v>
      </c>
      <c r="C301">
        <v>2680845.13408</v>
      </c>
    </row>
    <row r="302" spans="1:3">
      <c r="A302" t="s">
        <v>1595</v>
      </c>
      <c r="B302">
        <v>1221733.23048</v>
      </c>
      <c r="C302">
        <v>1209492.15048</v>
      </c>
    </row>
    <row r="303" spans="1:3">
      <c r="A303" t="s">
        <v>1584</v>
      </c>
      <c r="B303">
        <v>4550542.2182</v>
      </c>
      <c r="C303">
        <v>4504978.0182</v>
      </c>
    </row>
    <row r="304" spans="1:3">
      <c r="A304" t="s">
        <v>1575</v>
      </c>
      <c r="B304">
        <v>978135.0784</v>
      </c>
      <c r="C304">
        <v>968336.6784</v>
      </c>
    </row>
    <row r="305" spans="1:3">
      <c r="A305" t="s">
        <v>1576</v>
      </c>
      <c r="B305">
        <v>644352.1056</v>
      </c>
      <c r="C305">
        <v>637903.4256</v>
      </c>
    </row>
    <row r="306" spans="1:3">
      <c r="A306" t="s">
        <v>1578</v>
      </c>
      <c r="B306">
        <v>170591.15072</v>
      </c>
      <c r="C306">
        <v>168884.59072</v>
      </c>
    </row>
    <row r="307" spans="1:3">
      <c r="A307" t="s">
        <v>1563</v>
      </c>
      <c r="B307">
        <v>4782420.792</v>
      </c>
      <c r="C307">
        <v>4734548.712</v>
      </c>
    </row>
    <row r="308" spans="1:3">
      <c r="A308" t="s">
        <v>1567</v>
      </c>
      <c r="B308">
        <v>441493.60128</v>
      </c>
      <c r="C308">
        <v>437070.88128</v>
      </c>
    </row>
    <row r="309" spans="1:3">
      <c r="A309" t="s">
        <v>1569</v>
      </c>
      <c r="B309">
        <v>628896.3142</v>
      </c>
      <c r="C309">
        <v>622597.7142</v>
      </c>
    </row>
    <row r="310" spans="1:3">
      <c r="A310" t="s">
        <v>1564</v>
      </c>
      <c r="B310">
        <v>1079963.97586</v>
      </c>
      <c r="C310">
        <v>1069154.71586</v>
      </c>
    </row>
    <row r="311" spans="1:3">
      <c r="A311" t="s">
        <v>1565</v>
      </c>
      <c r="B311">
        <v>3772060.7538</v>
      </c>
      <c r="C311">
        <v>3734270.2338</v>
      </c>
    </row>
    <row r="312" spans="1:3">
      <c r="A312" t="s">
        <v>1566</v>
      </c>
      <c r="B312">
        <v>92006.5784</v>
      </c>
      <c r="C312">
        <v>91086.0984</v>
      </c>
    </row>
    <row r="313" spans="1:3">
      <c r="A313" t="s">
        <v>1583</v>
      </c>
      <c r="B313">
        <v>1236126.2508</v>
      </c>
      <c r="C313">
        <v>1223754.1008</v>
      </c>
    </row>
    <row r="314" spans="1:3">
      <c r="A314" t="s">
        <v>1577</v>
      </c>
      <c r="B314">
        <v>4032531</v>
      </c>
      <c r="C314">
        <v>3992205.69</v>
      </c>
    </row>
    <row r="315" spans="1:3">
      <c r="A315" t="s">
        <v>1576</v>
      </c>
      <c r="B315">
        <v>519183.00336</v>
      </c>
      <c r="C315">
        <v>513989.56336</v>
      </c>
    </row>
    <row r="316" spans="1:3">
      <c r="A316" t="s">
        <v>1575</v>
      </c>
      <c r="B316">
        <v>964030.5909</v>
      </c>
      <c r="C316">
        <v>954381.6009</v>
      </c>
    </row>
    <row r="317" spans="1:3">
      <c r="A317" t="s">
        <v>1574</v>
      </c>
      <c r="B317">
        <v>1053500.46692</v>
      </c>
      <c r="C317">
        <v>1042950.58692</v>
      </c>
    </row>
    <row r="318" spans="1:3">
      <c r="A318" t="s">
        <v>1593</v>
      </c>
      <c r="B318">
        <v>1761552.84375</v>
      </c>
      <c r="C318">
        <v>1743924.09375</v>
      </c>
    </row>
    <row r="319" spans="1:3">
      <c r="A319" t="s">
        <v>1578</v>
      </c>
      <c r="B319">
        <v>295643.6041</v>
      </c>
      <c r="C319">
        <v>292686.7541</v>
      </c>
    </row>
    <row r="320" spans="1:3">
      <c r="A320" t="s">
        <v>1582</v>
      </c>
      <c r="B320">
        <v>6237253.50414</v>
      </c>
      <c r="C320">
        <v>6174786.64414</v>
      </c>
    </row>
    <row r="321" spans="1:3">
      <c r="A321" t="s">
        <v>1566</v>
      </c>
      <c r="B321">
        <v>2420259.204</v>
      </c>
      <c r="C321">
        <v>2396038.204</v>
      </c>
    </row>
    <row r="322" spans="1:3">
      <c r="A322" t="s">
        <v>1568</v>
      </c>
      <c r="B322">
        <v>952483.7476</v>
      </c>
      <c r="C322">
        <v>942938.3876</v>
      </c>
    </row>
    <row r="323" spans="1:3">
      <c r="A323" t="s">
        <v>1562</v>
      </c>
      <c r="B323">
        <v>4404240.95454</v>
      </c>
      <c r="C323">
        <v>4360153.13454</v>
      </c>
    </row>
    <row r="324" spans="1:3">
      <c r="A324" t="s">
        <v>1594</v>
      </c>
      <c r="B324">
        <v>85194.7928</v>
      </c>
      <c r="C324">
        <v>84341.3428</v>
      </c>
    </row>
    <row r="325" spans="1:3">
      <c r="A325" t="s">
        <v>1592</v>
      </c>
      <c r="B325">
        <v>2739955.90946</v>
      </c>
      <c r="C325">
        <v>2712542.36946</v>
      </c>
    </row>
    <row r="326" spans="1:3">
      <c r="A326" t="s">
        <v>1574</v>
      </c>
      <c r="B326">
        <v>1116854.96832</v>
      </c>
      <c r="C326">
        <v>1105672.88832</v>
      </c>
    </row>
    <row r="327" spans="1:3">
      <c r="A327" t="s">
        <v>1568</v>
      </c>
      <c r="B327">
        <v>247699.92232</v>
      </c>
      <c r="C327">
        <v>245221.88232</v>
      </c>
    </row>
    <row r="328" spans="1:3">
      <c r="A328" t="s">
        <v>1583</v>
      </c>
      <c r="B328">
        <v>426000.15315</v>
      </c>
      <c r="C328">
        <v>421735.50315</v>
      </c>
    </row>
    <row r="329" spans="1:3">
      <c r="A329" t="s">
        <v>1567</v>
      </c>
      <c r="B329">
        <v>949702.32</v>
      </c>
      <c r="C329">
        <v>940176.72</v>
      </c>
    </row>
    <row r="330" spans="1:3">
      <c r="A330" t="s">
        <v>1595</v>
      </c>
      <c r="B330">
        <v>3462614.892</v>
      </c>
      <c r="C330">
        <v>3427919.352</v>
      </c>
    </row>
    <row r="331" spans="1:3">
      <c r="A331" t="s">
        <v>1569</v>
      </c>
      <c r="B331">
        <v>271191.6108</v>
      </c>
      <c r="C331">
        <v>268477.9308</v>
      </c>
    </row>
    <row r="332" spans="1:3">
      <c r="A332" t="s">
        <v>1570</v>
      </c>
      <c r="B332">
        <v>1148943.44656</v>
      </c>
      <c r="C332">
        <v>1137426.48656</v>
      </c>
    </row>
    <row r="333" spans="1:3">
      <c r="A333" t="s">
        <v>1585</v>
      </c>
      <c r="B333">
        <v>970707.9928</v>
      </c>
      <c r="C333">
        <v>960974.6328</v>
      </c>
    </row>
    <row r="334" spans="1:3">
      <c r="A334" t="s">
        <v>1593</v>
      </c>
      <c r="B334">
        <v>577008.3924</v>
      </c>
      <c r="C334">
        <v>571236.6924</v>
      </c>
    </row>
    <row r="335" spans="1:3">
      <c r="A335" t="s">
        <v>1578</v>
      </c>
      <c r="B335">
        <v>567171.40725</v>
      </c>
      <c r="C335">
        <v>561491.45725</v>
      </c>
    </row>
    <row r="336" spans="1:3">
      <c r="A336" t="s">
        <v>1580</v>
      </c>
      <c r="B336">
        <v>1923244.46496</v>
      </c>
      <c r="C336">
        <v>1903981.58496</v>
      </c>
    </row>
    <row r="337" spans="1:3">
      <c r="A337" t="s">
        <v>1573</v>
      </c>
      <c r="B337">
        <v>3022387.90656</v>
      </c>
      <c r="C337">
        <v>2992144.06656</v>
      </c>
    </row>
    <row r="338" spans="1:3">
      <c r="A338" t="s">
        <v>1594</v>
      </c>
      <c r="B338">
        <v>4867725.2651</v>
      </c>
      <c r="C338">
        <v>4818945.5751</v>
      </c>
    </row>
    <row r="339" spans="1:3">
      <c r="A339" t="s">
        <v>1584</v>
      </c>
      <c r="B339">
        <v>396611.8416</v>
      </c>
      <c r="C339">
        <v>392636.1816</v>
      </c>
    </row>
    <row r="340" spans="1:3">
      <c r="A340" t="s">
        <v>1584</v>
      </c>
      <c r="B340">
        <v>3713060.65396</v>
      </c>
      <c r="C340">
        <v>3675818.69396</v>
      </c>
    </row>
    <row r="341" spans="1:3">
      <c r="A341" t="s">
        <v>1584</v>
      </c>
      <c r="B341">
        <v>3911893.008</v>
      </c>
      <c r="C341">
        <v>3872656.368</v>
      </c>
    </row>
    <row r="342" spans="1:3">
      <c r="A342" t="s">
        <v>1571</v>
      </c>
      <c r="B342">
        <v>154881.9976</v>
      </c>
      <c r="C342">
        <v>153328.7976</v>
      </c>
    </row>
    <row r="343" spans="1:3">
      <c r="A343" t="s">
        <v>1561</v>
      </c>
      <c r="B343">
        <v>2005344</v>
      </c>
      <c r="C343">
        <v>1985290.56</v>
      </c>
    </row>
    <row r="344" spans="1:3">
      <c r="A344" t="s">
        <v>1594</v>
      </c>
      <c r="B344">
        <v>1206436.95966</v>
      </c>
      <c r="C344">
        <v>1194341.01966</v>
      </c>
    </row>
    <row r="345" spans="1:3">
      <c r="A345" t="s">
        <v>1573</v>
      </c>
      <c r="B345">
        <v>341539.33478</v>
      </c>
      <c r="C345">
        <v>338121.51478</v>
      </c>
    </row>
    <row r="346" spans="1:3">
      <c r="A346" t="s">
        <v>1587</v>
      </c>
      <c r="B346">
        <v>1391281.688</v>
      </c>
      <c r="C346">
        <v>1377366.088</v>
      </c>
    </row>
    <row r="347" spans="1:3">
      <c r="A347" t="s">
        <v>1573</v>
      </c>
      <c r="B347">
        <v>8807252.17701</v>
      </c>
      <c r="C347">
        <v>8719088.84701</v>
      </c>
    </row>
    <row r="348" spans="1:3">
      <c r="A348" t="s">
        <v>1574</v>
      </c>
      <c r="B348">
        <v>220680</v>
      </c>
      <c r="C348">
        <v>218473.2</v>
      </c>
    </row>
    <row r="349" spans="1:3">
      <c r="A349" t="s">
        <v>1587</v>
      </c>
      <c r="B349">
        <v>3168199.21408</v>
      </c>
      <c r="C349">
        <v>3136471.53408</v>
      </c>
    </row>
    <row r="350" spans="1:3">
      <c r="A350" t="s">
        <v>1575</v>
      </c>
      <c r="B350">
        <v>1378021.0746</v>
      </c>
      <c r="C350">
        <v>1364225.2746</v>
      </c>
    </row>
    <row r="351" spans="1:3">
      <c r="A351" t="s">
        <v>1562</v>
      </c>
      <c r="B351">
        <v>507914.32252</v>
      </c>
      <c r="C351">
        <v>502825.61252</v>
      </c>
    </row>
    <row r="352" spans="1:3">
      <c r="A352" t="s">
        <v>1587</v>
      </c>
      <c r="B352">
        <v>1856662.59781</v>
      </c>
      <c r="C352">
        <v>1838074.96781</v>
      </c>
    </row>
    <row r="353" spans="1:3">
      <c r="A353" t="s">
        <v>1584</v>
      </c>
      <c r="B353">
        <v>2761940.42298</v>
      </c>
      <c r="C353">
        <v>2734310.24298</v>
      </c>
    </row>
    <row r="354" spans="1:3">
      <c r="A354" t="s">
        <v>1581</v>
      </c>
      <c r="B354">
        <v>4233208.968</v>
      </c>
      <c r="C354">
        <v>4190800.968</v>
      </c>
    </row>
    <row r="355" spans="1:3">
      <c r="A355" t="s">
        <v>1577</v>
      </c>
      <c r="B355">
        <v>128515.2896</v>
      </c>
      <c r="C355">
        <v>127228.4896</v>
      </c>
    </row>
    <row r="356" spans="1:3">
      <c r="A356" t="s">
        <v>1568</v>
      </c>
      <c r="B356">
        <v>2779865.85828</v>
      </c>
      <c r="C356">
        <v>2752020.69828</v>
      </c>
    </row>
    <row r="357" spans="1:3">
      <c r="A357" t="s">
        <v>1590</v>
      </c>
      <c r="B357">
        <v>4390794</v>
      </c>
      <c r="C357">
        <v>4346886.06</v>
      </c>
    </row>
    <row r="358" spans="1:3">
      <c r="A358" t="s">
        <v>1580</v>
      </c>
      <c r="B358">
        <v>5934052.9314</v>
      </c>
      <c r="C358">
        <v>5874611.3514</v>
      </c>
    </row>
    <row r="359" spans="1:3">
      <c r="A359" t="s">
        <v>1577</v>
      </c>
      <c r="B359">
        <v>407180</v>
      </c>
      <c r="C359">
        <v>403108.2</v>
      </c>
    </row>
    <row r="360" spans="1:3">
      <c r="A360" t="s">
        <v>1568</v>
      </c>
      <c r="B360">
        <v>1794618.90192</v>
      </c>
      <c r="C360">
        <v>1776641.07192</v>
      </c>
    </row>
    <row r="361" spans="1:3">
      <c r="A361" t="s">
        <v>1576</v>
      </c>
      <c r="B361">
        <v>3947085.4248</v>
      </c>
      <c r="C361">
        <v>3907571.1048</v>
      </c>
    </row>
    <row r="362" spans="1:3">
      <c r="A362" t="s">
        <v>1575</v>
      </c>
      <c r="B362">
        <v>520685.54824</v>
      </c>
      <c r="C362">
        <v>515474.62824</v>
      </c>
    </row>
    <row r="363" spans="1:3">
      <c r="A363" t="s">
        <v>1584</v>
      </c>
      <c r="B363">
        <v>8367460.39152</v>
      </c>
      <c r="C363">
        <v>8283774.07152</v>
      </c>
    </row>
    <row r="364" spans="1:3">
      <c r="A364" t="s">
        <v>1560</v>
      </c>
      <c r="B364">
        <v>1003849.08336</v>
      </c>
      <c r="C364">
        <v>993783.21336</v>
      </c>
    </row>
    <row r="365" spans="1:3">
      <c r="A365" t="s">
        <v>1583</v>
      </c>
      <c r="B365">
        <v>1463194.03104</v>
      </c>
      <c r="C365">
        <v>1448542.75104</v>
      </c>
    </row>
    <row r="366" spans="1:3">
      <c r="A366" t="s">
        <v>1563</v>
      </c>
      <c r="B366">
        <v>2177875.97352</v>
      </c>
      <c r="C366">
        <v>2156095.25352</v>
      </c>
    </row>
    <row r="367" spans="1:3">
      <c r="A367" t="s">
        <v>1576</v>
      </c>
      <c r="B367">
        <v>2414579.08992</v>
      </c>
      <c r="C367">
        <v>2390386.84992</v>
      </c>
    </row>
    <row r="368" spans="1:3">
      <c r="A368" t="s">
        <v>1563</v>
      </c>
      <c r="B368">
        <v>2070937.2303</v>
      </c>
      <c r="C368">
        <v>2050206.0903</v>
      </c>
    </row>
    <row r="369" spans="1:3">
      <c r="A369" t="s">
        <v>1588</v>
      </c>
      <c r="B369">
        <v>1540265.586</v>
      </c>
      <c r="C369">
        <v>1524846.586</v>
      </c>
    </row>
    <row r="370" spans="1:3">
      <c r="A370" t="s">
        <v>1575</v>
      </c>
      <c r="B370">
        <v>515742.2136</v>
      </c>
      <c r="C370">
        <v>510578.8536</v>
      </c>
    </row>
    <row r="371" spans="1:3">
      <c r="A371" t="s">
        <v>1587</v>
      </c>
      <c r="B371">
        <v>438519.51108</v>
      </c>
      <c r="C371">
        <v>434131.77108</v>
      </c>
    </row>
    <row r="372" spans="1:3">
      <c r="A372" t="s">
        <v>1562</v>
      </c>
      <c r="B372">
        <v>1687345</v>
      </c>
      <c r="C372">
        <v>1670471.55</v>
      </c>
    </row>
    <row r="373" spans="1:3">
      <c r="A373" t="s">
        <v>1571</v>
      </c>
      <c r="B373">
        <v>3610950.14474</v>
      </c>
      <c r="C373">
        <v>3574801.96474</v>
      </c>
    </row>
    <row r="374" spans="1:3">
      <c r="A374" t="s">
        <v>1578</v>
      </c>
      <c r="B374">
        <v>426096.07806</v>
      </c>
      <c r="C374">
        <v>421833.66806</v>
      </c>
    </row>
    <row r="375" spans="1:3">
      <c r="A375" t="s">
        <v>1566</v>
      </c>
      <c r="B375">
        <v>4156703.52768</v>
      </c>
      <c r="C375">
        <v>4115029.80768</v>
      </c>
    </row>
    <row r="376" spans="1:3">
      <c r="A376" t="s">
        <v>1560</v>
      </c>
      <c r="B376">
        <v>4097952.66232</v>
      </c>
      <c r="C376">
        <v>4056947.30232</v>
      </c>
    </row>
    <row r="377" spans="1:3">
      <c r="A377" t="s">
        <v>1575</v>
      </c>
      <c r="B377">
        <v>4829120.43306</v>
      </c>
      <c r="C377">
        <v>4780781.37306</v>
      </c>
    </row>
    <row r="378" spans="1:3">
      <c r="A378" t="s">
        <v>1582</v>
      </c>
      <c r="B378">
        <v>1780182.1026</v>
      </c>
      <c r="C378">
        <v>1762355.5026</v>
      </c>
    </row>
    <row r="379" spans="1:3">
      <c r="A379" t="s">
        <v>1569</v>
      </c>
      <c r="B379">
        <v>723595.67896</v>
      </c>
      <c r="C379">
        <v>716353.05896</v>
      </c>
    </row>
    <row r="380" spans="1:3">
      <c r="A380" t="s">
        <v>1586</v>
      </c>
      <c r="B380">
        <v>3428658.47808</v>
      </c>
      <c r="C380">
        <v>3394360.91808</v>
      </c>
    </row>
    <row r="381" spans="1:3">
      <c r="A381" t="s">
        <v>1569</v>
      </c>
      <c r="B381">
        <v>1351693.143</v>
      </c>
      <c r="C381">
        <v>1338154.143</v>
      </c>
    </row>
    <row r="382" spans="1:3">
      <c r="A382" t="s">
        <v>1590</v>
      </c>
      <c r="B382">
        <v>1560488.6976</v>
      </c>
      <c r="C382">
        <v>1544856.2976</v>
      </c>
    </row>
    <row r="383" spans="1:3">
      <c r="A383" t="s">
        <v>1572</v>
      </c>
      <c r="B383">
        <v>4070822.28</v>
      </c>
      <c r="C383">
        <v>4030082.28</v>
      </c>
    </row>
    <row r="384" spans="1:3">
      <c r="A384" t="s">
        <v>1583</v>
      </c>
      <c r="B384">
        <v>5236313.073</v>
      </c>
      <c r="C384">
        <v>5183902.773</v>
      </c>
    </row>
    <row r="385" spans="1:3">
      <c r="A385" t="s">
        <v>1573</v>
      </c>
      <c r="B385">
        <v>1618754.57748</v>
      </c>
      <c r="C385">
        <v>1602557.63748</v>
      </c>
    </row>
    <row r="386" spans="1:3">
      <c r="A386" t="s">
        <v>1574</v>
      </c>
      <c r="B386">
        <v>2718887.2803</v>
      </c>
      <c r="C386">
        <v>2691646.6503</v>
      </c>
    </row>
    <row r="387" spans="1:3">
      <c r="A387" t="s">
        <v>1567</v>
      </c>
      <c r="B387">
        <v>1068843.24576</v>
      </c>
      <c r="C387">
        <v>1058143.68576</v>
      </c>
    </row>
    <row r="388" spans="1:3">
      <c r="A388" t="s">
        <v>1566</v>
      </c>
      <c r="B388">
        <v>2262113.4627</v>
      </c>
      <c r="C388">
        <v>2239463.5627</v>
      </c>
    </row>
    <row r="389" spans="1:3">
      <c r="A389" t="s">
        <v>1588</v>
      </c>
      <c r="B389">
        <v>1651515.69791</v>
      </c>
      <c r="C389">
        <v>1634976.22791</v>
      </c>
    </row>
    <row r="390" spans="1:3">
      <c r="A390" t="s">
        <v>1595</v>
      </c>
      <c r="B390">
        <v>46782.29248</v>
      </c>
      <c r="C390">
        <v>46314.13248</v>
      </c>
    </row>
    <row r="391" spans="1:3">
      <c r="A391" t="s">
        <v>1575</v>
      </c>
      <c r="B391">
        <v>1628766.39783</v>
      </c>
      <c r="C391">
        <v>1612477.26783</v>
      </c>
    </row>
    <row r="392" spans="1:3">
      <c r="A392" t="s">
        <v>1581</v>
      </c>
      <c r="B392">
        <v>281833.7635</v>
      </c>
      <c r="C392">
        <v>279012.4635</v>
      </c>
    </row>
    <row r="393" spans="1:3">
      <c r="A393" t="s">
        <v>1595</v>
      </c>
      <c r="B393">
        <v>7457794.295</v>
      </c>
      <c r="C393">
        <v>7382991.945</v>
      </c>
    </row>
    <row r="394" spans="1:3">
      <c r="A394" t="s">
        <v>1560</v>
      </c>
      <c r="B394">
        <v>1508994.39402</v>
      </c>
      <c r="C394">
        <v>1493866.02402</v>
      </c>
    </row>
    <row r="395" spans="1:3">
      <c r="A395" t="s">
        <v>1574</v>
      </c>
      <c r="B395">
        <v>2320608.40896</v>
      </c>
      <c r="C395">
        <v>2297367.92896</v>
      </c>
    </row>
    <row r="396" spans="1:3">
      <c r="A396" t="s">
        <v>1567</v>
      </c>
      <c r="B396">
        <v>1598403.02842</v>
      </c>
      <c r="C396">
        <v>1582403.31842</v>
      </c>
    </row>
    <row r="397" spans="1:3">
      <c r="A397" t="s">
        <v>1590</v>
      </c>
      <c r="B397">
        <v>6256289.3778</v>
      </c>
      <c r="C397">
        <v>6193661.9778</v>
      </c>
    </row>
    <row r="398" spans="1:3">
      <c r="A398" t="s">
        <v>1565</v>
      </c>
      <c r="B398">
        <v>2450104.98216</v>
      </c>
      <c r="C398">
        <v>2425544.74216</v>
      </c>
    </row>
    <row r="399" spans="1:3">
      <c r="A399" t="s">
        <v>1570</v>
      </c>
      <c r="B399">
        <v>1436706.543</v>
      </c>
      <c r="C399">
        <v>1422327.543</v>
      </c>
    </row>
    <row r="400" spans="1:3">
      <c r="A400" t="s">
        <v>1592</v>
      </c>
      <c r="B400">
        <v>1475646.51222</v>
      </c>
      <c r="C400">
        <v>1460872.02222</v>
      </c>
    </row>
    <row r="401" spans="1:3">
      <c r="A401" t="s">
        <v>1578</v>
      </c>
      <c r="B401">
        <v>1818173.343</v>
      </c>
      <c r="C401">
        <v>1799987.063</v>
      </c>
    </row>
    <row r="402" spans="1:3">
      <c r="A402" t="s">
        <v>1581</v>
      </c>
      <c r="B402">
        <v>2121438.5248</v>
      </c>
      <c r="C402">
        <v>2100185.8848</v>
      </c>
    </row>
    <row r="403" spans="1:3">
      <c r="A403" t="s">
        <v>1577</v>
      </c>
      <c r="B403">
        <v>1893526.73184</v>
      </c>
      <c r="C403">
        <v>1874571.37184</v>
      </c>
    </row>
    <row r="404" spans="1:3">
      <c r="A404" t="s">
        <v>1573</v>
      </c>
      <c r="B404">
        <v>599978.0739</v>
      </c>
      <c r="C404">
        <v>593970.7239</v>
      </c>
    </row>
    <row r="405" spans="1:3">
      <c r="A405" t="s">
        <v>1569</v>
      </c>
      <c r="B405">
        <v>880012.1011</v>
      </c>
      <c r="C405">
        <v>871202.2011</v>
      </c>
    </row>
    <row r="406" spans="1:3">
      <c r="A406" t="s">
        <v>1582</v>
      </c>
      <c r="B406">
        <v>1434690.21024</v>
      </c>
      <c r="C406">
        <v>1420334.12024</v>
      </c>
    </row>
    <row r="407" spans="1:3">
      <c r="A407" t="s">
        <v>1565</v>
      </c>
      <c r="B407">
        <v>2431186.5438</v>
      </c>
      <c r="C407">
        <v>2406855.9438</v>
      </c>
    </row>
    <row r="408" spans="1:3">
      <c r="A408" t="s">
        <v>1586</v>
      </c>
      <c r="B408">
        <v>2495509.43796</v>
      </c>
      <c r="C408">
        <v>2470519.85796</v>
      </c>
    </row>
    <row r="409" spans="1:3">
      <c r="A409" t="s">
        <v>1563</v>
      </c>
      <c r="B409">
        <v>580913.17416</v>
      </c>
      <c r="C409">
        <v>575092.63416</v>
      </c>
    </row>
    <row r="410" spans="1:3">
      <c r="A410" t="s">
        <v>1587</v>
      </c>
      <c r="B410">
        <v>2366856</v>
      </c>
      <c r="C410">
        <v>2343187.44</v>
      </c>
    </row>
    <row r="411" spans="1:3">
      <c r="A411" t="s">
        <v>1581</v>
      </c>
      <c r="B411">
        <v>699757.51032</v>
      </c>
      <c r="C411">
        <v>692743.03032</v>
      </c>
    </row>
    <row r="412" spans="1:3">
      <c r="A412" t="s">
        <v>1566</v>
      </c>
      <c r="B412">
        <v>904519.02046</v>
      </c>
      <c r="C412">
        <v>895452.16046</v>
      </c>
    </row>
    <row r="413" spans="1:3">
      <c r="A413" t="s">
        <v>1582</v>
      </c>
      <c r="B413">
        <v>231610.3056</v>
      </c>
      <c r="C413">
        <v>229291.6056</v>
      </c>
    </row>
    <row r="414" spans="1:3">
      <c r="A414" t="s">
        <v>1585</v>
      </c>
      <c r="B414">
        <v>1757996.65069</v>
      </c>
      <c r="C414">
        <v>1740402.08069</v>
      </c>
    </row>
    <row r="415" spans="1:3">
      <c r="A415" t="s">
        <v>1576</v>
      </c>
      <c r="B415">
        <v>3393397.99304</v>
      </c>
      <c r="C415">
        <v>3359439.56304</v>
      </c>
    </row>
    <row r="416" spans="1:3">
      <c r="A416" t="s">
        <v>1585</v>
      </c>
      <c r="B416">
        <v>1901396.3584</v>
      </c>
      <c r="C416">
        <v>1882376.3084</v>
      </c>
    </row>
    <row r="417" spans="1:3">
      <c r="A417" t="s">
        <v>1577</v>
      </c>
      <c r="B417">
        <v>1439328.9832</v>
      </c>
      <c r="C417">
        <v>1424900.3432</v>
      </c>
    </row>
    <row r="418" spans="1:3">
      <c r="A418" t="s">
        <v>1575</v>
      </c>
      <c r="B418">
        <v>874976.8115</v>
      </c>
      <c r="C418">
        <v>866219.1615</v>
      </c>
    </row>
    <row r="419" spans="1:3">
      <c r="A419" t="s">
        <v>1563</v>
      </c>
      <c r="B419">
        <v>94486.51836</v>
      </c>
      <c r="C419">
        <v>93539.59836</v>
      </c>
    </row>
    <row r="420" spans="1:3">
      <c r="A420" t="s">
        <v>1568</v>
      </c>
      <c r="B420">
        <v>1225813.3866</v>
      </c>
      <c r="C420">
        <v>1213527.4866</v>
      </c>
    </row>
    <row r="421" spans="1:3">
      <c r="A421" t="s">
        <v>1595</v>
      </c>
      <c r="B421">
        <v>1708576.1484</v>
      </c>
      <c r="C421">
        <v>1691464.5484</v>
      </c>
    </row>
    <row r="422" spans="1:3">
      <c r="A422" t="s">
        <v>1586</v>
      </c>
      <c r="B422">
        <v>1017616.6161</v>
      </c>
      <c r="C422">
        <v>1007438.5161</v>
      </c>
    </row>
    <row r="423" spans="1:3">
      <c r="A423" t="s">
        <v>1572</v>
      </c>
      <c r="B423">
        <v>12095208.66204</v>
      </c>
      <c r="C423">
        <v>11974066.38204</v>
      </c>
    </row>
    <row r="424" spans="1:3">
      <c r="A424" t="s">
        <v>1570</v>
      </c>
      <c r="B424">
        <v>3554993.56032</v>
      </c>
      <c r="C424">
        <v>3519383.80032</v>
      </c>
    </row>
    <row r="425" spans="1:3">
      <c r="A425" t="s">
        <v>1594</v>
      </c>
      <c r="B425">
        <v>7655280.35496</v>
      </c>
      <c r="C425">
        <v>7578541.07496</v>
      </c>
    </row>
    <row r="426" spans="1:3">
      <c r="A426" t="s">
        <v>1594</v>
      </c>
      <c r="B426">
        <v>1854945.3832</v>
      </c>
      <c r="C426">
        <v>1836363.7832</v>
      </c>
    </row>
    <row r="427" spans="1:3">
      <c r="A427" t="s">
        <v>1590</v>
      </c>
      <c r="B427">
        <v>4047936.795</v>
      </c>
      <c r="C427">
        <v>4007355.975</v>
      </c>
    </row>
    <row r="428" spans="1:3">
      <c r="A428" t="s">
        <v>1581</v>
      </c>
      <c r="B428">
        <v>2854060.056</v>
      </c>
      <c r="C428">
        <v>2825433.576</v>
      </c>
    </row>
    <row r="429" spans="1:3">
      <c r="A429" t="s">
        <v>1594</v>
      </c>
      <c r="B429">
        <v>1345074</v>
      </c>
      <c r="C429">
        <v>1331623.26</v>
      </c>
    </row>
    <row r="430" spans="1:3">
      <c r="A430" t="s">
        <v>1567</v>
      </c>
      <c r="B430">
        <v>4977729.702</v>
      </c>
      <c r="C430">
        <v>4927865.142</v>
      </c>
    </row>
    <row r="431" spans="1:3">
      <c r="A431" t="s">
        <v>1577</v>
      </c>
      <c r="B431">
        <v>1462251.47475</v>
      </c>
      <c r="C431">
        <v>1447612.12475</v>
      </c>
    </row>
    <row r="432" spans="1:3">
      <c r="A432" t="s">
        <v>1565</v>
      </c>
      <c r="B432">
        <v>5805765</v>
      </c>
      <c r="C432">
        <v>5747707.35</v>
      </c>
    </row>
    <row r="433" spans="1:3">
      <c r="A433" t="s">
        <v>1595</v>
      </c>
      <c r="B433">
        <v>278194.124</v>
      </c>
      <c r="C433">
        <v>275410.624</v>
      </c>
    </row>
    <row r="434" spans="1:3">
      <c r="A434" t="s">
        <v>1565</v>
      </c>
      <c r="B434">
        <v>1377290.91864</v>
      </c>
      <c r="C434">
        <v>1363509.87864</v>
      </c>
    </row>
    <row r="435" spans="1:3">
      <c r="A435" t="s">
        <v>1592</v>
      </c>
      <c r="B435">
        <v>247561.08312</v>
      </c>
      <c r="C435">
        <v>245080.16312</v>
      </c>
    </row>
    <row r="436" spans="1:3">
      <c r="A436" t="s">
        <v>1595</v>
      </c>
      <c r="B436">
        <v>2724900</v>
      </c>
      <c r="C436">
        <v>2697651</v>
      </c>
    </row>
    <row r="437" spans="1:3">
      <c r="A437" t="s">
        <v>1565</v>
      </c>
      <c r="B437">
        <v>624599.40422</v>
      </c>
      <c r="C437">
        <v>618346.34422</v>
      </c>
    </row>
    <row r="438" spans="1:3">
      <c r="A438" t="s">
        <v>1571</v>
      </c>
      <c r="B438">
        <v>859273.00914</v>
      </c>
      <c r="C438">
        <v>850667.62914</v>
      </c>
    </row>
    <row r="439" spans="1:3">
      <c r="A439" t="s">
        <v>1587</v>
      </c>
      <c r="B439">
        <v>2934213.56928</v>
      </c>
      <c r="C439">
        <v>2904820.28928</v>
      </c>
    </row>
    <row r="440" spans="1:3">
      <c r="A440" t="s">
        <v>1562</v>
      </c>
      <c r="B440">
        <v>291396.47844</v>
      </c>
      <c r="C440">
        <v>288481.31844</v>
      </c>
    </row>
    <row r="441" spans="1:3">
      <c r="A441" t="s">
        <v>1574</v>
      </c>
      <c r="B441">
        <v>2428385.949</v>
      </c>
      <c r="C441">
        <v>2404065.609</v>
      </c>
    </row>
    <row r="442" spans="1:3">
      <c r="A442" t="s">
        <v>1560</v>
      </c>
      <c r="B442">
        <v>1484713.36728</v>
      </c>
      <c r="C442">
        <v>1469844.22728</v>
      </c>
    </row>
    <row r="443" spans="1:3">
      <c r="A443" t="s">
        <v>1588</v>
      </c>
      <c r="B443">
        <v>3732338.01501</v>
      </c>
      <c r="C443">
        <v>3694955.94501</v>
      </c>
    </row>
    <row r="444" spans="1:3">
      <c r="A444" t="s">
        <v>1581</v>
      </c>
      <c r="B444">
        <v>622516.20288</v>
      </c>
      <c r="C444">
        <v>616288.36288</v>
      </c>
    </row>
    <row r="445" spans="1:3">
      <c r="A445" t="s">
        <v>1592</v>
      </c>
      <c r="B445">
        <v>2166444</v>
      </c>
      <c r="C445">
        <v>2144779.56</v>
      </c>
    </row>
    <row r="446" spans="1:3">
      <c r="A446" t="s">
        <v>1583</v>
      </c>
      <c r="B446">
        <v>198020.53872</v>
      </c>
      <c r="C446">
        <v>196039.77872</v>
      </c>
    </row>
    <row r="447" spans="1:3">
      <c r="A447" t="s">
        <v>1587</v>
      </c>
      <c r="B447">
        <v>1054451.12832</v>
      </c>
      <c r="C447">
        <v>1043898.80832</v>
      </c>
    </row>
    <row r="448" spans="1:3">
      <c r="A448" t="s">
        <v>1563</v>
      </c>
      <c r="B448">
        <v>784868.57725</v>
      </c>
      <c r="C448">
        <v>776996.82725</v>
      </c>
    </row>
    <row r="449" spans="1:3">
      <c r="A449" t="s">
        <v>1576</v>
      </c>
      <c r="B449">
        <v>5078104.27336</v>
      </c>
      <c r="C449">
        <v>5027270.36336</v>
      </c>
    </row>
    <row r="450" spans="1:3">
      <c r="A450" t="s">
        <v>1576</v>
      </c>
      <c r="B450">
        <v>1564114.2</v>
      </c>
      <c r="C450">
        <v>1548439.2</v>
      </c>
    </row>
    <row r="451" spans="1:3">
      <c r="A451" t="s">
        <v>1584</v>
      </c>
      <c r="B451">
        <v>1490070.32055</v>
      </c>
      <c r="C451">
        <v>1475144.99055</v>
      </c>
    </row>
    <row r="452" spans="1:3">
      <c r="A452" t="s">
        <v>1564</v>
      </c>
      <c r="B452">
        <v>2100162.977</v>
      </c>
      <c r="C452">
        <v>2079147.477</v>
      </c>
    </row>
    <row r="453" spans="1:3">
      <c r="A453" t="s">
        <v>1566</v>
      </c>
      <c r="B453">
        <v>2548717.12512</v>
      </c>
      <c r="C453">
        <v>2523211.84512</v>
      </c>
    </row>
    <row r="454" spans="1:3">
      <c r="A454" t="s">
        <v>1575</v>
      </c>
      <c r="B454">
        <v>1352667.64125</v>
      </c>
      <c r="C454">
        <v>1339125.39125</v>
      </c>
    </row>
    <row r="455" spans="1:3">
      <c r="A455" t="s">
        <v>1574</v>
      </c>
      <c r="B455">
        <v>2352844.94835</v>
      </c>
      <c r="C455">
        <v>2329312.49835</v>
      </c>
    </row>
    <row r="456" spans="1:3">
      <c r="A456" t="s">
        <v>1565</v>
      </c>
      <c r="B456">
        <v>1657629.98608</v>
      </c>
      <c r="C456">
        <v>1641035.26608</v>
      </c>
    </row>
    <row r="457" spans="1:3">
      <c r="A457" t="s">
        <v>1587</v>
      </c>
      <c r="B457">
        <v>2079798</v>
      </c>
      <c r="C457">
        <v>2059000.02</v>
      </c>
    </row>
    <row r="458" spans="1:3">
      <c r="A458" t="s">
        <v>1574</v>
      </c>
      <c r="B458">
        <v>907871.61312</v>
      </c>
      <c r="C458">
        <v>898780.53312</v>
      </c>
    </row>
    <row r="459" spans="1:3">
      <c r="A459" t="s">
        <v>1593</v>
      </c>
      <c r="B459">
        <v>872424.105</v>
      </c>
      <c r="C459">
        <v>863688.945</v>
      </c>
    </row>
    <row r="460" spans="1:3">
      <c r="A460" t="s">
        <v>1566</v>
      </c>
      <c r="B460">
        <v>2432157</v>
      </c>
      <c r="C460">
        <v>2407835.43</v>
      </c>
    </row>
    <row r="461" spans="1:3">
      <c r="A461" t="s">
        <v>1584</v>
      </c>
      <c r="B461">
        <v>185992.77456</v>
      </c>
      <c r="C461">
        <v>184130.85456</v>
      </c>
    </row>
    <row r="462" spans="1:3">
      <c r="A462" t="s">
        <v>1574</v>
      </c>
      <c r="B462">
        <v>106656.23574</v>
      </c>
      <c r="C462">
        <v>105588.29574</v>
      </c>
    </row>
    <row r="463" spans="1:3">
      <c r="A463" t="s">
        <v>1560</v>
      </c>
      <c r="B463">
        <v>477518.0676</v>
      </c>
      <c r="C463">
        <v>472735.6176</v>
      </c>
    </row>
    <row r="464" spans="1:3">
      <c r="A464" t="s">
        <v>1578</v>
      </c>
      <c r="B464">
        <v>215142.8916</v>
      </c>
      <c r="C464">
        <v>212988.7916</v>
      </c>
    </row>
    <row r="465" spans="1:3">
      <c r="A465" t="s">
        <v>1572</v>
      </c>
      <c r="B465">
        <v>242718.60592</v>
      </c>
      <c r="C465">
        <v>240285.16592</v>
      </c>
    </row>
    <row r="466" spans="1:3">
      <c r="A466" t="s">
        <v>1577</v>
      </c>
      <c r="B466">
        <v>10641139.7196</v>
      </c>
      <c r="C466">
        <v>10534503.3196</v>
      </c>
    </row>
    <row r="467" spans="1:3">
      <c r="A467" t="s">
        <v>1576</v>
      </c>
      <c r="B467">
        <v>351962.1567</v>
      </c>
      <c r="C467">
        <v>348434.4567</v>
      </c>
    </row>
    <row r="468" spans="1:3">
      <c r="A468" t="s">
        <v>1587</v>
      </c>
      <c r="B468">
        <v>1534101.01439</v>
      </c>
      <c r="C468">
        <v>1518749.10439</v>
      </c>
    </row>
    <row r="469" spans="1:3">
      <c r="A469" t="s">
        <v>1575</v>
      </c>
      <c r="B469">
        <v>3274152.09</v>
      </c>
      <c r="C469">
        <v>3241335.09</v>
      </c>
    </row>
    <row r="470" spans="1:3">
      <c r="A470" t="s">
        <v>1563</v>
      </c>
      <c r="B470">
        <v>1702803.34998</v>
      </c>
      <c r="C470">
        <v>1685767.47998</v>
      </c>
    </row>
    <row r="471" spans="1:3">
      <c r="A471" t="s">
        <v>1574</v>
      </c>
      <c r="B471">
        <v>1095998.69736</v>
      </c>
      <c r="C471">
        <v>1085033.33736</v>
      </c>
    </row>
    <row r="472" spans="1:3">
      <c r="A472" t="s">
        <v>1585</v>
      </c>
      <c r="B472">
        <v>4234221.69926</v>
      </c>
      <c r="C472">
        <v>4191820.96926</v>
      </c>
    </row>
    <row r="473" spans="1:3">
      <c r="A473" t="s">
        <v>1572</v>
      </c>
      <c r="B473">
        <v>1659091.3632</v>
      </c>
      <c r="C473">
        <v>1642488.1632</v>
      </c>
    </row>
    <row r="474" spans="1:3">
      <c r="A474" t="s">
        <v>1594</v>
      </c>
      <c r="B474">
        <v>951917.07132</v>
      </c>
      <c r="C474">
        <v>942385.89132</v>
      </c>
    </row>
    <row r="475" spans="1:3">
      <c r="A475" t="s">
        <v>1590</v>
      </c>
      <c r="B475">
        <v>2414330.4555</v>
      </c>
      <c r="C475">
        <v>2390137.5555</v>
      </c>
    </row>
    <row r="476" spans="1:3">
      <c r="A476" t="s">
        <v>1574</v>
      </c>
      <c r="B476">
        <v>2837445.77204</v>
      </c>
      <c r="C476">
        <v>2809059.39204</v>
      </c>
    </row>
    <row r="477" spans="1:3">
      <c r="A477" t="s">
        <v>1566</v>
      </c>
      <c r="B477">
        <v>110691.3969</v>
      </c>
      <c r="C477">
        <v>109583.4969</v>
      </c>
    </row>
    <row r="478" spans="1:3">
      <c r="A478" t="s">
        <v>1582</v>
      </c>
      <c r="B478">
        <v>503643.6146</v>
      </c>
      <c r="C478">
        <v>498598.8546</v>
      </c>
    </row>
    <row r="479" spans="1:3">
      <c r="A479" t="s">
        <v>1584</v>
      </c>
      <c r="B479">
        <v>5334653.20584</v>
      </c>
      <c r="C479">
        <v>5281191.19584</v>
      </c>
    </row>
    <row r="480" spans="1:3">
      <c r="A480" t="s">
        <v>1571</v>
      </c>
      <c r="B480">
        <v>2307789.3498</v>
      </c>
      <c r="C480">
        <v>2284706.8398</v>
      </c>
    </row>
    <row r="481" spans="1:3">
      <c r="A481" t="s">
        <v>1568</v>
      </c>
      <c r="B481">
        <v>4378573.75296</v>
      </c>
      <c r="C481">
        <v>4334754.71296</v>
      </c>
    </row>
    <row r="482" spans="1:3">
      <c r="A482" t="s">
        <v>1592</v>
      </c>
      <c r="B482">
        <v>520815.6261</v>
      </c>
      <c r="C482">
        <v>515602.7261</v>
      </c>
    </row>
    <row r="483" spans="1:3">
      <c r="A483" t="s">
        <v>1590</v>
      </c>
      <c r="B483">
        <v>4160525.847</v>
      </c>
      <c r="C483">
        <v>4118865.597</v>
      </c>
    </row>
    <row r="484" spans="1:3">
      <c r="A484" t="s">
        <v>1578</v>
      </c>
      <c r="B484">
        <v>541111.05906</v>
      </c>
      <c r="C484">
        <v>535697.07906</v>
      </c>
    </row>
    <row r="485" spans="1:3">
      <c r="A485" t="s">
        <v>1585</v>
      </c>
      <c r="B485">
        <v>2495072.28165</v>
      </c>
      <c r="C485">
        <v>2470090.83165</v>
      </c>
    </row>
    <row r="486" spans="1:3">
      <c r="A486" t="s">
        <v>1565</v>
      </c>
      <c r="B486">
        <v>667144.66172</v>
      </c>
      <c r="C486">
        <v>660467.07172</v>
      </c>
    </row>
    <row r="487" spans="1:3">
      <c r="A487" t="s">
        <v>1595</v>
      </c>
      <c r="B487">
        <v>661739.66936</v>
      </c>
      <c r="C487">
        <v>655107.54936</v>
      </c>
    </row>
    <row r="488" spans="1:3">
      <c r="A488" t="s">
        <v>1577</v>
      </c>
      <c r="B488">
        <v>3113943.975</v>
      </c>
      <c r="C488">
        <v>3082781.475</v>
      </c>
    </row>
    <row r="489" spans="1:3">
      <c r="A489" t="s">
        <v>1566</v>
      </c>
      <c r="B489">
        <v>500364.33656</v>
      </c>
      <c r="C489">
        <v>495350.81656</v>
      </c>
    </row>
    <row r="490" spans="1:3">
      <c r="A490" t="s">
        <v>1567</v>
      </c>
      <c r="B490">
        <v>1109995.4804</v>
      </c>
      <c r="C490">
        <v>1098880.5204</v>
      </c>
    </row>
    <row r="491" spans="1:3">
      <c r="A491" t="s">
        <v>1580</v>
      </c>
      <c r="B491">
        <v>154735</v>
      </c>
      <c r="C491">
        <v>153187.65</v>
      </c>
    </row>
    <row r="492" spans="1:3">
      <c r="A492" t="s">
        <v>1581</v>
      </c>
      <c r="B492">
        <v>666410</v>
      </c>
      <c r="C492">
        <v>659745.9</v>
      </c>
    </row>
    <row r="493" spans="1:3">
      <c r="A493" t="s">
        <v>1572</v>
      </c>
      <c r="B493">
        <v>818017.48149</v>
      </c>
      <c r="C493">
        <v>809830.51149</v>
      </c>
    </row>
    <row r="494" spans="1:3">
      <c r="A494" t="s">
        <v>1560</v>
      </c>
      <c r="B494">
        <v>12673.2492</v>
      </c>
      <c r="C494">
        <v>12546.3492</v>
      </c>
    </row>
    <row r="495" spans="1:3">
      <c r="A495" t="s">
        <v>1566</v>
      </c>
      <c r="B495">
        <v>1237444.05512</v>
      </c>
      <c r="C495">
        <v>1225064.41512</v>
      </c>
    </row>
    <row r="496" spans="1:3">
      <c r="A496" t="s">
        <v>1581</v>
      </c>
      <c r="B496">
        <v>527357.41198</v>
      </c>
      <c r="C496">
        <v>522077.87198</v>
      </c>
    </row>
    <row r="497" spans="1:3">
      <c r="A497" t="s">
        <v>1583</v>
      </c>
      <c r="B497">
        <v>3572132.35896</v>
      </c>
      <c r="C497">
        <v>3536360.23896</v>
      </c>
    </row>
    <row r="498" spans="1:3">
      <c r="A498" t="s">
        <v>1592</v>
      </c>
      <c r="B498">
        <v>2634552.02322</v>
      </c>
      <c r="C498">
        <v>2608195.43322</v>
      </c>
    </row>
    <row r="499" spans="1:3">
      <c r="A499" t="s">
        <v>1595</v>
      </c>
      <c r="B499">
        <v>916197.4696</v>
      </c>
      <c r="C499">
        <v>907030.2696</v>
      </c>
    </row>
    <row r="500" spans="1:3">
      <c r="A500" t="s">
        <v>1570</v>
      </c>
      <c r="B500">
        <v>2114886.47474</v>
      </c>
      <c r="C500">
        <v>2093691.40474</v>
      </c>
    </row>
    <row r="501" spans="1:3">
      <c r="A501" t="s">
        <v>1574</v>
      </c>
      <c r="B501">
        <v>2119336.71554</v>
      </c>
      <c r="C501">
        <v>2098134.65554</v>
      </c>
    </row>
    <row r="502" spans="1:3">
      <c r="A502" t="s">
        <v>1580</v>
      </c>
      <c r="B502">
        <v>890240.8109</v>
      </c>
      <c r="C502">
        <v>881323.5109</v>
      </c>
    </row>
    <row r="503" spans="1:3">
      <c r="A503" t="s">
        <v>1562</v>
      </c>
      <c r="B503">
        <v>1166668.44294</v>
      </c>
      <c r="C503">
        <v>1154993.70294</v>
      </c>
    </row>
    <row r="504" spans="1:3">
      <c r="A504" t="s">
        <v>1563</v>
      </c>
      <c r="B504">
        <v>959784.63745</v>
      </c>
      <c r="C504">
        <v>950177.08745</v>
      </c>
    </row>
    <row r="505" spans="1:3">
      <c r="A505" t="s">
        <v>1563</v>
      </c>
      <c r="B505">
        <v>1094920.0191</v>
      </c>
      <c r="C505">
        <v>1083963.1491</v>
      </c>
    </row>
    <row r="506" spans="1:3">
      <c r="A506" t="s">
        <v>1580</v>
      </c>
      <c r="B506">
        <v>3682490.95802</v>
      </c>
      <c r="C506">
        <v>3645620.69802</v>
      </c>
    </row>
    <row r="507" spans="1:3">
      <c r="A507" t="s">
        <v>1578</v>
      </c>
      <c r="B507">
        <v>4538385.6714</v>
      </c>
      <c r="C507">
        <v>4492894.9114</v>
      </c>
    </row>
    <row r="508" spans="1:3">
      <c r="A508" t="s">
        <v>1561</v>
      </c>
      <c r="B508">
        <v>1563353.2668</v>
      </c>
      <c r="C508">
        <v>1547716.6068</v>
      </c>
    </row>
    <row r="509" spans="1:3">
      <c r="A509" t="s">
        <v>1571</v>
      </c>
      <c r="B509">
        <v>434293.9744</v>
      </c>
      <c r="C509">
        <v>429946.7744</v>
      </c>
    </row>
    <row r="510" spans="1:3">
      <c r="A510" t="s">
        <v>1577</v>
      </c>
      <c r="B510">
        <v>929200.3786</v>
      </c>
      <c r="C510">
        <v>919898.3286</v>
      </c>
    </row>
    <row r="511" spans="1:3">
      <c r="A511" t="s">
        <v>1574</v>
      </c>
      <c r="B511">
        <v>1164726.62306</v>
      </c>
      <c r="C511">
        <v>1153054.96306</v>
      </c>
    </row>
    <row r="512" spans="1:3">
      <c r="A512" t="s">
        <v>1560</v>
      </c>
      <c r="B512">
        <v>399699.79056</v>
      </c>
      <c r="C512">
        <v>395698.03056</v>
      </c>
    </row>
    <row r="513" spans="1:3">
      <c r="A513" t="s">
        <v>1561</v>
      </c>
      <c r="B513">
        <v>5880911.3154</v>
      </c>
      <c r="C513">
        <v>5822016.2154</v>
      </c>
    </row>
    <row r="514" spans="1:3">
      <c r="A514" t="s">
        <v>1583</v>
      </c>
      <c r="B514">
        <v>535973.4336</v>
      </c>
      <c r="C514">
        <v>530611.9836</v>
      </c>
    </row>
    <row r="515" spans="1:3">
      <c r="A515" t="s">
        <v>1569</v>
      </c>
      <c r="B515">
        <v>3330855</v>
      </c>
      <c r="C515">
        <v>3297546.45</v>
      </c>
    </row>
    <row r="516" spans="1:3">
      <c r="A516" t="s">
        <v>1590</v>
      </c>
      <c r="B516">
        <v>1085964</v>
      </c>
      <c r="C516">
        <v>1075104.36</v>
      </c>
    </row>
    <row r="517" spans="1:3">
      <c r="A517" t="s">
        <v>1588</v>
      </c>
      <c r="B517">
        <v>2629526.15223</v>
      </c>
      <c r="C517">
        <v>2603189.54223</v>
      </c>
    </row>
    <row r="518" spans="1:3">
      <c r="A518" t="s">
        <v>1567</v>
      </c>
      <c r="B518">
        <v>113022.93592</v>
      </c>
      <c r="C518">
        <v>111891.49592</v>
      </c>
    </row>
    <row r="519" spans="1:3">
      <c r="A519" t="s">
        <v>1566</v>
      </c>
      <c r="B519">
        <v>1136223.84428</v>
      </c>
      <c r="C519">
        <v>1124845.90428</v>
      </c>
    </row>
    <row r="520" spans="1:3">
      <c r="A520" t="s">
        <v>1574</v>
      </c>
      <c r="B520">
        <v>89937.90882</v>
      </c>
      <c r="C520">
        <v>89038.08882</v>
      </c>
    </row>
    <row r="521" spans="1:3">
      <c r="A521" t="s">
        <v>1573</v>
      </c>
      <c r="B521">
        <v>900751.7232</v>
      </c>
      <c r="C521">
        <v>891727.9632</v>
      </c>
    </row>
    <row r="522" spans="1:3">
      <c r="A522" t="s">
        <v>1574</v>
      </c>
      <c r="B522">
        <v>7125420.447</v>
      </c>
      <c r="C522">
        <v>7054094.917</v>
      </c>
    </row>
    <row r="523" spans="1:3">
      <c r="A523" t="s">
        <v>1573</v>
      </c>
      <c r="B523">
        <v>2252666</v>
      </c>
      <c r="C523">
        <v>2230139.34</v>
      </c>
    </row>
    <row r="524" spans="1:3">
      <c r="A524" t="s">
        <v>1580</v>
      </c>
      <c r="B524">
        <v>1777717.3734</v>
      </c>
      <c r="C524">
        <v>1759923.4734</v>
      </c>
    </row>
    <row r="525" spans="1:3">
      <c r="A525" t="s">
        <v>1568</v>
      </c>
      <c r="B525">
        <v>774013.9356</v>
      </c>
      <c r="C525">
        <v>766260.6156</v>
      </c>
    </row>
    <row r="526" spans="1:3">
      <c r="A526" t="s">
        <v>1580</v>
      </c>
      <c r="B526">
        <v>1071993.57525</v>
      </c>
      <c r="C526">
        <v>1061249.46525</v>
      </c>
    </row>
    <row r="527" spans="1:3">
      <c r="A527" t="s">
        <v>1586</v>
      </c>
      <c r="B527">
        <v>247821.98805</v>
      </c>
      <c r="C527">
        <v>245340.41805</v>
      </c>
    </row>
    <row r="528" spans="1:3">
      <c r="A528" t="s">
        <v>1564</v>
      </c>
      <c r="B528">
        <v>1140696</v>
      </c>
      <c r="C528">
        <v>1129289.04</v>
      </c>
    </row>
    <row r="529" spans="1:3">
      <c r="A529" t="s">
        <v>1576</v>
      </c>
      <c r="B529">
        <v>6215972.41122</v>
      </c>
      <c r="C529">
        <v>6153775.99122</v>
      </c>
    </row>
    <row r="530" spans="1:3">
      <c r="A530" t="s">
        <v>1585</v>
      </c>
      <c r="B530">
        <v>3342110</v>
      </c>
      <c r="C530">
        <v>3308688.9</v>
      </c>
    </row>
    <row r="531" spans="1:3">
      <c r="A531" t="s">
        <v>1568</v>
      </c>
      <c r="B531">
        <v>962427.13866</v>
      </c>
      <c r="C531">
        <v>952799.20866</v>
      </c>
    </row>
    <row r="532" spans="1:3">
      <c r="A532" t="s">
        <v>1563</v>
      </c>
      <c r="B532">
        <v>70324.0998</v>
      </c>
      <c r="C532">
        <v>69619.9998</v>
      </c>
    </row>
    <row r="533" spans="1:3">
      <c r="A533" t="s">
        <v>1578</v>
      </c>
      <c r="B533">
        <v>60267.21696</v>
      </c>
      <c r="C533">
        <v>59663.85696</v>
      </c>
    </row>
    <row r="534" spans="1:3">
      <c r="A534" t="s">
        <v>1585</v>
      </c>
      <c r="B534">
        <v>1275827.3978</v>
      </c>
      <c r="C534">
        <v>1263060.6978</v>
      </c>
    </row>
    <row r="535" spans="1:3">
      <c r="A535" t="s">
        <v>1575</v>
      </c>
      <c r="B535">
        <v>5628726.0544</v>
      </c>
      <c r="C535">
        <v>5572298.8544</v>
      </c>
    </row>
    <row r="536" spans="1:3">
      <c r="A536" t="s">
        <v>1569</v>
      </c>
      <c r="B536">
        <v>1867473.0468</v>
      </c>
      <c r="C536">
        <v>1848762.7668</v>
      </c>
    </row>
    <row r="537" spans="1:3">
      <c r="A537" t="s">
        <v>1584</v>
      </c>
      <c r="B537">
        <v>917954.20724</v>
      </c>
      <c r="C537">
        <v>908760.96724</v>
      </c>
    </row>
    <row r="538" spans="1:3">
      <c r="A538" t="s">
        <v>1581</v>
      </c>
      <c r="B538">
        <v>5576608.12632</v>
      </c>
      <c r="C538">
        <v>5520793.48632</v>
      </c>
    </row>
    <row r="539" spans="1:3">
      <c r="A539" t="s">
        <v>1584</v>
      </c>
      <c r="B539">
        <v>2136169.6716</v>
      </c>
      <c r="C539">
        <v>2114798.5716</v>
      </c>
    </row>
    <row r="540" spans="1:3">
      <c r="A540" t="s">
        <v>1587</v>
      </c>
      <c r="B540">
        <v>7412028.63424</v>
      </c>
      <c r="C540">
        <v>7337828.95424</v>
      </c>
    </row>
    <row r="541" spans="1:3">
      <c r="A541" t="s">
        <v>1564</v>
      </c>
      <c r="B541">
        <v>366373.637</v>
      </c>
      <c r="C541">
        <v>362706.637</v>
      </c>
    </row>
    <row r="542" spans="1:3">
      <c r="A542" t="s">
        <v>1584</v>
      </c>
      <c r="B542">
        <v>1958187</v>
      </c>
      <c r="C542">
        <v>1938605.13</v>
      </c>
    </row>
    <row r="543" spans="1:3">
      <c r="A543" t="s">
        <v>1576</v>
      </c>
      <c r="B543">
        <v>3530753.84352</v>
      </c>
      <c r="C543">
        <v>3495399.28352</v>
      </c>
    </row>
    <row r="544" spans="1:3">
      <c r="A544" t="s">
        <v>1562</v>
      </c>
      <c r="B544">
        <v>503126.97984</v>
      </c>
      <c r="C544">
        <v>498092.73984</v>
      </c>
    </row>
    <row r="545" spans="1:3">
      <c r="A545" t="s">
        <v>1584</v>
      </c>
      <c r="B545">
        <v>1592975.9685</v>
      </c>
      <c r="C545">
        <v>1577027.8685</v>
      </c>
    </row>
    <row r="546" spans="1:3">
      <c r="A546" t="s">
        <v>1590</v>
      </c>
      <c r="B546">
        <v>1366720.39712</v>
      </c>
      <c r="C546">
        <v>1353024.15712</v>
      </c>
    </row>
    <row r="547" spans="1:3">
      <c r="A547" t="s">
        <v>1560</v>
      </c>
      <c r="B547">
        <v>631074.79962</v>
      </c>
      <c r="C547">
        <v>624749.05962</v>
      </c>
    </row>
    <row r="548" spans="1:3">
      <c r="A548" t="s">
        <v>1588</v>
      </c>
      <c r="B548">
        <v>1956897.16992</v>
      </c>
      <c r="C548">
        <v>1937287.40992</v>
      </c>
    </row>
    <row r="549" spans="1:3">
      <c r="A549" t="s">
        <v>1562</v>
      </c>
      <c r="B549">
        <v>3624045.93393</v>
      </c>
      <c r="C549">
        <v>3587760.84393</v>
      </c>
    </row>
    <row r="550" spans="1:3">
      <c r="A550" t="s">
        <v>1573</v>
      </c>
      <c r="B550">
        <v>1323439.92</v>
      </c>
      <c r="C550">
        <v>1310182.32</v>
      </c>
    </row>
    <row r="551" spans="1:3">
      <c r="A551" t="s">
        <v>1565</v>
      </c>
      <c r="B551">
        <v>3569037.3045</v>
      </c>
      <c r="C551">
        <v>3533286.1545</v>
      </c>
    </row>
    <row r="552" spans="1:3">
      <c r="A552" t="s">
        <v>1590</v>
      </c>
      <c r="B552">
        <v>233869.14408</v>
      </c>
      <c r="C552">
        <v>231525.48408</v>
      </c>
    </row>
    <row r="553" spans="1:3">
      <c r="A553" t="s">
        <v>1582</v>
      </c>
      <c r="B553">
        <v>2230197.08472</v>
      </c>
      <c r="C553">
        <v>2207860.04472</v>
      </c>
    </row>
    <row r="554" spans="1:3">
      <c r="A554" t="s">
        <v>1586</v>
      </c>
      <c r="B554">
        <v>2103856.0092</v>
      </c>
      <c r="C554">
        <v>2082808.6092</v>
      </c>
    </row>
    <row r="555" spans="1:3">
      <c r="A555" t="s">
        <v>1586</v>
      </c>
      <c r="B555">
        <v>1735704.62208</v>
      </c>
      <c r="C555">
        <v>1718332.46208</v>
      </c>
    </row>
    <row r="556" spans="1:3">
      <c r="A556" t="s">
        <v>1581</v>
      </c>
      <c r="B556">
        <v>3829712.8675</v>
      </c>
      <c r="C556">
        <v>3791367.8075</v>
      </c>
    </row>
    <row r="557" spans="1:3">
      <c r="A557" t="s">
        <v>1574</v>
      </c>
      <c r="B557">
        <v>4645026</v>
      </c>
      <c r="C557">
        <v>4598575.74</v>
      </c>
    </row>
    <row r="558" spans="1:3">
      <c r="A558" t="s">
        <v>1567</v>
      </c>
      <c r="B558">
        <v>5340171.74922</v>
      </c>
      <c r="C558">
        <v>5286741.17922</v>
      </c>
    </row>
    <row r="559" spans="1:3">
      <c r="A559" t="s">
        <v>1560</v>
      </c>
      <c r="B559">
        <v>1330491.72645</v>
      </c>
      <c r="C559">
        <v>1317158.67645</v>
      </c>
    </row>
    <row r="560" spans="1:3">
      <c r="A560" t="s">
        <v>1566</v>
      </c>
      <c r="B560">
        <v>1491206.50584</v>
      </c>
      <c r="C560">
        <v>1476276.22584</v>
      </c>
    </row>
    <row r="561" spans="1:3">
      <c r="A561" t="s">
        <v>1568</v>
      </c>
      <c r="B561">
        <v>1504042.98</v>
      </c>
      <c r="C561">
        <v>1488984.48</v>
      </c>
    </row>
    <row r="562" spans="1:3">
      <c r="A562" t="s">
        <v>1561</v>
      </c>
      <c r="B562">
        <v>790312.383</v>
      </c>
      <c r="C562">
        <v>782397.783</v>
      </c>
    </row>
    <row r="563" spans="1:3">
      <c r="A563" t="s">
        <v>1577</v>
      </c>
      <c r="B563">
        <v>3497685.2145</v>
      </c>
      <c r="C563">
        <v>3462689.1145</v>
      </c>
    </row>
    <row r="564" spans="1:3">
      <c r="A564" t="s">
        <v>1571</v>
      </c>
      <c r="B564">
        <v>985935.41544</v>
      </c>
      <c r="C564">
        <v>976062.53544</v>
      </c>
    </row>
    <row r="565" spans="1:3">
      <c r="A565" t="s">
        <v>1586</v>
      </c>
      <c r="B565">
        <v>1090088.2356</v>
      </c>
      <c r="C565">
        <v>1079179.9356</v>
      </c>
    </row>
    <row r="566" spans="1:3">
      <c r="A566" t="s">
        <v>1568</v>
      </c>
      <c r="B566">
        <v>492810.27212</v>
      </c>
      <c r="C566">
        <v>487875.11212</v>
      </c>
    </row>
    <row r="567" spans="1:3">
      <c r="A567" t="s">
        <v>1594</v>
      </c>
      <c r="B567">
        <v>2004359.32112</v>
      </c>
      <c r="C567">
        <v>1984290.44112</v>
      </c>
    </row>
    <row r="568" spans="1:3">
      <c r="A568" t="s">
        <v>1575</v>
      </c>
      <c r="B568">
        <v>4860461.25796</v>
      </c>
      <c r="C568">
        <v>4811811.88796</v>
      </c>
    </row>
    <row r="569" spans="1:3">
      <c r="A569" t="s">
        <v>1577</v>
      </c>
      <c r="B569">
        <v>3117070.25069</v>
      </c>
      <c r="C569">
        <v>3085838.02069</v>
      </c>
    </row>
    <row r="570" spans="1:3">
      <c r="A570" t="s">
        <v>1594</v>
      </c>
      <c r="B570">
        <v>3430716</v>
      </c>
      <c r="C570">
        <v>3396408.84</v>
      </c>
    </row>
    <row r="571" spans="1:3">
      <c r="A571" t="s">
        <v>1578</v>
      </c>
      <c r="B571">
        <v>347803.10784</v>
      </c>
      <c r="C571">
        <v>344324.06784</v>
      </c>
    </row>
    <row r="572" spans="1:3">
      <c r="A572" t="s">
        <v>1583</v>
      </c>
      <c r="B572">
        <v>498191.148</v>
      </c>
      <c r="C572">
        <v>493205.148</v>
      </c>
    </row>
    <row r="573" spans="1:3">
      <c r="A573" t="s">
        <v>1563</v>
      </c>
      <c r="B573">
        <v>89793.49536</v>
      </c>
      <c r="C573">
        <v>88894.98536</v>
      </c>
    </row>
    <row r="574" spans="1:3">
      <c r="A574" t="s">
        <v>1568</v>
      </c>
      <c r="B574">
        <v>2408571.91424</v>
      </c>
      <c r="C574">
        <v>2384436.23424</v>
      </c>
    </row>
    <row r="575" spans="1:3">
      <c r="A575" t="s">
        <v>1587</v>
      </c>
      <c r="B575">
        <v>1531657.79104</v>
      </c>
      <c r="C575">
        <v>1516332.63104</v>
      </c>
    </row>
    <row r="576" spans="1:3">
      <c r="A576" t="s">
        <v>1571</v>
      </c>
      <c r="B576">
        <v>56471.5866</v>
      </c>
      <c r="C576">
        <v>55906.1866</v>
      </c>
    </row>
    <row r="577" spans="1:3">
      <c r="A577" t="s">
        <v>1590</v>
      </c>
      <c r="B577">
        <v>1301991.8904</v>
      </c>
      <c r="C577">
        <v>1288962.5904</v>
      </c>
    </row>
    <row r="578" spans="1:3">
      <c r="A578" t="s">
        <v>1585</v>
      </c>
      <c r="B578">
        <v>1494892.9016</v>
      </c>
      <c r="C578">
        <v>1479933.2016</v>
      </c>
    </row>
    <row r="579" spans="1:3">
      <c r="A579" t="s">
        <v>1583</v>
      </c>
      <c r="B579">
        <v>777265.2734</v>
      </c>
      <c r="C579">
        <v>769482.1134</v>
      </c>
    </row>
    <row r="580" spans="1:3">
      <c r="A580" t="s">
        <v>1577</v>
      </c>
      <c r="B580">
        <v>458500.59864</v>
      </c>
      <c r="C580">
        <v>453912.51864</v>
      </c>
    </row>
    <row r="581" spans="1:3">
      <c r="A581" t="s">
        <v>1572</v>
      </c>
      <c r="B581">
        <v>825330.12428</v>
      </c>
      <c r="C581">
        <v>817065.91428</v>
      </c>
    </row>
    <row r="582" spans="1:3">
      <c r="A582" t="s">
        <v>1583</v>
      </c>
      <c r="B582">
        <v>619918.002</v>
      </c>
      <c r="C582">
        <v>613718.202</v>
      </c>
    </row>
    <row r="583" spans="1:3">
      <c r="A583" t="s">
        <v>1564</v>
      </c>
      <c r="B583">
        <v>232214.0076</v>
      </c>
      <c r="C583">
        <v>229886.6076</v>
      </c>
    </row>
    <row r="584" spans="1:3">
      <c r="A584" t="s">
        <v>1592</v>
      </c>
      <c r="B584">
        <v>4838375.57175</v>
      </c>
      <c r="C584">
        <v>4789912.82175</v>
      </c>
    </row>
    <row r="585" spans="1:3">
      <c r="A585" t="s">
        <v>1581</v>
      </c>
      <c r="B585">
        <v>444496.37516</v>
      </c>
      <c r="C585">
        <v>440045.13516</v>
      </c>
    </row>
    <row r="586" spans="1:3">
      <c r="A586" t="s">
        <v>1578</v>
      </c>
      <c r="B586">
        <v>2363609.52261</v>
      </c>
      <c r="C586">
        <v>2339963.73261</v>
      </c>
    </row>
    <row r="587" spans="1:3">
      <c r="A587" t="s">
        <v>1574</v>
      </c>
      <c r="B587">
        <v>37086</v>
      </c>
      <c r="C587">
        <v>36715.14</v>
      </c>
    </row>
    <row r="588" spans="1:3">
      <c r="A588" t="s">
        <v>1560</v>
      </c>
      <c r="B588">
        <v>2768223.156</v>
      </c>
      <c r="C588">
        <v>2740515.156</v>
      </c>
    </row>
    <row r="589" spans="1:3">
      <c r="A589" t="s">
        <v>1576</v>
      </c>
      <c r="B589">
        <v>7647140.32425</v>
      </c>
      <c r="C589">
        <v>7570590.07425</v>
      </c>
    </row>
    <row r="590" spans="1:3">
      <c r="A590" t="s">
        <v>1586</v>
      </c>
      <c r="B590">
        <v>1319084.18352</v>
      </c>
      <c r="C590">
        <v>1305881.72352</v>
      </c>
    </row>
    <row r="591" spans="1:3">
      <c r="A591" t="s">
        <v>1571</v>
      </c>
      <c r="B591">
        <v>902235</v>
      </c>
      <c r="C591">
        <v>893212.65</v>
      </c>
    </row>
    <row r="592" spans="1:3">
      <c r="A592" t="s">
        <v>1590</v>
      </c>
      <c r="B592">
        <v>1419181.3203</v>
      </c>
      <c r="C592">
        <v>1404964.7703</v>
      </c>
    </row>
    <row r="593" spans="1:3">
      <c r="A593" t="s">
        <v>1562</v>
      </c>
      <c r="B593">
        <v>6052997.70192</v>
      </c>
      <c r="C593">
        <v>5992379.22192</v>
      </c>
    </row>
    <row r="594" spans="1:3">
      <c r="A594" t="s">
        <v>1573</v>
      </c>
      <c r="B594">
        <v>707259.4496</v>
      </c>
      <c r="C594">
        <v>700173.2496</v>
      </c>
    </row>
    <row r="595" spans="1:3">
      <c r="A595" t="s">
        <v>1575</v>
      </c>
      <c r="B595">
        <v>908622.52</v>
      </c>
      <c r="C595">
        <v>899529.02</v>
      </c>
    </row>
    <row r="596" spans="1:3">
      <c r="A596" t="s">
        <v>1576</v>
      </c>
      <c r="B596">
        <v>1607305.8096</v>
      </c>
      <c r="C596">
        <v>1591221.0096</v>
      </c>
    </row>
    <row r="597" spans="1:3">
      <c r="A597" t="s">
        <v>1586</v>
      </c>
      <c r="B597">
        <v>849009.76875</v>
      </c>
      <c r="C597">
        <v>840516.01875</v>
      </c>
    </row>
    <row r="598" spans="1:3">
      <c r="A598" t="s">
        <v>1564</v>
      </c>
      <c r="B598">
        <v>361842.71</v>
      </c>
      <c r="C598">
        <v>358219.21</v>
      </c>
    </row>
    <row r="599" spans="1:3">
      <c r="A599" t="s">
        <v>1563</v>
      </c>
      <c r="B599">
        <v>541361.75688</v>
      </c>
      <c r="C599">
        <v>535937.99688</v>
      </c>
    </row>
    <row r="600" spans="1:3">
      <c r="A600" t="s">
        <v>1581</v>
      </c>
      <c r="B600">
        <v>686760.39225</v>
      </c>
      <c r="C600">
        <v>679883.64225</v>
      </c>
    </row>
    <row r="601" spans="1:3">
      <c r="A601" t="s">
        <v>1560</v>
      </c>
      <c r="B601">
        <v>3424327.78276</v>
      </c>
      <c r="C601">
        <v>3390081.42276</v>
      </c>
    </row>
    <row r="602" spans="1:3">
      <c r="A602" t="s">
        <v>1581</v>
      </c>
      <c r="B602">
        <v>887423.8464</v>
      </c>
      <c r="C602">
        <v>878535.3864</v>
      </c>
    </row>
    <row r="603" spans="1:3">
      <c r="A603" t="s">
        <v>1590</v>
      </c>
      <c r="B603">
        <v>114298.7902</v>
      </c>
      <c r="C603">
        <v>113154.9902</v>
      </c>
    </row>
    <row r="604" spans="1:3">
      <c r="A604" t="s">
        <v>1567</v>
      </c>
      <c r="B604">
        <v>4676542.648</v>
      </c>
      <c r="C604">
        <v>4629706.968</v>
      </c>
    </row>
    <row r="605" spans="1:3">
      <c r="A605" t="s">
        <v>1571</v>
      </c>
      <c r="B605">
        <v>672476.8617</v>
      </c>
      <c r="C605">
        <v>665739.2917</v>
      </c>
    </row>
    <row r="606" spans="1:3">
      <c r="A606" t="s">
        <v>1588</v>
      </c>
      <c r="B606">
        <v>867135.12314</v>
      </c>
      <c r="C606">
        <v>858447.61314</v>
      </c>
    </row>
    <row r="607" spans="1:3">
      <c r="A607" t="s">
        <v>1571</v>
      </c>
      <c r="B607">
        <v>1543171.89411</v>
      </c>
      <c r="C607">
        <v>1527724.26411</v>
      </c>
    </row>
    <row r="608" spans="1:3">
      <c r="A608" t="s">
        <v>1575</v>
      </c>
      <c r="B608">
        <v>3227767.02603</v>
      </c>
      <c r="C608">
        <v>3195458.01603</v>
      </c>
    </row>
    <row r="609" spans="1:3">
      <c r="A609" t="s">
        <v>1577</v>
      </c>
      <c r="B609">
        <v>326381.13018</v>
      </c>
      <c r="C609">
        <v>323111.99018</v>
      </c>
    </row>
    <row r="610" spans="1:3">
      <c r="A610" t="s">
        <v>1568</v>
      </c>
      <c r="B610">
        <v>235791.71</v>
      </c>
      <c r="C610">
        <v>233430.96</v>
      </c>
    </row>
    <row r="611" spans="1:3">
      <c r="A611" t="s">
        <v>1571</v>
      </c>
      <c r="B611">
        <v>1143905.10016</v>
      </c>
      <c r="C611">
        <v>1132454.14016</v>
      </c>
    </row>
    <row r="612" spans="1:3">
      <c r="A612" t="s">
        <v>1594</v>
      </c>
      <c r="B612">
        <v>2229394.56768</v>
      </c>
      <c r="C612">
        <v>2207057.28768</v>
      </c>
    </row>
    <row r="613" spans="1:3">
      <c r="A613" t="s">
        <v>1561</v>
      </c>
      <c r="B613">
        <v>925614</v>
      </c>
      <c r="C613">
        <v>916357.86</v>
      </c>
    </row>
    <row r="614" spans="1:3">
      <c r="A614" t="s">
        <v>1576</v>
      </c>
      <c r="B614">
        <v>8397062.2398</v>
      </c>
      <c r="C614">
        <v>8313073.1398</v>
      </c>
    </row>
    <row r="615" spans="1:3">
      <c r="A615" t="s">
        <v>1584</v>
      </c>
      <c r="B615">
        <v>2227871.81352</v>
      </c>
      <c r="C615">
        <v>2205554.93352</v>
      </c>
    </row>
    <row r="616" spans="1:3">
      <c r="A616" t="s">
        <v>1563</v>
      </c>
      <c r="B616">
        <v>1137721.69836</v>
      </c>
      <c r="C616">
        <v>1126335.25836</v>
      </c>
    </row>
    <row r="617" spans="1:3">
      <c r="A617" t="s">
        <v>1595</v>
      </c>
      <c r="B617">
        <v>1082920.68144</v>
      </c>
      <c r="C617">
        <v>1072091.04144</v>
      </c>
    </row>
    <row r="618" spans="1:3">
      <c r="A618" t="s">
        <v>1565</v>
      </c>
      <c r="B618">
        <v>94151.86704</v>
      </c>
      <c r="C618">
        <v>93209.38704</v>
      </c>
    </row>
    <row r="619" spans="1:3">
      <c r="A619" t="s">
        <v>1572</v>
      </c>
      <c r="B619">
        <v>2822288.34888</v>
      </c>
      <c r="C619">
        <v>2794034.66888</v>
      </c>
    </row>
    <row r="620" spans="1:3">
      <c r="A620" t="s">
        <v>1561</v>
      </c>
      <c r="B620">
        <v>4344182.27425</v>
      </c>
      <c r="C620">
        <v>4300720.02425</v>
      </c>
    </row>
    <row r="621" spans="1:3">
      <c r="A621" t="s">
        <v>1588</v>
      </c>
      <c r="B621">
        <v>123240.3174</v>
      </c>
      <c r="C621">
        <v>122005.8774</v>
      </c>
    </row>
    <row r="622" spans="1:3">
      <c r="A622" t="s">
        <v>1578</v>
      </c>
      <c r="B622">
        <v>288799.83132</v>
      </c>
      <c r="C622">
        <v>285906.45132</v>
      </c>
    </row>
    <row r="623" spans="1:3">
      <c r="A623" t="s">
        <v>1573</v>
      </c>
      <c r="B623">
        <v>3734152.63488</v>
      </c>
      <c r="C623">
        <v>3696739.27488</v>
      </c>
    </row>
    <row r="624" spans="1:3">
      <c r="A624" t="s">
        <v>1572</v>
      </c>
      <c r="B624">
        <v>1204261.64488</v>
      </c>
      <c r="C624">
        <v>1192205.40488</v>
      </c>
    </row>
    <row r="625" spans="1:3">
      <c r="A625" t="s">
        <v>1585</v>
      </c>
      <c r="B625">
        <v>5960637.8975</v>
      </c>
      <c r="C625">
        <v>5900935.3975</v>
      </c>
    </row>
    <row r="626" spans="1:3">
      <c r="A626" t="s">
        <v>1593</v>
      </c>
      <c r="B626">
        <v>3687031.9864</v>
      </c>
      <c r="C626">
        <v>3650119.5864</v>
      </c>
    </row>
    <row r="627" spans="1:3">
      <c r="A627" t="s">
        <v>1587</v>
      </c>
      <c r="B627">
        <v>1660109.22273</v>
      </c>
      <c r="C627">
        <v>1643481.69273</v>
      </c>
    </row>
    <row r="628" spans="1:3">
      <c r="A628" t="s">
        <v>1585</v>
      </c>
      <c r="B628">
        <v>599385.55908</v>
      </c>
      <c r="C628">
        <v>593382.63908</v>
      </c>
    </row>
    <row r="629" spans="1:3">
      <c r="A629" t="s">
        <v>1583</v>
      </c>
      <c r="B629">
        <v>3301742</v>
      </c>
      <c r="C629">
        <v>3268724.58</v>
      </c>
    </row>
    <row r="630" spans="1:3">
      <c r="A630" t="s">
        <v>1587</v>
      </c>
      <c r="B630">
        <v>4312464.6132</v>
      </c>
      <c r="C630">
        <v>4269313.2132</v>
      </c>
    </row>
    <row r="631" spans="1:3">
      <c r="A631" t="s">
        <v>1593</v>
      </c>
      <c r="B631">
        <v>1481026.50768</v>
      </c>
      <c r="C631">
        <v>1466195.62768</v>
      </c>
    </row>
    <row r="632" spans="1:3">
      <c r="A632" t="s">
        <v>1586</v>
      </c>
      <c r="B632">
        <v>32130.31822</v>
      </c>
      <c r="C632">
        <v>31808.45822</v>
      </c>
    </row>
  </sheetData>
  <pageMargins left="0.75" right="0.75" top="1" bottom="1" header="0.5" footer="0.5"/>
  <headerFooter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showGridLines="0" zoomScale="68" zoomScaleNormal="68" workbookViewId="0">
      <selection activeCell="Q6" sqref="Q6"/>
    </sheetView>
  </sheetViews>
  <sheetFormatPr defaultColWidth="9.14285714285714" defaultRowHeight="15" outlineLevelCol="2"/>
  <cols>
    <col min="1" max="2" width="20.7142857142857"/>
    <col min="3" max="3" width="23.4285714285714"/>
    <col min="4" max="631" width="17.7142857142857"/>
    <col min="632" max="632" width="11.8571428571429"/>
  </cols>
  <sheetData>
    <row r="3" spans="1:3">
      <c r="A3" t="s">
        <v>1602</v>
      </c>
    </row>
    <row r="4" ht="18.75" spans="1:3">
      <c r="A4" s="1">
        <v>1246382580.52325</v>
      </c>
    </row>
    <row r="6" spans="1:3">
      <c r="A6" t="s">
        <v>1618</v>
      </c>
    </row>
    <row r="7" ht="18.75" spans="1:3">
      <c r="A7" s="1">
        <v>1233903310.11325</v>
      </c>
    </row>
    <row r="9" spans="1:3">
      <c r="A9" t="s">
        <v>1602</v>
      </c>
      <c r="B9" t="s">
        <v>1649</v>
      </c>
      <c r="C9" s="2" t="s">
        <v>1650</v>
      </c>
    </row>
    <row r="10" ht="18.75" spans="1:3">
      <c r="A10">
        <v>1246382580.52325</v>
      </c>
      <c r="B10">
        <v>631</v>
      </c>
      <c r="C10" s="3">
        <f>A10/B10</f>
        <v>1975249.73141561</v>
      </c>
    </row>
    <row r="12" spans="1:3">
      <c r="A12" t="s">
        <v>1627</v>
      </c>
      <c r="B12" t="s">
        <v>1649</v>
      </c>
      <c r="C12" s="2" t="s">
        <v>1651</v>
      </c>
    </row>
    <row r="13" ht="18.75" spans="1:3">
      <c r="A13">
        <v>172</v>
      </c>
      <c r="B13">
        <v>631</v>
      </c>
      <c r="C13" s="4">
        <f>A13/B13</f>
        <v>0.272583201267829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Brief</vt:lpstr>
      <vt:lpstr>READ ME</vt:lpstr>
      <vt:lpstr>Data</vt:lpstr>
      <vt:lpstr>Staging Data</vt:lpstr>
      <vt:lpstr>Cohort Analysis</vt:lpstr>
      <vt:lpstr>Scenario Modelling</vt:lpstr>
      <vt:lpstr>Pivot Charts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Stacy Omwoyo</cp:lastModifiedBy>
  <dcterms:created xsi:type="dcterms:W3CDTF">2025-09-28T10:49:00Z</dcterms:created>
  <dcterms:modified xsi:type="dcterms:W3CDTF">2026-05-23T12:35:28Z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9EF7FB126B6E4F57B1ADC3D50CA51772_13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